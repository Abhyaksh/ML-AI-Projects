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Ex1.xml" ContentType="application/vnd.ms-office.chartex+xml"/>
  <Override PartName="/xl/charts/style4.xml" ContentType="application/vnd.ms-office.chartstyle+xml"/>
  <Override PartName="/xl/charts/colors4.xml" ContentType="application/vnd.ms-office.chartcolorstyle+xml"/>
  <Override PartName="/xl/drawings/drawing11.xml" ContentType="application/vnd.openxmlformats-officedocument.drawing+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2.xml" ContentType="application/vnd.openxmlformats-officedocument.drawing+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91894\Downloads\"/>
    </mc:Choice>
  </mc:AlternateContent>
  <xr:revisionPtr revIDLastSave="0" documentId="13_ncr:1_{7D96F7AA-A956-4166-B810-482DCCD263D5}" xr6:coauthVersionLast="47" xr6:coauthVersionMax="47" xr10:uidLastSave="{00000000-0000-0000-0000-000000000000}"/>
  <bookViews>
    <workbookView xWindow="-108" yWindow="-108" windowWidth="23256" windowHeight="12456" tabRatio="669" firstSheet="2" activeTab="4" xr2:uid="{D4886810-D9CC-4231-AA87-2302A306BB27}"/>
  </bookViews>
  <sheets>
    <sheet name="Financials&gt;" sheetId="1" r:id="rId1"/>
    <sheet name="HistoricalFS" sheetId="3" r:id="rId2"/>
    <sheet name="Ratio Analysis" sheetId="6" r:id="rId3"/>
    <sheet name="Common Size Statement" sheetId="7" r:id="rId4"/>
    <sheet name="Forcasting" sheetId="8" r:id="rId5"/>
    <sheet name="Beta Regression" sheetId="9" r:id="rId6"/>
    <sheet name="WACC" sheetId="10" r:id="rId7"/>
    <sheet name="Intrinsic Growth" sheetId="13" r:id="rId8"/>
    <sheet name="DCF" sheetId="14" r:id="rId9"/>
    <sheet name="Comparable Pricing" sheetId="15" r:id="rId10"/>
    <sheet name="VAR" sheetId="16" r:id="rId11"/>
    <sheet name="Dupont Analysis" sheetId="18" r:id="rId12"/>
    <sheet name="Altman Z Score" sheetId="21" r:id="rId13"/>
    <sheet name="Data&gt;" sheetId="4" r:id="rId14"/>
    <sheet name="Data Sheet" sheetId="2" r:id="rId15"/>
    <sheet name="Sheet6" sheetId="11" r:id="rId16"/>
    <sheet name="Cash Flow Data" sheetId="5" r:id="rId17"/>
    <sheet name="Raw FS" sheetId="12" r:id="rId18"/>
    <sheet name="List of Stocks" sheetId="19" r:id="rId19"/>
    <sheet name="Relative Data" sheetId="22" r:id="rId20"/>
  </sheets>
  <externalReferences>
    <externalReference r:id="rId21"/>
    <externalReference r:id="rId22"/>
    <externalReference r:id="rId23"/>
  </externalReferences>
  <definedNames>
    <definedName name="_xlnm._FilterDatabase" localSheetId="5" hidden="1">'Beta Regression'!$B$11:$G$11</definedName>
    <definedName name="_xlnm._FilterDatabase" localSheetId="18" hidden="1">'List of Stocks'!$A$2:$D$5049</definedName>
    <definedName name="_xlnm._FilterDatabase" localSheetId="15" hidden="1">Sheet6!$U$2:$U$2</definedName>
    <definedName name="_xlnm._FilterDatabase" localSheetId="10" hidden="1">VAR!$B$7:$E$7</definedName>
    <definedName name="_xlchart.v1.0" hidden="1">VAR!$H$8:$H$3007</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"04/29/2023 08:53:12"</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 name="_xlnm.Print_Area" localSheetId="12">'Altman Z Score'!$A$1:$I$97</definedName>
    <definedName name="_xlnm.Print_Area" localSheetId="5">'Beta Regression'!$A$3:$J$81</definedName>
    <definedName name="_xlnm.Print_Area" localSheetId="11">'Dupont Analysis'!$A$1:$I$113</definedName>
    <definedName name="UPDATE" localSheetId="18">'[1]Data Sheet'!$E$1</definedName>
    <definedName name="UPDATE">'Data Sheet'!$E$1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 i="10" l="1"/>
  <c r="B2" i="15"/>
  <c r="K10" i="15"/>
  <c r="L10" i="15"/>
  <c r="M10" i="15"/>
  <c r="K11" i="15"/>
  <c r="L11" i="15"/>
  <c r="M11" i="15"/>
  <c r="K12" i="15"/>
  <c r="L12" i="15"/>
  <c r="M12" i="15"/>
  <c r="K13" i="15"/>
  <c r="L13" i="15"/>
  <c r="M13" i="15"/>
  <c r="L9" i="15"/>
  <c r="M9" i="15"/>
  <c r="K9" i="15"/>
  <c r="G10" i="15"/>
  <c r="G11" i="15"/>
  <c r="G12" i="15"/>
  <c r="G13" i="15"/>
  <c r="G9" i="15"/>
  <c r="P25" i="15" s="1"/>
  <c r="E9" i="15"/>
  <c r="P27" i="15" s="1"/>
  <c r="E10" i="15"/>
  <c r="E11" i="15"/>
  <c r="E12" i="15"/>
  <c r="E13" i="15"/>
  <c r="D10" i="15"/>
  <c r="D11" i="15"/>
  <c r="D12" i="15"/>
  <c r="D13" i="15"/>
  <c r="D9" i="15"/>
  <c r="B10" i="15"/>
  <c r="B11" i="15"/>
  <c r="B12" i="15"/>
  <c r="B13" i="15"/>
  <c r="B9" i="15"/>
  <c r="F4" i="22"/>
  <c r="I4" i="22" s="1"/>
  <c r="K4" i="22" s="1"/>
  <c r="F5" i="22"/>
  <c r="I5" i="22" s="1"/>
  <c r="K5" i="22" s="1"/>
  <c r="F6" i="22"/>
  <c r="I6" i="22" s="1"/>
  <c r="K6" i="22" s="1"/>
  <c r="F7" i="22"/>
  <c r="I7" i="22" s="1"/>
  <c r="K7" i="22" s="1"/>
  <c r="F15" i="22"/>
  <c r="I15" i="22" s="1"/>
  <c r="K15" i="22" s="1"/>
  <c r="F16" i="22"/>
  <c r="I16" i="22" s="1"/>
  <c r="K16" i="22" s="1"/>
  <c r="F17" i="22"/>
  <c r="I17" i="22" s="1"/>
  <c r="K17" i="22" s="1"/>
  <c r="F18" i="22"/>
  <c r="I18" i="22" s="1"/>
  <c r="K18" i="22" s="1"/>
  <c r="F19" i="22"/>
  <c r="I19" i="22" s="1"/>
  <c r="K19" i="22" s="1"/>
  <c r="F20" i="22"/>
  <c r="I20" i="22" s="1"/>
  <c r="K20" i="22" s="1"/>
  <c r="F3" i="22"/>
  <c r="I3" i="22" s="1"/>
  <c r="K3" i="22" s="1"/>
  <c r="D79" i="21"/>
  <c r="E79" i="21"/>
  <c r="F79" i="21"/>
  <c r="G79" i="21"/>
  <c r="H79" i="21"/>
  <c r="I79" i="21"/>
  <c r="C79" i="21"/>
  <c r="D73" i="21"/>
  <c r="E73" i="21"/>
  <c r="F73" i="21"/>
  <c r="G73" i="21"/>
  <c r="H73" i="21"/>
  <c r="I73" i="21"/>
  <c r="C73" i="21"/>
  <c r="D86" i="21"/>
  <c r="E86" i="21"/>
  <c r="F86" i="21"/>
  <c r="G86" i="21"/>
  <c r="H86" i="21"/>
  <c r="I86" i="21"/>
  <c r="C86" i="21"/>
  <c r="D81" i="21"/>
  <c r="E81" i="21"/>
  <c r="F81" i="21"/>
  <c r="G81" i="21"/>
  <c r="H81" i="21"/>
  <c r="I81" i="21"/>
  <c r="I82" i="21" s="1"/>
  <c r="C81" i="21"/>
  <c r="D68" i="21"/>
  <c r="E68" i="21"/>
  <c r="F68" i="21"/>
  <c r="G68" i="21"/>
  <c r="H68" i="21"/>
  <c r="I68" i="21"/>
  <c r="C68" i="21"/>
  <c r="D62" i="21"/>
  <c r="D64" i="21" s="1"/>
  <c r="E62" i="21"/>
  <c r="F62" i="21"/>
  <c r="G62" i="21"/>
  <c r="H62" i="21"/>
  <c r="I62" i="21"/>
  <c r="C62" i="21"/>
  <c r="D80" i="21"/>
  <c r="E80" i="21"/>
  <c r="E82" i="21" s="1"/>
  <c r="F80" i="21"/>
  <c r="F82" i="21" s="1"/>
  <c r="G80" i="21"/>
  <c r="H80" i="21"/>
  <c r="I80" i="21"/>
  <c r="C80" i="21"/>
  <c r="D74" i="21"/>
  <c r="E74" i="21"/>
  <c r="F74" i="21"/>
  <c r="G74" i="21"/>
  <c r="G76" i="21" s="1"/>
  <c r="H74" i="21"/>
  <c r="I74" i="21"/>
  <c r="G75" i="21"/>
  <c r="I75" i="21"/>
  <c r="C74" i="21"/>
  <c r="D63" i="21"/>
  <c r="D75" i="21" s="1"/>
  <c r="E63" i="21"/>
  <c r="E75" i="21" s="1"/>
  <c r="E87" i="21" s="1"/>
  <c r="F63" i="21"/>
  <c r="F75" i="21" s="1"/>
  <c r="G63" i="21"/>
  <c r="H63" i="21"/>
  <c r="H64" i="21" s="1"/>
  <c r="I63" i="21"/>
  <c r="C63" i="21"/>
  <c r="C69" i="21" s="1"/>
  <c r="D61" i="21"/>
  <c r="E61" i="21"/>
  <c r="E67" i="21" s="1"/>
  <c r="E85" i="21" s="1"/>
  <c r="E91" i="21" s="1"/>
  <c r="F61" i="21"/>
  <c r="F67" i="21" s="1"/>
  <c r="F85" i="21" s="1"/>
  <c r="F91" i="21" s="1"/>
  <c r="G61" i="21"/>
  <c r="G67" i="21" s="1"/>
  <c r="G85" i="21" s="1"/>
  <c r="G91" i="21" s="1"/>
  <c r="H61" i="21"/>
  <c r="I61" i="21"/>
  <c r="I67" i="21" s="1"/>
  <c r="I85" i="21" s="1"/>
  <c r="I91" i="21" s="1"/>
  <c r="C61" i="21"/>
  <c r="C67" i="21" s="1"/>
  <c r="C85" i="21" s="1"/>
  <c r="C91" i="21" s="1"/>
  <c r="B5" i="21"/>
  <c r="B3" i="21"/>
  <c r="B4" i="21" s="1"/>
  <c r="G82" i="21"/>
  <c r="H82" i="21"/>
  <c r="G87" i="21"/>
  <c r="G88" i="21" s="1"/>
  <c r="I69" i="21"/>
  <c r="H69" i="21"/>
  <c r="G69" i="21"/>
  <c r="F64" i="21"/>
  <c r="H67" i="21"/>
  <c r="H85" i="21" s="1"/>
  <c r="H91" i="21" s="1"/>
  <c r="D67" i="21"/>
  <c r="D85" i="21" s="1"/>
  <c r="D91" i="21" s="1"/>
  <c r="O25" i="15" l="1"/>
  <c r="Q25" i="15"/>
  <c r="O27" i="15"/>
  <c r="Q27" i="15"/>
  <c r="F12" i="15"/>
  <c r="F11" i="15"/>
  <c r="F10" i="15"/>
  <c r="F13" i="15"/>
  <c r="E64" i="21"/>
  <c r="C82" i="21"/>
  <c r="E69" i="21"/>
  <c r="E70" i="21" s="1"/>
  <c r="H75" i="21"/>
  <c r="D69" i="21"/>
  <c r="D82" i="21"/>
  <c r="G64" i="21"/>
  <c r="D70" i="21"/>
  <c r="C64" i="21"/>
  <c r="F87" i="21"/>
  <c r="F88" i="21" s="1"/>
  <c r="I64" i="21"/>
  <c r="E76" i="21"/>
  <c r="E88" i="21"/>
  <c r="G70" i="21"/>
  <c r="F76" i="21"/>
  <c r="I70" i="21"/>
  <c r="D87" i="21"/>
  <c r="D88" i="21" s="1"/>
  <c r="D76" i="21"/>
  <c r="C70" i="21"/>
  <c r="H70" i="21"/>
  <c r="F69" i="21"/>
  <c r="F70" i="21" s="1"/>
  <c r="C75" i="21"/>
  <c r="C87" i="21" s="1"/>
  <c r="C88" i="21" s="1"/>
  <c r="G92" i="21" l="1"/>
  <c r="G93" i="21" s="1"/>
  <c r="E92" i="21"/>
  <c r="E93" i="21" s="1"/>
  <c r="D92" i="21"/>
  <c r="D93" i="21" s="1"/>
  <c r="F92" i="21"/>
  <c r="F93" i="21" s="1"/>
  <c r="I87" i="21"/>
  <c r="I88" i="21" s="1"/>
  <c r="I76" i="21"/>
  <c r="I92" i="21" s="1"/>
  <c r="I93" i="21" s="1"/>
  <c r="H76" i="21"/>
  <c r="H87" i="21"/>
  <c r="H88" i="21" s="1"/>
  <c r="C76" i="21"/>
  <c r="C92" i="21" s="1"/>
  <c r="C93" i="21" s="1"/>
  <c r="H92" i="21" l="1"/>
  <c r="H93" i="21" s="1"/>
  <c r="B2" i="16" l="1"/>
  <c r="B2" i="14"/>
  <c r="B2" i="13"/>
  <c r="B2" i="9"/>
  <c r="B2" i="8"/>
  <c r="B2" i="7"/>
  <c r="B2" i="6"/>
  <c r="B2" i="3"/>
  <c r="B5" i="18"/>
  <c r="B3" i="18"/>
  <c r="C73" i="18"/>
  <c r="C76" i="18" s="1"/>
  <c r="C78" i="18" s="1"/>
  <c r="D73" i="18"/>
  <c r="D85" i="18" s="1"/>
  <c r="D95" i="18" s="1"/>
  <c r="E73" i="18"/>
  <c r="F73" i="18"/>
  <c r="F76" i="18" s="1"/>
  <c r="G73" i="18"/>
  <c r="G85" i="18" s="1"/>
  <c r="G95" i="18" s="1"/>
  <c r="H73" i="18"/>
  <c r="H85" i="18" s="1"/>
  <c r="H95" i="18" s="1"/>
  <c r="I73" i="18"/>
  <c r="C69" i="18"/>
  <c r="D69" i="18"/>
  <c r="E69" i="18"/>
  <c r="E72" i="18" s="1"/>
  <c r="F69" i="18"/>
  <c r="G69" i="18"/>
  <c r="H69" i="18"/>
  <c r="H72" i="18" s="1"/>
  <c r="I69" i="18"/>
  <c r="I72" i="18" s="1"/>
  <c r="C63" i="18"/>
  <c r="D63" i="18"/>
  <c r="E63" i="18"/>
  <c r="F63" i="18"/>
  <c r="G63" i="18"/>
  <c r="H63" i="18"/>
  <c r="I63" i="18"/>
  <c r="D62" i="18"/>
  <c r="D68" i="18" s="1"/>
  <c r="E62" i="18"/>
  <c r="E64" i="18" s="1"/>
  <c r="F62" i="18"/>
  <c r="F64" i="18" s="1"/>
  <c r="G62" i="18"/>
  <c r="H62" i="18"/>
  <c r="I62" i="18"/>
  <c r="I64" i="18" s="1"/>
  <c r="C62" i="18"/>
  <c r="C68" i="18" s="1"/>
  <c r="D61" i="18"/>
  <c r="D67" i="18" s="1"/>
  <c r="D83" i="18" s="1"/>
  <c r="D89" i="18" s="1"/>
  <c r="E61" i="18"/>
  <c r="E67" i="18" s="1"/>
  <c r="E83" i="18" s="1"/>
  <c r="E89" i="18" s="1"/>
  <c r="F61" i="18"/>
  <c r="G61" i="18"/>
  <c r="H61" i="18"/>
  <c r="H67" i="18" s="1"/>
  <c r="H83" i="18" s="1"/>
  <c r="H89" i="18" s="1"/>
  <c r="I61" i="18"/>
  <c r="C61" i="18"/>
  <c r="G91" i="18"/>
  <c r="G94" i="18" s="1"/>
  <c r="B90" i="18"/>
  <c r="B85" i="18"/>
  <c r="H77" i="18"/>
  <c r="F77" i="18"/>
  <c r="D77" i="18"/>
  <c r="B77" i="18"/>
  <c r="H76" i="18"/>
  <c r="B76" i="18"/>
  <c r="I85" i="18"/>
  <c r="I95" i="18" s="1"/>
  <c r="F85" i="18"/>
  <c r="F95" i="18" s="1"/>
  <c r="E76" i="18"/>
  <c r="G72" i="18"/>
  <c r="F72" i="18"/>
  <c r="F91" i="18" s="1"/>
  <c r="F94" i="18" s="1"/>
  <c r="D72" i="18"/>
  <c r="D91" i="18" s="1"/>
  <c r="D94" i="18" s="1"/>
  <c r="C72" i="18"/>
  <c r="C74" i="18" s="1"/>
  <c r="I68" i="18"/>
  <c r="I84" i="18" s="1"/>
  <c r="G68" i="18"/>
  <c r="G84" i="18" s="1"/>
  <c r="B68" i="18"/>
  <c r="I67" i="18"/>
  <c r="I83" i="18" s="1"/>
  <c r="I89" i="18" s="1"/>
  <c r="D64" i="18"/>
  <c r="I77" i="18"/>
  <c r="G64" i="18"/>
  <c r="E77" i="18"/>
  <c r="C77" i="18"/>
  <c r="H68" i="18"/>
  <c r="G67" i="18"/>
  <c r="G83" i="18" s="1"/>
  <c r="G89" i="18" s="1"/>
  <c r="F67" i="18"/>
  <c r="F83" i="18" s="1"/>
  <c r="F89" i="18" s="1"/>
  <c r="C67" i="18"/>
  <c r="C83" i="18" s="1"/>
  <c r="C89" i="18" s="1"/>
  <c r="B4" i="18"/>
  <c r="F96" i="18" l="1"/>
  <c r="D76" i="18"/>
  <c r="G74" i="18"/>
  <c r="G96" i="18"/>
  <c r="C91" i="18"/>
  <c r="C94" i="18" s="1"/>
  <c r="F74" i="18"/>
  <c r="D78" i="18"/>
  <c r="H64" i="18"/>
  <c r="F78" i="18"/>
  <c r="H78" i="18"/>
  <c r="E68" i="18"/>
  <c r="C84" i="18"/>
  <c r="C70" i="18"/>
  <c r="C80" i="18"/>
  <c r="H91" i="18"/>
  <c r="H94" i="18" s="1"/>
  <c r="H96" i="18" s="1"/>
  <c r="H74" i="18"/>
  <c r="G86" i="18"/>
  <c r="G90" i="18"/>
  <c r="G92" i="18" s="1"/>
  <c r="I91" i="18"/>
  <c r="I94" i="18" s="1"/>
  <c r="I96" i="18" s="1"/>
  <c r="I74" i="18"/>
  <c r="D84" i="18"/>
  <c r="D70" i="18"/>
  <c r="C90" i="18"/>
  <c r="C92" i="18" s="1"/>
  <c r="H84" i="18"/>
  <c r="H70" i="18"/>
  <c r="I86" i="18"/>
  <c r="I90" i="18"/>
  <c r="E78" i="18"/>
  <c r="E74" i="18"/>
  <c r="E91" i="18"/>
  <c r="E94" i="18" s="1"/>
  <c r="E96" i="18" s="1"/>
  <c r="D96" i="18"/>
  <c r="G76" i="18"/>
  <c r="G77" i="18"/>
  <c r="C85" i="18"/>
  <c r="C95" i="18" s="1"/>
  <c r="C96" i="18" s="1"/>
  <c r="C64" i="18"/>
  <c r="I76" i="18"/>
  <c r="I78" i="18" s="1"/>
  <c r="E85" i="18"/>
  <c r="E95" i="18" s="1"/>
  <c r="G70" i="18"/>
  <c r="F68" i="18"/>
  <c r="I70" i="18"/>
  <c r="D74" i="18"/>
  <c r="G98" i="18" l="1"/>
  <c r="D80" i="18"/>
  <c r="H80" i="18"/>
  <c r="E84" i="18"/>
  <c r="E90" i="18" s="1"/>
  <c r="E92" i="18" s="1"/>
  <c r="E98" i="18" s="1"/>
  <c r="E70" i="18"/>
  <c r="E80" i="18" s="1"/>
  <c r="C98" i="18"/>
  <c r="F84" i="18"/>
  <c r="F70" i="18"/>
  <c r="F80" i="18" s="1"/>
  <c r="H86" i="18"/>
  <c r="H90" i="18"/>
  <c r="H92" i="18" s="1"/>
  <c r="H98" i="18" s="1"/>
  <c r="C86" i="18"/>
  <c r="I80" i="18"/>
  <c r="I92" i="18"/>
  <c r="I98" i="18" s="1"/>
  <c r="D86" i="18"/>
  <c r="D90" i="18"/>
  <c r="D92" i="18" s="1"/>
  <c r="D98" i="18" s="1"/>
  <c r="G78" i="18"/>
  <c r="G80" i="18" s="1"/>
  <c r="E86" i="18"/>
  <c r="F86" i="18" l="1"/>
  <c r="F90" i="18"/>
  <c r="F92" i="18" s="1"/>
  <c r="F98" i="18" s="1"/>
  <c r="K33" i="16" l="1"/>
  <c r="K32" i="16"/>
  <c r="K31" i="16"/>
  <c r="K30" i="16"/>
  <c r="L20" i="16"/>
  <c r="M20" i="16" s="1"/>
  <c r="N20" i="16" s="1"/>
  <c r="L19" i="16"/>
  <c r="M19" i="16" s="1"/>
  <c r="N19" i="16" s="1"/>
  <c r="L18" i="16"/>
  <c r="M18" i="16" s="1"/>
  <c r="N18" i="16" s="1"/>
  <c r="L17" i="16"/>
  <c r="M17" i="16" s="1"/>
  <c r="N17" i="16" s="1"/>
  <c r="K20" i="16"/>
  <c r="K19" i="16"/>
  <c r="K18" i="16"/>
  <c r="K17" i="16"/>
  <c r="N13" i="16"/>
  <c r="N12" i="16"/>
  <c r="N11" i="16"/>
  <c r="N10" i="16"/>
  <c r="H2474" i="16" s="1"/>
  <c r="D436" i="16"/>
  <c r="D478" i="16"/>
  <c r="D293" i="16"/>
  <c r="D299" i="16"/>
  <c r="D520" i="16"/>
  <c r="D583" i="16"/>
  <c r="D320" i="16"/>
  <c r="D652" i="16"/>
  <c r="D385" i="16"/>
  <c r="D341" i="16"/>
  <c r="D673" i="16"/>
  <c r="D336" i="16"/>
  <c r="D268" i="16"/>
  <c r="D725" i="16"/>
  <c r="D448" i="16"/>
  <c r="D187" i="16"/>
  <c r="D406" i="16"/>
  <c r="D312" i="16"/>
  <c r="D606" i="16"/>
  <c r="D484" i="16"/>
  <c r="D505" i="16"/>
  <c r="D118" i="16"/>
  <c r="D129" i="16"/>
  <c r="D54" i="16"/>
  <c r="D145" i="16"/>
  <c r="D497" i="16"/>
  <c r="D291" i="16"/>
  <c r="D258" i="16"/>
  <c r="D504" i="16"/>
  <c r="D253" i="16"/>
  <c r="D711" i="16"/>
  <c r="D683" i="16"/>
  <c r="D506" i="16"/>
  <c r="D593" i="16"/>
  <c r="D324" i="16"/>
  <c r="D415" i="16"/>
  <c r="D498" i="16"/>
  <c r="D277" i="16"/>
  <c r="D619" i="16"/>
  <c r="D273" i="16"/>
  <c r="D41" i="16"/>
  <c r="D700" i="16"/>
  <c r="D482" i="16"/>
  <c r="D587" i="16"/>
  <c r="D621" i="16"/>
  <c r="D518" i="16"/>
  <c r="D567" i="16"/>
  <c r="D138" i="16"/>
  <c r="D65" i="16"/>
  <c r="D416" i="16"/>
  <c r="D379" i="16"/>
  <c r="D598" i="16"/>
  <c r="D68" i="16"/>
  <c r="D654" i="16"/>
  <c r="D556" i="16"/>
  <c r="D445" i="16"/>
  <c r="D698" i="16"/>
  <c r="D457" i="16"/>
  <c r="D281" i="16"/>
  <c r="D682" i="16"/>
  <c r="D483" i="16"/>
  <c r="D582" i="16"/>
  <c r="D398" i="16"/>
  <c r="D540" i="16"/>
  <c r="D169" i="16"/>
  <c r="D211" i="16"/>
  <c r="D650" i="16"/>
  <c r="D304" i="16"/>
  <c r="D678" i="16"/>
  <c r="D608" i="16"/>
  <c r="D232" i="16"/>
  <c r="D408" i="16"/>
  <c r="D313" i="16"/>
  <c r="D23" i="16"/>
  <c r="D545" i="16"/>
  <c r="D584" i="16"/>
  <c r="D177" i="16"/>
  <c r="D500" i="16"/>
  <c r="D534" i="16"/>
  <c r="D298" i="16"/>
  <c r="D377" i="16"/>
  <c r="D111" i="16"/>
  <c r="D96" i="16"/>
  <c r="D538" i="16"/>
  <c r="D24" i="16"/>
  <c r="D401" i="16"/>
  <c r="D509" i="16"/>
  <c r="D372" i="16"/>
  <c r="D48" i="16"/>
  <c r="D575" i="16"/>
  <c r="D454" i="16"/>
  <c r="D710" i="16"/>
  <c r="D602" i="16"/>
  <c r="D685" i="16"/>
  <c r="D126" i="16"/>
  <c r="D160" i="16"/>
  <c r="D311" i="16"/>
  <c r="D512" i="16"/>
  <c r="D82" i="16"/>
  <c r="D355" i="16"/>
  <c r="D690" i="16"/>
  <c r="D225" i="16"/>
  <c r="D544" i="16"/>
  <c r="D116" i="16"/>
  <c r="D717" i="16"/>
  <c r="D27" i="16"/>
  <c r="D147" i="16"/>
  <c r="D508" i="16"/>
  <c r="D233" i="16"/>
  <c r="D162" i="16"/>
  <c r="D481" i="16"/>
  <c r="D327" i="16"/>
  <c r="D400" i="16"/>
  <c r="D63" i="16"/>
  <c r="D564" i="16"/>
  <c r="D22" i="16"/>
  <c r="D219" i="16"/>
  <c r="D426" i="16"/>
  <c r="D420" i="16"/>
  <c r="D656" i="16"/>
  <c r="D114" i="16"/>
  <c r="D178" i="16"/>
  <c r="D714" i="16"/>
  <c r="D38" i="16"/>
  <c r="D465" i="16"/>
  <c r="D85" i="16"/>
  <c r="D429" i="16"/>
  <c r="D676" i="16"/>
  <c r="D542" i="16"/>
  <c r="D227" i="16"/>
  <c r="D570" i="16"/>
  <c r="D494" i="16"/>
  <c r="D533" i="16"/>
  <c r="D265" i="16"/>
  <c r="D444" i="16"/>
  <c r="D101" i="16"/>
  <c r="D639" i="16"/>
  <c r="D9" i="16"/>
  <c r="D33" i="16"/>
  <c r="D40" i="16"/>
  <c r="D433" i="16"/>
  <c r="D666" i="16"/>
  <c r="D677" i="16"/>
  <c r="D335" i="16"/>
  <c r="D130" i="16"/>
  <c r="D517" i="16"/>
  <c r="D179" i="16"/>
  <c r="D84" i="16"/>
  <c r="D560" i="16"/>
  <c r="D473" i="16"/>
  <c r="D224" i="16"/>
  <c r="D561" i="16"/>
  <c r="D627" i="16"/>
  <c r="D140" i="16"/>
  <c r="D519" i="16"/>
  <c r="D615" i="16"/>
  <c r="D71" i="16"/>
  <c r="D11" i="16"/>
  <c r="D386" i="16"/>
  <c r="D124" i="16"/>
  <c r="D167" i="16"/>
  <c r="D346" i="16"/>
  <c r="D133" i="16"/>
  <c r="D363" i="16"/>
  <c r="D510" i="16"/>
  <c r="D50" i="16"/>
  <c r="D499" i="16"/>
  <c r="D127" i="16"/>
  <c r="D257" i="16"/>
  <c r="D597" i="16"/>
  <c r="D350" i="16"/>
  <c r="D651" i="16"/>
  <c r="D686" i="16"/>
  <c r="D477" i="16"/>
  <c r="D513" i="16"/>
  <c r="D34" i="16"/>
  <c r="D49" i="16"/>
  <c r="D572" i="16"/>
  <c r="D624" i="16"/>
  <c r="D613" i="16"/>
  <c r="D655" i="16"/>
  <c r="D137" i="16"/>
  <c r="D37" i="16"/>
  <c r="D661" i="16"/>
  <c r="D476" i="16"/>
  <c r="D139" i="16"/>
  <c r="D171" i="16"/>
  <c r="D704" i="16"/>
  <c r="D58" i="16"/>
  <c r="D595" i="16"/>
  <c r="D55" i="16"/>
  <c r="D594" i="16"/>
  <c r="D668" i="16"/>
  <c r="D289" i="16"/>
  <c r="D466" i="16"/>
  <c r="D437" i="16"/>
  <c r="D536" i="16"/>
  <c r="D566" i="16"/>
  <c r="D205" i="16"/>
  <c r="D76" i="16"/>
  <c r="D694" i="16"/>
  <c r="D150" i="16"/>
  <c r="D367" i="16"/>
  <c r="D447" i="16"/>
  <c r="D110" i="16"/>
  <c r="D242" i="16"/>
  <c r="D399" i="16"/>
  <c r="D523" i="16"/>
  <c r="D245" i="16"/>
  <c r="D61" i="16"/>
  <c r="D278" i="16"/>
  <c r="D393" i="16"/>
  <c r="D638" i="16"/>
  <c r="D334" i="16"/>
  <c r="D630" i="16"/>
  <c r="D356" i="16"/>
  <c r="D112" i="16"/>
  <c r="D637" i="16"/>
  <c r="D589" i="16"/>
  <c r="D8" i="16"/>
  <c r="D458" i="16"/>
  <c r="D357" i="16"/>
  <c r="D190" i="16"/>
  <c r="D459" i="16"/>
  <c r="D42" i="16"/>
  <c r="D636" i="16"/>
  <c r="D15" i="16"/>
  <c r="D659" i="16"/>
  <c r="D539" i="16"/>
  <c r="D662" i="16"/>
  <c r="D370" i="16"/>
  <c r="D161" i="16"/>
  <c r="D644" i="16"/>
  <c r="D565" i="16"/>
  <c r="D712" i="16"/>
  <c r="D125" i="16"/>
  <c r="D46" i="16"/>
  <c r="D206" i="16"/>
  <c r="D148" i="16"/>
  <c r="D155" i="16"/>
  <c r="D117" i="16"/>
  <c r="D195" i="16"/>
  <c r="D197" i="16"/>
  <c r="D88" i="16"/>
  <c r="D345" i="16"/>
  <c r="D64" i="16"/>
  <c r="D392" i="16"/>
  <c r="D78" i="16"/>
  <c r="D562" i="16"/>
  <c r="D452" i="16"/>
  <c r="D402" i="16"/>
  <c r="D121" i="16"/>
  <c r="D581" i="16"/>
  <c r="D73" i="16"/>
  <c r="D331" i="16"/>
  <c r="D645" i="16"/>
  <c r="D507" i="16"/>
  <c r="D275" i="16"/>
  <c r="D120" i="16"/>
  <c r="D94" i="16"/>
  <c r="D249" i="16"/>
  <c r="D364" i="16"/>
  <c r="D524" i="16"/>
  <c r="D453" i="16"/>
  <c r="D271" i="16"/>
  <c r="D218" i="16"/>
  <c r="D303" i="16"/>
  <c r="D366" i="16"/>
  <c r="D83" i="16"/>
  <c r="D548" i="16"/>
  <c r="D244" i="16"/>
  <c r="D441" i="16"/>
  <c r="D431" i="16"/>
  <c r="D679" i="16"/>
  <c r="D491" i="16"/>
  <c r="D440" i="16"/>
  <c r="D283" i="16"/>
  <c r="D43" i="16"/>
  <c r="D100" i="16"/>
  <c r="D648" i="16"/>
  <c r="D123" i="16"/>
  <c r="D550" i="16"/>
  <c r="D62" i="16"/>
  <c r="D576" i="16"/>
  <c r="D490" i="16"/>
  <c r="D503" i="16"/>
  <c r="D290" i="16"/>
  <c r="D622" i="16"/>
  <c r="D292" i="16"/>
  <c r="D184" i="16"/>
  <c r="D286" i="16"/>
  <c r="D262" i="16"/>
  <c r="D552" i="16"/>
  <c r="D154" i="16"/>
  <c r="D226" i="16"/>
  <c r="D462" i="16"/>
  <c r="D486" i="16"/>
  <c r="D603" i="16"/>
  <c r="D422" i="16"/>
  <c r="D340" i="16"/>
  <c r="D360" i="16"/>
  <c r="D537" i="16"/>
  <c r="D67" i="16"/>
  <c r="D322" i="16"/>
  <c r="D559" i="16"/>
  <c r="D423" i="16"/>
  <c r="D412" i="16"/>
  <c r="D442" i="16"/>
  <c r="D530" i="16"/>
  <c r="D475" i="16"/>
  <c r="D306" i="16"/>
  <c r="D522" i="16"/>
  <c r="D663" i="16"/>
  <c r="D146" i="16"/>
  <c r="D246" i="16"/>
  <c r="D323" i="16"/>
  <c r="D307" i="16"/>
  <c r="D210" i="16"/>
  <c r="D464" i="16"/>
  <c r="D381" i="16"/>
  <c r="D596" i="16"/>
  <c r="D264" i="16"/>
  <c r="D599" i="16"/>
  <c r="D443" i="16"/>
  <c r="D569" i="16"/>
  <c r="D90" i="16"/>
  <c r="D604" i="16"/>
  <c r="D186" i="16"/>
  <c r="D359" i="16"/>
  <c r="D338" i="16"/>
  <c r="D628" i="16"/>
  <c r="D267" i="16"/>
  <c r="D109" i="16"/>
  <c r="D469" i="16"/>
  <c r="D235" i="16"/>
  <c r="D231" i="16"/>
  <c r="D649" i="16"/>
  <c r="D134" i="16"/>
  <c r="D316" i="16"/>
  <c r="D665" i="16"/>
  <c r="D409" i="16"/>
  <c r="D318" i="16"/>
  <c r="D653" i="16"/>
  <c r="D455" i="16"/>
  <c r="D99" i="16"/>
  <c r="D640" i="16"/>
  <c r="D419" i="16"/>
  <c r="D222" i="16"/>
  <c r="D511" i="16"/>
  <c r="D631" i="16"/>
  <c r="D200" i="16"/>
  <c r="D31" i="16"/>
  <c r="D254" i="16"/>
  <c r="D449" i="16"/>
  <c r="D485" i="16"/>
  <c r="D664" i="16"/>
  <c r="D526" i="16"/>
  <c r="D259" i="16"/>
  <c r="D425" i="16"/>
  <c r="D527" i="16"/>
  <c r="D209" i="16"/>
  <c r="D132" i="16"/>
  <c r="D194" i="16"/>
  <c r="D204" i="16"/>
  <c r="D667" i="16"/>
  <c r="D514" i="16"/>
  <c r="D168" i="16"/>
  <c r="D339" i="16"/>
  <c r="D492" i="16"/>
  <c r="D255" i="16"/>
  <c r="D461" i="16"/>
  <c r="D173" i="16"/>
  <c r="D421" i="16"/>
  <c r="D80" i="16"/>
  <c r="D229" i="16"/>
  <c r="D220" i="16"/>
  <c r="D414" i="16"/>
  <c r="D223" i="16"/>
  <c r="D543" i="16"/>
  <c r="D247" i="16"/>
  <c r="D305" i="16"/>
  <c r="D192" i="16"/>
  <c r="D103" i="16"/>
  <c r="D74" i="16"/>
  <c r="D163" i="16"/>
  <c r="D216" i="16"/>
  <c r="D217" i="16"/>
  <c r="D260" i="16"/>
  <c r="D532" i="16"/>
  <c r="D93" i="16"/>
  <c r="D86" i="16"/>
  <c r="D723" i="16"/>
  <c r="D681" i="16"/>
  <c r="D141" i="16"/>
  <c r="D691" i="16"/>
  <c r="D319" i="16"/>
  <c r="D143" i="16"/>
  <c r="D236" i="16"/>
  <c r="D407" i="16"/>
  <c r="D474" i="16"/>
  <c r="D152" i="16"/>
  <c r="D489" i="16"/>
  <c r="D266" i="16"/>
  <c r="D411" i="16"/>
  <c r="D410" i="16"/>
  <c r="D417" i="16"/>
  <c r="D263" i="16"/>
  <c r="D451" i="16"/>
  <c r="D330" i="16"/>
  <c r="D214" i="16"/>
  <c r="D438" i="16"/>
  <c r="D188" i="16"/>
  <c r="D344" i="16"/>
  <c r="D368" i="16"/>
  <c r="D198" i="16"/>
  <c r="D641" i="16"/>
  <c r="D151" i="16"/>
  <c r="D104" i="16"/>
  <c r="D45" i="16"/>
  <c r="D551" i="16"/>
  <c r="D391" i="16"/>
  <c r="D343" i="16"/>
  <c r="D159" i="16"/>
  <c r="D634" i="16"/>
  <c r="D270" i="16"/>
  <c r="D574" i="16"/>
  <c r="D122" i="16"/>
  <c r="D348" i="16"/>
  <c r="D600" i="16"/>
  <c r="D208" i="16"/>
  <c r="D577" i="16"/>
  <c r="D528" i="16"/>
  <c r="D272" i="16"/>
  <c r="D535" i="16"/>
  <c r="D164" i="16"/>
  <c r="D626" i="16"/>
  <c r="D175" i="16"/>
  <c r="D450" i="16"/>
  <c r="D252" i="16"/>
  <c r="D241" i="16"/>
  <c r="D635" i="16"/>
  <c r="D390" i="16"/>
  <c r="D353" i="16"/>
  <c r="D352" i="16"/>
  <c r="D295" i="16"/>
  <c r="D309" i="16"/>
  <c r="D488" i="16"/>
  <c r="D153" i="16"/>
  <c r="D105" i="16"/>
  <c r="D181" i="16"/>
  <c r="D496" i="16"/>
  <c r="D493" i="16"/>
  <c r="D617" i="16"/>
  <c r="D328" i="16"/>
  <c r="D502" i="16"/>
  <c r="D280" i="16"/>
  <c r="D374" i="16"/>
  <c r="D373" i="16"/>
  <c r="D250" i="16"/>
  <c r="D230" i="16"/>
  <c r="D314" i="16"/>
  <c r="D107" i="16"/>
  <c r="D580" i="16"/>
  <c r="D301" i="16"/>
  <c r="D558" i="16"/>
  <c r="D376" i="16"/>
  <c r="D28" i="16"/>
  <c r="D460" i="16"/>
  <c r="D388" i="16"/>
  <c r="D66" i="16"/>
  <c r="D605" i="16"/>
  <c r="D590" i="16"/>
  <c r="D189" i="16"/>
  <c r="D234" i="16"/>
  <c r="D212" i="16"/>
  <c r="D647" i="16"/>
  <c r="D228" i="16"/>
  <c r="D585" i="16"/>
  <c r="D592" i="16"/>
  <c r="D180" i="16"/>
  <c r="D516" i="16"/>
  <c r="D89" i="16"/>
  <c r="D158" i="16"/>
  <c r="D658" i="16"/>
  <c r="D702" i="16"/>
  <c r="D57" i="16"/>
  <c r="D296" i="16"/>
  <c r="D131" i="16"/>
  <c r="D284" i="16"/>
  <c r="D358" i="16"/>
  <c r="D261" i="16"/>
  <c r="D470" i="16"/>
  <c r="D91" i="16"/>
  <c r="D128" i="16"/>
  <c r="D467" i="16"/>
  <c r="D463" i="16"/>
  <c r="D102" i="16"/>
  <c r="D239" i="16"/>
  <c r="D294" i="16"/>
  <c r="D378" i="16"/>
  <c r="D347" i="16"/>
  <c r="D547" i="16"/>
  <c r="D424" i="16"/>
  <c r="D285" i="16"/>
  <c r="D30" i="16"/>
  <c r="D389" i="16"/>
  <c r="D269" i="16"/>
  <c r="D601" i="16"/>
  <c r="D456" i="16"/>
  <c r="D427" i="16"/>
  <c r="D413" i="16"/>
  <c r="D480" i="16"/>
  <c r="D172" i="16"/>
  <c r="D394" i="16"/>
  <c r="D471" i="16"/>
  <c r="D106" i="16"/>
  <c r="D351" i="16"/>
  <c r="D365" i="16"/>
  <c r="D554" i="16"/>
  <c r="D329" i="16"/>
  <c r="D541" i="16"/>
  <c r="D362" i="16"/>
  <c r="D349" i="16"/>
  <c r="D571" i="16"/>
  <c r="D315" i="16"/>
  <c r="D79" i="16"/>
  <c r="D563" i="16"/>
  <c r="D288" i="16"/>
  <c r="D696" i="16"/>
  <c r="D722" i="16"/>
  <c r="D136" i="16"/>
  <c r="D699" i="16"/>
  <c r="D302" i="16"/>
  <c r="D52" i="16"/>
  <c r="D317" i="16"/>
  <c r="D142" i="16"/>
  <c r="D670" i="16"/>
  <c r="D642" i="16"/>
  <c r="D660" i="16"/>
  <c r="D337" i="16"/>
  <c r="D51" i="16"/>
  <c r="D183" i="16"/>
  <c r="D718" i="16"/>
  <c r="D371" i="16"/>
  <c r="D616" i="16"/>
  <c r="D479" i="16"/>
  <c r="D185" i="16"/>
  <c r="D380" i="16"/>
  <c r="D515" i="16"/>
  <c r="D18" i="16"/>
  <c r="D92" i="16"/>
  <c r="D675" i="16"/>
  <c r="D549" i="16"/>
  <c r="D403" i="16"/>
  <c r="D87" i="16"/>
  <c r="D174" i="16"/>
  <c r="D557" i="16"/>
  <c r="D251" i="16"/>
  <c r="D157" i="16"/>
  <c r="D287" i="16"/>
  <c r="D680" i="16"/>
  <c r="D573" i="16"/>
  <c r="D32" i="16"/>
  <c r="D387" i="16"/>
  <c r="D39" i="16"/>
  <c r="D588" i="16"/>
  <c r="D69" i="16"/>
  <c r="D609" i="16"/>
  <c r="D468" i="16"/>
  <c r="D70" i="16"/>
  <c r="D553" i="16"/>
  <c r="D434" i="16"/>
  <c r="D282" i="16"/>
  <c r="D202" i="16"/>
  <c r="D333" i="16"/>
  <c r="D248" i="16"/>
  <c r="D300" i="16"/>
  <c r="D697" i="16"/>
  <c r="D625" i="16"/>
  <c r="D215" i="16"/>
  <c r="D325" i="16"/>
  <c r="D213" i="16"/>
  <c r="D201" i="16"/>
  <c r="D629" i="16"/>
  <c r="D384" i="16"/>
  <c r="D297" i="16"/>
  <c r="D97" i="16"/>
  <c r="D430" i="16"/>
  <c r="D182" i="16"/>
  <c r="D495" i="16"/>
  <c r="D695" i="16"/>
  <c r="D10" i="16"/>
  <c r="D60" i="16"/>
  <c r="D17" i="16"/>
  <c r="D36" i="16"/>
  <c r="D591" i="16"/>
  <c r="D708" i="16"/>
  <c r="D446" i="16"/>
  <c r="D308" i="16"/>
  <c r="D56" i="16"/>
  <c r="D98" i="16"/>
  <c r="D354" i="16"/>
  <c r="D310" i="16"/>
  <c r="D14" i="16"/>
  <c r="D674" i="16"/>
  <c r="D369" i="16"/>
  <c r="D221" i="16"/>
  <c r="D404" i="16"/>
  <c r="D623" i="16"/>
  <c r="D643" i="16"/>
  <c r="D75" i="16"/>
  <c r="D432" i="16"/>
  <c r="D611" i="16"/>
  <c r="D439" i="16"/>
  <c r="D525" i="16"/>
  <c r="D276" i="16"/>
  <c r="D418" i="16"/>
  <c r="D715" i="16"/>
  <c r="D95" i="16"/>
  <c r="D256" i="16"/>
  <c r="D26" i="16"/>
  <c r="D586" i="16"/>
  <c r="D115" i="16"/>
  <c r="D546" i="16"/>
  <c r="D721" i="16"/>
  <c r="D719" i="16"/>
  <c r="D156" i="16"/>
  <c r="D44" i="16"/>
  <c r="D375" i="16"/>
  <c r="D25" i="16"/>
  <c r="D612" i="16"/>
  <c r="D149" i="16"/>
  <c r="D81" i="16"/>
  <c r="D342" i="16"/>
  <c r="D521" i="16"/>
  <c r="D207" i="16"/>
  <c r="D713" i="16"/>
  <c r="D671" i="16"/>
  <c r="D135" i="16"/>
  <c r="D428" i="16"/>
  <c r="D16" i="16"/>
  <c r="D720" i="16"/>
  <c r="D396" i="16"/>
  <c r="D435" i="16"/>
  <c r="D29" i="16"/>
  <c r="D692" i="16"/>
  <c r="D144" i="16"/>
  <c r="D684" i="16"/>
  <c r="D501" i="16"/>
  <c r="D383" i="16"/>
  <c r="D20" i="16"/>
  <c r="D21" i="16"/>
  <c r="D687" i="16"/>
  <c r="D326" i="16"/>
  <c r="D59" i="16"/>
  <c r="D238" i="16"/>
  <c r="D53" i="16"/>
  <c r="D13" i="16"/>
  <c r="D199" i="16"/>
  <c r="D240" i="16"/>
  <c r="D633" i="16"/>
  <c r="D170" i="16"/>
  <c r="D618" i="16"/>
  <c r="D706" i="16"/>
  <c r="D701" i="16"/>
  <c r="D397" i="16"/>
  <c r="D35" i="16"/>
  <c r="D72" i="16"/>
  <c r="D382" i="16"/>
  <c r="D405" i="16"/>
  <c r="D166" i="16"/>
  <c r="D332" i="16"/>
  <c r="D12" i="16"/>
  <c r="D724" i="16"/>
  <c r="D568" i="16"/>
  <c r="D689" i="16"/>
  <c r="D657" i="16"/>
  <c r="D614" i="16"/>
  <c r="D196" i="16"/>
  <c r="D716" i="16"/>
  <c r="D47" i="16"/>
  <c r="D703" i="16"/>
  <c r="D672" i="16"/>
  <c r="D555" i="16"/>
  <c r="D193" i="16"/>
  <c r="D113" i="16"/>
  <c r="D620" i="16"/>
  <c r="D705" i="16"/>
  <c r="D531" i="16"/>
  <c r="D669" i="16"/>
  <c r="D579" i="16"/>
  <c r="D688" i="16"/>
  <c r="D607" i="16"/>
  <c r="D108" i="16"/>
  <c r="D176" i="16"/>
  <c r="D119" i="16"/>
  <c r="D237" i="16"/>
  <c r="D321" i="16"/>
  <c r="D632" i="16"/>
  <c r="D19" i="16"/>
  <c r="D707" i="16"/>
  <c r="D610" i="16"/>
  <c r="D709" i="16"/>
  <c r="D203" i="16"/>
  <c r="D274" i="16"/>
  <c r="D243" i="16"/>
  <c r="D487" i="16"/>
  <c r="D395" i="16"/>
  <c r="D165" i="16"/>
  <c r="D646" i="16"/>
  <c r="D693" i="16"/>
  <c r="D191" i="16"/>
  <c r="D472" i="16"/>
  <c r="D279" i="16"/>
  <c r="D529" i="16"/>
  <c r="D578" i="16"/>
  <c r="D77" i="16"/>
  <c r="D361" i="16"/>
  <c r="F9" i="15"/>
  <c r="E45" i="14"/>
  <c r="E43" i="14"/>
  <c r="E42" i="14"/>
  <c r="F7" i="14"/>
  <c r="G7" i="14" s="1"/>
  <c r="H7" i="14" s="1"/>
  <c r="I7" i="14" s="1"/>
  <c r="J7" i="14" s="1"/>
  <c r="K7" i="14" s="1"/>
  <c r="E31" i="14"/>
  <c r="G15" i="14"/>
  <c r="H15" i="14" s="1"/>
  <c r="I15" i="14" s="1"/>
  <c r="J15" i="14" s="1"/>
  <c r="K15" i="14" s="1"/>
  <c r="G11" i="14"/>
  <c r="H11" i="14" s="1"/>
  <c r="I11" i="14" s="1"/>
  <c r="J11" i="14" s="1"/>
  <c r="K11" i="14" s="1"/>
  <c r="G46" i="13"/>
  <c r="H46" i="13"/>
  <c r="I46" i="13"/>
  <c r="J46" i="13"/>
  <c r="K46" i="13"/>
  <c r="G36" i="13"/>
  <c r="H36" i="13"/>
  <c r="I36" i="13"/>
  <c r="J36" i="13"/>
  <c r="K36" i="13"/>
  <c r="K33" i="13"/>
  <c r="J33" i="13"/>
  <c r="I33" i="13"/>
  <c r="H33" i="13"/>
  <c r="G33" i="13"/>
  <c r="K32" i="13"/>
  <c r="J32" i="13"/>
  <c r="I32" i="13"/>
  <c r="H32" i="13"/>
  <c r="G32" i="13"/>
  <c r="K31" i="13"/>
  <c r="J31" i="13"/>
  <c r="I31" i="13"/>
  <c r="H31" i="13"/>
  <c r="G31" i="13"/>
  <c r="K30" i="13"/>
  <c r="J30" i="13"/>
  <c r="I30" i="13"/>
  <c r="H30" i="13"/>
  <c r="G30" i="13"/>
  <c r="K29" i="13"/>
  <c r="J29" i="13"/>
  <c r="I29" i="13"/>
  <c r="H29" i="13"/>
  <c r="G29" i="13"/>
  <c r="K28" i="13"/>
  <c r="J28" i="13"/>
  <c r="I28" i="13"/>
  <c r="H28" i="13"/>
  <c r="G28" i="13"/>
  <c r="K27" i="13"/>
  <c r="J27" i="13"/>
  <c r="I27" i="13"/>
  <c r="H27" i="13"/>
  <c r="G27" i="13"/>
  <c r="K26" i="13"/>
  <c r="J26" i="13"/>
  <c r="I26" i="13"/>
  <c r="H26" i="13"/>
  <c r="G26" i="13"/>
  <c r="K25" i="13"/>
  <c r="J25" i="13"/>
  <c r="I25" i="13"/>
  <c r="H25" i="13"/>
  <c r="G25" i="13"/>
  <c r="J24" i="13"/>
  <c r="I24" i="13"/>
  <c r="H24" i="13"/>
  <c r="G24" i="13"/>
  <c r="K24" i="13"/>
  <c r="B32" i="13"/>
  <c r="B33" i="13"/>
  <c r="B25" i="13"/>
  <c r="B26" i="13"/>
  <c r="B27" i="13"/>
  <c r="B28" i="13"/>
  <c r="B29" i="13"/>
  <c r="B30" i="13"/>
  <c r="B31" i="13"/>
  <c r="B24" i="13"/>
  <c r="G16" i="13"/>
  <c r="H16" i="13"/>
  <c r="I16" i="13"/>
  <c r="J16" i="13"/>
  <c r="G17" i="13"/>
  <c r="H17" i="13"/>
  <c r="I17" i="13"/>
  <c r="J17" i="13"/>
  <c r="G18" i="13"/>
  <c r="H18" i="13"/>
  <c r="I18" i="13"/>
  <c r="J18" i="13"/>
  <c r="K17" i="13"/>
  <c r="K18" i="13"/>
  <c r="K16" i="13"/>
  <c r="B17" i="13"/>
  <c r="B18" i="13"/>
  <c r="B16" i="13"/>
  <c r="G12" i="13"/>
  <c r="H12" i="13"/>
  <c r="I12" i="13"/>
  <c r="J12" i="13"/>
  <c r="K12" i="13"/>
  <c r="B12" i="13"/>
  <c r="G10" i="13"/>
  <c r="H10" i="13"/>
  <c r="I10" i="13"/>
  <c r="J10" i="13"/>
  <c r="G11" i="13"/>
  <c r="H11" i="13"/>
  <c r="I11" i="13"/>
  <c r="J11" i="13"/>
  <c r="K11" i="13"/>
  <c r="K10" i="13"/>
  <c r="B11" i="13"/>
  <c r="B10" i="13"/>
  <c r="G7" i="13"/>
  <c r="G44" i="13" s="1"/>
  <c r="G60" i="13" s="1"/>
  <c r="H7" i="13"/>
  <c r="H44" i="13" s="1"/>
  <c r="H60" i="13" s="1"/>
  <c r="I7" i="13"/>
  <c r="I44" i="13" s="1"/>
  <c r="I60" i="13" s="1"/>
  <c r="J7" i="13"/>
  <c r="J44" i="13" s="1"/>
  <c r="J60" i="13" s="1"/>
  <c r="K7" i="13"/>
  <c r="K44" i="13" s="1"/>
  <c r="K60" i="13" s="1"/>
  <c r="N29" i="12"/>
  <c r="M29" i="12"/>
  <c r="L29" i="12"/>
  <c r="K29" i="12"/>
  <c r="J29" i="12"/>
  <c r="I29" i="12"/>
  <c r="H29" i="12"/>
  <c r="G29" i="12"/>
  <c r="F29" i="12"/>
  <c r="E29" i="12"/>
  <c r="D29" i="12"/>
  <c r="C29" i="12"/>
  <c r="E25" i="10"/>
  <c r="J26" i="10"/>
  <c r="C35" i="10"/>
  <c r="C34" i="10"/>
  <c r="N8" i="11"/>
  <c r="N7" i="11"/>
  <c r="N6" i="11"/>
  <c r="N5" i="11"/>
  <c r="V5" i="11"/>
  <c r="V6" i="11"/>
  <c r="V7" i="11"/>
  <c r="V8" i="11"/>
  <c r="V9" i="11"/>
  <c r="V10" i="11"/>
  <c r="V11" i="11"/>
  <c r="V12" i="11"/>
  <c r="V13" i="11"/>
  <c r="V14" i="11"/>
  <c r="V15" i="11"/>
  <c r="V16" i="11"/>
  <c r="V17" i="11"/>
  <c r="V18" i="11"/>
  <c r="V19" i="11"/>
  <c r="V20" i="11"/>
  <c r="V21" i="11"/>
  <c r="V22" i="11"/>
  <c r="V23" i="11"/>
  <c r="V24" i="11"/>
  <c r="V25" i="11"/>
  <c r="V26" i="11"/>
  <c r="V27" i="11"/>
  <c r="V28" i="11"/>
  <c r="V29" i="11"/>
  <c r="V30" i="11"/>
  <c r="V31" i="11"/>
  <c r="V32" i="11"/>
  <c r="V33" i="11"/>
  <c r="V34" i="11"/>
  <c r="V35" i="11"/>
  <c r="V36" i="11"/>
  <c r="V37" i="11"/>
  <c r="V38" i="11"/>
  <c r="V39" i="11"/>
  <c r="V40" i="11"/>
  <c r="V41" i="11"/>
  <c r="V42" i="11"/>
  <c r="V43" i="11"/>
  <c r="V44" i="11"/>
  <c r="V45" i="11"/>
  <c r="V46" i="11"/>
  <c r="V47" i="11"/>
  <c r="V48" i="11"/>
  <c r="V49" i="11"/>
  <c r="V50" i="11"/>
  <c r="V51" i="11"/>
  <c r="V52" i="11"/>
  <c r="V53" i="11"/>
  <c r="V54" i="11"/>
  <c r="V55" i="11"/>
  <c r="V56" i="11"/>
  <c r="V4" i="11"/>
  <c r="T5" i="11"/>
  <c r="T6" i="11"/>
  <c r="T7" i="11"/>
  <c r="T8" i="11"/>
  <c r="T9" i="11"/>
  <c r="T10" i="11"/>
  <c r="T11" i="11"/>
  <c r="T12" i="11"/>
  <c r="T13" i="11"/>
  <c r="T14" i="11"/>
  <c r="T15" i="11"/>
  <c r="T16" i="11"/>
  <c r="T17" i="11"/>
  <c r="T18" i="11"/>
  <c r="T19" i="11"/>
  <c r="T20" i="11"/>
  <c r="T21" i="11"/>
  <c r="T22" i="11"/>
  <c r="T23" i="11"/>
  <c r="T24" i="11"/>
  <c r="T25" i="11"/>
  <c r="T26" i="11"/>
  <c r="T27" i="11"/>
  <c r="T28" i="11"/>
  <c r="T29" i="11"/>
  <c r="T30" i="11"/>
  <c r="T31" i="11"/>
  <c r="T32" i="11"/>
  <c r="T33" i="11"/>
  <c r="T34" i="11"/>
  <c r="T35" i="11"/>
  <c r="T36" i="11"/>
  <c r="T37" i="11"/>
  <c r="T38" i="11"/>
  <c r="T39" i="11"/>
  <c r="T40" i="11"/>
  <c r="T41" i="11"/>
  <c r="T42" i="11"/>
  <c r="T43" i="11"/>
  <c r="T44" i="11"/>
  <c r="T45" i="11"/>
  <c r="T46" i="11"/>
  <c r="T47" i="11"/>
  <c r="T48" i="11"/>
  <c r="T49" i="11"/>
  <c r="T50" i="11"/>
  <c r="T51" i="11"/>
  <c r="T52" i="11"/>
  <c r="T53" i="11"/>
  <c r="T54" i="11"/>
  <c r="T55" i="11"/>
  <c r="T56" i="11"/>
  <c r="T4" i="11"/>
  <c r="R5" i="11"/>
  <c r="R6" i="11"/>
  <c r="R7" i="11"/>
  <c r="R8" i="11"/>
  <c r="R9" i="11"/>
  <c r="R10" i="11"/>
  <c r="R11" i="11"/>
  <c r="R12" i="11"/>
  <c r="R13" i="11"/>
  <c r="R14" i="11"/>
  <c r="R15" i="11"/>
  <c r="R16" i="11"/>
  <c r="R17" i="11"/>
  <c r="R18" i="11"/>
  <c r="R19" i="11"/>
  <c r="R20" i="11"/>
  <c r="R21" i="11"/>
  <c r="R22" i="11"/>
  <c r="R23" i="11"/>
  <c r="R24" i="11"/>
  <c r="R25" i="11"/>
  <c r="R26" i="11"/>
  <c r="R27" i="11"/>
  <c r="R28" i="11"/>
  <c r="R29" i="11"/>
  <c r="R30" i="11"/>
  <c r="R31" i="11"/>
  <c r="R32" i="11"/>
  <c r="R33" i="11"/>
  <c r="R34" i="11"/>
  <c r="R35" i="11"/>
  <c r="R36" i="11"/>
  <c r="R37" i="11"/>
  <c r="R38" i="11"/>
  <c r="R39" i="11"/>
  <c r="R40" i="11"/>
  <c r="R41" i="11"/>
  <c r="R42" i="11"/>
  <c r="R43" i="11"/>
  <c r="R44" i="11"/>
  <c r="R45" i="11"/>
  <c r="R46" i="11"/>
  <c r="R47" i="11"/>
  <c r="R48" i="11"/>
  <c r="R49" i="11"/>
  <c r="R50" i="11"/>
  <c r="R51" i="11"/>
  <c r="R52" i="11"/>
  <c r="R53" i="11"/>
  <c r="R54" i="11"/>
  <c r="R55" i="11"/>
  <c r="R56" i="11"/>
  <c r="R4" i="11"/>
  <c r="AB5" i="11"/>
  <c r="AB6" i="11"/>
  <c r="AB7" i="11"/>
  <c r="AB8" i="11"/>
  <c r="AB9" i="11"/>
  <c r="AB10" i="11"/>
  <c r="AB11" i="11"/>
  <c r="AB12" i="11"/>
  <c r="AB13" i="11"/>
  <c r="AB14" i="11"/>
  <c r="AB15" i="11"/>
  <c r="AB16" i="11"/>
  <c r="AB17" i="11"/>
  <c r="AB18" i="11"/>
  <c r="AB19" i="11"/>
  <c r="AB20" i="11"/>
  <c r="AB21" i="11"/>
  <c r="AB22" i="11"/>
  <c r="AB23" i="11"/>
  <c r="AB24" i="11"/>
  <c r="AB25" i="11"/>
  <c r="AB26" i="11"/>
  <c r="AB27" i="11"/>
  <c r="AB28" i="11"/>
  <c r="AB29" i="11"/>
  <c r="AB30" i="11"/>
  <c r="AB31" i="11"/>
  <c r="AB32" i="11"/>
  <c r="AB33" i="11"/>
  <c r="AB34" i="11"/>
  <c r="AB35" i="11"/>
  <c r="AB36" i="11"/>
  <c r="AB37" i="11"/>
  <c r="AB38" i="11"/>
  <c r="AB39" i="11"/>
  <c r="AB40" i="11"/>
  <c r="AB41" i="11"/>
  <c r="AB42" i="11"/>
  <c r="AB43" i="11"/>
  <c r="AB44" i="11"/>
  <c r="AB45" i="11"/>
  <c r="AB46" i="11"/>
  <c r="AB47" i="11"/>
  <c r="AB48" i="11"/>
  <c r="AB49" i="11"/>
  <c r="AB50" i="11"/>
  <c r="AB51" i="11"/>
  <c r="AB52" i="11"/>
  <c r="AB53" i="11"/>
  <c r="AB54" i="11"/>
  <c r="AB55" i="11"/>
  <c r="AB56" i="11"/>
  <c r="AB4" i="11"/>
  <c r="P5" i="11"/>
  <c r="P6" i="11"/>
  <c r="P7" i="11"/>
  <c r="P8" i="11"/>
  <c r="P9" i="11"/>
  <c r="P10" i="11"/>
  <c r="P11" i="11"/>
  <c r="P12" i="11"/>
  <c r="P13" i="11"/>
  <c r="P14" i="11"/>
  <c r="P15" i="11"/>
  <c r="P16" i="11"/>
  <c r="P17" i="11"/>
  <c r="P18" i="11"/>
  <c r="P19" i="11"/>
  <c r="P20" i="11"/>
  <c r="P21" i="11"/>
  <c r="P22" i="11"/>
  <c r="P23" i="11"/>
  <c r="P24" i="11"/>
  <c r="P25" i="11"/>
  <c r="P26" i="11"/>
  <c r="P27" i="11"/>
  <c r="P28" i="11"/>
  <c r="P29" i="11"/>
  <c r="P30" i="11"/>
  <c r="P31" i="11"/>
  <c r="P32" i="11"/>
  <c r="P33" i="11"/>
  <c r="P34" i="11"/>
  <c r="P35" i="11"/>
  <c r="P36" i="11"/>
  <c r="P37" i="11"/>
  <c r="P38" i="11"/>
  <c r="P39" i="11"/>
  <c r="P40" i="11"/>
  <c r="P41" i="11"/>
  <c r="P42" i="11"/>
  <c r="P43" i="11"/>
  <c r="P44" i="11"/>
  <c r="P45" i="11"/>
  <c r="P46" i="11"/>
  <c r="P47" i="11"/>
  <c r="P48" i="11"/>
  <c r="P49" i="11"/>
  <c r="P50" i="11"/>
  <c r="P51" i="11"/>
  <c r="P52" i="11"/>
  <c r="P53" i="11"/>
  <c r="P54" i="11"/>
  <c r="P55" i="11"/>
  <c r="P56" i="11"/>
  <c r="P4" i="11"/>
  <c r="X5" i="11"/>
  <c r="X6" i="11"/>
  <c r="X7" i="11"/>
  <c r="X8" i="11"/>
  <c r="X9" i="11"/>
  <c r="X10" i="11"/>
  <c r="X11" i="11"/>
  <c r="X12" i="11"/>
  <c r="X13" i="11"/>
  <c r="X14" i="11"/>
  <c r="X15" i="11"/>
  <c r="X16" i="11"/>
  <c r="X17" i="11"/>
  <c r="X18" i="11"/>
  <c r="X19" i="11"/>
  <c r="X20" i="11"/>
  <c r="X21" i="11"/>
  <c r="X22" i="11"/>
  <c r="X23" i="11"/>
  <c r="X24" i="11"/>
  <c r="X25" i="11"/>
  <c r="X26" i="11"/>
  <c r="X27" i="11"/>
  <c r="X28" i="11"/>
  <c r="X29" i="11"/>
  <c r="X30" i="11"/>
  <c r="X31" i="11"/>
  <c r="X32" i="11"/>
  <c r="X33" i="11"/>
  <c r="X34" i="11"/>
  <c r="X35" i="11"/>
  <c r="X36" i="11"/>
  <c r="X37" i="11"/>
  <c r="X38" i="11"/>
  <c r="X39" i="11"/>
  <c r="X40" i="11"/>
  <c r="X41" i="11"/>
  <c r="X42" i="11"/>
  <c r="X43" i="11"/>
  <c r="X44" i="11"/>
  <c r="X45" i="11"/>
  <c r="X46" i="11"/>
  <c r="X47" i="11"/>
  <c r="X48" i="11"/>
  <c r="X49" i="11"/>
  <c r="X50" i="11"/>
  <c r="X51" i="11"/>
  <c r="X52" i="11"/>
  <c r="X53" i="11"/>
  <c r="X54" i="11"/>
  <c r="X55" i="11"/>
  <c r="X56" i="11"/>
  <c r="X4" i="11"/>
  <c r="G15" i="10"/>
  <c r="J15" i="10" s="1"/>
  <c r="H15" i="10"/>
  <c r="I20" i="10"/>
  <c r="F20" i="10"/>
  <c r="E26" i="10" s="1"/>
  <c r="J35" i="10" s="1"/>
  <c r="F19" i="10"/>
  <c r="H17" i="10"/>
  <c r="G17" i="10"/>
  <c r="J17" i="10" s="1"/>
  <c r="H16" i="10"/>
  <c r="H13" i="10"/>
  <c r="H14" i="10"/>
  <c r="I19" i="10"/>
  <c r="O15" i="9"/>
  <c r="D13" i="9"/>
  <c r="G13" i="9"/>
  <c r="D14" i="9"/>
  <c r="G14" i="9"/>
  <c r="I19" i="13" l="1"/>
  <c r="H3002" i="16"/>
  <c r="H2993" i="16"/>
  <c r="H2984" i="16"/>
  <c r="H2975" i="16"/>
  <c r="H2966" i="16"/>
  <c r="H2956" i="16"/>
  <c r="H2947" i="16"/>
  <c r="H2938" i="16"/>
  <c r="H2929" i="16"/>
  <c r="H2916" i="16"/>
  <c r="H2905" i="16"/>
  <c r="H2891" i="16"/>
  <c r="H2880" i="16"/>
  <c r="H2866" i="16"/>
  <c r="H2852" i="16"/>
  <c r="H2841" i="16"/>
  <c r="H2827" i="16"/>
  <c r="H2816" i="16"/>
  <c r="H2802" i="16"/>
  <c r="H2788" i="16"/>
  <c r="H2777" i="16"/>
  <c r="H2763" i="16"/>
  <c r="H2748" i="16"/>
  <c r="H2732" i="16"/>
  <c r="H2716" i="16"/>
  <c r="H2698" i="16"/>
  <c r="H2675" i="16"/>
  <c r="H2652" i="16"/>
  <c r="H2627" i="16"/>
  <c r="H2586" i="16"/>
  <c r="H2522" i="16"/>
  <c r="H3001" i="16"/>
  <c r="H2992" i="16"/>
  <c r="H2983" i="16"/>
  <c r="H2974" i="16"/>
  <c r="H2964" i="16"/>
  <c r="H2955" i="16"/>
  <c r="H2946" i="16"/>
  <c r="H2937" i="16"/>
  <c r="H2928" i="16"/>
  <c r="H2915" i="16"/>
  <c r="H2904" i="16"/>
  <c r="H2890" i="16"/>
  <c r="H2876" i="16"/>
  <c r="H2865" i="16"/>
  <c r="H2851" i="16"/>
  <c r="H2840" i="16"/>
  <c r="H2826" i="16"/>
  <c r="H2812" i="16"/>
  <c r="H2801" i="16"/>
  <c r="H2787" i="16"/>
  <c r="H2776" i="16"/>
  <c r="H2762" i="16"/>
  <c r="H2747" i="16"/>
  <c r="H2731" i="16"/>
  <c r="H2715" i="16"/>
  <c r="H2692" i="16"/>
  <c r="H2674" i="16"/>
  <c r="H2651" i="16"/>
  <c r="H2626" i="16"/>
  <c r="H2578" i="16"/>
  <c r="H2514" i="16"/>
  <c r="H3000" i="16"/>
  <c r="H2991" i="16"/>
  <c r="H2982" i="16"/>
  <c r="H2972" i="16"/>
  <c r="H2963" i="16"/>
  <c r="H2954" i="16"/>
  <c r="H2945" i="16"/>
  <c r="H2936" i="16"/>
  <c r="H2926" i="16"/>
  <c r="H2914" i="16"/>
  <c r="H2900" i="16"/>
  <c r="H2889" i="16"/>
  <c r="H2875" i="16"/>
  <c r="H2864" i="16"/>
  <c r="H2850" i="16"/>
  <c r="H2836" i="16"/>
  <c r="H2825" i="16"/>
  <c r="H2811" i="16"/>
  <c r="H2800" i="16"/>
  <c r="H2786" i="16"/>
  <c r="H2772" i="16"/>
  <c r="H2761" i="16"/>
  <c r="H2746" i="16"/>
  <c r="H2730" i="16"/>
  <c r="H2714" i="16"/>
  <c r="H2691" i="16"/>
  <c r="H2668" i="16"/>
  <c r="H2650" i="16"/>
  <c r="H2619" i="16"/>
  <c r="H2570" i="16"/>
  <c r="H2506" i="16"/>
  <c r="H8" i="16"/>
  <c r="H2999" i="16"/>
  <c r="H2990" i="16"/>
  <c r="H2980" i="16"/>
  <c r="H2971" i="16"/>
  <c r="H2962" i="16"/>
  <c r="H2953" i="16"/>
  <c r="H2944" i="16"/>
  <c r="H2935" i="16"/>
  <c r="H2924" i="16"/>
  <c r="H2913" i="16"/>
  <c r="H2899" i="16"/>
  <c r="H2888" i="16"/>
  <c r="H2874" i="16"/>
  <c r="H2860" i="16"/>
  <c r="H2849" i="16"/>
  <c r="H2835" i="16"/>
  <c r="H2824" i="16"/>
  <c r="H2810" i="16"/>
  <c r="H2796" i="16"/>
  <c r="H2785" i="16"/>
  <c r="H2771" i="16"/>
  <c r="H2760" i="16"/>
  <c r="H2745" i="16"/>
  <c r="H2729" i="16"/>
  <c r="H2708" i="16"/>
  <c r="H2690" i="16"/>
  <c r="H2667" i="16"/>
  <c r="H2644" i="16"/>
  <c r="H2618" i="16"/>
  <c r="H2562" i="16"/>
  <c r="H2498" i="16"/>
  <c r="H3007" i="16"/>
  <c r="H2998" i="16"/>
  <c r="H2988" i="16"/>
  <c r="H2979" i="16"/>
  <c r="H2970" i="16"/>
  <c r="H2961" i="16"/>
  <c r="H2952" i="16"/>
  <c r="H2943" i="16"/>
  <c r="H2934" i="16"/>
  <c r="H2923" i="16"/>
  <c r="H2912" i="16"/>
  <c r="H2898" i="16"/>
  <c r="H2884" i="16"/>
  <c r="H2873" i="16"/>
  <c r="H2859" i="16"/>
  <c r="H2848" i="16"/>
  <c r="H2834" i="16"/>
  <c r="H2820" i="16"/>
  <c r="H2809" i="16"/>
  <c r="H2795" i="16"/>
  <c r="H2784" i="16"/>
  <c r="H2770" i="16"/>
  <c r="H2756" i="16"/>
  <c r="H2740" i="16"/>
  <c r="H2724" i="16"/>
  <c r="H2707" i="16"/>
  <c r="H2684" i="16"/>
  <c r="H2666" i="16"/>
  <c r="H2643" i="16"/>
  <c r="H2611" i="16"/>
  <c r="H2554" i="16"/>
  <c r="H2490" i="16"/>
  <c r="H3006" i="16"/>
  <c r="H2996" i="16"/>
  <c r="H2987" i="16"/>
  <c r="H2978" i="16"/>
  <c r="H2969" i="16"/>
  <c r="H2960" i="16"/>
  <c r="H2951" i="16"/>
  <c r="H2942" i="16"/>
  <c r="H2932" i="16"/>
  <c r="H2922" i="16"/>
  <c r="H2908" i="16"/>
  <c r="H2897" i="16"/>
  <c r="H2883" i="16"/>
  <c r="H2872" i="16"/>
  <c r="H2858" i="16"/>
  <c r="H2844" i="16"/>
  <c r="H2833" i="16"/>
  <c r="H2819" i="16"/>
  <c r="H2808" i="16"/>
  <c r="H2794" i="16"/>
  <c r="H2780" i="16"/>
  <c r="H2769" i="16"/>
  <c r="H2755" i="16"/>
  <c r="H2739" i="16"/>
  <c r="H2723" i="16"/>
  <c r="H2706" i="16"/>
  <c r="H2683" i="16"/>
  <c r="H2660" i="16"/>
  <c r="H2642" i="16"/>
  <c r="H2610" i="16"/>
  <c r="H2546" i="16"/>
  <c r="H2482" i="16"/>
  <c r="H3004" i="16"/>
  <c r="H2995" i="16"/>
  <c r="H2986" i="16"/>
  <c r="H2977" i="16"/>
  <c r="H2968" i="16"/>
  <c r="H2959" i="16"/>
  <c r="H2950" i="16"/>
  <c r="H2940" i="16"/>
  <c r="H2931" i="16"/>
  <c r="H2921" i="16"/>
  <c r="H2907" i="16"/>
  <c r="H2896" i="16"/>
  <c r="H2882" i="16"/>
  <c r="H2868" i="16"/>
  <c r="H2857" i="16"/>
  <c r="H2843" i="16"/>
  <c r="H2832" i="16"/>
  <c r="H2818" i="16"/>
  <c r="H2804" i="16"/>
  <c r="H2793" i="16"/>
  <c r="H2779" i="16"/>
  <c r="H2768" i="16"/>
  <c r="H2754" i="16"/>
  <c r="H2738" i="16"/>
  <c r="H2722" i="16"/>
  <c r="H2700" i="16"/>
  <c r="H2682" i="16"/>
  <c r="H2659" i="16"/>
  <c r="H2635" i="16"/>
  <c r="H2602" i="16"/>
  <c r="H2538" i="16"/>
  <c r="H9" i="16"/>
  <c r="H17" i="16"/>
  <c r="H25" i="16"/>
  <c r="H33" i="16"/>
  <c r="H41" i="16"/>
  <c r="H49" i="16"/>
  <c r="H57" i="16"/>
  <c r="H65" i="16"/>
  <c r="H73" i="16"/>
  <c r="H81" i="16"/>
  <c r="H89" i="16"/>
  <c r="H97" i="16"/>
  <c r="H105" i="16"/>
  <c r="H113" i="16"/>
  <c r="H121" i="16"/>
  <c r="H129" i="16"/>
  <c r="H137" i="16"/>
  <c r="H145" i="16"/>
  <c r="H153" i="16"/>
  <c r="H161" i="16"/>
  <c r="H169" i="16"/>
  <c r="H177" i="16"/>
  <c r="H185" i="16"/>
  <c r="H193" i="16"/>
  <c r="H201" i="16"/>
  <c r="H209" i="16"/>
  <c r="H217" i="16"/>
  <c r="H225" i="16"/>
  <c r="H233" i="16"/>
  <c r="H241" i="16"/>
  <c r="H249" i="16"/>
  <c r="H257" i="16"/>
  <c r="H265" i="16"/>
  <c r="H273" i="16"/>
  <c r="H281" i="16"/>
  <c r="H289" i="16"/>
  <c r="H297" i="16"/>
  <c r="H305" i="16"/>
  <c r="H313" i="16"/>
  <c r="H321" i="16"/>
  <c r="H329" i="16"/>
  <c r="H337" i="16"/>
  <c r="H345" i="16"/>
  <c r="H353" i="16"/>
  <c r="H361" i="16"/>
  <c r="H369" i="16"/>
  <c r="H377" i="16"/>
  <c r="H385" i="16"/>
  <c r="H393" i="16"/>
  <c r="H401" i="16"/>
  <c r="H409" i="16"/>
  <c r="H417" i="16"/>
  <c r="H425" i="16"/>
  <c r="H433" i="16"/>
  <c r="H441" i="16"/>
  <c r="H449" i="16"/>
  <c r="H457" i="16"/>
  <c r="H465" i="16"/>
  <c r="H473" i="16"/>
  <c r="H481" i="16"/>
  <c r="H489" i="16"/>
  <c r="H497" i="16"/>
  <c r="H505" i="16"/>
  <c r="H513" i="16"/>
  <c r="H521" i="16"/>
  <c r="H529" i="16"/>
  <c r="H537" i="16"/>
  <c r="H545" i="16"/>
  <c r="H553" i="16"/>
  <c r="H561" i="16"/>
  <c r="H569" i="16"/>
  <c r="H577" i="16"/>
  <c r="H585" i="16"/>
  <c r="H593" i="16"/>
  <c r="H601" i="16"/>
  <c r="H609" i="16"/>
  <c r="H617" i="16"/>
  <c r="H625" i="16"/>
  <c r="H633" i="16"/>
  <c r="H641" i="16"/>
  <c r="H649" i="16"/>
  <c r="H657" i="16"/>
  <c r="H665" i="16"/>
  <c r="H673" i="16"/>
  <c r="H681" i="16"/>
  <c r="H10" i="16"/>
  <c r="H18" i="16"/>
  <c r="H26" i="16"/>
  <c r="H34" i="16"/>
  <c r="H42" i="16"/>
  <c r="H50" i="16"/>
  <c r="H58" i="16"/>
  <c r="H66" i="16"/>
  <c r="H74" i="16"/>
  <c r="H82" i="16"/>
  <c r="H90" i="16"/>
  <c r="H98" i="16"/>
  <c r="H106" i="16"/>
  <c r="H114" i="16"/>
  <c r="H122" i="16"/>
  <c r="H130" i="16"/>
  <c r="H138" i="16"/>
  <c r="H146" i="16"/>
  <c r="H154" i="16"/>
  <c r="H162" i="16"/>
  <c r="H170" i="16"/>
  <c r="H178" i="16"/>
  <c r="H186" i="16"/>
  <c r="H194" i="16"/>
  <c r="H202" i="16"/>
  <c r="H210" i="16"/>
  <c r="H218" i="16"/>
  <c r="H226" i="16"/>
  <c r="H234" i="16"/>
  <c r="H242" i="16"/>
  <c r="H250" i="16"/>
  <c r="H258" i="16"/>
  <c r="H266" i="16"/>
  <c r="H274" i="16"/>
  <c r="H282" i="16"/>
  <c r="H290" i="16"/>
  <c r="H298" i="16"/>
  <c r="H306" i="16"/>
  <c r="H314" i="16"/>
  <c r="H322" i="16"/>
  <c r="H330" i="16"/>
  <c r="H338" i="16"/>
  <c r="H346" i="16"/>
  <c r="H354" i="16"/>
  <c r="H362" i="16"/>
  <c r="H370" i="16"/>
  <c r="H378" i="16"/>
  <c r="H386" i="16"/>
  <c r="H394" i="16"/>
  <c r="H402" i="16"/>
  <c r="H410" i="16"/>
  <c r="H418" i="16"/>
  <c r="H426" i="16"/>
  <c r="H434" i="16"/>
  <c r="H442" i="16"/>
  <c r="H450" i="16"/>
  <c r="H458" i="16"/>
  <c r="H466" i="16"/>
  <c r="H474" i="16"/>
  <c r="H482" i="16"/>
  <c r="H490" i="16"/>
  <c r="H498" i="16"/>
  <c r="H506" i="16"/>
  <c r="H514" i="16"/>
  <c r="H522" i="16"/>
  <c r="H530" i="16"/>
  <c r="H538" i="16"/>
  <c r="H546" i="16"/>
  <c r="H11" i="16"/>
  <c r="H12" i="16"/>
  <c r="H20" i="16"/>
  <c r="H28" i="16"/>
  <c r="H36" i="16"/>
  <c r="H44" i="16"/>
  <c r="H52" i="16"/>
  <c r="H60" i="16"/>
  <c r="H68" i="16"/>
  <c r="H76" i="16"/>
  <c r="H84" i="16"/>
  <c r="H92" i="16"/>
  <c r="H100" i="16"/>
  <c r="H108" i="16"/>
  <c r="H116" i="16"/>
  <c r="H124" i="16"/>
  <c r="H132" i="16"/>
  <c r="H140" i="16"/>
  <c r="H148" i="16"/>
  <c r="H156" i="16"/>
  <c r="H164" i="16"/>
  <c r="H172" i="16"/>
  <c r="H180" i="16"/>
  <c r="H188" i="16"/>
  <c r="H196" i="16"/>
  <c r="H204" i="16"/>
  <c r="H212" i="16"/>
  <c r="H220" i="16"/>
  <c r="H228" i="16"/>
  <c r="H236" i="16"/>
  <c r="H244" i="16"/>
  <c r="H252" i="16"/>
  <c r="H260" i="16"/>
  <c r="H268" i="16"/>
  <c r="H276" i="16"/>
  <c r="H284" i="16"/>
  <c r="H292" i="16"/>
  <c r="H300" i="16"/>
  <c r="H308" i="16"/>
  <c r="H316" i="16"/>
  <c r="H324" i="16"/>
  <c r="H332" i="16"/>
  <c r="H340" i="16"/>
  <c r="H348" i="16"/>
  <c r="H356" i="16"/>
  <c r="H364" i="16"/>
  <c r="H372" i="16"/>
  <c r="H380" i="16"/>
  <c r="H388" i="16"/>
  <c r="H396" i="16"/>
  <c r="H404" i="16"/>
  <c r="H412" i="16"/>
  <c r="H420" i="16"/>
  <c r="H428" i="16"/>
  <c r="H436" i="16"/>
  <c r="H444" i="16"/>
  <c r="H452" i="16"/>
  <c r="H460" i="16"/>
  <c r="H468" i="16"/>
  <c r="H476" i="16"/>
  <c r="H484" i="16"/>
  <c r="H492" i="16"/>
  <c r="H500" i="16"/>
  <c r="H508" i="16"/>
  <c r="H516" i="16"/>
  <c r="H524" i="16"/>
  <c r="H532" i="16"/>
  <c r="H540" i="16"/>
  <c r="H548" i="16"/>
  <c r="H556" i="16"/>
  <c r="H13" i="16"/>
  <c r="H21" i="16"/>
  <c r="H29" i="16"/>
  <c r="H37" i="16"/>
  <c r="H45" i="16"/>
  <c r="H53" i="16"/>
  <c r="H61" i="16"/>
  <c r="H69" i="16"/>
  <c r="H77" i="16"/>
  <c r="H85" i="16"/>
  <c r="H93" i="16"/>
  <c r="H101" i="16"/>
  <c r="H109" i="16"/>
  <c r="H117" i="16"/>
  <c r="H125" i="16"/>
  <c r="H133" i="16"/>
  <c r="H141" i="16"/>
  <c r="H149" i="16"/>
  <c r="H157" i="16"/>
  <c r="H165" i="16"/>
  <c r="H173" i="16"/>
  <c r="H181" i="16"/>
  <c r="H189" i="16"/>
  <c r="H197" i="16"/>
  <c r="H205" i="16"/>
  <c r="H213" i="16"/>
  <c r="H221" i="16"/>
  <c r="H229" i="16"/>
  <c r="H237" i="16"/>
  <c r="H245" i="16"/>
  <c r="H253" i="16"/>
  <c r="H261" i="16"/>
  <c r="H269" i="16"/>
  <c r="H277" i="16"/>
  <c r="H285" i="16"/>
  <c r="H293" i="16"/>
  <c r="H301" i="16"/>
  <c r="H309" i="16"/>
  <c r="H317" i="16"/>
  <c r="H325" i="16"/>
  <c r="H333" i="16"/>
  <c r="H341" i="16"/>
  <c r="H349" i="16"/>
  <c r="H357" i="16"/>
  <c r="H365" i="16"/>
  <c r="H373" i="16"/>
  <c r="H381" i="16"/>
  <c r="H389" i="16"/>
  <c r="H397" i="16"/>
  <c r="H405" i="16"/>
  <c r="H413" i="16"/>
  <c r="H421" i="16"/>
  <c r="H429" i="16"/>
  <c r="H437" i="16"/>
  <c r="H445" i="16"/>
  <c r="H453" i="16"/>
  <c r="H461" i="16"/>
  <c r="H469" i="16"/>
  <c r="H477" i="16"/>
  <c r="H485" i="16"/>
  <c r="H493" i="16"/>
  <c r="H501" i="16"/>
  <c r="H509" i="16"/>
  <c r="H517" i="16"/>
  <c r="H525" i="16"/>
  <c r="H533" i="16"/>
  <c r="H541" i="16"/>
  <c r="H549" i="16"/>
  <c r="H557" i="16"/>
  <c r="H565" i="16"/>
  <c r="H573" i="16"/>
  <c r="H14" i="16"/>
  <c r="H22" i="16"/>
  <c r="H30" i="16"/>
  <c r="H38" i="16"/>
  <c r="H46" i="16"/>
  <c r="H54" i="16"/>
  <c r="H62" i="16"/>
  <c r="H70" i="16"/>
  <c r="H78" i="16"/>
  <c r="H86" i="16"/>
  <c r="H94" i="16"/>
  <c r="H102" i="16"/>
  <c r="H110" i="16"/>
  <c r="H118" i="16"/>
  <c r="H126" i="16"/>
  <c r="H134" i="16"/>
  <c r="H142" i="16"/>
  <c r="H150" i="16"/>
  <c r="H158" i="16"/>
  <c r="H166" i="16"/>
  <c r="H174" i="16"/>
  <c r="H182" i="16"/>
  <c r="H190" i="16"/>
  <c r="H198" i="16"/>
  <c r="H206" i="16"/>
  <c r="H214" i="16"/>
  <c r="H222" i="16"/>
  <c r="H230" i="16"/>
  <c r="H238" i="16"/>
  <c r="H246" i="16"/>
  <c r="H254" i="16"/>
  <c r="H262" i="16"/>
  <c r="H270" i="16"/>
  <c r="H278" i="16"/>
  <c r="H286" i="16"/>
  <c r="H294" i="16"/>
  <c r="H302" i="16"/>
  <c r="H310" i="16"/>
  <c r="H318" i="16"/>
  <c r="H326" i="16"/>
  <c r="H334" i="16"/>
  <c r="H342" i="16"/>
  <c r="H350" i="16"/>
  <c r="H358" i="16"/>
  <c r="H366" i="16"/>
  <c r="H374" i="16"/>
  <c r="H382" i="16"/>
  <c r="H390" i="16"/>
  <c r="H398" i="16"/>
  <c r="H406" i="16"/>
  <c r="H414" i="16"/>
  <c r="H15" i="16"/>
  <c r="H16" i="16"/>
  <c r="H19" i="16"/>
  <c r="H40" i="16"/>
  <c r="H63" i="16"/>
  <c r="H83" i="16"/>
  <c r="H104" i="16"/>
  <c r="H127" i="16"/>
  <c r="H147" i="16"/>
  <c r="H168" i="16"/>
  <c r="H191" i="16"/>
  <c r="H211" i="16"/>
  <c r="H232" i="16"/>
  <c r="H255" i="16"/>
  <c r="H275" i="16"/>
  <c r="H296" i="16"/>
  <c r="H319" i="16"/>
  <c r="H339" i="16"/>
  <c r="H360" i="16"/>
  <c r="H383" i="16"/>
  <c r="H403" i="16"/>
  <c r="H423" i="16"/>
  <c r="H439" i="16"/>
  <c r="H455" i="16"/>
  <c r="H471" i="16"/>
  <c r="H487" i="16"/>
  <c r="H503" i="16"/>
  <c r="H519" i="16"/>
  <c r="H535" i="16"/>
  <c r="H551" i="16"/>
  <c r="H563" i="16"/>
  <c r="H574" i="16"/>
  <c r="H583" i="16"/>
  <c r="H592" i="16"/>
  <c r="H602" i="16"/>
  <c r="H611" i="16"/>
  <c r="H620" i="16"/>
  <c r="H629" i="16"/>
  <c r="H638" i="16"/>
  <c r="H647" i="16"/>
  <c r="H656" i="16"/>
  <c r="H666" i="16"/>
  <c r="H675" i="16"/>
  <c r="H684" i="16"/>
  <c r="H692" i="16"/>
  <c r="H700" i="16"/>
  <c r="H708" i="16"/>
  <c r="H716" i="16"/>
  <c r="H724" i="16"/>
  <c r="H732" i="16"/>
  <c r="H740" i="16"/>
  <c r="H748" i="16"/>
  <c r="H756" i="16"/>
  <c r="H764" i="16"/>
  <c r="H772" i="16"/>
  <c r="H780" i="16"/>
  <c r="H788" i="16"/>
  <c r="H796" i="16"/>
  <c r="H804" i="16"/>
  <c r="H812" i="16"/>
  <c r="H820" i="16"/>
  <c r="H828" i="16"/>
  <c r="H836" i="16"/>
  <c r="H844" i="16"/>
  <c r="H852" i="16"/>
  <c r="H860" i="16"/>
  <c r="H868" i="16"/>
  <c r="H876" i="16"/>
  <c r="H884" i="16"/>
  <c r="H892" i="16"/>
  <c r="H900" i="16"/>
  <c r="H908" i="16"/>
  <c r="H916" i="16"/>
  <c r="H924" i="16"/>
  <c r="H932" i="16"/>
  <c r="H940" i="16"/>
  <c r="H948" i="16"/>
  <c r="H956" i="16"/>
  <c r="H964" i="16"/>
  <c r="H972" i="16"/>
  <c r="H980" i="16"/>
  <c r="H988" i="16"/>
  <c r="H996" i="16"/>
  <c r="H1004" i="16"/>
  <c r="H1012" i="16"/>
  <c r="H1020" i="16"/>
  <c r="H1028" i="16"/>
  <c r="H1036" i="16"/>
  <c r="H1044" i="16"/>
  <c r="H1052" i="16"/>
  <c r="H1060" i="16"/>
  <c r="H1068" i="16"/>
  <c r="H1076" i="16"/>
  <c r="H23" i="16"/>
  <c r="H43" i="16"/>
  <c r="H64" i="16"/>
  <c r="H87" i="16"/>
  <c r="H107" i="16"/>
  <c r="H128" i="16"/>
  <c r="H151" i="16"/>
  <c r="H171" i="16"/>
  <c r="H192" i="16"/>
  <c r="H215" i="16"/>
  <c r="H235" i="16"/>
  <c r="H256" i="16"/>
  <c r="H279" i="16"/>
  <c r="H299" i="16"/>
  <c r="H320" i="16"/>
  <c r="H343" i="16"/>
  <c r="H363" i="16"/>
  <c r="H384" i="16"/>
  <c r="H407" i="16"/>
  <c r="H424" i="16"/>
  <c r="H440" i="16"/>
  <c r="H456" i="16"/>
  <c r="H472" i="16"/>
  <c r="H488" i="16"/>
  <c r="H504" i="16"/>
  <c r="H520" i="16"/>
  <c r="H536" i="16"/>
  <c r="H552" i="16"/>
  <c r="H564" i="16"/>
  <c r="H575" i="16"/>
  <c r="H584" i="16"/>
  <c r="H594" i="16"/>
  <c r="H603" i="16"/>
  <c r="H612" i="16"/>
  <c r="H621" i="16"/>
  <c r="H630" i="16"/>
  <c r="H639" i="16"/>
  <c r="H648" i="16"/>
  <c r="H658" i="16"/>
  <c r="H667" i="16"/>
  <c r="H676" i="16"/>
  <c r="H685" i="16"/>
  <c r="H693" i="16"/>
  <c r="H701" i="16"/>
  <c r="H709" i="16"/>
  <c r="H717" i="16"/>
  <c r="H725" i="16"/>
  <c r="H733" i="16"/>
  <c r="H741" i="16"/>
  <c r="H749" i="16"/>
  <c r="H757" i="16"/>
  <c r="H765" i="16"/>
  <c r="H773" i="16"/>
  <c r="H781" i="16"/>
  <c r="H789" i="16"/>
  <c r="H797" i="16"/>
  <c r="H805" i="16"/>
  <c r="H813" i="16"/>
  <c r="H821" i="16"/>
  <c r="H829" i="16"/>
  <c r="H837" i="16"/>
  <c r="H845" i="16"/>
  <c r="H853" i="16"/>
  <c r="H861" i="16"/>
  <c r="H869" i="16"/>
  <c r="H877" i="16"/>
  <c r="H885" i="16"/>
  <c r="H893" i="16"/>
  <c r="H901" i="16"/>
  <c r="H909" i="16"/>
  <c r="H917" i="16"/>
  <c r="H925" i="16"/>
  <c r="H933" i="16"/>
  <c r="H941" i="16"/>
  <c r="H949" i="16"/>
  <c r="H957" i="16"/>
  <c r="H965" i="16"/>
  <c r="H973" i="16"/>
  <c r="H981" i="16"/>
  <c r="H989" i="16"/>
  <c r="H997" i="16"/>
  <c r="H1005" i="16"/>
  <c r="H1013" i="16"/>
  <c r="H1021" i="16"/>
  <c r="H1029" i="16"/>
  <c r="H24" i="16"/>
  <c r="H47" i="16"/>
  <c r="H67" i="16"/>
  <c r="H88" i="16"/>
  <c r="H111" i="16"/>
  <c r="H131" i="16"/>
  <c r="H152" i="16"/>
  <c r="H175" i="16"/>
  <c r="H195" i="16"/>
  <c r="H216" i="16"/>
  <c r="H239" i="16"/>
  <c r="H259" i="16"/>
  <c r="H280" i="16"/>
  <c r="H303" i="16"/>
  <c r="H323" i="16"/>
  <c r="H344" i="16"/>
  <c r="H367" i="16"/>
  <c r="H387" i="16"/>
  <c r="H408" i="16"/>
  <c r="H427" i="16"/>
  <c r="H443" i="16"/>
  <c r="H459" i="16"/>
  <c r="H475" i="16"/>
  <c r="H491" i="16"/>
  <c r="H507" i="16"/>
  <c r="H523" i="16"/>
  <c r="H539" i="16"/>
  <c r="H554" i="16"/>
  <c r="H566" i="16"/>
  <c r="H576" i="16"/>
  <c r="H586" i="16"/>
  <c r="H595" i="16"/>
  <c r="H604" i="16"/>
  <c r="H613" i="16"/>
  <c r="H622" i="16"/>
  <c r="H631" i="16"/>
  <c r="H640" i="16"/>
  <c r="H650" i="16"/>
  <c r="H659" i="16"/>
  <c r="H668" i="16"/>
  <c r="H677" i="16"/>
  <c r="H686" i="16"/>
  <c r="H694" i="16"/>
  <c r="H702" i="16"/>
  <c r="H710" i="16"/>
  <c r="H718" i="16"/>
  <c r="H726" i="16"/>
  <c r="H734" i="16"/>
  <c r="H742" i="16"/>
  <c r="H750" i="16"/>
  <c r="H758" i="16"/>
  <c r="H766" i="16"/>
  <c r="H774" i="16"/>
  <c r="H782" i="16"/>
  <c r="H790" i="16"/>
  <c r="H798" i="16"/>
  <c r="H806" i="16"/>
  <c r="H814" i="16"/>
  <c r="H822" i="16"/>
  <c r="H830" i="16"/>
  <c r="H838" i="16"/>
  <c r="H846" i="16"/>
  <c r="H854" i="16"/>
  <c r="H862" i="16"/>
  <c r="H870" i="16"/>
  <c r="H878" i="16"/>
  <c r="H886" i="16"/>
  <c r="H894" i="16"/>
  <c r="H902" i="16"/>
  <c r="H910" i="16"/>
  <c r="H918" i="16"/>
  <c r="H926" i="16"/>
  <c r="H934" i="16"/>
  <c r="H942" i="16"/>
  <c r="H950" i="16"/>
  <c r="H958" i="16"/>
  <c r="H966" i="16"/>
  <c r="H974" i="16"/>
  <c r="H982" i="16"/>
  <c r="H990" i="16"/>
  <c r="H998" i="16"/>
  <c r="H1006" i="16"/>
  <c r="H27" i="16"/>
  <c r="H48" i="16"/>
  <c r="H71" i="16"/>
  <c r="H91" i="16"/>
  <c r="H112" i="16"/>
  <c r="H135" i="16"/>
  <c r="H155" i="16"/>
  <c r="H176" i="16"/>
  <c r="H199" i="16"/>
  <c r="H219" i="16"/>
  <c r="H240" i="16"/>
  <c r="H263" i="16"/>
  <c r="H283" i="16"/>
  <c r="H304" i="16"/>
  <c r="H327" i="16"/>
  <c r="H347" i="16"/>
  <c r="H368" i="16"/>
  <c r="H391" i="16"/>
  <c r="H411" i="16"/>
  <c r="H430" i="16"/>
  <c r="H446" i="16"/>
  <c r="H462" i="16"/>
  <c r="H478" i="16"/>
  <c r="H494" i="16"/>
  <c r="H510" i="16"/>
  <c r="H526" i="16"/>
  <c r="H542" i="16"/>
  <c r="H555" i="16"/>
  <c r="H567" i="16"/>
  <c r="H578" i="16"/>
  <c r="H587" i="16"/>
  <c r="H596" i="16"/>
  <c r="H605" i="16"/>
  <c r="H614" i="16"/>
  <c r="H623" i="16"/>
  <c r="H632" i="16"/>
  <c r="H642" i="16"/>
  <c r="H651" i="16"/>
  <c r="H660" i="16"/>
  <c r="H669" i="16"/>
  <c r="H678" i="16"/>
  <c r="H687" i="16"/>
  <c r="H695" i="16"/>
  <c r="H703" i="16"/>
  <c r="H711" i="16"/>
  <c r="H719" i="16"/>
  <c r="H727" i="16"/>
  <c r="H735" i="16"/>
  <c r="H743" i="16"/>
  <c r="H751" i="16"/>
  <c r="H759" i="16"/>
  <c r="H767" i="16"/>
  <c r="H775" i="16"/>
  <c r="H783" i="16"/>
  <c r="H791" i="16"/>
  <c r="H799" i="16"/>
  <c r="H807" i="16"/>
  <c r="H815" i="16"/>
  <c r="H823" i="16"/>
  <c r="H831" i="16"/>
  <c r="H31" i="16"/>
  <c r="H51" i="16"/>
  <c r="H72" i="16"/>
  <c r="H95" i="16"/>
  <c r="H115" i="16"/>
  <c r="H136" i="16"/>
  <c r="H159" i="16"/>
  <c r="H179" i="16"/>
  <c r="H200" i="16"/>
  <c r="H223" i="16"/>
  <c r="H243" i="16"/>
  <c r="H264" i="16"/>
  <c r="H287" i="16"/>
  <c r="H307" i="16"/>
  <c r="H328" i="16"/>
  <c r="H351" i="16"/>
  <c r="H371" i="16"/>
  <c r="H392" i="16"/>
  <c r="H415" i="16"/>
  <c r="H431" i="16"/>
  <c r="H447" i="16"/>
  <c r="H463" i="16"/>
  <c r="H479" i="16"/>
  <c r="H495" i="16"/>
  <c r="H511" i="16"/>
  <c r="H527" i="16"/>
  <c r="H543" i="16"/>
  <c r="H558" i="16"/>
  <c r="H568" i="16"/>
  <c r="H579" i="16"/>
  <c r="H588" i="16"/>
  <c r="H597" i="16"/>
  <c r="H606" i="16"/>
  <c r="H615" i="16"/>
  <c r="H624" i="16"/>
  <c r="H634" i="16"/>
  <c r="H643" i="16"/>
  <c r="H652" i="16"/>
  <c r="H661" i="16"/>
  <c r="H670" i="16"/>
  <c r="H679" i="16"/>
  <c r="H688" i="16"/>
  <c r="H696" i="16"/>
  <c r="H704" i="16"/>
  <c r="H712" i="16"/>
  <c r="H720" i="16"/>
  <c r="H728" i="16"/>
  <c r="H736" i="16"/>
  <c r="H744" i="16"/>
  <c r="H752" i="16"/>
  <c r="H760" i="16"/>
  <c r="H768" i="16"/>
  <c r="H776" i="16"/>
  <c r="H784" i="16"/>
  <c r="H792" i="16"/>
  <c r="H800" i="16"/>
  <c r="H808" i="16"/>
  <c r="H816" i="16"/>
  <c r="H824" i="16"/>
  <c r="H832" i="16"/>
  <c r="H840" i="16"/>
  <c r="H32" i="16"/>
  <c r="H55" i="16"/>
  <c r="H75" i="16"/>
  <c r="H96" i="16"/>
  <c r="H119" i="16"/>
  <c r="H139" i="16"/>
  <c r="H160" i="16"/>
  <c r="H183" i="16"/>
  <c r="H203" i="16"/>
  <c r="H224" i="16"/>
  <c r="H247" i="16"/>
  <c r="H267" i="16"/>
  <c r="H288" i="16"/>
  <c r="H311" i="16"/>
  <c r="H331" i="16"/>
  <c r="H352" i="16"/>
  <c r="H375" i="16"/>
  <c r="H395" i="16"/>
  <c r="H416" i="16"/>
  <c r="H432" i="16"/>
  <c r="H448" i="16"/>
  <c r="H464" i="16"/>
  <c r="H480" i="16"/>
  <c r="H496" i="16"/>
  <c r="H512" i="16"/>
  <c r="H528" i="16"/>
  <c r="H544" i="16"/>
  <c r="H559" i="16"/>
  <c r="H570" i="16"/>
  <c r="H580" i="16"/>
  <c r="H589" i="16"/>
  <c r="H598" i="16"/>
  <c r="H607" i="16"/>
  <c r="H616" i="16"/>
  <c r="H626" i="16"/>
  <c r="H635" i="16"/>
  <c r="H644" i="16"/>
  <c r="H653" i="16"/>
  <c r="H662" i="16"/>
  <c r="H671" i="16"/>
  <c r="H680" i="16"/>
  <c r="H689" i="16"/>
  <c r="H697" i="16"/>
  <c r="H705" i="16"/>
  <c r="H713" i="16"/>
  <c r="H721" i="16"/>
  <c r="H729" i="16"/>
  <c r="H737" i="16"/>
  <c r="H745" i="16"/>
  <c r="H753" i="16"/>
  <c r="H761" i="16"/>
  <c r="H769" i="16"/>
  <c r="H777" i="16"/>
  <c r="H785" i="16"/>
  <c r="H793" i="16"/>
  <c r="H35" i="16"/>
  <c r="H56" i="16"/>
  <c r="H79" i="16"/>
  <c r="H99" i="16"/>
  <c r="H120" i="16"/>
  <c r="H143" i="16"/>
  <c r="H163" i="16"/>
  <c r="H184" i="16"/>
  <c r="H207" i="16"/>
  <c r="H227" i="16"/>
  <c r="H248" i="16"/>
  <c r="H271" i="16"/>
  <c r="H291" i="16"/>
  <c r="H312" i="16"/>
  <c r="H335" i="16"/>
  <c r="H355" i="16"/>
  <c r="H376" i="16"/>
  <c r="H399" i="16"/>
  <c r="H419" i="16"/>
  <c r="H435" i="16"/>
  <c r="H451" i="16"/>
  <c r="H467" i="16"/>
  <c r="H483" i="16"/>
  <c r="H499" i="16"/>
  <c r="H515" i="16"/>
  <c r="H531" i="16"/>
  <c r="H547" i="16"/>
  <c r="H560" i="16"/>
  <c r="H571" i="16"/>
  <c r="H581" i="16"/>
  <c r="H590" i="16"/>
  <c r="H599" i="16"/>
  <c r="H608" i="16"/>
  <c r="H618" i="16"/>
  <c r="H627" i="16"/>
  <c r="H636" i="16"/>
  <c r="H645" i="16"/>
  <c r="H654" i="16"/>
  <c r="H663" i="16"/>
  <c r="H672" i="16"/>
  <c r="H682" i="16"/>
  <c r="H690" i="16"/>
  <c r="H698" i="16"/>
  <c r="H706" i="16"/>
  <c r="H714" i="16"/>
  <c r="H722" i="16"/>
  <c r="H730" i="16"/>
  <c r="H738" i="16"/>
  <c r="H746" i="16"/>
  <c r="H39" i="16"/>
  <c r="H59" i="16"/>
  <c r="H80" i="16"/>
  <c r="H103" i="16"/>
  <c r="H123" i="16"/>
  <c r="H144" i="16"/>
  <c r="H167" i="16"/>
  <c r="H187" i="16"/>
  <c r="H208" i="16"/>
  <c r="H231" i="16"/>
  <c r="H251" i="16"/>
  <c r="H272" i="16"/>
  <c r="H295" i="16"/>
  <c r="H315" i="16"/>
  <c r="H336" i="16"/>
  <c r="H359" i="16"/>
  <c r="H379" i="16"/>
  <c r="H400" i="16"/>
  <c r="H422" i="16"/>
  <c r="H438" i="16"/>
  <c r="H454" i="16"/>
  <c r="H470" i="16"/>
  <c r="H486" i="16"/>
  <c r="H502" i="16"/>
  <c r="H518" i="16"/>
  <c r="H534" i="16"/>
  <c r="H550" i="16"/>
  <c r="H562" i="16"/>
  <c r="H572" i="16"/>
  <c r="H582" i="16"/>
  <c r="H591" i="16"/>
  <c r="H600" i="16"/>
  <c r="H610" i="16"/>
  <c r="H619" i="16"/>
  <c r="H628" i="16"/>
  <c r="H637" i="16"/>
  <c r="H646" i="16"/>
  <c r="H655" i="16"/>
  <c r="H664" i="16"/>
  <c r="H674" i="16"/>
  <c r="H683" i="16"/>
  <c r="H691" i="16"/>
  <c r="H699" i="16"/>
  <c r="H707" i="16"/>
  <c r="H715" i="16"/>
  <c r="H723" i="16"/>
  <c r="H731" i="16"/>
  <c r="H739" i="16"/>
  <c r="H747" i="16"/>
  <c r="H755" i="16"/>
  <c r="H763" i="16"/>
  <c r="H771" i="16"/>
  <c r="H779" i="16"/>
  <c r="H787" i="16"/>
  <c r="H795" i="16"/>
  <c r="H754" i="16"/>
  <c r="H803" i="16"/>
  <c r="H826" i="16"/>
  <c r="H843" i="16"/>
  <c r="H857" i="16"/>
  <c r="H871" i="16"/>
  <c r="H882" i="16"/>
  <c r="H896" i="16"/>
  <c r="H907" i="16"/>
  <c r="H921" i="16"/>
  <c r="H935" i="16"/>
  <c r="H946" i="16"/>
  <c r="H960" i="16"/>
  <c r="H971" i="16"/>
  <c r="H985" i="16"/>
  <c r="H999" i="16"/>
  <c r="H1010" i="16"/>
  <c r="H1022" i="16"/>
  <c r="H1032" i="16"/>
  <c r="H1041" i="16"/>
  <c r="H1050" i="16"/>
  <c r="H1059" i="16"/>
  <c r="H1069" i="16"/>
  <c r="H1078" i="16"/>
  <c r="H1086" i="16"/>
  <c r="H1094" i="16"/>
  <c r="H1102" i="16"/>
  <c r="H1110" i="16"/>
  <c r="H1118" i="16"/>
  <c r="H1126" i="16"/>
  <c r="H1134" i="16"/>
  <c r="H1142" i="16"/>
  <c r="H1150" i="16"/>
  <c r="H1158" i="16"/>
  <c r="H1166" i="16"/>
  <c r="H1174" i="16"/>
  <c r="H1182" i="16"/>
  <c r="H1190" i="16"/>
  <c r="H1198" i="16"/>
  <c r="H1206" i="16"/>
  <c r="H1214" i="16"/>
  <c r="H1222" i="16"/>
  <c r="H1230" i="16"/>
  <c r="H1238" i="16"/>
  <c r="H1246" i="16"/>
  <c r="H1254" i="16"/>
  <c r="H1262" i="16"/>
  <c r="H1270" i="16"/>
  <c r="H1278" i="16"/>
  <c r="H1286" i="16"/>
  <c r="H1294" i="16"/>
  <c r="H1302" i="16"/>
  <c r="H1310" i="16"/>
  <c r="H1318" i="16"/>
  <c r="H1326" i="16"/>
  <c r="H1334" i="16"/>
  <c r="H1342" i="16"/>
  <c r="H1350" i="16"/>
  <c r="H1358" i="16"/>
  <c r="H1366" i="16"/>
  <c r="H1374" i="16"/>
  <c r="H1382" i="16"/>
  <c r="H1390" i="16"/>
  <c r="H1398" i="16"/>
  <c r="H1406" i="16"/>
  <c r="H1414" i="16"/>
  <c r="H1422" i="16"/>
  <c r="H1430" i="16"/>
  <c r="H1438" i="16"/>
  <c r="H1446" i="16"/>
  <c r="H1454" i="16"/>
  <c r="H1462" i="16"/>
  <c r="H1470" i="16"/>
  <c r="H1478" i="16"/>
  <c r="H1486" i="16"/>
  <c r="H1494" i="16"/>
  <c r="H1502" i="16"/>
  <c r="H1510" i="16"/>
  <c r="H1518" i="16"/>
  <c r="H1526" i="16"/>
  <c r="H1534" i="16"/>
  <c r="H1542" i="16"/>
  <c r="H1550" i="16"/>
  <c r="H1558" i="16"/>
  <c r="H1566" i="16"/>
  <c r="H1574" i="16"/>
  <c r="H1582" i="16"/>
  <c r="H1590" i="16"/>
  <c r="H1598" i="16"/>
  <c r="H1606" i="16"/>
  <c r="H1614" i="16"/>
  <c r="H1622" i="16"/>
  <c r="H1630" i="16"/>
  <c r="H1638" i="16"/>
  <c r="H1646" i="16"/>
  <c r="H1654" i="16"/>
  <c r="H1662" i="16"/>
  <c r="H1670" i="16"/>
  <c r="H1678" i="16"/>
  <c r="H1686" i="16"/>
  <c r="H1694" i="16"/>
  <c r="H762" i="16"/>
  <c r="H809" i="16"/>
  <c r="H827" i="16"/>
  <c r="H847" i="16"/>
  <c r="H858" i="16"/>
  <c r="H872" i="16"/>
  <c r="H883" i="16"/>
  <c r="H897" i="16"/>
  <c r="H911" i="16"/>
  <c r="H922" i="16"/>
  <c r="H936" i="16"/>
  <c r="H947" i="16"/>
  <c r="H961" i="16"/>
  <c r="H975" i="16"/>
  <c r="H986" i="16"/>
  <c r="H1000" i="16"/>
  <c r="H1011" i="16"/>
  <c r="H1023" i="16"/>
  <c r="H1033" i="16"/>
  <c r="H1042" i="16"/>
  <c r="H1051" i="16"/>
  <c r="H1061" i="16"/>
  <c r="H1070" i="16"/>
  <c r="H1079" i="16"/>
  <c r="H1087" i="16"/>
  <c r="H1095" i="16"/>
  <c r="H1103" i="16"/>
  <c r="H1111" i="16"/>
  <c r="H1119" i="16"/>
  <c r="H1127" i="16"/>
  <c r="H1135" i="16"/>
  <c r="H1143" i="16"/>
  <c r="H1151" i="16"/>
  <c r="H1159" i="16"/>
  <c r="H1167" i="16"/>
  <c r="H1175" i="16"/>
  <c r="H1183" i="16"/>
  <c r="H1191" i="16"/>
  <c r="H1199" i="16"/>
  <c r="H1207" i="16"/>
  <c r="H1215" i="16"/>
  <c r="H1223" i="16"/>
  <c r="H1231" i="16"/>
  <c r="H1239" i="16"/>
  <c r="H1247" i="16"/>
  <c r="H1255" i="16"/>
  <c r="H1263" i="16"/>
  <c r="H1271" i="16"/>
  <c r="H1279" i="16"/>
  <c r="H1287" i="16"/>
  <c r="H1295" i="16"/>
  <c r="H1303" i="16"/>
  <c r="H1311" i="16"/>
  <c r="H1319" i="16"/>
  <c r="H1327" i="16"/>
  <c r="H1335" i="16"/>
  <c r="H1343" i="16"/>
  <c r="H1351" i="16"/>
  <c r="H1359" i="16"/>
  <c r="H1367" i="16"/>
  <c r="H1375" i="16"/>
  <c r="H1383" i="16"/>
  <c r="H1391" i="16"/>
  <c r="H1399" i="16"/>
  <c r="H1407" i="16"/>
  <c r="H1415" i="16"/>
  <c r="H1423" i="16"/>
  <c r="H1431" i="16"/>
  <c r="H1439" i="16"/>
  <c r="H1447" i="16"/>
  <c r="H1455" i="16"/>
  <c r="H1463" i="16"/>
  <c r="H1471" i="16"/>
  <c r="H1479" i="16"/>
  <c r="H1487" i="16"/>
  <c r="H1495" i="16"/>
  <c r="H1503" i="16"/>
  <c r="H1511" i="16"/>
  <c r="H1519" i="16"/>
  <c r="H1527" i="16"/>
  <c r="H1535" i="16"/>
  <c r="H770" i="16"/>
  <c r="H810" i="16"/>
  <c r="H833" i="16"/>
  <c r="H848" i="16"/>
  <c r="H859" i="16"/>
  <c r="H873" i="16"/>
  <c r="H887" i="16"/>
  <c r="H898" i="16"/>
  <c r="H912" i="16"/>
  <c r="H923" i="16"/>
  <c r="H937" i="16"/>
  <c r="H951" i="16"/>
  <c r="H962" i="16"/>
  <c r="H976" i="16"/>
  <c r="H987" i="16"/>
  <c r="H1001" i="16"/>
  <c r="H1014" i="16"/>
  <c r="H1024" i="16"/>
  <c r="H1034" i="16"/>
  <c r="H1043" i="16"/>
  <c r="H1053" i="16"/>
  <c r="H1062" i="16"/>
  <c r="H1071" i="16"/>
  <c r="H1080" i="16"/>
  <c r="H1088" i="16"/>
  <c r="H1096" i="16"/>
  <c r="H1104" i="16"/>
  <c r="H1112" i="16"/>
  <c r="H1120" i="16"/>
  <c r="H1128" i="16"/>
  <c r="H1136" i="16"/>
  <c r="H1144" i="16"/>
  <c r="H1152" i="16"/>
  <c r="H1160" i="16"/>
  <c r="H1168" i="16"/>
  <c r="H1176" i="16"/>
  <c r="H1184" i="16"/>
  <c r="H1192" i="16"/>
  <c r="H1200" i="16"/>
  <c r="H1208" i="16"/>
  <c r="H1216" i="16"/>
  <c r="H1224" i="16"/>
  <c r="H1232" i="16"/>
  <c r="H1240" i="16"/>
  <c r="H1248" i="16"/>
  <c r="H1256" i="16"/>
  <c r="H1264" i="16"/>
  <c r="H1272" i="16"/>
  <c r="H1280" i="16"/>
  <c r="H1288" i="16"/>
  <c r="H1296" i="16"/>
  <c r="H1304" i="16"/>
  <c r="H1312" i="16"/>
  <c r="H1320" i="16"/>
  <c r="H1328" i="16"/>
  <c r="H1336" i="16"/>
  <c r="H1344" i="16"/>
  <c r="H1352" i="16"/>
  <c r="H1360" i="16"/>
  <c r="H1368" i="16"/>
  <c r="H1376" i="16"/>
  <c r="H1384" i="16"/>
  <c r="H1392" i="16"/>
  <c r="H1400" i="16"/>
  <c r="H1408" i="16"/>
  <c r="H1416" i="16"/>
  <c r="H1424" i="16"/>
  <c r="H1432" i="16"/>
  <c r="H1440" i="16"/>
  <c r="H1448" i="16"/>
  <c r="H1456" i="16"/>
  <c r="H1464" i="16"/>
  <c r="H1472" i="16"/>
  <c r="H1480" i="16"/>
  <c r="H1488" i="16"/>
  <c r="H1496" i="16"/>
  <c r="H1504" i="16"/>
  <c r="H1512" i="16"/>
  <c r="H1520" i="16"/>
  <c r="H1528" i="16"/>
  <c r="H1536" i="16"/>
  <c r="H1544" i="16"/>
  <c r="H1552" i="16"/>
  <c r="H1560" i="16"/>
  <c r="H1568" i="16"/>
  <c r="H778" i="16"/>
  <c r="H811" i="16"/>
  <c r="H834" i="16"/>
  <c r="H849" i="16"/>
  <c r="H863" i="16"/>
  <c r="H874" i="16"/>
  <c r="H888" i="16"/>
  <c r="H899" i="16"/>
  <c r="H913" i="16"/>
  <c r="H927" i="16"/>
  <c r="H938" i="16"/>
  <c r="H952" i="16"/>
  <c r="H963" i="16"/>
  <c r="H977" i="16"/>
  <c r="H991" i="16"/>
  <c r="H1002" i="16"/>
  <c r="H1015" i="16"/>
  <c r="H1025" i="16"/>
  <c r="H1035" i="16"/>
  <c r="H1045" i="16"/>
  <c r="H1054" i="16"/>
  <c r="H1063" i="16"/>
  <c r="H1072" i="16"/>
  <c r="H1081" i="16"/>
  <c r="H1089" i="16"/>
  <c r="H1097" i="16"/>
  <c r="H1105" i="16"/>
  <c r="H1113" i="16"/>
  <c r="H1121" i="16"/>
  <c r="H1129" i="16"/>
  <c r="H1137" i="16"/>
  <c r="H1145" i="16"/>
  <c r="H1153" i="16"/>
  <c r="H1161" i="16"/>
  <c r="H1169" i="16"/>
  <c r="H1177" i="16"/>
  <c r="H1185" i="16"/>
  <c r="H1193" i="16"/>
  <c r="H1201" i="16"/>
  <c r="H1209" i="16"/>
  <c r="H1217" i="16"/>
  <c r="H1225" i="16"/>
  <c r="H1233" i="16"/>
  <c r="H1241" i="16"/>
  <c r="H1249" i="16"/>
  <c r="H1257" i="16"/>
  <c r="H1265" i="16"/>
  <c r="H1273" i="16"/>
  <c r="H1281" i="16"/>
  <c r="H1289" i="16"/>
  <c r="H786" i="16"/>
  <c r="H817" i="16"/>
  <c r="H835" i="16"/>
  <c r="H850" i="16"/>
  <c r="H864" i="16"/>
  <c r="H875" i="16"/>
  <c r="H889" i="16"/>
  <c r="H903" i="16"/>
  <c r="H914" i="16"/>
  <c r="H928" i="16"/>
  <c r="H939" i="16"/>
  <c r="H953" i="16"/>
  <c r="H967" i="16"/>
  <c r="H978" i="16"/>
  <c r="H992" i="16"/>
  <c r="H1003" i="16"/>
  <c r="H1016" i="16"/>
  <c r="H1026" i="16"/>
  <c r="H1037" i="16"/>
  <c r="H1046" i="16"/>
  <c r="H1055" i="16"/>
  <c r="H1064" i="16"/>
  <c r="H1073" i="16"/>
  <c r="H1082" i="16"/>
  <c r="H1090" i="16"/>
  <c r="H1098" i="16"/>
  <c r="H1106" i="16"/>
  <c r="H1114" i="16"/>
  <c r="H1122" i="16"/>
  <c r="H794" i="16"/>
  <c r="H818" i="16"/>
  <c r="H839" i="16"/>
  <c r="H851" i="16"/>
  <c r="H865" i="16"/>
  <c r="H879" i="16"/>
  <c r="H890" i="16"/>
  <c r="H904" i="16"/>
  <c r="H915" i="16"/>
  <c r="H929" i="16"/>
  <c r="H943" i="16"/>
  <c r="H954" i="16"/>
  <c r="H968" i="16"/>
  <c r="H979" i="16"/>
  <c r="H993" i="16"/>
  <c r="H1007" i="16"/>
  <c r="H1017" i="16"/>
  <c r="H1027" i="16"/>
  <c r="H1038" i="16"/>
  <c r="H1047" i="16"/>
  <c r="H1056" i="16"/>
  <c r="H1065" i="16"/>
  <c r="H1074" i="16"/>
  <c r="H1083" i="16"/>
  <c r="H1091" i="16"/>
  <c r="H1099" i="16"/>
  <c r="H1107" i="16"/>
  <c r="H1115" i="16"/>
  <c r="H1123" i="16"/>
  <c r="H1131" i="16"/>
  <c r="H1139" i="16"/>
  <c r="H1147" i="16"/>
  <c r="H1155" i="16"/>
  <c r="H1163" i="16"/>
  <c r="H1171" i="16"/>
  <c r="H1179" i="16"/>
  <c r="H1187" i="16"/>
  <c r="H1195" i="16"/>
  <c r="H1203" i="16"/>
  <c r="H1211" i="16"/>
  <c r="H1219" i="16"/>
  <c r="H1227" i="16"/>
  <c r="H1235" i="16"/>
  <c r="H1243" i="16"/>
  <c r="H1251" i="16"/>
  <c r="H1259" i="16"/>
  <c r="H1267" i="16"/>
  <c r="H1275" i="16"/>
  <c r="H1283" i="16"/>
  <c r="H1291" i="16"/>
  <c r="H1299" i="16"/>
  <c r="H801" i="16"/>
  <c r="H819" i="16"/>
  <c r="H841" i="16"/>
  <c r="H855" i="16"/>
  <c r="H866" i="16"/>
  <c r="H880" i="16"/>
  <c r="H891" i="16"/>
  <c r="H905" i="16"/>
  <c r="H919" i="16"/>
  <c r="H930" i="16"/>
  <c r="H944" i="16"/>
  <c r="H955" i="16"/>
  <c r="H969" i="16"/>
  <c r="H983" i="16"/>
  <c r="H994" i="16"/>
  <c r="H1008" i="16"/>
  <c r="H1018" i="16"/>
  <c r="H1030" i="16"/>
  <c r="H1039" i="16"/>
  <c r="H1048" i="16"/>
  <c r="H1057" i="16"/>
  <c r="H1066" i="16"/>
  <c r="H1075" i="16"/>
  <c r="H1084" i="16"/>
  <c r="H1092" i="16"/>
  <c r="H1100" i="16"/>
  <c r="H1108" i="16"/>
  <c r="H1116" i="16"/>
  <c r="H1124" i="16"/>
  <c r="H1132" i="16"/>
  <c r="H1140" i="16"/>
  <c r="H1148" i="16"/>
  <c r="H1156" i="16"/>
  <c r="H1164" i="16"/>
  <c r="H1172" i="16"/>
  <c r="H802" i="16"/>
  <c r="H825" i="16"/>
  <c r="H842" i="16"/>
  <c r="H856" i="16"/>
  <c r="H867" i="16"/>
  <c r="H881" i="16"/>
  <c r="H895" i="16"/>
  <c r="H906" i="16"/>
  <c r="H920" i="16"/>
  <c r="H931" i="16"/>
  <c r="H945" i="16"/>
  <c r="H959" i="16"/>
  <c r="H970" i="16"/>
  <c r="H984" i="16"/>
  <c r="H995" i="16"/>
  <c r="H1009" i="16"/>
  <c r="H1019" i="16"/>
  <c r="H1031" i="16"/>
  <c r="H1040" i="16"/>
  <c r="H1049" i="16"/>
  <c r="H1058" i="16"/>
  <c r="H1067" i="16"/>
  <c r="H1077" i="16"/>
  <c r="H1085" i="16"/>
  <c r="H1093" i="16"/>
  <c r="H1101" i="16"/>
  <c r="H1109" i="16"/>
  <c r="H1117" i="16"/>
  <c r="H1125" i="16"/>
  <c r="H1133" i="16"/>
  <c r="H1141" i="16"/>
  <c r="H1149" i="16"/>
  <c r="H1157" i="16"/>
  <c r="H1165" i="16"/>
  <c r="H1173" i="16"/>
  <c r="H1181" i="16"/>
  <c r="H1189" i="16"/>
  <c r="H1197" i="16"/>
  <c r="H1205" i="16"/>
  <c r="H1213" i="16"/>
  <c r="H1221" i="16"/>
  <c r="H1229" i="16"/>
  <c r="H1237" i="16"/>
  <c r="H1245" i="16"/>
  <c r="H1253" i="16"/>
  <c r="H1261" i="16"/>
  <c r="H1269" i="16"/>
  <c r="H1277" i="16"/>
  <c r="H1285" i="16"/>
  <c r="H1293" i="16"/>
  <c r="H1301" i="16"/>
  <c r="H1309" i="16"/>
  <c r="H1317" i="16"/>
  <c r="H1325" i="16"/>
  <c r="H1130" i="16"/>
  <c r="H1186" i="16"/>
  <c r="H1218" i="16"/>
  <c r="H1250" i="16"/>
  <c r="H1282" i="16"/>
  <c r="H1306" i="16"/>
  <c r="H1322" i="16"/>
  <c r="H1337" i="16"/>
  <c r="H1348" i="16"/>
  <c r="H1362" i="16"/>
  <c r="H1373" i="16"/>
  <c r="H1387" i="16"/>
  <c r="H1401" i="16"/>
  <c r="H1412" i="16"/>
  <c r="H1426" i="16"/>
  <c r="H1437" i="16"/>
  <c r="H1451" i="16"/>
  <c r="H1465" i="16"/>
  <c r="H1476" i="16"/>
  <c r="H1490" i="16"/>
  <c r="H1501" i="16"/>
  <c r="H1515" i="16"/>
  <c r="H1529" i="16"/>
  <c r="H1540" i="16"/>
  <c r="H1551" i="16"/>
  <c r="H1562" i="16"/>
  <c r="H1572" i="16"/>
  <c r="H1581" i="16"/>
  <c r="H1591" i="16"/>
  <c r="H1600" i="16"/>
  <c r="H1609" i="16"/>
  <c r="H1618" i="16"/>
  <c r="H1627" i="16"/>
  <c r="H1636" i="16"/>
  <c r="H1645" i="16"/>
  <c r="H1655" i="16"/>
  <c r="H1664" i="16"/>
  <c r="H1673" i="16"/>
  <c r="H1682" i="16"/>
  <c r="H1691" i="16"/>
  <c r="H1700" i="16"/>
  <c r="H1708" i="16"/>
  <c r="H1716" i="16"/>
  <c r="H1724" i="16"/>
  <c r="H1732" i="16"/>
  <c r="H1740" i="16"/>
  <c r="H1748" i="16"/>
  <c r="H1756" i="16"/>
  <c r="H1764" i="16"/>
  <c r="H1772" i="16"/>
  <c r="H1780" i="16"/>
  <c r="H1788" i="16"/>
  <c r="H1796" i="16"/>
  <c r="H1804" i="16"/>
  <c r="H1812" i="16"/>
  <c r="H1820" i="16"/>
  <c r="H1828" i="16"/>
  <c r="H1836" i="16"/>
  <c r="H1844" i="16"/>
  <c r="H1852" i="16"/>
  <c r="H1860" i="16"/>
  <c r="H1868" i="16"/>
  <c r="H1876" i="16"/>
  <c r="H1884" i="16"/>
  <c r="H1892" i="16"/>
  <c r="H1900" i="16"/>
  <c r="H1908" i="16"/>
  <c r="H1916" i="16"/>
  <c r="H1924" i="16"/>
  <c r="H1932" i="16"/>
  <c r="H1940" i="16"/>
  <c r="H1948" i="16"/>
  <c r="H1956" i="16"/>
  <c r="H1964" i="16"/>
  <c r="H1972" i="16"/>
  <c r="H1980" i="16"/>
  <c r="H1988" i="16"/>
  <c r="H1996" i="16"/>
  <c r="H2004" i="16"/>
  <c r="H2012" i="16"/>
  <c r="H2020" i="16"/>
  <c r="H2028" i="16"/>
  <c r="H2036" i="16"/>
  <c r="H2044" i="16"/>
  <c r="H2052" i="16"/>
  <c r="H2060" i="16"/>
  <c r="H2068" i="16"/>
  <c r="H2076" i="16"/>
  <c r="H2084" i="16"/>
  <c r="H2092" i="16"/>
  <c r="H2100" i="16"/>
  <c r="H2108" i="16"/>
  <c r="H2116" i="16"/>
  <c r="H2124" i="16"/>
  <c r="H2132" i="16"/>
  <c r="H2140" i="16"/>
  <c r="H2148" i="16"/>
  <c r="H2156" i="16"/>
  <c r="H2164" i="16"/>
  <c r="H2172" i="16"/>
  <c r="H2180" i="16"/>
  <c r="H2188" i="16"/>
  <c r="H2196" i="16"/>
  <c r="H2204" i="16"/>
  <c r="H2212" i="16"/>
  <c r="H2220" i="16"/>
  <c r="H2228" i="16"/>
  <c r="H2236" i="16"/>
  <c r="H2244" i="16"/>
  <c r="H2252" i="16"/>
  <c r="H2260" i="16"/>
  <c r="H2268" i="16"/>
  <c r="H2276" i="16"/>
  <c r="H1138" i="16"/>
  <c r="H1188" i="16"/>
  <c r="H1220" i="16"/>
  <c r="H1252" i="16"/>
  <c r="H1284" i="16"/>
  <c r="H1307" i="16"/>
  <c r="H1323" i="16"/>
  <c r="H1338" i="16"/>
  <c r="H1349" i="16"/>
  <c r="H1363" i="16"/>
  <c r="H1377" i="16"/>
  <c r="H1388" i="16"/>
  <c r="H1402" i="16"/>
  <c r="H1413" i="16"/>
  <c r="H1427" i="16"/>
  <c r="H1441" i="16"/>
  <c r="H1452" i="16"/>
  <c r="H1466" i="16"/>
  <c r="H1477" i="16"/>
  <c r="H1491" i="16"/>
  <c r="H1505" i="16"/>
  <c r="H1516" i="16"/>
  <c r="H1530" i="16"/>
  <c r="H1541" i="16"/>
  <c r="H1553" i="16"/>
  <c r="H1563" i="16"/>
  <c r="H1573" i="16"/>
  <c r="H1583" i="16"/>
  <c r="H1592" i="16"/>
  <c r="H1601" i="16"/>
  <c r="H1610" i="16"/>
  <c r="H1619" i="16"/>
  <c r="H1628" i="16"/>
  <c r="H1637" i="16"/>
  <c r="H1647" i="16"/>
  <c r="H1656" i="16"/>
  <c r="H1665" i="16"/>
  <c r="H1674" i="16"/>
  <c r="H1683" i="16"/>
  <c r="H1692" i="16"/>
  <c r="H1701" i="16"/>
  <c r="H1709" i="16"/>
  <c r="H1717" i="16"/>
  <c r="H1725" i="16"/>
  <c r="H1733" i="16"/>
  <c r="H1741" i="16"/>
  <c r="H1749" i="16"/>
  <c r="H1757" i="16"/>
  <c r="H1765" i="16"/>
  <c r="H1773" i="16"/>
  <c r="H1781" i="16"/>
  <c r="H1789" i="16"/>
  <c r="H1797" i="16"/>
  <c r="H1805" i="16"/>
  <c r="H1813" i="16"/>
  <c r="H1821" i="16"/>
  <c r="H1829" i="16"/>
  <c r="H1837" i="16"/>
  <c r="H1845" i="16"/>
  <c r="H1853" i="16"/>
  <c r="H1861" i="16"/>
  <c r="H1869" i="16"/>
  <c r="H1877" i="16"/>
  <c r="H1885" i="16"/>
  <c r="H1893" i="16"/>
  <c r="H1901" i="16"/>
  <c r="H1909" i="16"/>
  <c r="H1917" i="16"/>
  <c r="H1925" i="16"/>
  <c r="H1933" i="16"/>
  <c r="H1941" i="16"/>
  <c r="H1949" i="16"/>
  <c r="H1146" i="16"/>
  <c r="H1194" i="16"/>
  <c r="H1226" i="16"/>
  <c r="H1258" i="16"/>
  <c r="H1290" i="16"/>
  <c r="H1308" i="16"/>
  <c r="H1324" i="16"/>
  <c r="H1339" i="16"/>
  <c r="H1353" i="16"/>
  <c r="H1364" i="16"/>
  <c r="H1378" i="16"/>
  <c r="H1389" i="16"/>
  <c r="H1403" i="16"/>
  <c r="H1417" i="16"/>
  <c r="H1428" i="16"/>
  <c r="H1442" i="16"/>
  <c r="H1453" i="16"/>
  <c r="H1467" i="16"/>
  <c r="H1481" i="16"/>
  <c r="H1492" i="16"/>
  <c r="H1506" i="16"/>
  <c r="H1517" i="16"/>
  <c r="H1531" i="16"/>
  <c r="H1543" i="16"/>
  <c r="H1554" i="16"/>
  <c r="H1564" i="16"/>
  <c r="H1575" i="16"/>
  <c r="H1584" i="16"/>
  <c r="H1593" i="16"/>
  <c r="H1602" i="16"/>
  <c r="H1611" i="16"/>
  <c r="H1620" i="16"/>
  <c r="H1629" i="16"/>
  <c r="H1639" i="16"/>
  <c r="H1648" i="16"/>
  <c r="H1657" i="16"/>
  <c r="H1666" i="16"/>
  <c r="H1675" i="16"/>
  <c r="H1684" i="16"/>
  <c r="H1693" i="16"/>
  <c r="H1702" i="16"/>
  <c r="H1710" i="16"/>
  <c r="H1718" i="16"/>
  <c r="H1726" i="16"/>
  <c r="H1734" i="16"/>
  <c r="H1742" i="16"/>
  <c r="H1750" i="16"/>
  <c r="H1758" i="16"/>
  <c r="H1766" i="16"/>
  <c r="H1774" i="16"/>
  <c r="H1782" i="16"/>
  <c r="H1790" i="16"/>
  <c r="H1798" i="16"/>
  <c r="H1806" i="16"/>
  <c r="H1814" i="16"/>
  <c r="H1822" i="16"/>
  <c r="H1830" i="16"/>
  <c r="H1838" i="16"/>
  <c r="H1846" i="16"/>
  <c r="H1854" i="16"/>
  <c r="H1862" i="16"/>
  <c r="H1870" i="16"/>
  <c r="H1878" i="16"/>
  <c r="H1886" i="16"/>
  <c r="H1894" i="16"/>
  <c r="H1902" i="16"/>
  <c r="H1910" i="16"/>
  <c r="H1918" i="16"/>
  <c r="H1926" i="16"/>
  <c r="H1934" i="16"/>
  <c r="H1942" i="16"/>
  <c r="H1950" i="16"/>
  <c r="H1958" i="16"/>
  <c r="H1966" i="16"/>
  <c r="H1974" i="16"/>
  <c r="H1982" i="16"/>
  <c r="H1990" i="16"/>
  <c r="H1998" i="16"/>
  <c r="H2006" i="16"/>
  <c r="H2014" i="16"/>
  <c r="H2022" i="16"/>
  <c r="H2030" i="16"/>
  <c r="H2038" i="16"/>
  <c r="H2046" i="16"/>
  <c r="H2054" i="16"/>
  <c r="H2062" i="16"/>
  <c r="H2070" i="16"/>
  <c r="H2078" i="16"/>
  <c r="H2086" i="16"/>
  <c r="H2094" i="16"/>
  <c r="H2102" i="16"/>
  <c r="H2110" i="16"/>
  <c r="H2118" i="16"/>
  <c r="H2126" i="16"/>
  <c r="H2134" i="16"/>
  <c r="H2142" i="16"/>
  <c r="H2150" i="16"/>
  <c r="H2158" i="16"/>
  <c r="H2166" i="16"/>
  <c r="H2174" i="16"/>
  <c r="H2182" i="16"/>
  <c r="H2190" i="16"/>
  <c r="H2198" i="16"/>
  <c r="H2206" i="16"/>
  <c r="H1154" i="16"/>
  <c r="H1196" i="16"/>
  <c r="H1228" i="16"/>
  <c r="H1260" i="16"/>
  <c r="H1292" i="16"/>
  <c r="H1313" i="16"/>
  <c r="H1329" i="16"/>
  <c r="H1340" i="16"/>
  <c r="H1354" i="16"/>
  <c r="H1365" i="16"/>
  <c r="H1379" i="16"/>
  <c r="H1393" i="16"/>
  <c r="H1404" i="16"/>
  <c r="H1418" i="16"/>
  <c r="H1429" i="16"/>
  <c r="H1443" i="16"/>
  <c r="H1457" i="16"/>
  <c r="H1468" i="16"/>
  <c r="H1482" i="16"/>
  <c r="H1493" i="16"/>
  <c r="H1507" i="16"/>
  <c r="H1521" i="16"/>
  <c r="H1532" i="16"/>
  <c r="H1545" i="16"/>
  <c r="H1555" i="16"/>
  <c r="H1565" i="16"/>
  <c r="H1576" i="16"/>
  <c r="H1585" i="16"/>
  <c r="H1594" i="16"/>
  <c r="H1603" i="16"/>
  <c r="H1612" i="16"/>
  <c r="H1621" i="16"/>
  <c r="H1631" i="16"/>
  <c r="H1640" i="16"/>
  <c r="H1649" i="16"/>
  <c r="H1658" i="16"/>
  <c r="H1667" i="16"/>
  <c r="H1676" i="16"/>
  <c r="H1685" i="16"/>
  <c r="H1695" i="16"/>
  <c r="H1703" i="16"/>
  <c r="H1711" i="16"/>
  <c r="H1719" i="16"/>
  <c r="H1727" i="16"/>
  <c r="H1735" i="16"/>
  <c r="H1743" i="16"/>
  <c r="H1751" i="16"/>
  <c r="H1759" i="16"/>
  <c r="H1767" i="16"/>
  <c r="H1775" i="16"/>
  <c r="H1783" i="16"/>
  <c r="H1791" i="16"/>
  <c r="H1799" i="16"/>
  <c r="H1807" i="16"/>
  <c r="H1815" i="16"/>
  <c r="H1823" i="16"/>
  <c r="H1831" i="16"/>
  <c r="H1839" i="16"/>
  <c r="H1847" i="16"/>
  <c r="H1855" i="16"/>
  <c r="H1863" i="16"/>
  <c r="H1871" i="16"/>
  <c r="H1879" i="16"/>
  <c r="H1887" i="16"/>
  <c r="H1895" i="16"/>
  <c r="H1903" i="16"/>
  <c r="H1911" i="16"/>
  <c r="H1919" i="16"/>
  <c r="H1927" i="16"/>
  <c r="H1935" i="16"/>
  <c r="H1943" i="16"/>
  <c r="H1951" i="16"/>
  <c r="H1959" i="16"/>
  <c r="H1967" i="16"/>
  <c r="H1975" i="16"/>
  <c r="H1983" i="16"/>
  <c r="H1991" i="16"/>
  <c r="H1999" i="16"/>
  <c r="H2007" i="16"/>
  <c r="H2015" i="16"/>
  <c r="H2023" i="16"/>
  <c r="H2031" i="16"/>
  <c r="H2039" i="16"/>
  <c r="H2047" i="16"/>
  <c r="H2055" i="16"/>
  <c r="H1162" i="16"/>
  <c r="H1202" i="16"/>
  <c r="H1234" i="16"/>
  <c r="H1266" i="16"/>
  <c r="H1297" i="16"/>
  <c r="H1314" i="16"/>
  <c r="H1330" i="16"/>
  <c r="H1341" i="16"/>
  <c r="H1355" i="16"/>
  <c r="H1369" i="16"/>
  <c r="H1380" i="16"/>
  <c r="H1394" i="16"/>
  <c r="H1405" i="16"/>
  <c r="H1419" i="16"/>
  <c r="H1433" i="16"/>
  <c r="H1444" i="16"/>
  <c r="H1458" i="16"/>
  <c r="H1469" i="16"/>
  <c r="H1483" i="16"/>
  <c r="H1497" i="16"/>
  <c r="H1508" i="16"/>
  <c r="H1522" i="16"/>
  <c r="H1533" i="16"/>
  <c r="H1546" i="16"/>
  <c r="H1556" i="16"/>
  <c r="H1567" i="16"/>
  <c r="H1577" i="16"/>
  <c r="H1586" i="16"/>
  <c r="H1595" i="16"/>
  <c r="H1604" i="16"/>
  <c r="H1613" i="16"/>
  <c r="H1623" i="16"/>
  <c r="H1632" i="16"/>
  <c r="H1641" i="16"/>
  <c r="H1650" i="16"/>
  <c r="H1659" i="16"/>
  <c r="H1668" i="16"/>
  <c r="H1677" i="16"/>
  <c r="H1687" i="16"/>
  <c r="H1696" i="16"/>
  <c r="H1704" i="16"/>
  <c r="H1712" i="16"/>
  <c r="H1720" i="16"/>
  <c r="H1728" i="16"/>
  <c r="H1736" i="16"/>
  <c r="H1744" i="16"/>
  <c r="H1752" i="16"/>
  <c r="H1760" i="16"/>
  <c r="H1768" i="16"/>
  <c r="H1776" i="16"/>
  <c r="H1784" i="16"/>
  <c r="H1792" i="16"/>
  <c r="H1800" i="16"/>
  <c r="H1808" i="16"/>
  <c r="H1816" i="16"/>
  <c r="H1824" i="16"/>
  <c r="H1832" i="16"/>
  <c r="H1840" i="16"/>
  <c r="H1848" i="16"/>
  <c r="H1856" i="16"/>
  <c r="H1864" i="16"/>
  <c r="H1872" i="16"/>
  <c r="H1880" i="16"/>
  <c r="H1888" i="16"/>
  <c r="H1896" i="16"/>
  <c r="H1904" i="16"/>
  <c r="H1912" i="16"/>
  <c r="H1920" i="16"/>
  <c r="H1928" i="16"/>
  <c r="H1936" i="16"/>
  <c r="H1944" i="16"/>
  <c r="H1952" i="16"/>
  <c r="H1170" i="16"/>
  <c r="H1204" i="16"/>
  <c r="H1236" i="16"/>
  <c r="H1268" i="16"/>
  <c r="H1298" i="16"/>
  <c r="H1315" i="16"/>
  <c r="H1331" i="16"/>
  <c r="H1345" i="16"/>
  <c r="H1356" i="16"/>
  <c r="H1370" i="16"/>
  <c r="H1381" i="16"/>
  <c r="H1395" i="16"/>
  <c r="H1409" i="16"/>
  <c r="H1420" i="16"/>
  <c r="H1434" i="16"/>
  <c r="H1445" i="16"/>
  <c r="H1459" i="16"/>
  <c r="H1473" i="16"/>
  <c r="H1484" i="16"/>
  <c r="H1498" i="16"/>
  <c r="H1509" i="16"/>
  <c r="H1523" i="16"/>
  <c r="H1537" i="16"/>
  <c r="H1547" i="16"/>
  <c r="H1557" i="16"/>
  <c r="H1569" i="16"/>
  <c r="H1578" i="16"/>
  <c r="H1587" i="16"/>
  <c r="H1596" i="16"/>
  <c r="H1605" i="16"/>
  <c r="H1615" i="16"/>
  <c r="H1624" i="16"/>
  <c r="H1633" i="16"/>
  <c r="H1642" i="16"/>
  <c r="H1651" i="16"/>
  <c r="H1660" i="16"/>
  <c r="H1669" i="16"/>
  <c r="H1679" i="16"/>
  <c r="H1688" i="16"/>
  <c r="H1697" i="16"/>
  <c r="H1705" i="16"/>
  <c r="H1713" i="16"/>
  <c r="H1721" i="16"/>
  <c r="H1729" i="16"/>
  <c r="H1737" i="16"/>
  <c r="H1745" i="16"/>
  <c r="H1753" i="16"/>
  <c r="H1761" i="16"/>
  <c r="H1769" i="16"/>
  <c r="H1777" i="16"/>
  <c r="H1785" i="16"/>
  <c r="H1793" i="16"/>
  <c r="H1801" i="16"/>
  <c r="H1809" i="16"/>
  <c r="H1817" i="16"/>
  <c r="H1825" i="16"/>
  <c r="H1833" i="16"/>
  <c r="H1841" i="16"/>
  <c r="H1849" i="16"/>
  <c r="H1857" i="16"/>
  <c r="H1865" i="16"/>
  <c r="H1873" i="16"/>
  <c r="H1881" i="16"/>
  <c r="H1889" i="16"/>
  <c r="H1897" i="16"/>
  <c r="H1905" i="16"/>
  <c r="H1913" i="16"/>
  <c r="H1921" i="16"/>
  <c r="H1929" i="16"/>
  <c r="H1937" i="16"/>
  <c r="H1945" i="16"/>
  <c r="H1953" i="16"/>
  <c r="H1178" i="16"/>
  <c r="H1210" i="16"/>
  <c r="H1242" i="16"/>
  <c r="H1274" i="16"/>
  <c r="H1300" i="16"/>
  <c r="H1316" i="16"/>
  <c r="H1332" i="16"/>
  <c r="H1346" i="16"/>
  <c r="H1357" i="16"/>
  <c r="H1371" i="16"/>
  <c r="H1385" i="16"/>
  <c r="H1396" i="16"/>
  <c r="H1410" i="16"/>
  <c r="H1421" i="16"/>
  <c r="H1435" i="16"/>
  <c r="H1449" i="16"/>
  <c r="H1460" i="16"/>
  <c r="H1474" i="16"/>
  <c r="H1485" i="16"/>
  <c r="H1499" i="16"/>
  <c r="H1513" i="16"/>
  <c r="H1524" i="16"/>
  <c r="H1538" i="16"/>
  <c r="H1548" i="16"/>
  <c r="H1559" i="16"/>
  <c r="H1570" i="16"/>
  <c r="H1579" i="16"/>
  <c r="H1588" i="16"/>
  <c r="H1597" i="16"/>
  <c r="H1607" i="16"/>
  <c r="H1616" i="16"/>
  <c r="H1625" i="16"/>
  <c r="H1634" i="16"/>
  <c r="H1643" i="16"/>
  <c r="H1652" i="16"/>
  <c r="H1661" i="16"/>
  <c r="H1671" i="16"/>
  <c r="H1680" i="16"/>
  <c r="H1689" i="16"/>
  <c r="H1698" i="16"/>
  <c r="H1706" i="16"/>
  <c r="H1714" i="16"/>
  <c r="H1722" i="16"/>
  <c r="H1730" i="16"/>
  <c r="H1738" i="16"/>
  <c r="H1746" i="16"/>
  <c r="H1754" i="16"/>
  <c r="H1762" i="16"/>
  <c r="H1770" i="16"/>
  <c r="H1778" i="16"/>
  <c r="H1786" i="16"/>
  <c r="H1794" i="16"/>
  <c r="H1802" i="16"/>
  <c r="H1810" i="16"/>
  <c r="H1818" i="16"/>
  <c r="H1826" i="16"/>
  <c r="H1834" i="16"/>
  <c r="H1842" i="16"/>
  <c r="H1850" i="16"/>
  <c r="H1858" i="16"/>
  <c r="H1180" i="16"/>
  <c r="H1212" i="16"/>
  <c r="H1244" i="16"/>
  <c r="H1276" i="16"/>
  <c r="H1305" i="16"/>
  <c r="H1321" i="16"/>
  <c r="H1333" i="16"/>
  <c r="H1347" i="16"/>
  <c r="H1361" i="16"/>
  <c r="H1372" i="16"/>
  <c r="H1386" i="16"/>
  <c r="H1397" i="16"/>
  <c r="H1411" i="16"/>
  <c r="H1425" i="16"/>
  <c r="H1436" i="16"/>
  <c r="H1450" i="16"/>
  <c r="H1461" i="16"/>
  <c r="H1475" i="16"/>
  <c r="H1489" i="16"/>
  <c r="H1500" i="16"/>
  <c r="H1514" i="16"/>
  <c r="H1525" i="16"/>
  <c r="H1539" i="16"/>
  <c r="H1549" i="16"/>
  <c r="H1561" i="16"/>
  <c r="H1571" i="16"/>
  <c r="H1580" i="16"/>
  <c r="H1589" i="16"/>
  <c r="H1599" i="16"/>
  <c r="H1608" i="16"/>
  <c r="H1617" i="16"/>
  <c r="H1626" i="16"/>
  <c r="H1635" i="16"/>
  <c r="H1644" i="16"/>
  <c r="H1653" i="16"/>
  <c r="H1663" i="16"/>
  <c r="H1672" i="16"/>
  <c r="H1681" i="16"/>
  <c r="H1690" i="16"/>
  <c r="H1699" i="16"/>
  <c r="H1707" i="16"/>
  <c r="H1715" i="16"/>
  <c r="H1723" i="16"/>
  <c r="H1731" i="16"/>
  <c r="H1739" i="16"/>
  <c r="H1747" i="16"/>
  <c r="H1755" i="16"/>
  <c r="H1763" i="16"/>
  <c r="H1771" i="16"/>
  <c r="H1779" i="16"/>
  <c r="H1787" i="16"/>
  <c r="H1795" i="16"/>
  <c r="H1803" i="16"/>
  <c r="H1811" i="16"/>
  <c r="H1819" i="16"/>
  <c r="H1827" i="16"/>
  <c r="H1835" i="16"/>
  <c r="H1843" i="16"/>
  <c r="H1851" i="16"/>
  <c r="H1859" i="16"/>
  <c r="H1867" i="16"/>
  <c r="H1875" i="16"/>
  <c r="H1883" i="16"/>
  <c r="H1891" i="16"/>
  <c r="H1899" i="16"/>
  <c r="H1907" i="16"/>
  <c r="H1915" i="16"/>
  <c r="H1923" i="16"/>
  <c r="H1931" i="16"/>
  <c r="H1939" i="16"/>
  <c r="H1947" i="16"/>
  <c r="H1955" i="16"/>
  <c r="H1963" i="16"/>
  <c r="H1971" i="16"/>
  <c r="H1979" i="16"/>
  <c r="H1987" i="16"/>
  <c r="H1995" i="16"/>
  <c r="H2003" i="16"/>
  <c r="H2011" i="16"/>
  <c r="H1866" i="16"/>
  <c r="H1930" i="16"/>
  <c r="H1965" i="16"/>
  <c r="H1981" i="16"/>
  <c r="H1997" i="16"/>
  <c r="H2013" i="16"/>
  <c r="H2026" i="16"/>
  <c r="H2040" i="16"/>
  <c r="H2051" i="16"/>
  <c r="H2064" i="16"/>
  <c r="H2074" i="16"/>
  <c r="H2085" i="16"/>
  <c r="H2096" i="16"/>
  <c r="H2106" i="16"/>
  <c r="H2117" i="16"/>
  <c r="H2128" i="16"/>
  <c r="H2138" i="16"/>
  <c r="H2149" i="16"/>
  <c r="H2160" i="16"/>
  <c r="H2170" i="16"/>
  <c r="H2181" i="16"/>
  <c r="H2192" i="16"/>
  <c r="H2202" i="16"/>
  <c r="H2213" i="16"/>
  <c r="H2222" i="16"/>
  <c r="H2231" i="16"/>
  <c r="H2240" i="16"/>
  <c r="H2249" i="16"/>
  <c r="H2258" i="16"/>
  <c r="H2267" i="16"/>
  <c r="H2277" i="16"/>
  <c r="H2285" i="16"/>
  <c r="H2293" i="16"/>
  <c r="H2301" i="16"/>
  <c r="H2309" i="16"/>
  <c r="H2317" i="16"/>
  <c r="H2325" i="16"/>
  <c r="H2333" i="16"/>
  <c r="H2341" i="16"/>
  <c r="H2349" i="16"/>
  <c r="H2357" i="16"/>
  <c r="H2365" i="16"/>
  <c r="H2373" i="16"/>
  <c r="H2381" i="16"/>
  <c r="H2389" i="16"/>
  <c r="H2397" i="16"/>
  <c r="H2405" i="16"/>
  <c r="H2413" i="16"/>
  <c r="H2421" i="16"/>
  <c r="H2429" i="16"/>
  <c r="H2437" i="16"/>
  <c r="H2445" i="16"/>
  <c r="H2453" i="16"/>
  <c r="H2461" i="16"/>
  <c r="H2469" i="16"/>
  <c r="H2477" i="16"/>
  <c r="H2485" i="16"/>
  <c r="H2493" i="16"/>
  <c r="H2501" i="16"/>
  <c r="H2509" i="16"/>
  <c r="H2517" i="16"/>
  <c r="H2525" i="16"/>
  <c r="H2533" i="16"/>
  <c r="H2541" i="16"/>
  <c r="H2549" i="16"/>
  <c r="H2557" i="16"/>
  <c r="H2565" i="16"/>
  <c r="H2573" i="16"/>
  <c r="H2581" i="16"/>
  <c r="H2589" i="16"/>
  <c r="H2597" i="16"/>
  <c r="H2605" i="16"/>
  <c r="H2613" i="16"/>
  <c r="H2621" i="16"/>
  <c r="H2629" i="16"/>
  <c r="H2637" i="16"/>
  <c r="H2645" i="16"/>
  <c r="H2653" i="16"/>
  <c r="H2661" i="16"/>
  <c r="H2669" i="16"/>
  <c r="H2677" i="16"/>
  <c r="H2685" i="16"/>
  <c r="H2693" i="16"/>
  <c r="H2701" i="16"/>
  <c r="H2709" i="16"/>
  <c r="H2717" i="16"/>
  <c r="H2725" i="16"/>
  <c r="H2733" i="16"/>
  <c r="H2741" i="16"/>
  <c r="H2749" i="16"/>
  <c r="H2757" i="16"/>
  <c r="H2765" i="16"/>
  <c r="H2773" i="16"/>
  <c r="H2781" i="16"/>
  <c r="H2789" i="16"/>
  <c r="H2797" i="16"/>
  <c r="H2805" i="16"/>
  <c r="H2813" i="16"/>
  <c r="H2821" i="16"/>
  <c r="H2829" i="16"/>
  <c r="H2837" i="16"/>
  <c r="H2845" i="16"/>
  <c r="H2853" i="16"/>
  <c r="H2861" i="16"/>
  <c r="H2869" i="16"/>
  <c r="H2877" i="16"/>
  <c r="H2885" i="16"/>
  <c r="H2893" i="16"/>
  <c r="H2901" i="16"/>
  <c r="H2909" i="16"/>
  <c r="H2917" i="16"/>
  <c r="H2925" i="16"/>
  <c r="H2933" i="16"/>
  <c r="H2941" i="16"/>
  <c r="H2949" i="16"/>
  <c r="H2957" i="16"/>
  <c r="H2965" i="16"/>
  <c r="H2973" i="16"/>
  <c r="H2981" i="16"/>
  <c r="H2989" i="16"/>
  <c r="H2997" i="16"/>
  <c r="H3005" i="16"/>
  <c r="H1874" i="16"/>
  <c r="H1938" i="16"/>
  <c r="H1968" i="16"/>
  <c r="H1984" i="16"/>
  <c r="H2000" i="16"/>
  <c r="H2016" i="16"/>
  <c r="H2027" i="16"/>
  <c r="H2041" i="16"/>
  <c r="H2053" i="16"/>
  <c r="H2065" i="16"/>
  <c r="H2075" i="16"/>
  <c r="H2087" i="16"/>
  <c r="H2097" i="16"/>
  <c r="H2107" i="16"/>
  <c r="H2119" i="16"/>
  <c r="H2129" i="16"/>
  <c r="H2139" i="16"/>
  <c r="H2151" i="16"/>
  <c r="H2161" i="16"/>
  <c r="H2171" i="16"/>
  <c r="H2183" i="16"/>
  <c r="H2193" i="16"/>
  <c r="H2203" i="16"/>
  <c r="H2214" i="16"/>
  <c r="H2223" i="16"/>
  <c r="H2232" i="16"/>
  <c r="H2241" i="16"/>
  <c r="H2250" i="16"/>
  <c r="H2259" i="16"/>
  <c r="H2269" i="16"/>
  <c r="H2278" i="16"/>
  <c r="H2286" i="16"/>
  <c r="H2294" i="16"/>
  <c r="H2302" i="16"/>
  <c r="H2310" i="16"/>
  <c r="H2318" i="16"/>
  <c r="H2326" i="16"/>
  <c r="H2334" i="16"/>
  <c r="H2342" i="16"/>
  <c r="H2350" i="16"/>
  <c r="H2358" i="16"/>
  <c r="H2366" i="16"/>
  <c r="H2374" i="16"/>
  <c r="H2382" i="16"/>
  <c r="H2390" i="16"/>
  <c r="H2398" i="16"/>
  <c r="H2406" i="16"/>
  <c r="H2414" i="16"/>
  <c r="H2422" i="16"/>
  <c r="H2430" i="16"/>
  <c r="H2438" i="16"/>
  <c r="H2446" i="16"/>
  <c r="H2454" i="16"/>
  <c r="H2462" i="16"/>
  <c r="H2470" i="16"/>
  <c r="H2478" i="16"/>
  <c r="H2486" i="16"/>
  <c r="H2494" i="16"/>
  <c r="H2502" i="16"/>
  <c r="H2510" i="16"/>
  <c r="H2518" i="16"/>
  <c r="H2526" i="16"/>
  <c r="H2534" i="16"/>
  <c r="H2542" i="16"/>
  <c r="H2550" i="16"/>
  <c r="H2558" i="16"/>
  <c r="H2566" i="16"/>
  <c r="H2574" i="16"/>
  <c r="H2582" i="16"/>
  <c r="H2590" i="16"/>
  <c r="H2598" i="16"/>
  <c r="H2606" i="16"/>
  <c r="H2614" i="16"/>
  <c r="H2622" i="16"/>
  <c r="H2630" i="16"/>
  <c r="H2638" i="16"/>
  <c r="H2646" i="16"/>
  <c r="H2654" i="16"/>
  <c r="H2662" i="16"/>
  <c r="H2670" i="16"/>
  <c r="H2678" i="16"/>
  <c r="H2686" i="16"/>
  <c r="H2694" i="16"/>
  <c r="H2702" i="16"/>
  <c r="H2710" i="16"/>
  <c r="H2718" i="16"/>
  <c r="H2726" i="16"/>
  <c r="H2734" i="16"/>
  <c r="H2742" i="16"/>
  <c r="H2750" i="16"/>
  <c r="H2758" i="16"/>
  <c r="H2766" i="16"/>
  <c r="H2774" i="16"/>
  <c r="H2782" i="16"/>
  <c r="H2790" i="16"/>
  <c r="H2798" i="16"/>
  <c r="H2806" i="16"/>
  <c r="H2814" i="16"/>
  <c r="H2822" i="16"/>
  <c r="H2830" i="16"/>
  <c r="H2838" i="16"/>
  <c r="H2846" i="16"/>
  <c r="H2854" i="16"/>
  <c r="H2862" i="16"/>
  <c r="H2870" i="16"/>
  <c r="H2878" i="16"/>
  <c r="H2886" i="16"/>
  <c r="H2894" i="16"/>
  <c r="H2902" i="16"/>
  <c r="H2910" i="16"/>
  <c r="H2918" i="16"/>
  <c r="H1882" i="16"/>
  <c r="H1946" i="16"/>
  <c r="H1969" i="16"/>
  <c r="H1985" i="16"/>
  <c r="H2001" i="16"/>
  <c r="H2017" i="16"/>
  <c r="H2029" i="16"/>
  <c r="H2042" i="16"/>
  <c r="H2056" i="16"/>
  <c r="H2066" i="16"/>
  <c r="H2077" i="16"/>
  <c r="H2088" i="16"/>
  <c r="H2098" i="16"/>
  <c r="H2109" i="16"/>
  <c r="H2120" i="16"/>
  <c r="H2130" i="16"/>
  <c r="H2141" i="16"/>
  <c r="H2152" i="16"/>
  <c r="H2162" i="16"/>
  <c r="H2173" i="16"/>
  <c r="H2184" i="16"/>
  <c r="H2194" i="16"/>
  <c r="H2205" i="16"/>
  <c r="H2215" i="16"/>
  <c r="H2224" i="16"/>
  <c r="H2233" i="16"/>
  <c r="H2242" i="16"/>
  <c r="H2251" i="16"/>
  <c r="H2261" i="16"/>
  <c r="H2270" i="16"/>
  <c r="H2279" i="16"/>
  <c r="H2287" i="16"/>
  <c r="H2295" i="16"/>
  <c r="H2303" i="16"/>
  <c r="H2311" i="16"/>
  <c r="H2319" i="16"/>
  <c r="H2327" i="16"/>
  <c r="H2335" i="16"/>
  <c r="H2343" i="16"/>
  <c r="H2351" i="16"/>
  <c r="H2359" i="16"/>
  <c r="H2367" i="16"/>
  <c r="H2375" i="16"/>
  <c r="H2383" i="16"/>
  <c r="H2391" i="16"/>
  <c r="H2399" i="16"/>
  <c r="H2407" i="16"/>
  <c r="H2415" i="16"/>
  <c r="H2423" i="16"/>
  <c r="H2431" i="16"/>
  <c r="H2439" i="16"/>
  <c r="H2447" i="16"/>
  <c r="H2455" i="16"/>
  <c r="H2463" i="16"/>
  <c r="H2471" i="16"/>
  <c r="H2479" i="16"/>
  <c r="H2487" i="16"/>
  <c r="H2495" i="16"/>
  <c r="H2503" i="16"/>
  <c r="H2511" i="16"/>
  <c r="H2519" i="16"/>
  <c r="H2527" i="16"/>
  <c r="H2535" i="16"/>
  <c r="H2543" i="16"/>
  <c r="H2551" i="16"/>
  <c r="H2559" i="16"/>
  <c r="H2567" i="16"/>
  <c r="H2575" i="16"/>
  <c r="H2583" i="16"/>
  <c r="H2591" i="16"/>
  <c r="H2599" i="16"/>
  <c r="H2607" i="16"/>
  <c r="H2615" i="16"/>
  <c r="H2623" i="16"/>
  <c r="H2631" i="16"/>
  <c r="H2639" i="16"/>
  <c r="H2647" i="16"/>
  <c r="H2655" i="16"/>
  <c r="H2663" i="16"/>
  <c r="H2671" i="16"/>
  <c r="H2679" i="16"/>
  <c r="H2687" i="16"/>
  <c r="H2695" i="16"/>
  <c r="H2703" i="16"/>
  <c r="H2711" i="16"/>
  <c r="H2719" i="16"/>
  <c r="H2727" i="16"/>
  <c r="H2735" i="16"/>
  <c r="H2743" i="16"/>
  <c r="H2751" i="16"/>
  <c r="H2759" i="16"/>
  <c r="H2767" i="16"/>
  <c r="H2775" i="16"/>
  <c r="H2783" i="16"/>
  <c r="H2791" i="16"/>
  <c r="H2799" i="16"/>
  <c r="H2807" i="16"/>
  <c r="H2815" i="16"/>
  <c r="H2823" i="16"/>
  <c r="H2831" i="16"/>
  <c r="H2839" i="16"/>
  <c r="H2847" i="16"/>
  <c r="H2855" i="16"/>
  <c r="H2863" i="16"/>
  <c r="H2871" i="16"/>
  <c r="H2879" i="16"/>
  <c r="H2887" i="16"/>
  <c r="H2895" i="16"/>
  <c r="H2903" i="16"/>
  <c r="H2911" i="16"/>
  <c r="H2919" i="16"/>
  <c r="H2927" i="16"/>
  <c r="H1890" i="16"/>
  <c r="H1954" i="16"/>
  <c r="H1970" i="16"/>
  <c r="H1986" i="16"/>
  <c r="H2002" i="16"/>
  <c r="H2018" i="16"/>
  <c r="H2032" i="16"/>
  <c r="H2043" i="16"/>
  <c r="H2057" i="16"/>
  <c r="H2067" i="16"/>
  <c r="H2079" i="16"/>
  <c r="H2089" i="16"/>
  <c r="H2099" i="16"/>
  <c r="H2111" i="16"/>
  <c r="H2121" i="16"/>
  <c r="H2131" i="16"/>
  <c r="H2143" i="16"/>
  <c r="H2153" i="16"/>
  <c r="H2163" i="16"/>
  <c r="H2175" i="16"/>
  <c r="H2185" i="16"/>
  <c r="H2195" i="16"/>
  <c r="H2207" i="16"/>
  <c r="H2216" i="16"/>
  <c r="H2225" i="16"/>
  <c r="H2234" i="16"/>
  <c r="H2243" i="16"/>
  <c r="H2253" i="16"/>
  <c r="H2262" i="16"/>
  <c r="H2271" i="16"/>
  <c r="H2280" i="16"/>
  <c r="H2288" i="16"/>
  <c r="H2296" i="16"/>
  <c r="H2304" i="16"/>
  <c r="H2312" i="16"/>
  <c r="H2320" i="16"/>
  <c r="H2328" i="16"/>
  <c r="H2336" i="16"/>
  <c r="H2344" i="16"/>
  <c r="H2352" i="16"/>
  <c r="H2360" i="16"/>
  <c r="H2368" i="16"/>
  <c r="H2376" i="16"/>
  <c r="H2384" i="16"/>
  <c r="H2392" i="16"/>
  <c r="H2400" i="16"/>
  <c r="H2408" i="16"/>
  <c r="H2416" i="16"/>
  <c r="H2424" i="16"/>
  <c r="H2432" i="16"/>
  <c r="H2440" i="16"/>
  <c r="H2448" i="16"/>
  <c r="H2456" i="16"/>
  <c r="H2464" i="16"/>
  <c r="H2472" i="16"/>
  <c r="H2480" i="16"/>
  <c r="H2488" i="16"/>
  <c r="H2496" i="16"/>
  <c r="H2504" i="16"/>
  <c r="H2512" i="16"/>
  <c r="H2520" i="16"/>
  <c r="H2528" i="16"/>
  <c r="H2536" i="16"/>
  <c r="H2544" i="16"/>
  <c r="H2552" i="16"/>
  <c r="H2560" i="16"/>
  <c r="H2568" i="16"/>
  <c r="H2576" i="16"/>
  <c r="H2584" i="16"/>
  <c r="H2592" i="16"/>
  <c r="H2600" i="16"/>
  <c r="H2608" i="16"/>
  <c r="H2616" i="16"/>
  <c r="H2624" i="16"/>
  <c r="H2632" i="16"/>
  <c r="H2640" i="16"/>
  <c r="H2648" i="16"/>
  <c r="H2656" i="16"/>
  <c r="H2664" i="16"/>
  <c r="H2672" i="16"/>
  <c r="H2680" i="16"/>
  <c r="H2688" i="16"/>
  <c r="H2696" i="16"/>
  <c r="H2704" i="16"/>
  <c r="H2712" i="16"/>
  <c r="H2720" i="16"/>
  <c r="H2728" i="16"/>
  <c r="H2736" i="16"/>
  <c r="H2744" i="16"/>
  <c r="H2752" i="16"/>
  <c r="H1898" i="16"/>
  <c r="H1957" i="16"/>
  <c r="H1973" i="16"/>
  <c r="H1989" i="16"/>
  <c r="H2005" i="16"/>
  <c r="H2019" i="16"/>
  <c r="H2033" i="16"/>
  <c r="H2045" i="16"/>
  <c r="H2058" i="16"/>
  <c r="H2069" i="16"/>
  <c r="H2080" i="16"/>
  <c r="H2090" i="16"/>
  <c r="H2101" i="16"/>
  <c r="H2112" i="16"/>
  <c r="H2122" i="16"/>
  <c r="H2133" i="16"/>
  <c r="H2144" i="16"/>
  <c r="H2154" i="16"/>
  <c r="H2165" i="16"/>
  <c r="H2176" i="16"/>
  <c r="H2186" i="16"/>
  <c r="H2197" i="16"/>
  <c r="H2208" i="16"/>
  <c r="H2217" i="16"/>
  <c r="H2226" i="16"/>
  <c r="H2235" i="16"/>
  <c r="H2245" i="16"/>
  <c r="H2254" i="16"/>
  <c r="H2263" i="16"/>
  <c r="H2272" i="16"/>
  <c r="H2281" i="16"/>
  <c r="H2289" i="16"/>
  <c r="H2297" i="16"/>
  <c r="H2305" i="16"/>
  <c r="H2313" i="16"/>
  <c r="H2321" i="16"/>
  <c r="H2329" i="16"/>
  <c r="H2337" i="16"/>
  <c r="H2345" i="16"/>
  <c r="H2353" i="16"/>
  <c r="H2361" i="16"/>
  <c r="H2369" i="16"/>
  <c r="H2377" i="16"/>
  <c r="H2385" i="16"/>
  <c r="H2393" i="16"/>
  <c r="H2401" i="16"/>
  <c r="H2409" i="16"/>
  <c r="H2417" i="16"/>
  <c r="H2425" i="16"/>
  <c r="H2433" i="16"/>
  <c r="H2441" i="16"/>
  <c r="H2449" i="16"/>
  <c r="H2457" i="16"/>
  <c r="H2465" i="16"/>
  <c r="H2473" i="16"/>
  <c r="H2481" i="16"/>
  <c r="H2489" i="16"/>
  <c r="H2497" i="16"/>
  <c r="H2505" i="16"/>
  <c r="H2513" i="16"/>
  <c r="H2521" i="16"/>
  <c r="H2529" i="16"/>
  <c r="H2537" i="16"/>
  <c r="H2545" i="16"/>
  <c r="H2553" i="16"/>
  <c r="H2561" i="16"/>
  <c r="H2569" i="16"/>
  <c r="H2577" i="16"/>
  <c r="H2585" i="16"/>
  <c r="H2593" i="16"/>
  <c r="H2601" i="16"/>
  <c r="H2609" i="16"/>
  <c r="H2617" i="16"/>
  <c r="H2625" i="16"/>
  <c r="H2633" i="16"/>
  <c r="H2641" i="16"/>
  <c r="H2649" i="16"/>
  <c r="H2657" i="16"/>
  <c r="H2665" i="16"/>
  <c r="H2673" i="16"/>
  <c r="H2681" i="16"/>
  <c r="H2689" i="16"/>
  <c r="H2697" i="16"/>
  <c r="H2705" i="16"/>
  <c r="H2713" i="16"/>
  <c r="H1906" i="16"/>
  <c r="H1960" i="16"/>
  <c r="H1976" i="16"/>
  <c r="H1992" i="16"/>
  <c r="H2008" i="16"/>
  <c r="H2021" i="16"/>
  <c r="H2034" i="16"/>
  <c r="H2048" i="16"/>
  <c r="H2059" i="16"/>
  <c r="H2071" i="16"/>
  <c r="H2081" i="16"/>
  <c r="H2091" i="16"/>
  <c r="H2103" i="16"/>
  <c r="H2113" i="16"/>
  <c r="H2123" i="16"/>
  <c r="H2135" i="16"/>
  <c r="H2145" i="16"/>
  <c r="H2155" i="16"/>
  <c r="H2167" i="16"/>
  <c r="H2177" i="16"/>
  <c r="H2187" i="16"/>
  <c r="H2199" i="16"/>
  <c r="H2209" i="16"/>
  <c r="H2218" i="16"/>
  <c r="H2227" i="16"/>
  <c r="H2237" i="16"/>
  <c r="H2246" i="16"/>
  <c r="H2255" i="16"/>
  <c r="H2264" i="16"/>
  <c r="H2273" i="16"/>
  <c r="H2282" i="16"/>
  <c r="H2290" i="16"/>
  <c r="H2298" i="16"/>
  <c r="H2306" i="16"/>
  <c r="H2314" i="16"/>
  <c r="H2322" i="16"/>
  <c r="H2330" i="16"/>
  <c r="H2338" i="16"/>
  <c r="H2346" i="16"/>
  <c r="H2354" i="16"/>
  <c r="H2362" i="16"/>
  <c r="H2370" i="16"/>
  <c r="H2378" i="16"/>
  <c r="H2386" i="16"/>
  <c r="H2394" i="16"/>
  <c r="H2402" i="16"/>
  <c r="H2410" i="16"/>
  <c r="H2418" i="16"/>
  <c r="H2426" i="16"/>
  <c r="H2434" i="16"/>
  <c r="H2442" i="16"/>
  <c r="H2450" i="16"/>
  <c r="H2458" i="16"/>
  <c r="H1914" i="16"/>
  <c r="H1961" i="16"/>
  <c r="H1977" i="16"/>
  <c r="H1993" i="16"/>
  <c r="H2009" i="16"/>
  <c r="H2024" i="16"/>
  <c r="H2035" i="16"/>
  <c r="H2049" i="16"/>
  <c r="H2061" i="16"/>
  <c r="H2072" i="16"/>
  <c r="H2082" i="16"/>
  <c r="H2093" i="16"/>
  <c r="H2104" i="16"/>
  <c r="H2114" i="16"/>
  <c r="H2125" i="16"/>
  <c r="H2136" i="16"/>
  <c r="H2146" i="16"/>
  <c r="H2157" i="16"/>
  <c r="H2168" i="16"/>
  <c r="H2178" i="16"/>
  <c r="H2189" i="16"/>
  <c r="H2200" i="16"/>
  <c r="H2210" i="16"/>
  <c r="H2219" i="16"/>
  <c r="H2229" i="16"/>
  <c r="H2238" i="16"/>
  <c r="H2247" i="16"/>
  <c r="H2256" i="16"/>
  <c r="H2265" i="16"/>
  <c r="H2274" i="16"/>
  <c r="H2283" i="16"/>
  <c r="H2291" i="16"/>
  <c r="H2299" i="16"/>
  <c r="H2307" i="16"/>
  <c r="H2315" i="16"/>
  <c r="H2323" i="16"/>
  <c r="H2331" i="16"/>
  <c r="H2339" i="16"/>
  <c r="H2347" i="16"/>
  <c r="H2355" i="16"/>
  <c r="H2363" i="16"/>
  <c r="H2371" i="16"/>
  <c r="H2379" i="16"/>
  <c r="H2387" i="16"/>
  <c r="H2395" i="16"/>
  <c r="H2403" i="16"/>
  <c r="H2411" i="16"/>
  <c r="H2419" i="16"/>
  <c r="H2427" i="16"/>
  <c r="H2435" i="16"/>
  <c r="H2443" i="16"/>
  <c r="H2451" i="16"/>
  <c r="H2459" i="16"/>
  <c r="H2467" i="16"/>
  <c r="H2475" i="16"/>
  <c r="H2483" i="16"/>
  <c r="H2491" i="16"/>
  <c r="H2499" i="16"/>
  <c r="H2507" i="16"/>
  <c r="H2515" i="16"/>
  <c r="H2523" i="16"/>
  <c r="H2531" i="16"/>
  <c r="H2539" i="16"/>
  <c r="H2547" i="16"/>
  <c r="H2555" i="16"/>
  <c r="H2563" i="16"/>
  <c r="H2571" i="16"/>
  <c r="H2579" i="16"/>
  <c r="H2587" i="16"/>
  <c r="H2595" i="16"/>
  <c r="H2603" i="16"/>
  <c r="H1922" i="16"/>
  <c r="H1962" i="16"/>
  <c r="H1978" i="16"/>
  <c r="H1994" i="16"/>
  <c r="H2010" i="16"/>
  <c r="H2025" i="16"/>
  <c r="H2037" i="16"/>
  <c r="H2050" i="16"/>
  <c r="H2063" i="16"/>
  <c r="H2073" i="16"/>
  <c r="H2083" i="16"/>
  <c r="H2095" i="16"/>
  <c r="H2105" i="16"/>
  <c r="H2115" i="16"/>
  <c r="H2127" i="16"/>
  <c r="H2137" i="16"/>
  <c r="H2147" i="16"/>
  <c r="H2159" i="16"/>
  <c r="H2169" i="16"/>
  <c r="H2179" i="16"/>
  <c r="H2191" i="16"/>
  <c r="H2201" i="16"/>
  <c r="H2211" i="16"/>
  <c r="H2221" i="16"/>
  <c r="H2230" i="16"/>
  <c r="H2239" i="16"/>
  <c r="H2248" i="16"/>
  <c r="H2257" i="16"/>
  <c r="H2266" i="16"/>
  <c r="H2275" i="16"/>
  <c r="H2284" i="16"/>
  <c r="H2292" i="16"/>
  <c r="H2300" i="16"/>
  <c r="H2308" i="16"/>
  <c r="H2316" i="16"/>
  <c r="H2324" i="16"/>
  <c r="H2332" i="16"/>
  <c r="H2340" i="16"/>
  <c r="H2348" i="16"/>
  <c r="H2356" i="16"/>
  <c r="H2364" i="16"/>
  <c r="H2372" i="16"/>
  <c r="H2380" i="16"/>
  <c r="H2388" i="16"/>
  <c r="H2396" i="16"/>
  <c r="H2404" i="16"/>
  <c r="H2412" i="16"/>
  <c r="H2420" i="16"/>
  <c r="H2428" i="16"/>
  <c r="H2436" i="16"/>
  <c r="H2444" i="16"/>
  <c r="H2452" i="16"/>
  <c r="H2460" i="16"/>
  <c r="H2468" i="16"/>
  <c r="H2476" i="16"/>
  <c r="H2484" i="16"/>
  <c r="H2492" i="16"/>
  <c r="H2500" i="16"/>
  <c r="H2508" i="16"/>
  <c r="H2516" i="16"/>
  <c r="H2524" i="16"/>
  <c r="H2532" i="16"/>
  <c r="H2540" i="16"/>
  <c r="H2548" i="16"/>
  <c r="H2556" i="16"/>
  <c r="H2564" i="16"/>
  <c r="H2572" i="16"/>
  <c r="H2580" i="16"/>
  <c r="H2588" i="16"/>
  <c r="H2596" i="16"/>
  <c r="H2604" i="16"/>
  <c r="H2612" i="16"/>
  <c r="H2620" i="16"/>
  <c r="H2628" i="16"/>
  <c r="H2636" i="16"/>
  <c r="H3003" i="16"/>
  <c r="H2994" i="16"/>
  <c r="H2985" i="16"/>
  <c r="H2976" i="16"/>
  <c r="H2967" i="16"/>
  <c r="H2958" i="16"/>
  <c r="H2948" i="16"/>
  <c r="H2939" i="16"/>
  <c r="H2930" i="16"/>
  <c r="H2920" i="16"/>
  <c r="H2906" i="16"/>
  <c r="H2892" i="16"/>
  <c r="H2881" i="16"/>
  <c r="H2867" i="16"/>
  <c r="H2856" i="16"/>
  <c r="H2842" i="16"/>
  <c r="H2828" i="16"/>
  <c r="H2817" i="16"/>
  <c r="H2803" i="16"/>
  <c r="H2792" i="16"/>
  <c r="H2778" i="16"/>
  <c r="H2764" i="16"/>
  <c r="H2753" i="16"/>
  <c r="H2737" i="16"/>
  <c r="H2721" i="16"/>
  <c r="H2699" i="16"/>
  <c r="H2676" i="16"/>
  <c r="H2658" i="16"/>
  <c r="H2634" i="16"/>
  <c r="H2594" i="16"/>
  <c r="H2530" i="16"/>
  <c r="H2466" i="16"/>
  <c r="Q13" i="15"/>
  <c r="Q10" i="15"/>
  <c r="H10" i="15"/>
  <c r="H9" i="15"/>
  <c r="Q9" i="15"/>
  <c r="Q12" i="15"/>
  <c r="H12" i="15"/>
  <c r="J35" i="13"/>
  <c r="J37" i="13" s="1"/>
  <c r="G35" i="13"/>
  <c r="G37" i="13" s="1"/>
  <c r="H19" i="13"/>
  <c r="K19" i="13"/>
  <c r="I35" i="13"/>
  <c r="I37" i="13" s="1"/>
  <c r="K35" i="13"/>
  <c r="K37" i="13" s="1"/>
  <c r="H35" i="13"/>
  <c r="H37" i="13" s="1"/>
  <c r="G19" i="13"/>
  <c r="H13" i="13"/>
  <c r="J19" i="13"/>
  <c r="J13" i="13"/>
  <c r="K13" i="13"/>
  <c r="K21" i="13" s="1"/>
  <c r="G13" i="13"/>
  <c r="I13" i="13"/>
  <c r="I21" i="13" s="1"/>
  <c r="C36" i="10"/>
  <c r="D34" i="10" s="1"/>
  <c r="E27" i="10"/>
  <c r="J43" i="10" s="1"/>
  <c r="G14" i="10"/>
  <c r="J14" i="10" s="1"/>
  <c r="G16" i="10"/>
  <c r="J16" i="10" s="1"/>
  <c r="G13" i="10"/>
  <c r="J13" i="10" s="1"/>
  <c r="D35" i="10" l="1"/>
  <c r="D38" i="10" s="1"/>
  <c r="H13" i="15"/>
  <c r="L30" i="16"/>
  <c r="M30" i="16" s="1"/>
  <c r="N30" i="16" s="1"/>
  <c r="L32" i="16"/>
  <c r="M32" i="16" s="1"/>
  <c r="N32" i="16" s="1"/>
  <c r="L33" i="16"/>
  <c r="M33" i="16" s="1"/>
  <c r="N33" i="16" s="1"/>
  <c r="L31" i="16"/>
  <c r="M31" i="16" s="1"/>
  <c r="N31" i="16" s="1"/>
  <c r="N25" i="16"/>
  <c r="N24" i="16"/>
  <c r="N23" i="16"/>
  <c r="N26" i="16"/>
  <c r="P9" i="15"/>
  <c r="O9" i="15"/>
  <c r="P13" i="15"/>
  <c r="O13" i="15"/>
  <c r="P12" i="15"/>
  <c r="O12" i="15"/>
  <c r="P10" i="15"/>
  <c r="O10" i="15"/>
  <c r="H11" i="15"/>
  <c r="Q11" i="15"/>
  <c r="Q20" i="15" s="1"/>
  <c r="H21" i="13"/>
  <c r="I47" i="13" s="1"/>
  <c r="J21" i="13"/>
  <c r="J39" i="13" s="1"/>
  <c r="I39" i="13"/>
  <c r="G21" i="13"/>
  <c r="G39" i="13" s="1"/>
  <c r="K39" i="13"/>
  <c r="J19" i="10"/>
  <c r="J20" i="10"/>
  <c r="J33" i="10" s="1"/>
  <c r="H20" i="10"/>
  <c r="H19" i="10"/>
  <c r="E34" i="10" s="1"/>
  <c r="E35" i="10" s="1"/>
  <c r="J41" i="10" s="1"/>
  <c r="G19" i="10"/>
  <c r="G20" i="10"/>
  <c r="Q16" i="15" l="1"/>
  <c r="Q19" i="15"/>
  <c r="J47" i="13"/>
  <c r="J53" i="13" s="1"/>
  <c r="Q15" i="15"/>
  <c r="Q18" i="15"/>
  <c r="Q17" i="15"/>
  <c r="K47" i="13"/>
  <c r="K53" i="13" s="1"/>
  <c r="P11" i="15"/>
  <c r="P20" i="15" s="1"/>
  <c r="O11" i="15"/>
  <c r="O16" i="15" s="1"/>
  <c r="I53" i="13"/>
  <c r="H39" i="13"/>
  <c r="H47" i="13"/>
  <c r="H53" i="13" s="1"/>
  <c r="E38" i="10"/>
  <c r="J34" i="10" s="1"/>
  <c r="J36" i="10" s="1"/>
  <c r="J27" i="10" s="1"/>
  <c r="J28" i="10" s="1"/>
  <c r="J40" i="10" s="1"/>
  <c r="J44" i="10"/>
  <c r="G15" i="9"/>
  <c r="G16" i="9"/>
  <c r="G17" i="9"/>
  <c r="G18" i="9"/>
  <c r="G19" i="9"/>
  <c r="G20" i="9"/>
  <c r="G21" i="9"/>
  <c r="G22" i="9"/>
  <c r="G23" i="9"/>
  <c r="G24" i="9"/>
  <c r="G25" i="9"/>
  <c r="G26" i="9"/>
  <c r="G27" i="9"/>
  <c r="G28" i="9"/>
  <c r="G29" i="9"/>
  <c r="G30" i="9"/>
  <c r="G31" i="9"/>
  <c r="G32" i="9"/>
  <c r="G33" i="9"/>
  <c r="G34" i="9"/>
  <c r="G35" i="9"/>
  <c r="G36" i="9"/>
  <c r="G37" i="9"/>
  <c r="G38" i="9"/>
  <c r="G39" i="9"/>
  <c r="G40" i="9"/>
  <c r="G41" i="9"/>
  <c r="G42" i="9"/>
  <c r="G43" i="9"/>
  <c r="G44" i="9"/>
  <c r="G45" i="9"/>
  <c r="G46" i="9"/>
  <c r="G47" i="9"/>
  <c r="G48" i="9"/>
  <c r="G49" i="9"/>
  <c r="G50" i="9"/>
  <c r="G51" i="9"/>
  <c r="G52" i="9"/>
  <c r="G53" i="9"/>
  <c r="G54" i="9"/>
  <c r="G55" i="9"/>
  <c r="G56" i="9"/>
  <c r="G57" i="9"/>
  <c r="G58" i="9"/>
  <c r="G59" i="9"/>
  <c r="G60" i="9"/>
  <c r="G61" i="9"/>
  <c r="G62" i="9"/>
  <c r="G63" i="9"/>
  <c r="G64" i="9"/>
  <c r="G65"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54" i="9"/>
  <c r="D55" i="9"/>
  <c r="D56" i="9"/>
  <c r="D57" i="9"/>
  <c r="D58" i="9"/>
  <c r="D59" i="9"/>
  <c r="D60" i="9"/>
  <c r="D61" i="9"/>
  <c r="D62" i="9"/>
  <c r="D63" i="9"/>
  <c r="D64" i="9"/>
  <c r="D65" i="9"/>
  <c r="P16" i="15" l="1"/>
  <c r="O17" i="15"/>
  <c r="O18" i="15"/>
  <c r="O24" i="15" s="1"/>
  <c r="O26" i="15" s="1"/>
  <c r="O29" i="15" s="1"/>
  <c r="O32" i="15" s="1"/>
  <c r="O13" i="9"/>
  <c r="J46" i="10"/>
  <c r="E30" i="14" s="1"/>
  <c r="P17" i="15"/>
  <c r="P15" i="15"/>
  <c r="P18" i="15"/>
  <c r="P24" i="15" s="1"/>
  <c r="P26" i="15" s="1"/>
  <c r="P29" i="15" s="1"/>
  <c r="P32" i="15" s="1"/>
  <c r="O19" i="15"/>
  <c r="Q26" i="15"/>
  <c r="Q29" i="15" s="1"/>
  <c r="Q32" i="15" s="1"/>
  <c r="Q24" i="15"/>
  <c r="P19" i="15"/>
  <c r="O20" i="15"/>
  <c r="O15" i="15"/>
  <c r="O11" i="9"/>
  <c r="J11" i="9" s="1"/>
  <c r="J17" i="9" s="1"/>
  <c r="H19" i="14" l="1"/>
  <c r="G19" i="14"/>
  <c r="F19" i="14"/>
  <c r="K19" i="14"/>
  <c r="J19" i="14"/>
  <c r="I19" i="14"/>
  <c r="L7" i="8"/>
  <c r="G7" i="8"/>
  <c r="B7" i="8"/>
  <c r="D9" i="8" a="1"/>
  <c r="D9" i="8" s="1"/>
  <c r="M9" i="8"/>
  <c r="M10" i="8" s="1"/>
  <c r="M11" i="8" s="1"/>
  <c r="M12" i="8" s="1"/>
  <c r="M13" i="8" s="1"/>
  <c r="M14" i="8" s="1"/>
  <c r="M15" i="8" s="1"/>
  <c r="M16" i="8" s="1"/>
  <c r="M17" i="8" s="1"/>
  <c r="M18" i="8" s="1"/>
  <c r="M19" i="8" s="1"/>
  <c r="M20" i="8" s="1"/>
  <c r="M21" i="8" s="1"/>
  <c r="M22" i="8" s="1"/>
  <c r="M23" i="8" s="1"/>
  <c r="M24" i="8" s="1"/>
  <c r="H9" i="8"/>
  <c r="H10" i="8" s="1"/>
  <c r="H11" i="8" s="1"/>
  <c r="H12" i="8" s="1"/>
  <c r="H13" i="8" s="1"/>
  <c r="H14" i="8" s="1"/>
  <c r="H15" i="8" s="1"/>
  <c r="H16" i="8" s="1"/>
  <c r="H17" i="8" s="1"/>
  <c r="H18" i="8" s="1"/>
  <c r="H19" i="8" s="1"/>
  <c r="H20" i="8" s="1"/>
  <c r="H21" i="8" s="1"/>
  <c r="H22" i="8" s="1"/>
  <c r="H23" i="8" s="1"/>
  <c r="H24" i="8" s="1"/>
  <c r="C9" i="8"/>
  <c r="C10" i="8" s="1"/>
  <c r="C11" i="8" s="1"/>
  <c r="C12" i="8" s="1"/>
  <c r="C13" i="8" s="1"/>
  <c r="C14" i="8" s="1"/>
  <c r="C15" i="8" s="1"/>
  <c r="C16" i="8" s="1"/>
  <c r="C17" i="8" s="1"/>
  <c r="C18" i="8" s="1"/>
  <c r="C19" i="8" s="1"/>
  <c r="C20" i="8" s="1"/>
  <c r="C21" i="8" s="1"/>
  <c r="C22" i="8" s="1"/>
  <c r="C23" i="8" s="1"/>
  <c r="C24" i="8" s="1"/>
  <c r="L10" i="8"/>
  <c r="L11" i="8" s="1"/>
  <c r="L12" i="8" s="1"/>
  <c r="L13" i="8" s="1"/>
  <c r="L14" i="8" s="1"/>
  <c r="L15" i="8" s="1"/>
  <c r="L16" i="8" s="1"/>
  <c r="L17" i="8" s="1"/>
  <c r="L18" i="8" s="1"/>
  <c r="L19" i="8" s="1"/>
  <c r="G10" i="8"/>
  <c r="G11" i="8" s="1"/>
  <c r="G12" i="8" s="1"/>
  <c r="G13" i="8" s="1"/>
  <c r="G14" i="8" s="1"/>
  <c r="G15" i="8" s="1"/>
  <c r="G16" i="8" s="1"/>
  <c r="G17" i="8" s="1"/>
  <c r="G18" i="8" s="1"/>
  <c r="G19" i="8" s="1"/>
  <c r="B10" i="8"/>
  <c r="B11" i="8" s="1"/>
  <c r="B12" i="8" s="1"/>
  <c r="B13" i="8" s="1"/>
  <c r="B14" i="8" s="1"/>
  <c r="B15" i="8" s="1"/>
  <c r="B16" i="8" s="1"/>
  <c r="B17" i="8" s="1"/>
  <c r="B18" i="8" s="1"/>
  <c r="B19" i="8" s="1"/>
  <c r="D19" i="8" l="1"/>
  <c r="E19" i="8" s="1"/>
  <c r="B20" i="8"/>
  <c r="E15" i="8"/>
  <c r="G20" i="8"/>
  <c r="L20" i="8"/>
  <c r="E17" i="8"/>
  <c r="E16" i="8"/>
  <c r="E10" i="8"/>
  <c r="E12" i="8"/>
  <c r="D20" i="8" l="1"/>
  <c r="E20" i="8" s="1"/>
  <c r="G21" i="8"/>
  <c r="E13" i="8"/>
  <c r="E11" i="8"/>
  <c r="E18" i="8"/>
  <c r="B21" i="8"/>
  <c r="L21" i="8"/>
  <c r="E14" i="8"/>
  <c r="D21" i="8" l="1"/>
  <c r="E21" i="8" s="1"/>
  <c r="L22" i="8"/>
  <c r="B22" i="8"/>
  <c r="G22" i="8"/>
  <c r="D22" i="8" l="1"/>
  <c r="E22" i="8" s="1"/>
  <c r="G23" i="8"/>
  <c r="B23" i="8"/>
  <c r="L23" i="8"/>
  <c r="B24" i="8" l="1"/>
  <c r="L24" i="8"/>
  <c r="G24" i="8"/>
  <c r="D23" i="8"/>
  <c r="E23" i="8" s="1"/>
  <c r="D24" i="8" l="1"/>
  <c r="E24" i="8" s="1"/>
  <c r="L6" i="6" l="1"/>
  <c r="K6" i="6"/>
  <c r="J6" i="6"/>
  <c r="I6" i="6"/>
  <c r="H6" i="6"/>
  <c r="G6" i="6"/>
  <c r="F6" i="6"/>
  <c r="E6" i="6"/>
  <c r="D6" i="6"/>
  <c r="C6" i="6"/>
  <c r="B5" i="6"/>
  <c r="D85" i="3" l="1"/>
  <c r="E85" i="3"/>
  <c r="F85" i="3"/>
  <c r="G85" i="3"/>
  <c r="H85" i="3"/>
  <c r="I85" i="3"/>
  <c r="J85" i="3"/>
  <c r="K85" i="3"/>
  <c r="L85" i="3"/>
  <c r="D86" i="3"/>
  <c r="E86" i="3"/>
  <c r="F86" i="3"/>
  <c r="G86" i="3"/>
  <c r="H86" i="3"/>
  <c r="I86" i="3"/>
  <c r="J86" i="3"/>
  <c r="K86" i="3"/>
  <c r="L86" i="3"/>
  <c r="D87" i="3"/>
  <c r="E87" i="3"/>
  <c r="F87" i="3"/>
  <c r="G87" i="3"/>
  <c r="H87" i="3"/>
  <c r="I87" i="3"/>
  <c r="J87" i="3"/>
  <c r="K87" i="3"/>
  <c r="L87" i="3"/>
  <c r="D88" i="3"/>
  <c r="E88" i="3"/>
  <c r="F88" i="3"/>
  <c r="G88" i="3"/>
  <c r="H88" i="3"/>
  <c r="I88" i="3"/>
  <c r="J88" i="3"/>
  <c r="K88" i="3"/>
  <c r="L88" i="3"/>
  <c r="D89" i="3"/>
  <c r="E89" i="3"/>
  <c r="F89" i="3"/>
  <c r="G89" i="3"/>
  <c r="H89" i="3"/>
  <c r="I89" i="3"/>
  <c r="J89" i="3"/>
  <c r="K89" i="3"/>
  <c r="L89" i="3"/>
  <c r="D90" i="3"/>
  <c r="E90" i="3"/>
  <c r="F90" i="3"/>
  <c r="G90" i="3"/>
  <c r="H90" i="3"/>
  <c r="I90" i="3"/>
  <c r="J90" i="3"/>
  <c r="K90" i="3"/>
  <c r="L90" i="3"/>
  <c r="D91" i="3"/>
  <c r="E91" i="3"/>
  <c r="F91" i="3"/>
  <c r="G91" i="3"/>
  <c r="H91" i="3"/>
  <c r="I91" i="3"/>
  <c r="J91" i="3"/>
  <c r="K91" i="3"/>
  <c r="L91" i="3"/>
  <c r="D92" i="3"/>
  <c r="E92" i="3"/>
  <c r="F92" i="3"/>
  <c r="G92" i="3"/>
  <c r="H92" i="3"/>
  <c r="I92" i="3"/>
  <c r="J92" i="3"/>
  <c r="K92" i="3"/>
  <c r="L92" i="3"/>
  <c r="D93" i="3"/>
  <c r="E93" i="3"/>
  <c r="F93" i="3"/>
  <c r="G93" i="3"/>
  <c r="H93" i="3"/>
  <c r="I93" i="3"/>
  <c r="J93" i="3"/>
  <c r="K93" i="3"/>
  <c r="L93" i="3"/>
  <c r="D94" i="3"/>
  <c r="E94" i="3"/>
  <c r="F94" i="3"/>
  <c r="G94" i="3"/>
  <c r="H94" i="3"/>
  <c r="I94" i="3"/>
  <c r="J94" i="3"/>
  <c r="K94" i="3"/>
  <c r="L94" i="3"/>
  <c r="C86" i="3"/>
  <c r="C87" i="3"/>
  <c r="C88" i="3"/>
  <c r="C89" i="3"/>
  <c r="C90" i="3"/>
  <c r="C91" i="3"/>
  <c r="C92" i="3"/>
  <c r="C93" i="3"/>
  <c r="C94" i="3"/>
  <c r="C85" i="3"/>
  <c r="D74" i="3"/>
  <c r="E74" i="3"/>
  <c r="F74" i="3"/>
  <c r="G74" i="3"/>
  <c r="H74" i="3"/>
  <c r="I74" i="3"/>
  <c r="J74" i="3"/>
  <c r="K74" i="3"/>
  <c r="L74" i="3"/>
  <c r="D75" i="3"/>
  <c r="E75" i="3"/>
  <c r="F75" i="3"/>
  <c r="G75" i="3"/>
  <c r="H75" i="3"/>
  <c r="I75" i="3"/>
  <c r="J75" i="3"/>
  <c r="K75" i="3"/>
  <c r="L75" i="3"/>
  <c r="D76" i="3"/>
  <c r="E76" i="3"/>
  <c r="F76" i="3"/>
  <c r="G76" i="3"/>
  <c r="H76" i="3"/>
  <c r="I76" i="3"/>
  <c r="J76" i="3"/>
  <c r="K76" i="3"/>
  <c r="L76" i="3"/>
  <c r="D77" i="3"/>
  <c r="E77" i="3"/>
  <c r="F77" i="3"/>
  <c r="G77" i="3"/>
  <c r="H77" i="3"/>
  <c r="I77" i="3"/>
  <c r="J77" i="3"/>
  <c r="K77" i="3"/>
  <c r="L77" i="3"/>
  <c r="D78" i="3"/>
  <c r="E78" i="3"/>
  <c r="F78" i="3"/>
  <c r="G78" i="3"/>
  <c r="H78" i="3"/>
  <c r="I78" i="3"/>
  <c r="J78" i="3"/>
  <c r="K78" i="3"/>
  <c r="L78" i="3"/>
  <c r="D79" i="3"/>
  <c r="E79" i="3"/>
  <c r="F79" i="3"/>
  <c r="G79" i="3"/>
  <c r="H79" i="3"/>
  <c r="I79" i="3"/>
  <c r="J79" i="3"/>
  <c r="K79" i="3"/>
  <c r="L79" i="3"/>
  <c r="D80" i="3"/>
  <c r="E80" i="3"/>
  <c r="F80" i="3"/>
  <c r="G80" i="3"/>
  <c r="H80" i="3"/>
  <c r="I80" i="3"/>
  <c r="J80" i="3"/>
  <c r="K80" i="3"/>
  <c r="L80" i="3"/>
  <c r="D81" i="3"/>
  <c r="E81" i="3"/>
  <c r="F81" i="3"/>
  <c r="G81" i="3"/>
  <c r="H81" i="3"/>
  <c r="I81" i="3"/>
  <c r="J81" i="3"/>
  <c r="K81" i="3"/>
  <c r="L81" i="3"/>
  <c r="C75" i="3"/>
  <c r="C76" i="3"/>
  <c r="C77" i="3"/>
  <c r="C78" i="3"/>
  <c r="C79" i="3"/>
  <c r="C80" i="3"/>
  <c r="C81" i="3"/>
  <c r="C74" i="3"/>
  <c r="L106" i="3"/>
  <c r="K106" i="3"/>
  <c r="J106" i="3"/>
  <c r="I106" i="3"/>
  <c r="H106" i="3"/>
  <c r="G106" i="3"/>
  <c r="F106" i="3"/>
  <c r="E106" i="3"/>
  <c r="D106" i="3"/>
  <c r="C106" i="3"/>
  <c r="L105" i="3"/>
  <c r="K105" i="3"/>
  <c r="J105" i="3"/>
  <c r="I105" i="3"/>
  <c r="H105" i="3"/>
  <c r="G105" i="3"/>
  <c r="F105" i="3"/>
  <c r="E105" i="3"/>
  <c r="D105" i="3"/>
  <c r="C105" i="3"/>
  <c r="L104" i="3"/>
  <c r="K104" i="3"/>
  <c r="J104" i="3"/>
  <c r="I104" i="3"/>
  <c r="H104" i="3"/>
  <c r="G104" i="3"/>
  <c r="F104" i="3"/>
  <c r="E104" i="3"/>
  <c r="D104" i="3"/>
  <c r="C104" i="3"/>
  <c r="L103" i="3"/>
  <c r="K103" i="3"/>
  <c r="J103" i="3"/>
  <c r="I103" i="3"/>
  <c r="H103" i="3"/>
  <c r="G103" i="3"/>
  <c r="F103" i="3"/>
  <c r="E103" i="3"/>
  <c r="D103" i="3"/>
  <c r="C103" i="3"/>
  <c r="L102" i="3"/>
  <c r="K102" i="3"/>
  <c r="J102" i="3"/>
  <c r="I102" i="3"/>
  <c r="H102" i="3"/>
  <c r="G102" i="3"/>
  <c r="F102" i="3"/>
  <c r="E102" i="3"/>
  <c r="D102" i="3"/>
  <c r="C102" i="3"/>
  <c r="L101" i="3"/>
  <c r="K101" i="3"/>
  <c r="J101" i="3"/>
  <c r="I101" i="3"/>
  <c r="H101" i="3"/>
  <c r="G101" i="3"/>
  <c r="F101" i="3"/>
  <c r="E101" i="3"/>
  <c r="D101" i="3"/>
  <c r="C101" i="3"/>
  <c r="L100" i="3"/>
  <c r="K100" i="3"/>
  <c r="J100" i="3"/>
  <c r="I100" i="3"/>
  <c r="H100" i="3"/>
  <c r="G100" i="3"/>
  <c r="F100" i="3"/>
  <c r="E100" i="3"/>
  <c r="D100" i="3"/>
  <c r="C100" i="3"/>
  <c r="L99" i="3"/>
  <c r="K99" i="3"/>
  <c r="J99" i="3"/>
  <c r="I99" i="3"/>
  <c r="H99" i="3"/>
  <c r="G99" i="3"/>
  <c r="F99" i="3"/>
  <c r="E99" i="3"/>
  <c r="D99" i="3"/>
  <c r="C99" i="3"/>
  <c r="L98" i="3"/>
  <c r="K98" i="3"/>
  <c r="J98" i="3"/>
  <c r="I98" i="3"/>
  <c r="H98" i="3"/>
  <c r="G98" i="3"/>
  <c r="F98" i="3"/>
  <c r="E98" i="3"/>
  <c r="D98" i="3"/>
  <c r="C98" i="3"/>
  <c r="L60" i="3"/>
  <c r="K60" i="3"/>
  <c r="J60" i="3"/>
  <c r="I60" i="3"/>
  <c r="H60" i="3"/>
  <c r="G60" i="3"/>
  <c r="F60" i="3"/>
  <c r="E60" i="3"/>
  <c r="D60" i="3"/>
  <c r="C60" i="3"/>
  <c r="L65" i="3"/>
  <c r="K65" i="3"/>
  <c r="J65" i="3"/>
  <c r="I65" i="3"/>
  <c r="H65" i="3"/>
  <c r="G65" i="3"/>
  <c r="F65" i="3"/>
  <c r="E65" i="3"/>
  <c r="D65" i="3"/>
  <c r="L64" i="3"/>
  <c r="K64" i="3"/>
  <c r="J64" i="3"/>
  <c r="I64" i="3"/>
  <c r="H64" i="3"/>
  <c r="G64" i="3"/>
  <c r="F64" i="3"/>
  <c r="E64" i="3"/>
  <c r="D64" i="3"/>
  <c r="L63" i="3"/>
  <c r="K63" i="3"/>
  <c r="J63" i="3"/>
  <c r="I63" i="3"/>
  <c r="H63" i="3"/>
  <c r="G63" i="3"/>
  <c r="F63" i="3"/>
  <c r="E63" i="3"/>
  <c r="D63" i="3"/>
  <c r="C65" i="3"/>
  <c r="C64" i="3"/>
  <c r="C63" i="3"/>
  <c r="L59" i="3"/>
  <c r="K59" i="3"/>
  <c r="J59" i="3"/>
  <c r="I59" i="3"/>
  <c r="H59" i="3"/>
  <c r="G59" i="3"/>
  <c r="F59" i="3"/>
  <c r="E59" i="3"/>
  <c r="D59" i="3"/>
  <c r="C59" i="3"/>
  <c r="L58" i="3"/>
  <c r="K58" i="3"/>
  <c r="J58" i="3"/>
  <c r="I58" i="3"/>
  <c r="H58" i="3"/>
  <c r="G58" i="3"/>
  <c r="F58" i="3"/>
  <c r="E58" i="3"/>
  <c r="D58" i="3"/>
  <c r="C58" i="3"/>
  <c r="L57" i="3"/>
  <c r="K57" i="3"/>
  <c r="J57" i="3"/>
  <c r="I57" i="3"/>
  <c r="H57" i="3"/>
  <c r="G57" i="3"/>
  <c r="F57" i="3"/>
  <c r="E57" i="3"/>
  <c r="D57" i="3"/>
  <c r="C57" i="3"/>
  <c r="L55" i="3"/>
  <c r="K55" i="3"/>
  <c r="J55" i="3"/>
  <c r="I55" i="3"/>
  <c r="H55" i="3"/>
  <c r="G55" i="3"/>
  <c r="F55" i="3"/>
  <c r="E55" i="3"/>
  <c r="D55" i="3"/>
  <c r="L54" i="3"/>
  <c r="K54" i="3"/>
  <c r="J54" i="3"/>
  <c r="I54" i="3"/>
  <c r="H54" i="3"/>
  <c r="G54" i="3"/>
  <c r="F54" i="3"/>
  <c r="E54" i="3"/>
  <c r="D54" i="3"/>
  <c r="L53" i="3"/>
  <c r="K53" i="3"/>
  <c r="J53" i="3"/>
  <c r="I53" i="3"/>
  <c r="H53" i="3"/>
  <c r="G53" i="3"/>
  <c r="F53" i="3"/>
  <c r="E53" i="3"/>
  <c r="D53" i="3"/>
  <c r="L52" i="3"/>
  <c r="K52" i="3"/>
  <c r="J52" i="3"/>
  <c r="I52" i="3"/>
  <c r="H52" i="3"/>
  <c r="G52" i="3"/>
  <c r="F52" i="3"/>
  <c r="E52" i="3"/>
  <c r="D52" i="3"/>
  <c r="L51" i="3"/>
  <c r="K51" i="3"/>
  <c r="J51" i="3"/>
  <c r="I51" i="3"/>
  <c r="H51" i="3"/>
  <c r="G51" i="3"/>
  <c r="F51" i="3"/>
  <c r="E51" i="3"/>
  <c r="D51" i="3"/>
  <c r="C55" i="3"/>
  <c r="C54" i="3"/>
  <c r="C53" i="3"/>
  <c r="C52" i="3"/>
  <c r="C51" i="3"/>
  <c r="L39" i="3"/>
  <c r="K39" i="3"/>
  <c r="K44" i="3" s="1"/>
  <c r="K12" i="6" s="1"/>
  <c r="J39" i="3"/>
  <c r="J44" i="3" s="1"/>
  <c r="I39" i="3"/>
  <c r="I44" i="3" s="1"/>
  <c r="H39" i="3"/>
  <c r="H44" i="3" s="1"/>
  <c r="H12" i="6" s="1"/>
  <c r="G39" i="3"/>
  <c r="G44" i="3" s="1"/>
  <c r="F39" i="3"/>
  <c r="F44" i="3" s="1"/>
  <c r="E39" i="3"/>
  <c r="E44" i="3" s="1"/>
  <c r="D39" i="3"/>
  <c r="D44" i="3" s="1"/>
  <c r="C39" i="3"/>
  <c r="C44" i="3" s="1"/>
  <c r="L33" i="3"/>
  <c r="K33" i="3"/>
  <c r="J33" i="3"/>
  <c r="I33" i="3"/>
  <c r="H33" i="3"/>
  <c r="G33" i="3"/>
  <c r="F33" i="3"/>
  <c r="E33" i="3"/>
  <c r="D33" i="3"/>
  <c r="C33" i="3"/>
  <c r="L27" i="3"/>
  <c r="K27" i="3"/>
  <c r="J27" i="3"/>
  <c r="I27" i="3"/>
  <c r="H27" i="3"/>
  <c r="G27" i="3"/>
  <c r="F27" i="3"/>
  <c r="E27" i="3"/>
  <c r="D27" i="3"/>
  <c r="C27" i="3"/>
  <c r="L24" i="3"/>
  <c r="K24" i="3"/>
  <c r="J24" i="3"/>
  <c r="I24" i="3"/>
  <c r="H24" i="3"/>
  <c r="G24" i="3"/>
  <c r="F24" i="3"/>
  <c r="E24" i="3"/>
  <c r="D24" i="3"/>
  <c r="C24" i="3"/>
  <c r="L18" i="3"/>
  <c r="K18" i="3"/>
  <c r="J18" i="3"/>
  <c r="I18" i="3"/>
  <c r="H18" i="3"/>
  <c r="G18" i="3"/>
  <c r="F18" i="3"/>
  <c r="E18" i="3"/>
  <c r="D18" i="3"/>
  <c r="C18" i="3"/>
  <c r="L12" i="3"/>
  <c r="K12" i="3"/>
  <c r="J12" i="3"/>
  <c r="I12" i="3"/>
  <c r="H12" i="3"/>
  <c r="G12" i="3"/>
  <c r="F12" i="3"/>
  <c r="E12" i="3"/>
  <c r="D12" i="3"/>
  <c r="C12" i="3"/>
  <c r="L9" i="3"/>
  <c r="K9" i="3"/>
  <c r="J9" i="3"/>
  <c r="I9" i="3"/>
  <c r="H9" i="3"/>
  <c r="G9" i="3"/>
  <c r="F9" i="3"/>
  <c r="E9" i="3"/>
  <c r="D9" i="3"/>
  <c r="C9" i="3"/>
  <c r="L6" i="3"/>
  <c r="D6" i="3"/>
  <c r="E6" i="3"/>
  <c r="F6" i="3"/>
  <c r="G6" i="3"/>
  <c r="H6" i="3"/>
  <c r="I6" i="3"/>
  <c r="J6" i="3"/>
  <c r="K6" i="3"/>
  <c r="C6" i="3"/>
  <c r="B5" i="3"/>
  <c r="K73" i="2"/>
  <c r="J73" i="2"/>
  <c r="I73" i="2"/>
  <c r="H73" i="2"/>
  <c r="K51" i="2"/>
  <c r="J51" i="2"/>
  <c r="I51" i="2"/>
  <c r="H51" i="2"/>
  <c r="G51" i="2"/>
  <c r="F51" i="2"/>
  <c r="E51" i="2"/>
  <c r="D51" i="2"/>
  <c r="C51" i="2"/>
  <c r="B51" i="2"/>
  <c r="K34" i="2"/>
  <c r="J34" i="2"/>
  <c r="I34" i="2"/>
  <c r="H34" i="2"/>
  <c r="G34" i="2"/>
  <c r="F34" i="2"/>
  <c r="E34" i="2"/>
  <c r="D34" i="2"/>
  <c r="C34" i="2"/>
  <c r="B34" i="2"/>
  <c r="K32" i="2"/>
  <c r="J32" i="2"/>
  <c r="I32" i="2"/>
  <c r="H32" i="2"/>
  <c r="G32" i="2"/>
  <c r="F32" i="2"/>
  <c r="E32" i="2"/>
  <c r="D32" i="2"/>
  <c r="C32" i="2"/>
  <c r="B32" i="2"/>
  <c r="K15" i="2"/>
  <c r="B15" i="2"/>
  <c r="B6" i="2"/>
  <c r="E1" i="2"/>
  <c r="J12" i="6" l="1"/>
  <c r="G12" i="6"/>
  <c r="I31" i="6"/>
  <c r="I37" i="6" s="1"/>
  <c r="I34" i="6"/>
  <c r="I30" i="6"/>
  <c r="I36" i="6" s="1"/>
  <c r="I33" i="6"/>
  <c r="I32" i="6"/>
  <c r="I38" i="6" s="1"/>
  <c r="E12" i="6"/>
  <c r="J32" i="6"/>
  <c r="J38" i="6" s="1"/>
  <c r="J31" i="6"/>
  <c r="J37" i="6" s="1"/>
  <c r="J34" i="6"/>
  <c r="J30" i="6"/>
  <c r="J36" i="6" s="1"/>
  <c r="J33" i="6"/>
  <c r="F12" i="6"/>
  <c r="D12" i="6"/>
  <c r="C33" i="6"/>
  <c r="C32" i="6"/>
  <c r="C31" i="6"/>
  <c r="C34" i="6"/>
  <c r="C30" i="6"/>
  <c r="K32" i="6"/>
  <c r="K38" i="6" s="1"/>
  <c r="K31" i="6"/>
  <c r="K37" i="6" s="1"/>
  <c r="K34" i="6"/>
  <c r="K30" i="6"/>
  <c r="K36" i="6" s="1"/>
  <c r="K33" i="6"/>
  <c r="G34" i="6"/>
  <c r="G30" i="6"/>
  <c r="G36" i="6" s="1"/>
  <c r="G33" i="6"/>
  <c r="G32" i="6"/>
  <c r="G38" i="6" s="1"/>
  <c r="G31" i="6"/>
  <c r="G37" i="6" s="1"/>
  <c r="D33" i="6"/>
  <c r="D31" i="6"/>
  <c r="D37" i="6" s="1"/>
  <c r="D32" i="6"/>
  <c r="D38" i="6" s="1"/>
  <c r="D34" i="6"/>
  <c r="D30" i="6"/>
  <c r="D36" i="6" s="1"/>
  <c r="H31" i="6"/>
  <c r="H37" i="6" s="1"/>
  <c r="H33" i="6"/>
  <c r="H34" i="6"/>
  <c r="H30" i="6"/>
  <c r="H36" i="6" s="1"/>
  <c r="H32" i="6"/>
  <c r="H38" i="6" s="1"/>
  <c r="L33" i="6"/>
  <c r="L31" i="6"/>
  <c r="L37" i="6" s="1"/>
  <c r="L32" i="6"/>
  <c r="L38" i="6" s="1"/>
  <c r="L34" i="6"/>
  <c r="L30" i="6"/>
  <c r="L36" i="6" s="1"/>
  <c r="E33" i="6"/>
  <c r="E32" i="6"/>
  <c r="E38" i="6" s="1"/>
  <c r="E31" i="6"/>
  <c r="E37" i="6" s="1"/>
  <c r="E34" i="6"/>
  <c r="E30" i="6"/>
  <c r="E36" i="6" s="1"/>
  <c r="I12" i="6"/>
  <c r="F34" i="6"/>
  <c r="F30" i="6"/>
  <c r="F36" i="6" s="1"/>
  <c r="F33" i="6"/>
  <c r="F32" i="6"/>
  <c r="F38" i="6" s="1"/>
  <c r="F31" i="6"/>
  <c r="F37" i="6" s="1"/>
  <c r="G61" i="3"/>
  <c r="C82" i="3"/>
  <c r="C107" i="3"/>
  <c r="K107" i="3"/>
  <c r="H66" i="3"/>
  <c r="F107" i="3"/>
  <c r="L107" i="3"/>
  <c r="C66" i="3"/>
  <c r="I66" i="3"/>
  <c r="D66" i="3"/>
  <c r="L66" i="3"/>
  <c r="K66" i="3"/>
  <c r="L61" i="3"/>
  <c r="E61" i="3"/>
  <c r="G66" i="3"/>
  <c r="F66" i="3"/>
  <c r="E66" i="3"/>
  <c r="E82" i="3"/>
  <c r="E95" i="3"/>
  <c r="H61" i="3"/>
  <c r="I61" i="3"/>
  <c r="D61" i="3"/>
  <c r="F61" i="3"/>
  <c r="F82" i="3"/>
  <c r="J61" i="3"/>
  <c r="J66" i="3"/>
  <c r="F95" i="3"/>
  <c r="C61" i="3"/>
  <c r="K61" i="3"/>
  <c r="G82" i="3"/>
  <c r="G95" i="3"/>
  <c r="G107" i="3"/>
  <c r="E107" i="3"/>
  <c r="H82" i="3"/>
  <c r="H95" i="3"/>
  <c r="H107" i="3"/>
  <c r="I82" i="3"/>
  <c r="I95" i="3"/>
  <c r="D107" i="3"/>
  <c r="J82" i="3"/>
  <c r="J95" i="3"/>
  <c r="K82" i="3"/>
  <c r="C95" i="3"/>
  <c r="K95" i="3"/>
  <c r="I107" i="3"/>
  <c r="D82" i="3"/>
  <c r="L82" i="3"/>
  <c r="D95" i="3"/>
  <c r="L95" i="3"/>
  <c r="J107" i="3"/>
  <c r="L44" i="3"/>
  <c r="L12" i="6" s="1"/>
  <c r="F13" i="3"/>
  <c r="K15" i="3"/>
  <c r="K16" i="3" s="1"/>
  <c r="K14" i="6" s="1"/>
  <c r="D13" i="3"/>
  <c r="C15" i="3"/>
  <c r="C21" i="3" s="1"/>
  <c r="J15" i="3"/>
  <c r="J16" i="3" s="1"/>
  <c r="J14" i="6" s="1"/>
  <c r="C19" i="3"/>
  <c r="C20" i="6" s="1"/>
  <c r="C25" i="3"/>
  <c r="K25" i="3"/>
  <c r="K10" i="3"/>
  <c r="K8" i="6" s="1"/>
  <c r="G19" i="3"/>
  <c r="G20" i="6" s="1"/>
  <c r="E25" i="3"/>
  <c r="F28" i="3"/>
  <c r="F21" i="6" s="1"/>
  <c r="G10" i="3"/>
  <c r="G8" i="6" s="1"/>
  <c r="L13" i="3"/>
  <c r="H19" i="3"/>
  <c r="H20" i="6" s="1"/>
  <c r="G28" i="3"/>
  <c r="G21" i="6" s="1"/>
  <c r="I10" i="3"/>
  <c r="I8" i="6" s="1"/>
  <c r="G15" i="3"/>
  <c r="G25" i="3"/>
  <c r="H25" i="3"/>
  <c r="E19" i="3"/>
  <c r="E20" i="6" s="1"/>
  <c r="F25" i="3"/>
  <c r="F19" i="3"/>
  <c r="F20" i="6" s="1"/>
  <c r="L28" i="3"/>
  <c r="L21" i="6" s="1"/>
  <c r="I13" i="3"/>
  <c r="J19" i="3"/>
  <c r="J20" i="6" s="1"/>
  <c r="E13" i="3"/>
  <c r="I19" i="3"/>
  <c r="I20" i="6" s="1"/>
  <c r="I25" i="3"/>
  <c r="F15" i="3"/>
  <c r="H13" i="3"/>
  <c r="J13" i="3"/>
  <c r="K19" i="3"/>
  <c r="K20" i="6" s="1"/>
  <c r="J25" i="3"/>
  <c r="J10" i="3"/>
  <c r="J8" i="6" s="1"/>
  <c r="J28" i="3"/>
  <c r="J21" i="6" s="1"/>
  <c r="D28" i="3"/>
  <c r="D21" i="6" s="1"/>
  <c r="H28" i="3"/>
  <c r="H21" i="6" s="1"/>
  <c r="D19" i="3"/>
  <c r="D20" i="6" s="1"/>
  <c r="L19" i="3"/>
  <c r="L20" i="6" s="1"/>
  <c r="C28" i="3"/>
  <c r="C21" i="6" s="1"/>
  <c r="K28" i="3"/>
  <c r="K21" i="6" s="1"/>
  <c r="L15" i="3"/>
  <c r="E15" i="3"/>
  <c r="D25" i="3"/>
  <c r="L25" i="3"/>
  <c r="D15" i="3"/>
  <c r="E28" i="3"/>
  <c r="E21" i="6" s="1"/>
  <c r="D10" i="3"/>
  <c r="D8" i="6" s="1"/>
  <c r="L10" i="3"/>
  <c r="L8" i="6" s="1"/>
  <c r="G13" i="3"/>
  <c r="E10" i="3"/>
  <c r="E8" i="6" s="1"/>
  <c r="F10" i="3"/>
  <c r="F8" i="6" s="1"/>
  <c r="H15" i="3"/>
  <c r="I28" i="3"/>
  <c r="I21" i="6" s="1"/>
  <c r="H10" i="3"/>
  <c r="H8" i="6" s="1"/>
  <c r="C13" i="3"/>
  <c r="K13" i="3"/>
  <c r="I15" i="3"/>
  <c r="G39" i="6" l="1"/>
  <c r="K39" i="6"/>
  <c r="G68" i="3"/>
  <c r="G70" i="3" s="1"/>
  <c r="L39" i="6"/>
  <c r="J39" i="6"/>
  <c r="O20" i="6"/>
  <c r="N20" i="6"/>
  <c r="C38" i="6"/>
  <c r="O32" i="6"/>
  <c r="N32" i="6"/>
  <c r="J41" i="6"/>
  <c r="J43" i="6"/>
  <c r="F43" i="6"/>
  <c r="F41" i="6"/>
  <c r="C68" i="3"/>
  <c r="C70" i="3" s="1"/>
  <c r="F39" i="6"/>
  <c r="E39" i="6"/>
  <c r="D39" i="6"/>
  <c r="O33" i="6"/>
  <c r="N33" i="6"/>
  <c r="K41" i="6"/>
  <c r="K43" i="6"/>
  <c r="D43" i="6"/>
  <c r="D41" i="6"/>
  <c r="G43" i="6"/>
  <c r="G41" i="6"/>
  <c r="L43" i="6"/>
  <c r="L41" i="6"/>
  <c r="N12" i="6"/>
  <c r="O12" i="6"/>
  <c r="I41" i="6"/>
  <c r="I43" i="6"/>
  <c r="I68" i="3"/>
  <c r="I70" i="3" s="1"/>
  <c r="C22" i="3"/>
  <c r="C15" i="6" s="1"/>
  <c r="C28" i="6"/>
  <c r="C16" i="6"/>
  <c r="C24" i="6"/>
  <c r="H39" i="6"/>
  <c r="C36" i="6"/>
  <c r="O30" i="6"/>
  <c r="N30" i="6"/>
  <c r="H41" i="6"/>
  <c r="H43" i="6"/>
  <c r="E43" i="6"/>
  <c r="E42" i="6"/>
  <c r="E41" i="6"/>
  <c r="C43" i="6"/>
  <c r="C42" i="6"/>
  <c r="C41" i="6"/>
  <c r="N31" i="6"/>
  <c r="C37" i="6"/>
  <c r="O31" i="6"/>
  <c r="N8" i="6"/>
  <c r="O8" i="6"/>
  <c r="N21" i="6"/>
  <c r="O21" i="6"/>
  <c r="O34" i="6"/>
  <c r="N34" i="6"/>
  <c r="I39" i="6"/>
  <c r="E68" i="3"/>
  <c r="E70" i="3" s="1"/>
  <c r="H68" i="3"/>
  <c r="H70" i="3" s="1"/>
  <c r="F109" i="3"/>
  <c r="L68" i="3"/>
  <c r="L70" i="3" s="1"/>
  <c r="D68" i="3"/>
  <c r="D70" i="3" s="1"/>
  <c r="E109" i="3"/>
  <c r="K109" i="3"/>
  <c r="K68" i="3"/>
  <c r="K70" i="3" s="1"/>
  <c r="F68" i="3"/>
  <c r="F70" i="3" s="1"/>
  <c r="J21" i="3"/>
  <c r="J22" i="3" s="1"/>
  <c r="J15" i="6" s="1"/>
  <c r="J68" i="3"/>
  <c r="J70" i="3" s="1"/>
  <c r="D109" i="3"/>
  <c r="C109" i="3"/>
  <c r="H109" i="3"/>
  <c r="L109" i="3"/>
  <c r="G109" i="3"/>
  <c r="I109" i="3"/>
  <c r="J109" i="3"/>
  <c r="C16" i="3"/>
  <c r="C14" i="6" s="1"/>
  <c r="C30" i="3"/>
  <c r="C31" i="3" s="1"/>
  <c r="C17" i="6" s="1"/>
  <c r="K21" i="3"/>
  <c r="E21" i="3"/>
  <c r="E16" i="3"/>
  <c r="E14" i="6" s="1"/>
  <c r="G21" i="3"/>
  <c r="G16" i="3"/>
  <c r="G14" i="6" s="1"/>
  <c r="F21" i="3"/>
  <c r="F16" i="3"/>
  <c r="F14" i="6" s="1"/>
  <c r="L21" i="3"/>
  <c r="L16" i="3"/>
  <c r="L14" i="6" s="1"/>
  <c r="H21" i="3"/>
  <c r="H16" i="3"/>
  <c r="H14" i="6" s="1"/>
  <c r="I21" i="3"/>
  <c r="I16" i="3"/>
  <c r="I14" i="6" s="1"/>
  <c r="D21" i="3"/>
  <c r="D16" i="3"/>
  <c r="D14" i="6" s="1"/>
  <c r="D42" i="6" l="1"/>
  <c r="G42" i="6"/>
  <c r="H42" i="6"/>
  <c r="L42" i="6"/>
  <c r="J42" i="6"/>
  <c r="C39" i="6"/>
  <c r="O37" i="6"/>
  <c r="N37" i="6"/>
  <c r="E28" i="6"/>
  <c r="E16" i="6"/>
  <c r="E22" i="6" s="1"/>
  <c r="E9" i="6"/>
  <c r="E24" i="6"/>
  <c r="I24" i="6"/>
  <c r="I28" i="6"/>
  <c r="I16" i="6"/>
  <c r="I22" i="6" s="1"/>
  <c r="I9" i="6"/>
  <c r="F24" i="6"/>
  <c r="F28" i="6"/>
  <c r="F16" i="6"/>
  <c r="F22" i="6" s="1"/>
  <c r="F9" i="6"/>
  <c r="J24" i="6"/>
  <c r="J28" i="6"/>
  <c r="J16" i="6"/>
  <c r="J22" i="6" s="1"/>
  <c r="J9" i="6"/>
  <c r="J30" i="3"/>
  <c r="J36" i="3" s="1"/>
  <c r="G24" i="6"/>
  <c r="G28" i="6"/>
  <c r="G16" i="6"/>
  <c r="G22" i="6" s="1"/>
  <c r="G9" i="6"/>
  <c r="H9" i="6"/>
  <c r="H28" i="6"/>
  <c r="H24" i="6"/>
  <c r="H16" i="6"/>
  <c r="H22" i="6" s="1"/>
  <c r="O41" i="6"/>
  <c r="N41" i="6"/>
  <c r="C22" i="6"/>
  <c r="L28" i="6"/>
  <c r="L16" i="6"/>
  <c r="L22" i="6" s="1"/>
  <c r="L9" i="6"/>
  <c r="L24" i="6"/>
  <c r="O38" i="6"/>
  <c r="N38" i="6"/>
  <c r="I9" i="8" a="1"/>
  <c r="K22" i="3"/>
  <c r="K15" i="6" s="1"/>
  <c r="K24" i="6"/>
  <c r="K9" i="6"/>
  <c r="K28" i="6"/>
  <c r="K16" i="6"/>
  <c r="K22" i="6" s="1"/>
  <c r="D28" i="6"/>
  <c r="D16" i="6"/>
  <c r="D22" i="6" s="1"/>
  <c r="D9" i="6"/>
  <c r="D24" i="6"/>
  <c r="O43" i="6"/>
  <c r="N43" i="6"/>
  <c r="N14" i="6"/>
  <c r="O14" i="6"/>
  <c r="N36" i="6"/>
  <c r="O36" i="6"/>
  <c r="I42" i="6"/>
  <c r="K42" i="6"/>
  <c r="F42" i="6"/>
  <c r="C36" i="3"/>
  <c r="C41" i="3" s="1"/>
  <c r="C34" i="3"/>
  <c r="K30" i="3"/>
  <c r="G22" i="3"/>
  <c r="G15" i="6" s="1"/>
  <c r="G30" i="3"/>
  <c r="F22" i="3"/>
  <c r="F15" i="6" s="1"/>
  <c r="F30" i="3"/>
  <c r="I22" i="3"/>
  <c r="I15" i="6" s="1"/>
  <c r="I30" i="3"/>
  <c r="D22" i="3"/>
  <c r="D15" i="6" s="1"/>
  <c r="D30" i="3"/>
  <c r="D10" i="6" s="1"/>
  <c r="H22" i="3"/>
  <c r="H15" i="6" s="1"/>
  <c r="H30" i="3"/>
  <c r="E22" i="3"/>
  <c r="E15" i="6" s="1"/>
  <c r="E30" i="3"/>
  <c r="L22" i="3"/>
  <c r="L15" i="6" s="1"/>
  <c r="L30" i="3"/>
  <c r="J34" i="3" l="1"/>
  <c r="J31" i="3"/>
  <c r="J17" i="6" s="1"/>
  <c r="N28" i="6"/>
  <c r="N42" i="6"/>
  <c r="N15" i="6"/>
  <c r="O28" i="6"/>
  <c r="N24" i="6"/>
  <c r="E10" i="6"/>
  <c r="O24" i="6"/>
  <c r="O42" i="6"/>
  <c r="O15" i="6"/>
  <c r="G10" i="6"/>
  <c r="J26" i="6"/>
  <c r="K31" i="3"/>
  <c r="K17" i="6" s="1"/>
  <c r="J40" i="13"/>
  <c r="K10" i="6"/>
  <c r="O16" i="6"/>
  <c r="N22" i="6"/>
  <c r="O22" i="6"/>
  <c r="I40" i="13"/>
  <c r="J10" i="6"/>
  <c r="O9" i="6"/>
  <c r="N9" i="6"/>
  <c r="C37" i="3"/>
  <c r="C18" i="6" s="1"/>
  <c r="C26" i="6"/>
  <c r="N16" i="6"/>
  <c r="F10" i="6"/>
  <c r="I9" i="8"/>
  <c r="I19" i="8" s="1"/>
  <c r="J19" i="8" s="1"/>
  <c r="J13" i="8"/>
  <c r="J18" i="8"/>
  <c r="J16" i="8"/>
  <c r="J12" i="8"/>
  <c r="J11" i="8"/>
  <c r="J14" i="8"/>
  <c r="J15" i="8"/>
  <c r="J17" i="8"/>
  <c r="G40" i="13"/>
  <c r="H10" i="6"/>
  <c r="H40" i="13"/>
  <c r="I10" i="6"/>
  <c r="F9" i="14"/>
  <c r="K40" i="13"/>
  <c r="L10" i="6"/>
  <c r="O39" i="6"/>
  <c r="N39" i="6"/>
  <c r="K36" i="3"/>
  <c r="K37" i="3" s="1"/>
  <c r="K18" i="6" s="1"/>
  <c r="K34" i="3"/>
  <c r="C45" i="3"/>
  <c r="C47" i="3" s="1"/>
  <c r="C25" i="6" s="1"/>
  <c r="L34" i="3"/>
  <c r="L36" i="3"/>
  <c r="L31" i="3"/>
  <c r="L17" i="6" s="1"/>
  <c r="E34" i="3"/>
  <c r="E36" i="3"/>
  <c r="E31" i="3"/>
  <c r="E17" i="6" s="1"/>
  <c r="J41" i="3"/>
  <c r="J37" i="3"/>
  <c r="J18" i="6" s="1"/>
  <c r="D34" i="3"/>
  <c r="D36" i="3"/>
  <c r="D31" i="3"/>
  <c r="D17" i="6" s="1"/>
  <c r="F31" i="3"/>
  <c r="F17" i="6" s="1"/>
  <c r="F36" i="3"/>
  <c r="F34" i="3"/>
  <c r="H31" i="3"/>
  <c r="H17" i="6" s="1"/>
  <c r="H34" i="3"/>
  <c r="H36" i="3"/>
  <c r="G36" i="3"/>
  <c r="G31" i="3"/>
  <c r="G17" i="6" s="1"/>
  <c r="G34" i="3"/>
  <c r="I36" i="3"/>
  <c r="I31" i="3"/>
  <c r="I17" i="6" s="1"/>
  <c r="I34" i="3"/>
  <c r="O10" i="6" l="1"/>
  <c r="H11" i="6"/>
  <c r="H26" i="6"/>
  <c r="O17" i="6"/>
  <c r="N17" i="6"/>
  <c r="L26" i="6"/>
  <c r="L11" i="6"/>
  <c r="K49" i="13"/>
  <c r="K51" i="13" s="1"/>
  <c r="K55" i="13" s="1"/>
  <c r="K62" i="13" s="1"/>
  <c r="K42" i="13"/>
  <c r="K63" i="13" s="1"/>
  <c r="F13" i="14"/>
  <c r="F17" i="14" s="1"/>
  <c r="F21" i="14" s="1"/>
  <c r="G9" i="14"/>
  <c r="C27" i="6"/>
  <c r="H49" i="13"/>
  <c r="H51" i="13" s="1"/>
  <c r="H55" i="13" s="1"/>
  <c r="H42" i="13"/>
  <c r="H63" i="13" s="1"/>
  <c r="K41" i="3"/>
  <c r="K42" i="3" s="1"/>
  <c r="K26" i="6"/>
  <c r="K11" i="6"/>
  <c r="J49" i="13"/>
  <c r="J51" i="13" s="1"/>
  <c r="J55" i="13" s="1"/>
  <c r="J62" i="13" s="1"/>
  <c r="J42" i="13"/>
  <c r="J63" i="13" s="1"/>
  <c r="I11" i="6"/>
  <c r="I26" i="6"/>
  <c r="F11" i="6"/>
  <c r="F26" i="6"/>
  <c r="E26" i="6"/>
  <c r="E11" i="6"/>
  <c r="N10" i="6"/>
  <c r="J10" i="8"/>
  <c r="J11" i="6"/>
  <c r="I49" i="13"/>
  <c r="I51" i="13" s="1"/>
  <c r="I55" i="13" s="1"/>
  <c r="I62" i="13" s="1"/>
  <c r="I42" i="13"/>
  <c r="I63" i="13" s="1"/>
  <c r="I20" i="8"/>
  <c r="J20" i="8" s="1"/>
  <c r="G11" i="6"/>
  <c r="G26" i="6"/>
  <c r="D26" i="6"/>
  <c r="D11" i="6"/>
  <c r="G49" i="13"/>
  <c r="G51" i="13" s="1"/>
  <c r="G42" i="13"/>
  <c r="J45" i="3"/>
  <c r="J47" i="3" s="1"/>
  <c r="J25" i="6" s="1"/>
  <c r="J27" i="6" s="1"/>
  <c r="F37" i="3"/>
  <c r="F18" i="6" s="1"/>
  <c r="F41" i="3"/>
  <c r="I41" i="3"/>
  <c r="J42" i="3" s="1"/>
  <c r="I37" i="3"/>
  <c r="I18" i="6" s="1"/>
  <c r="D41" i="3"/>
  <c r="D37" i="3"/>
  <c r="D18" i="6" s="1"/>
  <c r="H37" i="3"/>
  <c r="H18" i="6" s="1"/>
  <c r="H41" i="3"/>
  <c r="E37" i="3"/>
  <c r="E18" i="6" s="1"/>
  <c r="E41" i="3"/>
  <c r="G37" i="3"/>
  <c r="G18" i="6" s="1"/>
  <c r="G41" i="3"/>
  <c r="L41" i="3"/>
  <c r="L37" i="3"/>
  <c r="L18" i="6" s="1"/>
  <c r="K65" i="13" l="1"/>
  <c r="O18" i="6"/>
  <c r="I21" i="8"/>
  <c r="J21" i="8" s="1"/>
  <c r="N26" i="6"/>
  <c r="O26" i="6"/>
  <c r="H9" i="14"/>
  <c r="G13" i="14"/>
  <c r="G17" i="14" s="1"/>
  <c r="G21" i="14" s="1"/>
  <c r="K45" i="3"/>
  <c r="K47" i="3" s="1"/>
  <c r="K25" i="6" s="1"/>
  <c r="K27" i="6" s="1"/>
  <c r="N9" i="8" a="1"/>
  <c r="I65" i="13"/>
  <c r="K57" i="13"/>
  <c r="H62" i="13"/>
  <c r="H65" i="13" s="1"/>
  <c r="K58" i="13"/>
  <c r="N18" i="6"/>
  <c r="N11" i="6"/>
  <c r="O11" i="6"/>
  <c r="J65" i="13"/>
  <c r="E42" i="3"/>
  <c r="E45" i="3"/>
  <c r="E47" i="3" s="1"/>
  <c r="E25" i="6" s="1"/>
  <c r="E27" i="6" s="1"/>
  <c r="H42" i="3"/>
  <c r="H45" i="3"/>
  <c r="H47" i="3" s="1"/>
  <c r="H25" i="6" s="1"/>
  <c r="H27" i="6" s="1"/>
  <c r="G42" i="3"/>
  <c r="G45" i="3"/>
  <c r="G47" i="3" s="1"/>
  <c r="G25" i="6" s="1"/>
  <c r="G27" i="6" s="1"/>
  <c r="I42" i="3"/>
  <c r="I45" i="3"/>
  <c r="I47" i="3" s="1"/>
  <c r="I25" i="6" s="1"/>
  <c r="I27" i="6" s="1"/>
  <c r="F42" i="3"/>
  <c r="F45" i="3"/>
  <c r="F47" i="3" s="1"/>
  <c r="F25" i="6" s="1"/>
  <c r="F27" i="6" s="1"/>
  <c r="L42" i="3"/>
  <c r="L45" i="3"/>
  <c r="L47" i="3" s="1"/>
  <c r="L25" i="6" s="1"/>
  <c r="L27" i="6" s="1"/>
  <c r="D42" i="3"/>
  <c r="D45" i="3"/>
  <c r="D47" i="3" s="1"/>
  <c r="D25" i="6" s="1"/>
  <c r="I22" i="8" l="1"/>
  <c r="J22" i="8" s="1"/>
  <c r="N9" i="8"/>
  <c r="N19" i="8" s="1"/>
  <c r="O19" i="8" s="1"/>
  <c r="O12" i="8"/>
  <c r="O13" i="8"/>
  <c r="O17" i="8"/>
  <c r="O16" i="8"/>
  <c r="O14" i="8"/>
  <c r="O15" i="8"/>
  <c r="O10" i="8"/>
  <c r="O18" i="8"/>
  <c r="O11" i="8"/>
  <c r="D27" i="6"/>
  <c r="O25" i="6"/>
  <c r="N25" i="6"/>
  <c r="K67" i="13"/>
  <c r="K68" i="13"/>
  <c r="I9" i="14"/>
  <c r="H13" i="14"/>
  <c r="H17" i="14" s="1"/>
  <c r="H21" i="14" s="1"/>
  <c r="I23" i="8" l="1"/>
  <c r="J23" i="8" s="1"/>
  <c r="N20" i="8"/>
  <c r="O20" i="8" s="1"/>
  <c r="J9" i="14"/>
  <c r="I13" i="14"/>
  <c r="I17" i="14" s="1"/>
  <c r="I21" i="14" s="1"/>
  <c r="N27" i="6"/>
  <c r="O27" i="6"/>
  <c r="I24" i="8" l="1"/>
  <c r="J24" i="8" s="1"/>
  <c r="N21" i="8"/>
  <c r="O21" i="8" s="1"/>
  <c r="K9" i="14"/>
  <c r="K13" i="14" s="1"/>
  <c r="K17" i="14" s="1"/>
  <c r="J13" i="14"/>
  <c r="J17" i="14" s="1"/>
  <c r="J21" i="14" s="1"/>
  <c r="N22" i="8" l="1"/>
  <c r="O22" i="8" s="1"/>
  <c r="E29" i="14"/>
  <c r="E33" i="14" s="1"/>
  <c r="E39" i="14" s="1"/>
  <c r="K21" i="14"/>
  <c r="E38" i="14" s="1"/>
  <c r="N23" i="8" l="1"/>
  <c r="O23" i="8" s="1"/>
  <c r="E40" i="14"/>
  <c r="E44" i="14" s="1"/>
  <c r="E46" i="14" s="1"/>
  <c r="G28" i="14" s="1"/>
  <c r="N24" i="8" l="1"/>
  <c r="O24" i="8"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<sst xmlns="http://schemas.openxmlformats.org/spreadsheetml/2006/main" count="18009" uniqueCount="9377">
  <si>
    <t>COMPANY NAME</t>
  </si>
  <si>
    <t>GODREJ CONSUMER PRODUCTS LTD</t>
  </si>
  <si>
    <t>LATEST VERSION</t>
  </si>
  <si>
    <t>PLEASE DO NOT MAKE ANY CHANGES TO THIS SHEET</t>
  </si>
  <si>
    <t>CURRENT VERSION</t>
  </si>
  <si>
    <t>META</t>
  </si>
  <si>
    <t>Number of shares</t>
  </si>
  <si>
    <t>Face Value</t>
  </si>
  <si>
    <t>Current Price</t>
  </si>
  <si>
    <t>Market Capitalization</t>
  </si>
  <si>
    <t>PROFIT &amp; LOSS</t>
  </si>
  <si>
    <t>Report Date</t>
  </si>
  <si>
    <t>Sales</t>
  </si>
  <si>
    <t>Raw Material Cost</t>
  </si>
  <si>
    <t>Change in Inventory</t>
  </si>
  <si>
    <t>Power and Fuel</t>
  </si>
  <si>
    <t>Other Mfr. Exp</t>
  </si>
  <si>
    <t>Employee Cost</t>
  </si>
  <si>
    <t>Selling and admin</t>
  </si>
  <si>
    <t>Other Expenses</t>
  </si>
  <si>
    <t>Other Income</t>
  </si>
  <si>
    <t>Depreciation</t>
  </si>
  <si>
    <t>Interest</t>
  </si>
  <si>
    <t>Profit before tax</t>
  </si>
  <si>
    <t>Tax</t>
  </si>
  <si>
    <t>Net profit</t>
  </si>
  <si>
    <t>Dividend Amount</t>
  </si>
  <si>
    <t>Effective Tax Rate</t>
  </si>
  <si>
    <t>EBITDA</t>
  </si>
  <si>
    <t>Quarters</t>
  </si>
  <si>
    <t>Expenses</t>
  </si>
  <si>
    <t>Operating Profit</t>
  </si>
  <si>
    <t>BALANCE SHEET</t>
  </si>
  <si>
    <t>Equity Share Capital</t>
  </si>
  <si>
    <t>Reserves</t>
  </si>
  <si>
    <t>Borrowings</t>
  </si>
  <si>
    <t>Other Liabilities</t>
  </si>
  <si>
    <t>Total</t>
  </si>
  <si>
    <t>Net Block</t>
  </si>
  <si>
    <t>Capital Work in Progress</t>
  </si>
  <si>
    <t>Investments</t>
  </si>
  <si>
    <t>Other Assets</t>
  </si>
  <si>
    <t>Receivables</t>
  </si>
  <si>
    <t>Inventory</t>
  </si>
  <si>
    <t>Cash &amp; Bank</t>
  </si>
  <si>
    <t>No. of Equity Shares</t>
  </si>
  <si>
    <t>New Bonus Shares</t>
  </si>
  <si>
    <t>Face value</t>
  </si>
  <si>
    <t>CASH FLOW:</t>
  </si>
  <si>
    <t>Cash from Operating Activity</t>
  </si>
  <si>
    <t>Cash from Investing Activity</t>
  </si>
  <si>
    <t>Cash from Financing Activity</t>
  </si>
  <si>
    <t>Net Cash Flow</t>
  </si>
  <si>
    <t>PRICE:</t>
  </si>
  <si>
    <t>DERIVED:</t>
  </si>
  <si>
    <t>Adjusted Equity Shares in Cr</t>
  </si>
  <si>
    <t>Years</t>
  </si>
  <si>
    <t>Income Statement</t>
  </si>
  <si>
    <t>#</t>
  </si>
  <si>
    <t>Sales Growth</t>
  </si>
  <si>
    <t>-</t>
  </si>
  <si>
    <t>COGS</t>
  </si>
  <si>
    <t>COGS % Sales</t>
  </si>
  <si>
    <t>Gross Profit</t>
  </si>
  <si>
    <t>Selling &amp; General Expenses</t>
  </si>
  <si>
    <t>S&amp;G Exp % Sales</t>
  </si>
  <si>
    <t>EBITDA Margins</t>
  </si>
  <si>
    <t>Interest % Sales</t>
  </si>
  <si>
    <t>Depreciation%Sales</t>
  </si>
  <si>
    <t>Gross Margins</t>
  </si>
  <si>
    <t>Earnings Before Tax</t>
  </si>
  <si>
    <t>EBT % Sales</t>
  </si>
  <si>
    <t>Net Profit</t>
  </si>
  <si>
    <t>Net Margins</t>
  </si>
  <si>
    <t>No of Equity Shares</t>
  </si>
  <si>
    <t>Dividend per Share</t>
  </si>
  <si>
    <t>Earnings per Share</t>
  </si>
  <si>
    <t>EPS Growth %</t>
  </si>
  <si>
    <t>Dividend payout ratio</t>
  </si>
  <si>
    <t>Retained Earnings</t>
  </si>
  <si>
    <t>Balance Sheet</t>
  </si>
  <si>
    <t>Total Liabilities</t>
  </si>
  <si>
    <t>Fixed Assets Net Block</t>
  </si>
  <si>
    <t>Total Non Current Assets</t>
  </si>
  <si>
    <t>Total Current Assets</t>
  </si>
  <si>
    <t>Total Assets</t>
  </si>
  <si>
    <t>Check</t>
  </si>
  <si>
    <t>Profit from operations</t>
  </si>
  <si>
    <t>Payables</t>
  </si>
  <si>
    <t>Loans Advances</t>
  </si>
  <si>
    <t>Other WC items</t>
  </si>
  <si>
    <t>Working capital changes</t>
  </si>
  <si>
    <t>Direct taxes</t>
  </si>
  <si>
    <t>Fixed assets purchased</t>
  </si>
  <si>
    <t>Fixed assets sold</t>
  </si>
  <si>
    <t>Investments purchased</t>
  </si>
  <si>
    <t>Investments sold</t>
  </si>
  <si>
    <t>Interest received</t>
  </si>
  <si>
    <t>Invest in subsidiaries</t>
  </si>
  <si>
    <t>Investment in group cos</t>
  </si>
  <si>
    <t>Redemp n Canc of Shares</t>
  </si>
  <si>
    <t>Acquisition of companies</t>
  </si>
  <si>
    <t>Other investing items</t>
  </si>
  <si>
    <t>Proceeds from shares</t>
  </si>
  <si>
    <t>Redemption of debentures</t>
  </si>
  <si>
    <t>Proceeds from borrowings</t>
  </si>
  <si>
    <t>Repayment of borrowings</t>
  </si>
  <si>
    <t>Proceeds from deposits</t>
  </si>
  <si>
    <t>Interest paid fin</t>
  </si>
  <si>
    <t>Dividends paid</t>
  </si>
  <si>
    <t>Financial liabilities</t>
  </si>
  <si>
    <t>Other financing items</t>
  </si>
  <si>
    <t>Cash from Operating Activity -</t>
  </si>
  <si>
    <t>Cash from Investing Activity -</t>
  </si>
  <si>
    <t>Cash from Financing Activity -</t>
  </si>
  <si>
    <t>Cash Flow Statements</t>
  </si>
  <si>
    <t>Cash from Operating Activities</t>
  </si>
  <si>
    <t>Operating Activities</t>
  </si>
  <si>
    <t>Investing Activities</t>
  </si>
  <si>
    <t>Cash from Investing Activities</t>
  </si>
  <si>
    <t>Financing Activities</t>
  </si>
  <si>
    <t>Cash from Financing Activities</t>
  </si>
  <si>
    <t>Proceeds from debentures</t>
  </si>
  <si>
    <t>Trend</t>
  </si>
  <si>
    <t>Mean</t>
  </si>
  <si>
    <t>Median</t>
  </si>
  <si>
    <t>SalesGrowth</t>
  </si>
  <si>
    <t>EBITDA Growth</t>
  </si>
  <si>
    <t>EBIT Growth</t>
  </si>
  <si>
    <t>Net Profit Growth</t>
  </si>
  <si>
    <t>Dividend Growth</t>
  </si>
  <si>
    <t>Gross Margin</t>
  </si>
  <si>
    <t>EBITDA Margin</t>
  </si>
  <si>
    <t>EBIT Margin</t>
  </si>
  <si>
    <t>EBT Margin</t>
  </si>
  <si>
    <t>Net Profit Margin</t>
  </si>
  <si>
    <t>SalesExpenses%Sales</t>
  </si>
  <si>
    <t>OperatingIncome%Sales</t>
  </si>
  <si>
    <t>Return on Capital Employed</t>
  </si>
  <si>
    <t>Retained Earnings%</t>
  </si>
  <si>
    <t>Return on Equity%</t>
  </si>
  <si>
    <t>Self Sustained Growth Rate</t>
  </si>
  <si>
    <t>Interest Coverage Ratio</t>
  </si>
  <si>
    <t>Debtor Turnover Ratio</t>
  </si>
  <si>
    <t>Creditor Turnover Ratio</t>
  </si>
  <si>
    <t>Inventory Turnover</t>
  </si>
  <si>
    <t>Fixed Asset Turnover</t>
  </si>
  <si>
    <t>Capital Turnover Ratio</t>
  </si>
  <si>
    <t>Debtor Days</t>
  </si>
  <si>
    <t>Payable Days</t>
  </si>
  <si>
    <t>Inventory Days</t>
  </si>
  <si>
    <t>Cash Conversion Cycle (in days)</t>
  </si>
  <si>
    <t>CFO/Sales</t>
  </si>
  <si>
    <t>CFO/Total Assets</t>
  </si>
  <si>
    <t>CFO/Total Debt</t>
  </si>
  <si>
    <t>Particulars</t>
  </si>
  <si>
    <t>Common Size Income Statement - GODREJ CONSUMER PRODUCTS LTD</t>
  </si>
  <si>
    <t>Common Size Balance Sheet - GODREJ CONSUMER PRODUCTS LTD</t>
  </si>
  <si>
    <t>Year Weight</t>
  </si>
  <si>
    <t>Year</t>
  </si>
  <si>
    <t>EPS</t>
  </si>
  <si>
    <t>EPS Growth</t>
  </si>
  <si>
    <t>Date</t>
  </si>
  <si>
    <t>High</t>
  </si>
  <si>
    <t>Low</t>
  </si>
  <si>
    <t xml:space="preserve">Adj Close </t>
  </si>
  <si>
    <t>NIFTY Returns</t>
  </si>
  <si>
    <t>Beta Drifting</t>
  </si>
  <si>
    <t>Closing Price</t>
  </si>
  <si>
    <t>Return</t>
  </si>
  <si>
    <t>Godrej Consumer Products Weekly Returns</t>
  </si>
  <si>
    <t>Levered Raw Beta</t>
  </si>
  <si>
    <t>Raw Beta Weight</t>
  </si>
  <si>
    <t xml:space="preserve">Market Beta </t>
  </si>
  <si>
    <t>Market Beta Weight</t>
  </si>
  <si>
    <t>Adjusted Beta</t>
  </si>
  <si>
    <t>beta 1</t>
  </si>
  <si>
    <t xml:space="preserve">beta 2 </t>
  </si>
  <si>
    <t>SUMMARY OUTPUT</t>
  </si>
  <si>
    <t>Regression Statistics</t>
  </si>
  <si>
    <t>Multiple R</t>
  </si>
  <si>
    <t>R Square</t>
  </si>
  <si>
    <t>Adjusted R Square</t>
  </si>
  <si>
    <t>Standard Error</t>
  </si>
  <si>
    <t>Observations</t>
  </si>
  <si>
    <t>ANOVA</t>
  </si>
  <si>
    <t>Regression</t>
  </si>
  <si>
    <t>Residual</t>
  </si>
  <si>
    <t>Intercept</t>
  </si>
  <si>
    <t>df</t>
  </si>
  <si>
    <t>SS</t>
  </si>
  <si>
    <t>MS</t>
  </si>
  <si>
    <t>F</t>
  </si>
  <si>
    <t>Significance F</t>
  </si>
  <si>
    <t>Coefficients</t>
  </si>
  <si>
    <t>t Stat</t>
  </si>
  <si>
    <t>P-value</t>
  </si>
  <si>
    <t>Lower 95%</t>
  </si>
  <si>
    <t>Upper 95%</t>
  </si>
  <si>
    <t>Lower 95.0%</t>
  </si>
  <si>
    <t>Upper 95.0%</t>
  </si>
  <si>
    <t>X Variable 1</t>
  </si>
  <si>
    <t>beta 3</t>
  </si>
  <si>
    <t>Regression Beta - 1 Year Weekly</t>
  </si>
  <si>
    <t>Weighted Average Cost of Capital</t>
  </si>
  <si>
    <t>All figures are in INR unless stated otherwise.</t>
  </si>
  <si>
    <t>Peer Comps</t>
  </si>
  <si>
    <t>Debt/</t>
  </si>
  <si>
    <t>Levered</t>
  </si>
  <si>
    <t>Unlevered</t>
  </si>
  <si>
    <t>Name</t>
  </si>
  <si>
    <t>Country</t>
  </si>
  <si>
    <t>Total Debt</t>
  </si>
  <si>
    <t>Total Equity</t>
  </si>
  <si>
    <t>Equity</t>
  </si>
  <si>
    <t>Capital</t>
  </si>
  <si>
    <t>India</t>
  </si>
  <si>
    <t>Average</t>
  </si>
  <si>
    <t>Cost of Debt</t>
  </si>
  <si>
    <t>Cost of Equity</t>
  </si>
  <si>
    <t>Pre-tax Cost of Debt</t>
  </si>
  <si>
    <t>Risk Free Rate</t>
  </si>
  <si>
    <t>Tax Rate</t>
  </si>
  <si>
    <t>Equity Risk Premium</t>
  </si>
  <si>
    <t>After Tax Cost of Debt</t>
  </si>
  <si>
    <r>
      <t xml:space="preserve">Levered Beta </t>
    </r>
    <r>
      <rPr>
        <vertAlign val="superscript"/>
        <sz val="11"/>
        <color theme="1"/>
        <rFont val="Calibri"/>
        <family val="2"/>
      </rPr>
      <t>4</t>
    </r>
  </si>
  <si>
    <t>Capital Structure</t>
  </si>
  <si>
    <t xml:space="preserve">Levered Beta </t>
  </si>
  <si>
    <t>Current</t>
  </si>
  <si>
    <t>Target</t>
  </si>
  <si>
    <t>Comps Median Unlevered Beta</t>
  </si>
  <si>
    <t xml:space="preserve">Target Debt/ Equity  </t>
  </si>
  <si>
    <t>Total Capitalization</t>
  </si>
  <si>
    <t>Levered Beta</t>
  </si>
  <si>
    <t>Debt / Equity</t>
  </si>
  <si>
    <t>1. Tax Rate considered as Marginal Tax Rate for the country</t>
  </si>
  <si>
    <t>2. Levered Beta is based on 5 year monthly data</t>
  </si>
  <si>
    <t>Equity Weight</t>
  </si>
  <si>
    <t>3. Unlevered Beta = Levered Beta/(1+(1-Tax Rate) x Debt/Equity)</t>
  </si>
  <si>
    <t>3. Levered Beta = Unlevered Beta/(1+(1-Tax Rate) x Debt/Equity)</t>
  </si>
  <si>
    <t>Debt Weight</t>
  </si>
  <si>
    <t>WACC</t>
  </si>
  <si>
    <t>Godrej Consumer</t>
  </si>
  <si>
    <t>Dabur India</t>
  </si>
  <si>
    <t>S.No.</t>
  </si>
  <si>
    <t>CMP Rs.</t>
  </si>
  <si>
    <t xml:space="preserve">Mar Cap Rs.Cr. </t>
  </si>
  <si>
    <t>Debt Rs.Cr.</t>
  </si>
  <si>
    <t>Debt / Eq</t>
  </si>
  <si>
    <t>NFY Return</t>
  </si>
  <si>
    <t>Varun</t>
  </si>
  <si>
    <t>Dabur</t>
  </si>
  <si>
    <t>N</t>
  </si>
  <si>
    <t>Colgate</t>
  </si>
  <si>
    <t>Emami</t>
  </si>
  <si>
    <t>Jyothy Labs</t>
  </si>
  <si>
    <t>Bajaj Consumer</t>
  </si>
  <si>
    <t>Jyothy</t>
  </si>
  <si>
    <t>beta2</t>
  </si>
  <si>
    <t>beta3</t>
  </si>
  <si>
    <t>beta4</t>
  </si>
  <si>
    <t>beta5</t>
  </si>
  <si>
    <t>Equity Capital</t>
  </si>
  <si>
    <t>Borrowings -</t>
  </si>
  <si>
    <t>Long term Borrowings</t>
  </si>
  <si>
    <t>Short term Borrowings</t>
  </si>
  <si>
    <t>Lease Liabilities</t>
  </si>
  <si>
    <t>Other Borrowings</t>
  </si>
  <si>
    <t>Other Liabilities -</t>
  </si>
  <si>
    <t>Non controlling int</t>
  </si>
  <si>
    <t>Trade Payables</t>
  </si>
  <si>
    <t>Advance from Customers</t>
  </si>
  <si>
    <t>Other liability items</t>
  </si>
  <si>
    <t>Fixed Assets -</t>
  </si>
  <si>
    <t>Land</t>
  </si>
  <si>
    <t>Building</t>
  </si>
  <si>
    <t>Plant Machinery</t>
  </si>
  <si>
    <t>Ships Vessels</t>
  </si>
  <si>
    <t>Equipments</t>
  </si>
  <si>
    <t>Computers</t>
  </si>
  <si>
    <t>Furniture n fittings</t>
  </si>
  <si>
    <t>Vehicles</t>
  </si>
  <si>
    <t>Intangible Assets</t>
  </si>
  <si>
    <t>Other fixed assets</t>
  </si>
  <si>
    <t>Gross Block</t>
  </si>
  <si>
    <t>Accumulated Depreciation</t>
  </si>
  <si>
    <t>CWIP</t>
  </si>
  <si>
    <t>Other Assets -</t>
  </si>
  <si>
    <t>Inventories</t>
  </si>
  <si>
    <t>Trade receivables</t>
  </si>
  <si>
    <t>Cash Equivalents</t>
  </si>
  <si>
    <t>Short term loans</t>
  </si>
  <si>
    <t>Other asset items</t>
  </si>
  <si>
    <t>Calculation of ROIC</t>
  </si>
  <si>
    <t>Current Assets</t>
  </si>
  <si>
    <t>Current Liabilities</t>
  </si>
  <si>
    <t>Total Current Liabilities</t>
  </si>
  <si>
    <t>Net Working Capital</t>
  </si>
  <si>
    <t>Non Current Assets</t>
  </si>
  <si>
    <t>Net Non Current Assets</t>
  </si>
  <si>
    <t>Invested Capital</t>
  </si>
  <si>
    <t>EBIT</t>
  </si>
  <si>
    <t>ROIC</t>
  </si>
  <si>
    <t>Calculation of Reinvestment Rate</t>
  </si>
  <si>
    <t>Net Capex</t>
  </si>
  <si>
    <t>Change in Working Capital</t>
  </si>
  <si>
    <t>Marginal Tax Rate</t>
  </si>
  <si>
    <t>EBIT(1-T)</t>
  </si>
  <si>
    <t>Reinvestment</t>
  </si>
  <si>
    <t>Reinvestment Rate</t>
  </si>
  <si>
    <t>4 Year Average</t>
  </si>
  <si>
    <t>4 Year Median</t>
  </si>
  <si>
    <t>Calculation of Growth Rate</t>
  </si>
  <si>
    <t>Intrinsic Growth</t>
  </si>
  <si>
    <t>Other operating items</t>
  </si>
  <si>
    <t>Exceptional CF items</t>
  </si>
  <si>
    <t>Calculation of PV of FCFF</t>
  </si>
  <si>
    <t>EBIT (1-T)</t>
  </si>
  <si>
    <t>Less: Reinvestment Rate</t>
  </si>
  <si>
    <t>Free Cash Flow to Firm</t>
  </si>
  <si>
    <t>Discounting Factor</t>
  </si>
  <si>
    <t>PV of FCFF</t>
  </si>
  <si>
    <t>Expected Growth</t>
  </si>
  <si>
    <t>Terminal Growth</t>
  </si>
  <si>
    <t>Calculation of Terminal Value</t>
  </si>
  <si>
    <t>Sensitivity Analysis</t>
  </si>
  <si>
    <t>FCFF (n+1)</t>
  </si>
  <si>
    <t/>
  </si>
  <si>
    <t>Terminal Growth Rate</t>
  </si>
  <si>
    <t>Terminal Value</t>
  </si>
  <si>
    <t>Calculation of Enterprise Value</t>
  </si>
  <si>
    <t>PV of Terminal Value</t>
  </si>
  <si>
    <t>Value of Operating Asset</t>
  </si>
  <si>
    <t>Add: Cash</t>
  </si>
  <si>
    <t>Less: Debt</t>
  </si>
  <si>
    <t>Value of Equity</t>
  </si>
  <si>
    <t>No. of Shares</t>
  </si>
  <si>
    <t>Value per Share</t>
  </si>
  <si>
    <t>Market Data</t>
  </si>
  <si>
    <t>Financials</t>
  </si>
  <si>
    <t>Valuation</t>
  </si>
  <si>
    <t>Company</t>
  </si>
  <si>
    <t>Ticker</t>
  </si>
  <si>
    <t>Share Price</t>
  </si>
  <si>
    <t>Shares Outstanding</t>
  </si>
  <si>
    <t>Equity Value</t>
  </si>
  <si>
    <t>Net Debt</t>
  </si>
  <si>
    <t>Enterprise Value</t>
  </si>
  <si>
    <t>Revenue</t>
  </si>
  <si>
    <t>Net Income</t>
  </si>
  <si>
    <t>EV/Revenue</t>
  </si>
  <si>
    <t>EV/EBITDA</t>
  </si>
  <si>
    <t>P/E</t>
  </si>
  <si>
    <t>75th Percentile</t>
  </si>
  <si>
    <t>25th Percentile</t>
  </si>
  <si>
    <t>Cipla Comparable Valuation</t>
  </si>
  <si>
    <t>Implied Enterprise Value</t>
  </si>
  <si>
    <t>Implied Market Value</t>
  </si>
  <si>
    <t>Implied Value per Share</t>
  </si>
  <si>
    <t>Dec 30, 2024</t>
  </si>
  <si>
    <t>Dec 27, 2024</t>
  </si>
  <si>
    <t>Dec 26, 2024</t>
  </si>
  <si>
    <t>Dec 24, 2024</t>
  </si>
  <si>
    <t>Dec 23, 2024</t>
  </si>
  <si>
    <t>Dec 20, 2024</t>
  </si>
  <si>
    <t>Dec 19, 2024</t>
  </si>
  <si>
    <t>Dec 18, 2024</t>
  </si>
  <si>
    <t>Dec 17, 2024</t>
  </si>
  <si>
    <t>Dec 16, 2024</t>
  </si>
  <si>
    <t>Dec 13, 2024</t>
  </si>
  <si>
    <t>Dec 12, 2024</t>
  </si>
  <si>
    <t>Dec 11, 2024</t>
  </si>
  <si>
    <t>Dec 10, 2024</t>
  </si>
  <si>
    <t>Dec 9, 2024</t>
  </si>
  <si>
    <t>Dec 6, 2024</t>
  </si>
  <si>
    <t>Dec 5, 2024</t>
  </si>
  <si>
    <t>Dec 4, 2024</t>
  </si>
  <si>
    <t>Dec 3, 2024</t>
  </si>
  <si>
    <t>Dec 2, 2024</t>
  </si>
  <si>
    <t>Nov 29, 2024</t>
  </si>
  <si>
    <t>Nov 28, 2024</t>
  </si>
  <si>
    <t>Nov 27, 2024</t>
  </si>
  <si>
    <t>Nov 26, 2024</t>
  </si>
  <si>
    <t>Nov 25, 2024</t>
  </si>
  <si>
    <t>Nov 22, 2024</t>
  </si>
  <si>
    <t>Nov 21, 2024</t>
  </si>
  <si>
    <t>Nov 19, 2024</t>
  </si>
  <si>
    <t>Nov 18, 2024</t>
  </si>
  <si>
    <t>Nov 14, 2024</t>
  </si>
  <si>
    <t>Nov 13, 2024</t>
  </si>
  <si>
    <t>Nov 12, 2024</t>
  </si>
  <si>
    <t>Nov 11, 2024</t>
  </si>
  <si>
    <t>Nov 8, 2024</t>
  </si>
  <si>
    <t>Nov 7, 2024</t>
  </si>
  <si>
    <t>Nov 6, 2024</t>
  </si>
  <si>
    <t>Nov 4, 2024</t>
  </si>
  <si>
    <t>Nov 1, 2024</t>
  </si>
  <si>
    <t>Oct 31, 2024</t>
  </si>
  <si>
    <t>Oct 29, 2024</t>
  </si>
  <si>
    <t>Oct 28, 2024</t>
  </si>
  <si>
    <t>Oct 25, 2024</t>
  </si>
  <si>
    <t>Oct 24, 2024</t>
  </si>
  <si>
    <t>Oct 23, 2024</t>
  </si>
  <si>
    <t>Oct 22, 2024</t>
  </si>
  <si>
    <t>Oct 21, 2024</t>
  </si>
  <si>
    <t>Oct 18, 2024</t>
  </si>
  <si>
    <t>Oct 17, 2024</t>
  </si>
  <si>
    <t>Oct 16, 2024</t>
  </si>
  <si>
    <t>Oct 15, 2024</t>
  </si>
  <si>
    <t>Oct 14, 2024</t>
  </si>
  <si>
    <t>Oct 11, 2024</t>
  </si>
  <si>
    <t>Oct 10, 2024</t>
  </si>
  <si>
    <t>Oct 9, 2024</t>
  </si>
  <si>
    <t>Oct 8, 2024</t>
  </si>
  <si>
    <t>Oct 7, 2024</t>
  </si>
  <si>
    <t>Oct 4, 2024</t>
  </si>
  <si>
    <t>Oct 3, 2024</t>
  </si>
  <si>
    <t>Oct 1, 2024</t>
  </si>
  <si>
    <t>Sep 30, 2024</t>
  </si>
  <si>
    <t>Sep 27, 2024</t>
  </si>
  <si>
    <t>Sep 26, 2024</t>
  </si>
  <si>
    <t>Sep 25, 2024</t>
  </si>
  <si>
    <t>Sep 24, 2024</t>
  </si>
  <si>
    <t>Sep 23, 2024</t>
  </si>
  <si>
    <t>Sep 20, 2024</t>
  </si>
  <si>
    <t>Sep 19, 2024</t>
  </si>
  <si>
    <t>Sep 18, 2024</t>
  </si>
  <si>
    <t>Sep 17, 2024</t>
  </si>
  <si>
    <t>Sep 16, 2024</t>
  </si>
  <si>
    <t>Sep 13, 2024</t>
  </si>
  <si>
    <t>Sep 12, 2024</t>
  </si>
  <si>
    <t>Sep 11, 2024</t>
  </si>
  <si>
    <t>Sep 10, 2024</t>
  </si>
  <si>
    <t>Sep 9, 2024</t>
  </si>
  <si>
    <t>Sep 6, 2024</t>
  </si>
  <si>
    <t>Sep 5, 2024</t>
  </si>
  <si>
    <t>Sep 4, 2024</t>
  </si>
  <si>
    <t>Sep 3, 2024</t>
  </si>
  <si>
    <t>Sep 2, 2024</t>
  </si>
  <si>
    <t>Aug 30, 2024</t>
  </si>
  <si>
    <t>Aug 29, 2024</t>
  </si>
  <si>
    <t>Aug 28, 2024</t>
  </si>
  <si>
    <t>Aug 26, 2024</t>
  </si>
  <si>
    <t>Aug 23, 2024</t>
  </si>
  <si>
    <t>Aug 22, 2024</t>
  </si>
  <si>
    <t>Aug 21, 2024</t>
  </si>
  <si>
    <t>Aug 20, 2024</t>
  </si>
  <si>
    <t>Aug 19, 2024</t>
  </si>
  <si>
    <t>Aug 16, 2024</t>
  </si>
  <si>
    <t>Aug 14, 2024</t>
  </si>
  <si>
    <t>Aug 13, 2024</t>
  </si>
  <si>
    <t>Aug 12, 2024</t>
  </si>
  <si>
    <t>Aug 9, 2024</t>
  </si>
  <si>
    <t>Aug 8, 2024</t>
  </si>
  <si>
    <t>Aug 7, 2024</t>
  </si>
  <si>
    <t>Aug 6, 2024</t>
  </si>
  <si>
    <t>Aug 5, 2024</t>
  </si>
  <si>
    <t>Aug 2, 2024</t>
  </si>
  <si>
    <t>Aug 1, 2024</t>
  </si>
  <si>
    <t>Jul 31, 2024</t>
  </si>
  <si>
    <t>Jul 30, 2024</t>
  </si>
  <si>
    <t>Jul 29, 2024</t>
  </si>
  <si>
    <t>Jul 26, 2024</t>
  </si>
  <si>
    <t>Jul 25, 2024</t>
  </si>
  <si>
    <t>Jul 24, 2024</t>
  </si>
  <si>
    <t>Jul 23, 2024</t>
  </si>
  <si>
    <t>Jul 22, 2024</t>
  </si>
  <si>
    <t>Jul 19, 2024</t>
  </si>
  <si>
    <t>Jul 18, 2024</t>
  </si>
  <si>
    <t>Jul 16, 2024</t>
  </si>
  <si>
    <t>Jul 15, 2024</t>
  </si>
  <si>
    <t>Jul 12, 2024</t>
  </si>
  <si>
    <t>Jul 11, 2024</t>
  </si>
  <si>
    <t>Jul 10, 2024</t>
  </si>
  <si>
    <t>Jul 9, 2024</t>
  </si>
  <si>
    <t>Jul 8, 2024</t>
  </si>
  <si>
    <t>Jul 5, 2024</t>
  </si>
  <si>
    <t>Jul 4, 2024</t>
  </si>
  <si>
    <t>Jul 3, 2024</t>
  </si>
  <si>
    <t>Jul 2, 2024</t>
  </si>
  <si>
    <t>Jul 1, 2024</t>
  </si>
  <si>
    <t>Jun 28, 2024</t>
  </si>
  <si>
    <t>Jun 27, 2024</t>
  </si>
  <si>
    <t>Jun 26, 2024</t>
  </si>
  <si>
    <t>Jun 25, 2024</t>
  </si>
  <si>
    <t>Jun 24, 2024</t>
  </si>
  <si>
    <t>Jun 21, 2024</t>
  </si>
  <si>
    <t>Jun 20, 2024</t>
  </si>
  <si>
    <t>Jun 19, 2024</t>
  </si>
  <si>
    <t>Jun 18, 2024</t>
  </si>
  <si>
    <t>Jun 14, 2024</t>
  </si>
  <si>
    <t>Jun 13, 2024</t>
  </si>
  <si>
    <t>Jun 12, 2024</t>
  </si>
  <si>
    <t>Jun 11, 2024</t>
  </si>
  <si>
    <t>Jun 10, 2024</t>
  </si>
  <si>
    <t>Jun 7, 2024</t>
  </si>
  <si>
    <t>Jun 6, 2024</t>
  </si>
  <si>
    <t>Jun 5, 2024</t>
  </si>
  <si>
    <t>Jun 4, 2024</t>
  </si>
  <si>
    <t>Jun 3, 2024</t>
  </si>
  <si>
    <t>May 31, 2024</t>
  </si>
  <si>
    <t>May 30, 2024</t>
  </si>
  <si>
    <t>May 29, 2024</t>
  </si>
  <si>
    <t>May 28, 2024</t>
  </si>
  <si>
    <t>May 27, 2024</t>
  </si>
  <si>
    <t>May 24, 2024</t>
  </si>
  <si>
    <t>May 23, 2024</t>
  </si>
  <si>
    <t>May 22, 2024</t>
  </si>
  <si>
    <t>May 21, 2024</t>
  </si>
  <si>
    <t>May 17, 2024</t>
  </si>
  <si>
    <t>May 16, 2024</t>
  </si>
  <si>
    <t>May 15, 2024</t>
  </si>
  <si>
    <t>May 14, 2024</t>
  </si>
  <si>
    <t>May 13, 2024</t>
  </si>
  <si>
    <t>May 10, 2024</t>
  </si>
  <si>
    <t>May 9, 2024</t>
  </si>
  <si>
    <t>May 8, 2024</t>
  </si>
  <si>
    <t>May 7, 2024</t>
  </si>
  <si>
    <t>May 6, 2024</t>
  </si>
  <si>
    <t>May 3, 2024</t>
  </si>
  <si>
    <t>May 2, 2024</t>
  </si>
  <si>
    <t>Apr 30, 2024</t>
  </si>
  <si>
    <t>Apr 29, 2024</t>
  </si>
  <si>
    <t>Apr 26, 2024</t>
  </si>
  <si>
    <t>Apr 25, 2024</t>
  </si>
  <si>
    <t>Apr 24, 2024</t>
  </si>
  <si>
    <t>Apr 23, 2024</t>
  </si>
  <si>
    <t>Apr 22, 2024</t>
  </si>
  <si>
    <t>Apr 19, 2024</t>
  </si>
  <si>
    <t>Apr 18, 2024</t>
  </si>
  <si>
    <t>Apr 16, 2024</t>
  </si>
  <si>
    <t>Apr 15, 2024</t>
  </si>
  <si>
    <t>Apr 12, 2024</t>
  </si>
  <si>
    <t>Apr 10, 2024</t>
  </si>
  <si>
    <t>Apr 9, 2024</t>
  </si>
  <si>
    <t>Apr 8, 2024</t>
  </si>
  <si>
    <t>Apr 5, 2024</t>
  </si>
  <si>
    <t>Apr 4, 2024</t>
  </si>
  <si>
    <t>Apr 3, 2024</t>
  </si>
  <si>
    <t>Apr 2, 2024</t>
  </si>
  <si>
    <t>Apr 1, 2024</t>
  </si>
  <si>
    <t>Mar 28, 2024</t>
  </si>
  <si>
    <t>Mar 27, 2024</t>
  </si>
  <si>
    <t>Mar 26, 2024</t>
  </si>
  <si>
    <t>Mar 22, 2024</t>
  </si>
  <si>
    <t>Mar 21, 2024</t>
  </si>
  <si>
    <t>Mar 20, 2024</t>
  </si>
  <si>
    <t>Mar 19, 2024</t>
  </si>
  <si>
    <t>Mar 18, 2024</t>
  </si>
  <si>
    <t>Mar 15, 2024</t>
  </si>
  <si>
    <t>Mar 14, 2024</t>
  </si>
  <si>
    <t>Mar 13, 2024</t>
  </si>
  <si>
    <t>Mar 12, 2024</t>
  </si>
  <si>
    <t>Mar 11, 2024</t>
  </si>
  <si>
    <t>Mar 7, 2024</t>
  </si>
  <si>
    <t>Mar 6, 2024</t>
  </si>
  <si>
    <t>Mar 5, 2024</t>
  </si>
  <si>
    <t>Mar 4, 2024</t>
  </si>
  <si>
    <t>Mar 1, 2024</t>
  </si>
  <si>
    <t>Feb 29, 2024</t>
  </si>
  <si>
    <t>Feb 28, 2024</t>
  </si>
  <si>
    <t>Feb 27, 2024</t>
  </si>
  <si>
    <t>Feb 26, 2024</t>
  </si>
  <si>
    <t>Feb 23, 2024</t>
  </si>
  <si>
    <t>Feb 22, 2024</t>
  </si>
  <si>
    <t>Feb 21, 2024</t>
  </si>
  <si>
    <t>Feb 20, 2024</t>
  </si>
  <si>
    <t>Feb 19, 2024</t>
  </si>
  <si>
    <t>Feb 16, 2024</t>
  </si>
  <si>
    <t>Feb 15, 2024</t>
  </si>
  <si>
    <t>Feb 14, 2024</t>
  </si>
  <si>
    <t>Feb 13, 2024</t>
  </si>
  <si>
    <t>Feb 12, 2024</t>
  </si>
  <si>
    <t>Feb 9, 2024</t>
  </si>
  <si>
    <t>Feb 8, 2024</t>
  </si>
  <si>
    <t>Feb 7, 2024</t>
  </si>
  <si>
    <t>Feb 6, 2024</t>
  </si>
  <si>
    <t>Feb 5, 2024</t>
  </si>
  <si>
    <t>Feb 2, 2024</t>
  </si>
  <si>
    <t>Feb 1, 2024</t>
  </si>
  <si>
    <t>Jan 31, 2024</t>
  </si>
  <si>
    <t>Jan 30, 2024</t>
  </si>
  <si>
    <t>Jan 29, 2024</t>
  </si>
  <si>
    <t>Jan 25, 2024</t>
  </si>
  <si>
    <t>Jan 24, 2024</t>
  </si>
  <si>
    <t>Jan 23, 2024</t>
  </si>
  <si>
    <t>Jan 19, 2024</t>
  </si>
  <si>
    <t>Jan 17, 2024</t>
  </si>
  <si>
    <t>Jan 16, 2024</t>
  </si>
  <si>
    <t>Jan 15, 2024</t>
  </si>
  <si>
    <t>Jan 12, 2024</t>
  </si>
  <si>
    <t>Jan 11, 2024</t>
  </si>
  <si>
    <t>Jan 10, 2024</t>
  </si>
  <si>
    <t>Jan 9, 2024</t>
  </si>
  <si>
    <t>Jan 8, 2024</t>
  </si>
  <si>
    <t>Jan 5, 2024</t>
  </si>
  <si>
    <t>Jan 4, 2024</t>
  </si>
  <si>
    <t>Jan 3, 2024</t>
  </si>
  <si>
    <t>Jan 2, 2024</t>
  </si>
  <si>
    <t>Jan 1, 2024</t>
  </si>
  <si>
    <t>Dec 29, 2023</t>
  </si>
  <si>
    <t>Dec 28, 2023</t>
  </si>
  <si>
    <t>Dec 27, 2023</t>
  </si>
  <si>
    <t>Dec 26, 2023</t>
  </si>
  <si>
    <t>Dec 22, 2023</t>
  </si>
  <si>
    <t>Dec 21, 2023</t>
  </si>
  <si>
    <t>Dec 20, 2023</t>
  </si>
  <si>
    <t>Dec 19, 2023</t>
  </si>
  <si>
    <t>Dec 18, 2023</t>
  </si>
  <si>
    <t>Dec 15, 2023</t>
  </si>
  <si>
    <t>Dec 14, 2023</t>
  </si>
  <si>
    <t>Dec 13, 2023</t>
  </si>
  <si>
    <t>Dec 12, 2023</t>
  </si>
  <si>
    <t>Dec 11, 2023</t>
  </si>
  <si>
    <t>Dec 8, 2023</t>
  </si>
  <si>
    <t>Dec 7, 2023</t>
  </si>
  <si>
    <t>Dec 6, 2023</t>
  </si>
  <si>
    <t>Dec 5, 2023</t>
  </si>
  <si>
    <t>Dec 4, 2023</t>
  </si>
  <si>
    <t>Dec 1, 2023</t>
  </si>
  <si>
    <t>Nov 30, 2023</t>
  </si>
  <si>
    <t>Nov 29, 2023</t>
  </si>
  <si>
    <t>Nov 28, 2023</t>
  </si>
  <si>
    <t>Nov 24, 2023</t>
  </si>
  <si>
    <t>Nov 23, 2023</t>
  </si>
  <si>
    <t>Nov 22, 2023</t>
  </si>
  <si>
    <t>Nov 21, 2023</t>
  </si>
  <si>
    <t>Nov 20, 2023</t>
  </si>
  <si>
    <t>Nov 17, 2023</t>
  </si>
  <si>
    <t>Nov 16, 2023</t>
  </si>
  <si>
    <t>Nov 15, 2023</t>
  </si>
  <si>
    <t>Nov 13, 2023</t>
  </si>
  <si>
    <t>Nov 10, 2023</t>
  </si>
  <si>
    <t>Nov 9, 2023</t>
  </si>
  <si>
    <t>Nov 8, 2023</t>
  </si>
  <si>
    <t>Nov 7, 2023</t>
  </si>
  <si>
    <t>Nov 6, 2023</t>
  </si>
  <si>
    <t>Nov 3, 2023</t>
  </si>
  <si>
    <t>Nov 2, 2023</t>
  </si>
  <si>
    <t>Nov 1, 2023</t>
  </si>
  <si>
    <t>Oct 31, 2023</t>
  </si>
  <si>
    <t>Oct 30, 2023</t>
  </si>
  <si>
    <t>Oct 27, 2023</t>
  </si>
  <si>
    <t>Oct 26, 2023</t>
  </si>
  <si>
    <t>Oct 25, 2023</t>
  </si>
  <si>
    <t>Oct 23, 2023</t>
  </si>
  <si>
    <t>Oct 20, 2023</t>
  </si>
  <si>
    <t>Oct 19, 2023</t>
  </si>
  <si>
    <t>Oct 18, 2023</t>
  </si>
  <si>
    <t>Oct 17, 2023</t>
  </si>
  <si>
    <t>Oct 16, 2023</t>
  </si>
  <si>
    <t>Oct 13, 2023</t>
  </si>
  <si>
    <t>Oct 12, 2023</t>
  </si>
  <si>
    <t>Oct 11, 2023</t>
  </si>
  <si>
    <t>Oct 10, 2023</t>
  </si>
  <si>
    <t>Oct 9, 2023</t>
  </si>
  <si>
    <t>Oct 6, 2023</t>
  </si>
  <si>
    <t>Oct 5, 2023</t>
  </si>
  <si>
    <t>Oct 4, 2023</t>
  </si>
  <si>
    <t>Oct 3, 2023</t>
  </si>
  <si>
    <t>Sep 29, 2023</t>
  </si>
  <si>
    <t>Sep 28, 2023</t>
  </si>
  <si>
    <t>Sep 27, 2023</t>
  </si>
  <si>
    <t>Sep 26, 2023</t>
  </si>
  <si>
    <t>Sep 25, 2023</t>
  </si>
  <si>
    <t>Sep 22, 2023</t>
  </si>
  <si>
    <t>Sep 21, 2023</t>
  </si>
  <si>
    <t>Sep 20, 2023</t>
  </si>
  <si>
    <t>Sep 18, 2023</t>
  </si>
  <si>
    <t>Sep 15, 2023</t>
  </si>
  <si>
    <t>Sep 14, 2023</t>
  </si>
  <si>
    <t>Sep 13, 2023</t>
  </si>
  <si>
    <t>Sep 12, 2023</t>
  </si>
  <si>
    <t>Sep 11, 2023</t>
  </si>
  <si>
    <t>Sep 8, 2023</t>
  </si>
  <si>
    <t>Sep 7, 2023</t>
  </si>
  <si>
    <t>Sep 6, 2023</t>
  </si>
  <si>
    <t>Sep 5, 2023</t>
  </si>
  <si>
    <t>Sep 4, 2023</t>
  </si>
  <si>
    <t>Sep 1, 2023</t>
  </si>
  <si>
    <t>Aug 31, 2023</t>
  </si>
  <si>
    <t>Aug 30, 2023</t>
  </si>
  <si>
    <t>Aug 29, 2023</t>
  </si>
  <si>
    <t>Aug 28, 2023</t>
  </si>
  <si>
    <t>Aug 25, 2023</t>
  </si>
  <si>
    <t>Aug 24, 2023</t>
  </si>
  <si>
    <t>Aug 23, 2023</t>
  </si>
  <si>
    <t>Aug 22, 2023</t>
  </si>
  <si>
    <t>Aug 21, 2023</t>
  </si>
  <si>
    <t>Aug 18, 2023</t>
  </si>
  <si>
    <t>Aug 17, 2023</t>
  </si>
  <si>
    <t>Aug 16, 2023</t>
  </si>
  <si>
    <t>Aug 14, 2023</t>
  </si>
  <si>
    <t>Aug 11, 2023</t>
  </si>
  <si>
    <t>Aug 10, 2023</t>
  </si>
  <si>
    <t>Aug 9, 2023</t>
  </si>
  <si>
    <t>Aug 8, 2023</t>
  </si>
  <si>
    <t>Aug 7, 2023</t>
  </si>
  <si>
    <t>Aug 4, 2023</t>
  </si>
  <si>
    <t>Aug 3, 2023</t>
  </si>
  <si>
    <t>Jul 28, 2023</t>
  </si>
  <si>
    <t>Jul 26, 2023</t>
  </si>
  <si>
    <t>Jul 24, 2023</t>
  </si>
  <si>
    <t>Jul 21, 2023</t>
  </si>
  <si>
    <t>Jul 20, 2023</t>
  </si>
  <si>
    <t>Jul 19, 2023</t>
  </si>
  <si>
    <t>Jul 17, 2023</t>
  </si>
  <si>
    <t>Jul 14, 2023</t>
  </si>
  <si>
    <t>Jul 10, 2023</t>
  </si>
  <si>
    <t>Jul 7, 2023</t>
  </si>
  <si>
    <t>Jun 30, 2023</t>
  </si>
  <si>
    <t>Jun 28, 2023</t>
  </si>
  <si>
    <t>Jun 27, 2023</t>
  </si>
  <si>
    <t>Jun 26, 2023</t>
  </si>
  <si>
    <t>Jun 23, 2023</t>
  </si>
  <si>
    <t>Jun 22, 2023</t>
  </si>
  <si>
    <t>Jun 21, 2023</t>
  </si>
  <si>
    <t>Jun 20, 2023</t>
  </si>
  <si>
    <t>Jun 19, 2023</t>
  </si>
  <si>
    <t>Jun 16, 2023</t>
  </si>
  <si>
    <t>Jun 15, 2023</t>
  </si>
  <si>
    <t>Jun 14, 2023</t>
  </si>
  <si>
    <t>Jun 13, 2023</t>
  </si>
  <si>
    <t>Jun 12, 2023</t>
  </si>
  <si>
    <t>Jun 9, 2023</t>
  </si>
  <si>
    <t>Jun 8, 2023</t>
  </si>
  <si>
    <t>Jun 7, 2023</t>
  </si>
  <si>
    <t>Jun 6, 2023</t>
  </si>
  <si>
    <t>Jun 5, 2023</t>
  </si>
  <si>
    <t>Jun 2, 2023</t>
  </si>
  <si>
    <t>Jun 1, 2023</t>
  </si>
  <si>
    <t>May 31, 2023</t>
  </si>
  <si>
    <t>May 30, 2023</t>
  </si>
  <si>
    <t>May 26, 2023</t>
  </si>
  <si>
    <t>May 25, 2023</t>
  </si>
  <si>
    <t>May 24, 2023</t>
  </si>
  <si>
    <t>May 23, 2023</t>
  </si>
  <si>
    <t>May 22, 2023</t>
  </si>
  <si>
    <t>May 19, 2023</t>
  </si>
  <si>
    <t>May 17, 2023</t>
  </si>
  <si>
    <t>May 16, 2023</t>
  </si>
  <si>
    <t>May 15, 2023</t>
  </si>
  <si>
    <t>May 12, 2023</t>
  </si>
  <si>
    <t>May 11, 2023</t>
  </si>
  <si>
    <t>May 10, 2023</t>
  </si>
  <si>
    <t>May 9, 2023</t>
  </si>
  <si>
    <t>May 8, 2023</t>
  </si>
  <si>
    <t>May 5, 2023</t>
  </si>
  <si>
    <t>May 4, 2023</t>
  </si>
  <si>
    <t>May 3, 2023</t>
  </si>
  <si>
    <t>May 2, 2023</t>
  </si>
  <si>
    <t>Apr 28, 2023</t>
  </si>
  <si>
    <t>Apr 27, 2023</t>
  </si>
  <si>
    <t>Apr 26, 2023</t>
  </si>
  <si>
    <t>Apr 25, 2023</t>
  </si>
  <si>
    <t>Apr 24, 2023</t>
  </si>
  <si>
    <t>Apr 21, 2023</t>
  </si>
  <si>
    <t>Apr 20, 2023</t>
  </si>
  <si>
    <t>Apr 19, 2023</t>
  </si>
  <si>
    <t>Apr 18, 2023</t>
  </si>
  <si>
    <t>Apr 17, 2023</t>
  </si>
  <si>
    <t>Apr 13, 2023</t>
  </si>
  <si>
    <t>Apr 12, 2023</t>
  </si>
  <si>
    <t>Apr 11, 2023</t>
  </si>
  <si>
    <t>Apr 10, 2023</t>
  </si>
  <si>
    <t>Apr 6, 2023</t>
  </si>
  <si>
    <t>Apr 5, 2023</t>
  </si>
  <si>
    <t>Apr 3, 2023</t>
  </si>
  <si>
    <t>Mar 31, 2023</t>
  </si>
  <si>
    <t>Mar 29, 2023</t>
  </si>
  <si>
    <t>Mar 28, 2023</t>
  </si>
  <si>
    <t>Mar 27, 2023</t>
  </si>
  <si>
    <t>Mar 24, 2023</t>
  </si>
  <si>
    <t>Mar 23, 2023</t>
  </si>
  <si>
    <t>Mar 22, 2023</t>
  </si>
  <si>
    <t>Mar 21, 2023</t>
  </si>
  <si>
    <t>Mar 20, 2023</t>
  </si>
  <si>
    <t>Mar 17, 2023</t>
  </si>
  <si>
    <t>Mar 16, 2023</t>
  </si>
  <si>
    <t>Mar 15, 2023</t>
  </si>
  <si>
    <t>Mar 14, 2023</t>
  </si>
  <si>
    <t>Mar 13, 2023</t>
  </si>
  <si>
    <t>Mar 10, 2023</t>
  </si>
  <si>
    <t>Mar 9, 2023</t>
  </si>
  <si>
    <t>Mar 8, 2023</t>
  </si>
  <si>
    <t>Mar 6, 2023</t>
  </si>
  <si>
    <t>Mar 3, 2023</t>
  </si>
  <si>
    <t>Mar 2, 2023</t>
  </si>
  <si>
    <t>Mar 1, 2023</t>
  </si>
  <si>
    <t>Feb 28, 2023</t>
  </si>
  <si>
    <t>Feb 27, 2023</t>
  </si>
  <si>
    <t>Feb 24, 2023</t>
  </si>
  <si>
    <t>Feb 23, 2023</t>
  </si>
  <si>
    <t>Feb 22, 2023</t>
  </si>
  <si>
    <t>Feb 21, 2023</t>
  </si>
  <si>
    <t>Feb 20, 2023</t>
  </si>
  <si>
    <t>Feb 17, 2023</t>
  </si>
  <si>
    <t>Feb 16, 2023</t>
  </si>
  <si>
    <t>Feb 15, 2023</t>
  </si>
  <si>
    <t>Feb 14, 2023</t>
  </si>
  <si>
    <t>Feb 13, 2023</t>
  </si>
  <si>
    <t>Feb 10, 2023</t>
  </si>
  <si>
    <t>Feb 9, 2023</t>
  </si>
  <si>
    <t>Feb 8, 2023</t>
  </si>
  <si>
    <t>Feb 7, 2023</t>
  </si>
  <si>
    <t>Feb 6, 2023</t>
  </si>
  <si>
    <t>Feb 3, 2023</t>
  </si>
  <si>
    <t>Feb 2, 2023</t>
  </si>
  <si>
    <t>Feb 1, 2023</t>
  </si>
  <si>
    <t>Jan 31, 2023</t>
  </si>
  <si>
    <t>Jan 30, 2023</t>
  </si>
  <si>
    <t>Jan 27, 2023</t>
  </si>
  <si>
    <t>Jan 25, 2023</t>
  </si>
  <si>
    <t>Jan 24, 2023</t>
  </si>
  <si>
    <t>Jan 23, 2023</t>
  </si>
  <si>
    <t>Jan 20, 2023</t>
  </si>
  <si>
    <t>Jan 19, 2023</t>
  </si>
  <si>
    <t>Jan 18, 2023</t>
  </si>
  <si>
    <t>Jan 17, 2023</t>
  </si>
  <si>
    <t>Jan 16, 2023</t>
  </si>
  <si>
    <t>Jan 13, 2023</t>
  </si>
  <si>
    <t>Jan 12, 2023</t>
  </si>
  <si>
    <t>Jan 11, 2023</t>
  </si>
  <si>
    <t>Jan 10, 2023</t>
  </si>
  <si>
    <t>Jan 9, 2023</t>
  </si>
  <si>
    <t>Jan 6, 2023</t>
  </si>
  <si>
    <t>Jan 5, 2023</t>
  </si>
  <si>
    <t>Jan 4, 2023</t>
  </si>
  <si>
    <t>Jan 3, 2023</t>
  </si>
  <si>
    <t>Jan 2, 2023</t>
  </si>
  <si>
    <t>Dec 30, 2022</t>
  </si>
  <si>
    <t>Dec 29, 2022</t>
  </si>
  <si>
    <t>Dec 28, 2022</t>
  </si>
  <si>
    <t>Dec 27, 2022</t>
  </si>
  <si>
    <t>Dec 26, 2022</t>
  </si>
  <si>
    <t>Dec 23, 2022</t>
  </si>
  <si>
    <t>Dec 22, 2022</t>
  </si>
  <si>
    <t>Dec 21, 2022</t>
  </si>
  <si>
    <t>Dec 20, 2022</t>
  </si>
  <si>
    <t>Dec 19, 2022</t>
  </si>
  <si>
    <t>Dec 16, 2022</t>
  </si>
  <si>
    <t>Dec 15, 2022</t>
  </si>
  <si>
    <t>Dec 14, 2022</t>
  </si>
  <si>
    <t>Dec 13, 2022</t>
  </si>
  <si>
    <t>Dec 12, 2022</t>
  </si>
  <si>
    <t>Dec 9, 2022</t>
  </si>
  <si>
    <t>Dec 8, 2022</t>
  </si>
  <si>
    <t>Dec 7, 2022</t>
  </si>
  <si>
    <t>Dec 6, 2022</t>
  </si>
  <si>
    <t>Dec 5, 2022</t>
  </si>
  <si>
    <t>Dec 2, 2022</t>
  </si>
  <si>
    <t>Dec 1, 2022</t>
  </si>
  <si>
    <t>Nov 30, 2022</t>
  </si>
  <si>
    <t>Nov 29, 2022</t>
  </si>
  <si>
    <t>Nov 28, 2022</t>
  </si>
  <si>
    <t>Nov 25, 2022</t>
  </si>
  <si>
    <t>Nov 24, 2022</t>
  </si>
  <si>
    <t>Nov 23, 2022</t>
  </si>
  <si>
    <t>Nov 22, 2022</t>
  </si>
  <si>
    <t>Nov 21, 2022</t>
  </si>
  <si>
    <t>Nov 18, 2022</t>
  </si>
  <si>
    <t>Nov 17, 2022</t>
  </si>
  <si>
    <t>Nov 16, 2022</t>
  </si>
  <si>
    <t>Nov 15, 2022</t>
  </si>
  <si>
    <t>Nov 14, 2022</t>
  </si>
  <si>
    <t>Nov 11, 2022</t>
  </si>
  <si>
    <t>Nov 10, 2022</t>
  </si>
  <si>
    <t>Nov 9, 2022</t>
  </si>
  <si>
    <t>Nov 7, 2022</t>
  </si>
  <si>
    <t>Nov 4, 2022</t>
  </si>
  <si>
    <t>Nov 3, 2022</t>
  </si>
  <si>
    <t>Nov 2, 2022</t>
  </si>
  <si>
    <t>Nov 1, 2022</t>
  </si>
  <si>
    <t>Oct 31, 2022</t>
  </si>
  <si>
    <t>Oct 28, 2022</t>
  </si>
  <si>
    <t>Oct 27, 2022</t>
  </si>
  <si>
    <t>Oct 25, 2022</t>
  </si>
  <si>
    <t>Oct 24, 2022</t>
  </si>
  <si>
    <t>Oct 21, 2022</t>
  </si>
  <si>
    <t>Oct 20, 2022</t>
  </si>
  <si>
    <t>Oct 19, 2022</t>
  </si>
  <si>
    <t>Oct 18, 2022</t>
  </si>
  <si>
    <t>Oct 17, 2022</t>
  </si>
  <si>
    <t>Oct 14, 2022</t>
  </si>
  <si>
    <t>Oct 13, 2022</t>
  </si>
  <si>
    <t>Oct 12, 2022</t>
  </si>
  <si>
    <t>Oct 11, 2022</t>
  </si>
  <si>
    <t>Oct 10, 2022</t>
  </si>
  <si>
    <t>Oct 7, 2022</t>
  </si>
  <si>
    <t>Oct 6, 2022</t>
  </si>
  <si>
    <t>Oct 4, 2022</t>
  </si>
  <si>
    <t>Oct 3, 2022</t>
  </si>
  <si>
    <t>Sep 30, 2022</t>
  </si>
  <si>
    <t>Sep 29, 2022</t>
  </si>
  <si>
    <t>Sep 28, 2022</t>
  </si>
  <si>
    <t>Sep 27, 2022</t>
  </si>
  <si>
    <t>Sep 26, 2022</t>
  </si>
  <si>
    <t>Sep 23, 2022</t>
  </si>
  <si>
    <t>Sep 22, 2022</t>
  </si>
  <si>
    <t>Sep 21, 2022</t>
  </si>
  <si>
    <t>Sep 20, 2022</t>
  </si>
  <si>
    <t>Sep 19, 2022</t>
  </si>
  <si>
    <t>Sep 16, 2022</t>
  </si>
  <si>
    <t>Sep 15, 2022</t>
  </si>
  <si>
    <t>Sep 14, 2022</t>
  </si>
  <si>
    <t>Sep 13, 2022</t>
  </si>
  <si>
    <t>Sep 12, 2022</t>
  </si>
  <si>
    <t>Sep 9, 2022</t>
  </si>
  <si>
    <t>Sep 8, 2022</t>
  </si>
  <si>
    <t>Sep 7, 2022</t>
  </si>
  <si>
    <t>Sep 6, 2022</t>
  </si>
  <si>
    <t>Sep 5, 2022</t>
  </si>
  <si>
    <t>Sep 2, 2022</t>
  </si>
  <si>
    <t>Sep 1, 2022</t>
  </si>
  <si>
    <t>Aug 30, 2022</t>
  </si>
  <si>
    <t>Aug 29, 2022</t>
  </si>
  <si>
    <t>Aug 26, 2022</t>
  </si>
  <si>
    <t>Aug 25, 2022</t>
  </si>
  <si>
    <t>Aug 24, 2022</t>
  </si>
  <si>
    <t>Aug 23, 2022</t>
  </si>
  <si>
    <t>Aug 22, 2022</t>
  </si>
  <si>
    <t>Aug 19, 2022</t>
  </si>
  <si>
    <t>Aug 18, 2022</t>
  </si>
  <si>
    <t>Aug 17, 2022</t>
  </si>
  <si>
    <t>Aug 16, 2022</t>
  </si>
  <si>
    <t>Aug 12, 2022</t>
  </si>
  <si>
    <t>Aug 11, 2022</t>
  </si>
  <si>
    <t>Aug 10, 2022</t>
  </si>
  <si>
    <t>Aug 8, 2022</t>
  </si>
  <si>
    <t>Aug 5, 2022</t>
  </si>
  <si>
    <t>Aug 4, 2022</t>
  </si>
  <si>
    <t>Aug 3, 2022</t>
  </si>
  <si>
    <t>Aug 2, 2022</t>
  </si>
  <si>
    <t>Aug 1, 2022</t>
  </si>
  <si>
    <t>Jul 29, 2022</t>
  </si>
  <si>
    <t>Jul 28, 2022</t>
  </si>
  <si>
    <t>Jul 27, 2022</t>
  </si>
  <si>
    <t>Jul 26, 2022</t>
  </si>
  <si>
    <t>Jul 25, 2022</t>
  </si>
  <si>
    <t>Jul 22, 2022</t>
  </si>
  <si>
    <t>Jul 21, 2022</t>
  </si>
  <si>
    <t>Jul 20, 2022</t>
  </si>
  <si>
    <t>Jul 19, 2022</t>
  </si>
  <si>
    <t>Jul 18, 2022</t>
  </si>
  <si>
    <t>Jul 15, 2022</t>
  </si>
  <si>
    <t>Jul 14, 2022</t>
  </si>
  <si>
    <t>Jul 13, 2022</t>
  </si>
  <si>
    <t>Jul 12, 2022</t>
  </si>
  <si>
    <t>Jul 11, 2022</t>
  </si>
  <si>
    <t>Jul 8, 2022</t>
  </si>
  <si>
    <t>Jul 7, 2022</t>
  </si>
  <si>
    <t>Jul 6, 2022</t>
  </si>
  <si>
    <t>Jul 5, 2022</t>
  </si>
  <si>
    <t>Jul 4, 2022</t>
  </si>
  <si>
    <t>Jul 1, 2022</t>
  </si>
  <si>
    <t>Jun 30, 2022</t>
  </si>
  <si>
    <t>Jun 29, 2022</t>
  </si>
  <si>
    <t>Jun 28, 2022</t>
  </si>
  <si>
    <t>Jun 27, 2022</t>
  </si>
  <si>
    <t>Jun 24, 2022</t>
  </si>
  <si>
    <t>Jun 23, 2022</t>
  </si>
  <si>
    <t>Jun 22, 2022</t>
  </si>
  <si>
    <t>Jun 21, 2022</t>
  </si>
  <si>
    <t>Jun 20, 2022</t>
  </si>
  <si>
    <t>Jun 17, 2022</t>
  </si>
  <si>
    <t>Jun 16, 2022</t>
  </si>
  <si>
    <t>Jun 15, 2022</t>
  </si>
  <si>
    <t>Jun 14, 2022</t>
  </si>
  <si>
    <t>Jun 13, 2022</t>
  </si>
  <si>
    <t>Jun 10, 2022</t>
  </si>
  <si>
    <t>Jun 9, 2022</t>
  </si>
  <si>
    <t>Jun 8, 2022</t>
  </si>
  <si>
    <t>Jun 7, 2022</t>
  </si>
  <si>
    <t>Jun 6, 2022</t>
  </si>
  <si>
    <t>Jun 3, 2022</t>
  </si>
  <si>
    <t>Jun 2, 2022</t>
  </si>
  <si>
    <t>Jun 1, 2022</t>
  </si>
  <si>
    <t>May 31, 2022</t>
  </si>
  <si>
    <t>May 30, 2022</t>
  </si>
  <si>
    <t>May 27, 2022</t>
  </si>
  <si>
    <t>May 26, 2022</t>
  </si>
  <si>
    <t>May 25, 2022</t>
  </si>
  <si>
    <t>May 24, 2022</t>
  </si>
  <si>
    <t>May 23, 2022</t>
  </si>
  <si>
    <t>May 20, 2022</t>
  </si>
  <si>
    <t>May 19, 2022</t>
  </si>
  <si>
    <t>May 18, 2022</t>
  </si>
  <si>
    <t>May 17, 2022</t>
  </si>
  <si>
    <t>May 16, 2022</t>
  </si>
  <si>
    <t>May 13, 2022</t>
  </si>
  <si>
    <t>May 12, 2022</t>
  </si>
  <si>
    <t>May 11, 2022</t>
  </si>
  <si>
    <t>May 10, 2022</t>
  </si>
  <si>
    <t>May 9, 2022</t>
  </si>
  <si>
    <t>May 6, 2022</t>
  </si>
  <si>
    <t>May 5, 2022</t>
  </si>
  <si>
    <t>May 4, 2022</t>
  </si>
  <si>
    <t>Apr 29, 2022</t>
  </si>
  <si>
    <t>Apr 28, 2022</t>
  </si>
  <si>
    <t>Apr 27, 2022</t>
  </si>
  <si>
    <t>Apr 26, 2022</t>
  </si>
  <si>
    <t>Apr 25, 2022</t>
  </si>
  <si>
    <t>Apr 22, 2022</t>
  </si>
  <si>
    <t>Apr 21, 2022</t>
  </si>
  <si>
    <t>Apr 20, 2022</t>
  </si>
  <si>
    <t>Apr 19, 2022</t>
  </si>
  <si>
    <t>Apr 18, 2022</t>
  </si>
  <si>
    <t>Apr 13, 2022</t>
  </si>
  <si>
    <t>Apr 12, 2022</t>
  </si>
  <si>
    <t>Apr 11, 2022</t>
  </si>
  <si>
    <t>Apr 8, 2022</t>
  </si>
  <si>
    <t>Apr 7, 2022</t>
  </si>
  <si>
    <t>Apr 6, 2022</t>
  </si>
  <si>
    <t>Apr 5, 2022</t>
  </si>
  <si>
    <t>Apr 4, 2022</t>
  </si>
  <si>
    <t>Apr 1, 2022</t>
  </si>
  <si>
    <t>Mar 31, 2022</t>
  </si>
  <si>
    <t>Mar 30, 2022</t>
  </si>
  <si>
    <t>Mar 29, 2022</t>
  </si>
  <si>
    <t>Mar 28, 2022</t>
  </si>
  <si>
    <t>Mar 25, 2022</t>
  </si>
  <si>
    <t>Mar 24, 2022</t>
  </si>
  <si>
    <t>Mar 23, 2022</t>
  </si>
  <si>
    <t>Mar 22, 2022</t>
  </si>
  <si>
    <t>Mar 21, 2022</t>
  </si>
  <si>
    <t>Mar 17, 2022</t>
  </si>
  <si>
    <t>Mar 16, 2022</t>
  </si>
  <si>
    <t>Mar 15, 2022</t>
  </si>
  <si>
    <t>Mar 14, 2022</t>
  </si>
  <si>
    <t>Mar 11, 2022</t>
  </si>
  <si>
    <t>Mar 10, 2022</t>
  </si>
  <si>
    <t>Mar 9, 2022</t>
  </si>
  <si>
    <t>Mar 8, 2022</t>
  </si>
  <si>
    <t>Mar 7, 2022</t>
  </si>
  <si>
    <t>Mar 4, 2022</t>
  </si>
  <si>
    <t>Mar 3, 2022</t>
  </si>
  <si>
    <t>Mar 2, 2022</t>
  </si>
  <si>
    <t>Feb 28, 2022</t>
  </si>
  <si>
    <t>Feb 25, 2022</t>
  </si>
  <si>
    <t>Feb 24, 2022</t>
  </si>
  <si>
    <t>Feb 23, 2022</t>
  </si>
  <si>
    <t>Feb 22, 2022</t>
  </si>
  <si>
    <t>Feb 21, 2022</t>
  </si>
  <si>
    <t>Feb 18, 2022</t>
  </si>
  <si>
    <t>Feb 17, 2022</t>
  </si>
  <si>
    <t>Feb 16, 2022</t>
  </si>
  <si>
    <t>Feb 15, 2022</t>
  </si>
  <si>
    <t>Feb 11, 2022</t>
  </si>
  <si>
    <t>Feb 10, 2022</t>
  </si>
  <si>
    <t>Feb 9, 2022</t>
  </si>
  <si>
    <t>Feb 8, 2022</t>
  </si>
  <si>
    <t>Feb 7, 2022</t>
  </si>
  <si>
    <t>Feb 4, 2022</t>
  </si>
  <si>
    <t>Feb 3, 2022</t>
  </si>
  <si>
    <t>Feb 2, 2022</t>
  </si>
  <si>
    <t>Feb 1, 2022</t>
  </si>
  <si>
    <t>Jan 31, 2022</t>
  </si>
  <si>
    <t>Jan 28, 2022</t>
  </si>
  <si>
    <t>Jan 27, 2022</t>
  </si>
  <si>
    <t>Jan 25, 2022</t>
  </si>
  <si>
    <t>Jan 24, 2022</t>
  </si>
  <si>
    <t>Jan 21, 2022</t>
  </si>
  <si>
    <t>Jan 20, 2022</t>
  </si>
  <si>
    <t>Jan 19, 2022</t>
  </si>
  <si>
    <t>Jan 18, 2022</t>
  </si>
  <si>
    <t>Jan 17, 2022</t>
  </si>
  <si>
    <t>Jan 14, 2022</t>
  </si>
  <si>
    <t>Jan 13, 2022</t>
  </si>
  <si>
    <t>Jan 12, 2022</t>
  </si>
  <si>
    <t>Jan 11, 2022</t>
  </si>
  <si>
    <t>Jan 10, 2022</t>
  </si>
  <si>
    <t>Jan 7, 2022</t>
  </si>
  <si>
    <t>Jan 6, 2022</t>
  </si>
  <si>
    <t>Jan 5, 2022</t>
  </si>
  <si>
    <t>Jan 4, 2022</t>
  </si>
  <si>
    <t>Jan 3, 2022</t>
  </si>
  <si>
    <t>Dec 31, 2021</t>
  </si>
  <si>
    <t xml:space="preserve">Mean </t>
  </si>
  <si>
    <t>Std Deviation</t>
  </si>
  <si>
    <t>Max</t>
  </si>
  <si>
    <t>Min</t>
  </si>
  <si>
    <t xml:space="preserve"> </t>
  </si>
  <si>
    <t xml:space="preserve">Percentile </t>
  </si>
  <si>
    <t xml:space="preserve">Confidence </t>
  </si>
  <si>
    <t>VaR</t>
  </si>
  <si>
    <t>VaR(INR)</t>
  </si>
  <si>
    <t>CMP</t>
  </si>
  <si>
    <t>Replication</t>
  </si>
  <si>
    <t>Simulated Returns</t>
  </si>
  <si>
    <t>About the company</t>
  </si>
  <si>
    <t>Financial Summary</t>
  </si>
  <si>
    <t>Return on Equity (ROE)</t>
  </si>
  <si>
    <t>Average Shareholder Equity</t>
  </si>
  <si>
    <t>Return on Equity</t>
  </si>
  <si>
    <t>ROE - Dupont Equation</t>
  </si>
  <si>
    <t>Net Profit Margin (A)</t>
  </si>
  <si>
    <t>Average Total Asset</t>
  </si>
  <si>
    <t>Asset Turnover Ratio (B)</t>
  </si>
  <si>
    <t>Equity Multiplier (C)</t>
  </si>
  <si>
    <t>Return on Equity (A*B*C)</t>
  </si>
  <si>
    <t>Return on Asset</t>
  </si>
  <si>
    <t>ROA - Dupont Equation</t>
  </si>
  <si>
    <t>Return on Asset (A*B)</t>
  </si>
  <si>
    <t>COMPANY_NAME</t>
  </si>
  <si>
    <t>BSE</t>
  </si>
  <si>
    <t>NSE</t>
  </si>
  <si>
    <t>Industry</t>
  </si>
  <si>
    <t>20 MICRONS LTD</t>
  </si>
  <si>
    <t>20MICRONS</t>
  </si>
  <si>
    <t>Mining</t>
  </si>
  <si>
    <t>21ST CENTURY MANAGEMENT SERVICES LTD</t>
  </si>
  <si>
    <t>21STCENMGM</t>
  </si>
  <si>
    <t>Other Financial Services</t>
  </si>
  <si>
    <t>3I INFOTECH LTD</t>
  </si>
  <si>
    <t>3IINFOTECH</t>
  </si>
  <si>
    <t>IT Consulting &amp; Software</t>
  </si>
  <si>
    <t>3M (INDIA) LTD</t>
  </si>
  <si>
    <t>3M(INDIA)</t>
  </si>
  <si>
    <t>Diversified</t>
  </si>
  <si>
    <t>3M INDIA LTD</t>
  </si>
  <si>
    <t>3MINDIA</t>
  </si>
  <si>
    <t>3P LAND HOLDINGS LTD</t>
  </si>
  <si>
    <t>3PLAND</t>
  </si>
  <si>
    <t>Paper &amp; Paper Products</t>
  </si>
  <si>
    <t>5PAISA CAPITAL LTD</t>
  </si>
  <si>
    <t>5PAISA</t>
  </si>
  <si>
    <t>63 MOONS TECHNOLOGIES LTD</t>
  </si>
  <si>
    <t>63MOONS</t>
  </si>
  <si>
    <t>7NR RETAIL LTD</t>
  </si>
  <si>
    <t>Not Listed</t>
  </si>
  <si>
    <t>Specialty Retail</t>
  </si>
  <si>
    <t>7SEAS ENTERTAINMENT LTD</t>
  </si>
  <si>
    <t>Movies &amp; Entertainment</t>
  </si>
  <si>
    <t>8K MILES SOFTWARE SERVICES LTD</t>
  </si>
  <si>
    <t>8KMILES</t>
  </si>
  <si>
    <t>Internet Software &amp; Services</t>
  </si>
  <si>
    <t>A &amp; M FEBCON LTD</t>
  </si>
  <si>
    <t>Industrial Machinery</t>
  </si>
  <si>
    <t>A AND M JUMBO BAGS LTD</t>
  </si>
  <si>
    <t>AMJUMBO</t>
  </si>
  <si>
    <t>SME</t>
  </si>
  <si>
    <t>A INFRASTRUCTURE LTD</t>
  </si>
  <si>
    <t>Cement &amp; Cement Products</t>
  </si>
  <si>
    <t>A K  SPINTEX LTD</t>
  </si>
  <si>
    <t>Textiles</t>
  </si>
  <si>
    <t>A K CAPITAL SERVICES LTD</t>
  </si>
  <si>
    <t>Finance (including NBFCs)</t>
  </si>
  <si>
    <t>A.F. Enterprises Ltd</t>
  </si>
  <si>
    <t>AFEL</t>
  </si>
  <si>
    <t>Investment Companies</t>
  </si>
  <si>
    <t>A-1 ACID LTD</t>
  </si>
  <si>
    <t>Comm.Trading  &amp; Distribution</t>
  </si>
  <si>
    <t>A2Z INFRA ENGINEERING LTD</t>
  </si>
  <si>
    <t>A2ZINFRA</t>
  </si>
  <si>
    <t>Utilities:Non-Elec.</t>
  </si>
  <si>
    <t>AADHAAR VENTURES (INDIA) LTD</t>
  </si>
  <si>
    <t>AADHAAR VENTURES INDIA LTD</t>
  </si>
  <si>
    <t>AAKASH EXPLORATION SERVICES LTD</t>
  </si>
  <si>
    <t>AAKASH</t>
  </si>
  <si>
    <t>AANANDA LAKSHMI SPINNING MILLS LTD</t>
  </si>
  <si>
    <t>AANCHAL ISPAT LTD</t>
  </si>
  <si>
    <t>Iron &amp; Steel/Interm.Products</t>
  </si>
  <si>
    <t>AAR COMMERCIAL COMPANY LTD</t>
  </si>
  <si>
    <t>Distributors</t>
  </si>
  <si>
    <t>Aar Shyam India Investment Company Ltd</t>
  </si>
  <si>
    <t>AARSHYAM</t>
  </si>
  <si>
    <t>AAREY DRUGS &amp; PHARMACEUTICALS LTD</t>
  </si>
  <si>
    <t>Pharmaceuticals</t>
  </si>
  <si>
    <t>AARON INDUSTRIES LTD</t>
  </si>
  <si>
    <t>AARON</t>
  </si>
  <si>
    <t>Aartech Solonics Ltd</t>
  </si>
  <si>
    <t>AARTECH</t>
  </si>
  <si>
    <t>Heavy Electrical Equipment</t>
  </si>
  <si>
    <t>AARTI DRUGS LTD</t>
  </si>
  <si>
    <t>AARTIDRUGS</t>
  </si>
  <si>
    <t>AARTI INDUSTRIES LTD</t>
  </si>
  <si>
    <t>AARTIIND</t>
  </si>
  <si>
    <t>Commodity Chemicals</t>
  </si>
  <si>
    <t>AARV INFRATEL LTD</t>
  </si>
  <si>
    <t>AARVEE DENIMS &amp; EXPORTS LTD</t>
  </si>
  <si>
    <t>AARVEEDEN</t>
  </si>
  <si>
    <t>AARVI ENCON LTD</t>
  </si>
  <si>
    <t>AARVI</t>
  </si>
  <si>
    <t>AASHEE INFOTECH LTD</t>
  </si>
  <si>
    <t>AASWA TRADING &amp; EXPORTS LTD</t>
  </si>
  <si>
    <t>AAVAS FINANCIERS LTD</t>
  </si>
  <si>
    <t>AAVAS</t>
  </si>
  <si>
    <t xml:space="preserve">Housing Finance </t>
  </si>
  <si>
    <t>AAYUSH FOOD AND HERBS LTD</t>
  </si>
  <si>
    <t>Packaged Foods</t>
  </si>
  <si>
    <t>ABAN OFFSHORE LTD</t>
  </si>
  <si>
    <t>ABAN</t>
  </si>
  <si>
    <t>Exploration &amp; Production</t>
  </si>
  <si>
    <t>ABANS ENTERPRISES LTD</t>
  </si>
  <si>
    <t>ABB INDIA LTD</t>
  </si>
  <si>
    <t>ABB</t>
  </si>
  <si>
    <t>ABBOTT (INDIA) LTD</t>
  </si>
  <si>
    <t>ABBOT(INDIA)</t>
  </si>
  <si>
    <t>ABBOTT INDIA LTD</t>
  </si>
  <si>
    <t>ABBOTINDIA</t>
  </si>
  <si>
    <t>ABC (INDIA) LTD</t>
  </si>
  <si>
    <t>Surface Transportation</t>
  </si>
  <si>
    <t>ABC GAS INTERNATIONAL LTD</t>
  </si>
  <si>
    <t>Copper</t>
  </si>
  <si>
    <t>ABC INDIA LTD</t>
  </si>
  <si>
    <t>ABG SHIPYARD LTD</t>
  </si>
  <si>
    <t>ABGSHIP</t>
  </si>
  <si>
    <t>Commercial Vehicles</t>
  </si>
  <si>
    <t>ABHIJIT TRADING COMPANY LTD</t>
  </si>
  <si>
    <t>Other Food Products</t>
  </si>
  <si>
    <t>ABHINAV CAPITAL SERVICES LTD</t>
  </si>
  <si>
    <t>ABHINAV LEASING &amp; FINANCE LTD</t>
  </si>
  <si>
    <t>ABHISHEK FINLEASE LTD</t>
  </si>
  <si>
    <t>Consulting Services</t>
  </si>
  <si>
    <t>ABHISHEK INFRAVENTURES LTD</t>
  </si>
  <si>
    <t>Realty</t>
  </si>
  <si>
    <t>ABIRAMI FINANCIAL SERVICES (INDIA) LTD</t>
  </si>
  <si>
    <t>ABIRAMI FINANCIAL SERVICES INDIA LTD</t>
  </si>
  <si>
    <t>ABM INTERNATIONAL LTD</t>
  </si>
  <si>
    <t>ABMINTLTD</t>
  </si>
  <si>
    <t>Others</t>
  </si>
  <si>
    <t>ABM KNOWLEDGEWARE LTD</t>
  </si>
  <si>
    <t>IT Software Products</t>
  </si>
  <si>
    <t>ACC LTD</t>
  </si>
  <si>
    <t>ACC</t>
  </si>
  <si>
    <t>ACCEL LTD</t>
  </si>
  <si>
    <t>Storage Media &amp; Peripherals</t>
  </si>
  <si>
    <t>ACCELYA KALE SOLUTIONS LTD</t>
  </si>
  <si>
    <t>ACCELYA</t>
  </si>
  <si>
    <t>ACCORD SYNERGY LTD</t>
  </si>
  <si>
    <t>ACCORD</t>
  </si>
  <si>
    <t>ACCURACY SHIPPING LTD</t>
  </si>
  <si>
    <t>ACCURACY</t>
  </si>
  <si>
    <t>ACE EDUTREND LTD</t>
  </si>
  <si>
    <t>Education</t>
  </si>
  <si>
    <t>ACE INTEGRATED SOLUTIONS LTD</t>
  </si>
  <si>
    <t>ACEINTEG</t>
  </si>
  <si>
    <t>ACE MEN ENGG WORKS LTD</t>
  </si>
  <si>
    <t>ACE SOFTWARE EXPORTS LTD</t>
  </si>
  <si>
    <t>Achal Investments Ltd</t>
  </si>
  <si>
    <t>ACHAL</t>
  </si>
  <si>
    <t>ACI INFOCOM LTD</t>
  </si>
  <si>
    <t>ACKNIT INDUSTRIES LTD</t>
  </si>
  <si>
    <t>Other Apparels &amp; Accessories</t>
  </si>
  <si>
    <t>ACME RESOURCES LTD</t>
  </si>
  <si>
    <t>ACROW INDIA LTD.</t>
  </si>
  <si>
    <t>ACROW</t>
  </si>
  <si>
    <t>Iron &amp;amp; Steel Products</t>
  </si>
  <si>
    <t>ACRYSIL LTD</t>
  </si>
  <si>
    <t>Plastic Products</t>
  </si>
  <si>
    <t>ACTION CONSTRUCTION EQUIPMENT LTD</t>
  </si>
  <si>
    <t>ACE</t>
  </si>
  <si>
    <t>Transport Related Services</t>
  </si>
  <si>
    <t>ACTION FINANCIAL SERVICES (INDIA) LTD</t>
  </si>
  <si>
    <t>ACTION FINANCIAL SERVICES INDIA LTD</t>
  </si>
  <si>
    <t>ACTIVE CLOTHING CO LTD</t>
  </si>
  <si>
    <t>ADANI ENTERPRISES LTD</t>
  </si>
  <si>
    <t>ADANIENT</t>
  </si>
  <si>
    <t>ADANI GAS LTD</t>
  </si>
  <si>
    <t>ADANIGAS</t>
  </si>
  <si>
    <t>Integrated Oil &amp; Gas</t>
  </si>
  <si>
    <t>ADANI GREEN ENERGY LTD</t>
  </si>
  <si>
    <t>ADANIGREEN</t>
  </si>
  <si>
    <t>ADANI PORTS AND SPECIAL ECONOMIC ZONE LTD</t>
  </si>
  <si>
    <t>ADANIPORTS</t>
  </si>
  <si>
    <t>Marine Port &amp; Services</t>
  </si>
  <si>
    <t>ADANI POWER LTD</t>
  </si>
  <si>
    <t>ADANIPOWER</t>
  </si>
  <si>
    <t>Electric Utilities</t>
  </si>
  <si>
    <t>ADANI TRANSMISSION LTD</t>
  </si>
  <si>
    <t>ADANITRANS</t>
  </si>
  <si>
    <t>ADARSH MERCANTILE LTD</t>
  </si>
  <si>
    <t>ADARSH PLANT PROTECT LTD</t>
  </si>
  <si>
    <t>Agrochemicals</t>
  </si>
  <si>
    <t>ADC INDIA COMMUNICATIONS LTD</t>
  </si>
  <si>
    <t>Telecom Equipment</t>
  </si>
  <si>
    <t>ADCON CAPITAL SERVICES LTD</t>
  </si>
  <si>
    <t>ADDI INDUSTRIES LTD</t>
  </si>
  <si>
    <t>ADD-SHOP PROMOTIONS LTD</t>
  </si>
  <si>
    <t>ADF FOODS LTD</t>
  </si>
  <si>
    <t>ADFFOODS</t>
  </si>
  <si>
    <t>ADHARSHILA CAPITAL SERVICES LTD</t>
  </si>
  <si>
    <t>ADHBHUT INFRASTRUCTURE LTD</t>
  </si>
  <si>
    <t>ADHIRAJ DISTRIBUTORS LTD</t>
  </si>
  <si>
    <t>ADHUNIK INDUSTRIES LTD</t>
  </si>
  <si>
    <t>ADHUNIKIND</t>
  </si>
  <si>
    <t>ADHUNIK METALIKS LTD</t>
  </si>
  <si>
    <t>ADHUNIK</t>
  </si>
  <si>
    <t>ADI RASAYAN LTD</t>
  </si>
  <si>
    <t>Specialty Chemicals</t>
  </si>
  <si>
    <t>ADINATH EXIM RESOURCES LTD</t>
  </si>
  <si>
    <t>ADINATH TEXTILES LTD</t>
  </si>
  <si>
    <t>ADITRI INDUSTRIES LTD</t>
  </si>
  <si>
    <t>ADITYA BIRLA CAPITAL LTD</t>
  </si>
  <si>
    <t>ABCAPITAL</t>
  </si>
  <si>
    <t>Holding Companies</t>
  </si>
  <si>
    <t>ADITYA BIRLA FASHION AND RETAIL LTD</t>
  </si>
  <si>
    <t>ABFRL</t>
  </si>
  <si>
    <t>Department Stores</t>
  </si>
  <si>
    <t>ADITYA BIRLA MONEY LTD</t>
  </si>
  <si>
    <t>BIRLAMONEY</t>
  </si>
  <si>
    <t>ADITYA CONSUMER MARKETING LTD</t>
  </si>
  <si>
    <t>ADITYA ISPAT LTD</t>
  </si>
  <si>
    <t>ADITYA SPINNERS LTD</t>
  </si>
  <si>
    <t>ADITYA VISION LTD</t>
  </si>
  <si>
    <t>ADLABS ENTERTAINMENT LTD</t>
  </si>
  <si>
    <t>ADLABS</t>
  </si>
  <si>
    <t>Other Leisure Facilities</t>
  </si>
  <si>
    <t>AD-MANUM FINANCE LTD</t>
  </si>
  <si>
    <t>ADOR FONTECH LTD</t>
  </si>
  <si>
    <t>ADOR MULTIPRODUCTS LTD</t>
  </si>
  <si>
    <t>Personal Products</t>
  </si>
  <si>
    <t>ADOR WELDING LTD</t>
  </si>
  <si>
    <t>ADORWELD</t>
  </si>
  <si>
    <t>Other Industrial Goods</t>
  </si>
  <si>
    <t>ADROIT INFOTECH LTD</t>
  </si>
  <si>
    <t>ADROITINFO</t>
  </si>
  <si>
    <t>ADS DIAGNOSTIC LTD</t>
  </si>
  <si>
    <t>Healthcare Services</t>
  </si>
  <si>
    <t>ADVANCE LIFESTYLES LTD</t>
  </si>
  <si>
    <t>ADVANCE METERING TECHNOLOGY LTD</t>
  </si>
  <si>
    <t>ADVANCE PETROCHEMICALS LTD</t>
  </si>
  <si>
    <t>ADVANCE POWERINFRA TECH LTD</t>
  </si>
  <si>
    <t>ADVANCE SYNTEX LTD</t>
  </si>
  <si>
    <t>Containers &amp; Packaging</t>
  </si>
  <si>
    <t>ADVANCED ENZYME TECHNOLOGIES LTD</t>
  </si>
  <si>
    <t>ADVENZYMES</t>
  </si>
  <si>
    <t>Other Agricultural Products</t>
  </si>
  <si>
    <t>ADVANI HOTELS &amp; RESORTS (INDIA) LTD</t>
  </si>
  <si>
    <t>ADVANIHOTR</t>
  </si>
  <si>
    <t>Hotels</t>
  </si>
  <si>
    <t>ADVANI HOTELS &amp; RESORTS INDIA LTD</t>
  </si>
  <si>
    <t>ADVENT COMPUTER SERVICES LTD</t>
  </si>
  <si>
    <t>ADVIK CAPITAL LTD</t>
  </si>
  <si>
    <t>ADVIK LABORATORIES LTD</t>
  </si>
  <si>
    <t>ADVITIYA TRADE (INDIA) LTD</t>
  </si>
  <si>
    <t>ADVITIYA TRADE INDIA LTD</t>
  </si>
  <si>
    <t>AEGIS LOGISTICS LTD</t>
  </si>
  <si>
    <t>AEGISCHEM</t>
  </si>
  <si>
    <t>Oil Marketing &amp; Distribution</t>
  </si>
  <si>
    <t>AFFORDABLE ROBOTIC &amp; AUTOMATION LTD</t>
  </si>
  <si>
    <t>AGARWAL INDUSTRIAL CORPORATION LTD</t>
  </si>
  <si>
    <t>AGARIND</t>
  </si>
  <si>
    <t>Petrochemicals</t>
  </si>
  <si>
    <t>AGC NETWORKS LTD</t>
  </si>
  <si>
    <t>AGCNET</t>
  </si>
  <si>
    <t>AGI INFRA LTD</t>
  </si>
  <si>
    <t>AGIO PAPER &amp; INDUSTRIES LTD</t>
  </si>
  <si>
    <t>AGRIMONY COMMODITIES LTD</t>
  </si>
  <si>
    <t>AGRI-TECH (INDIA) LTD</t>
  </si>
  <si>
    <t>AGRITECH</t>
  </si>
  <si>
    <t>AGRI-TECH INDIA LTD</t>
  </si>
  <si>
    <t>AGRO PHOS (INDIA) LTD</t>
  </si>
  <si>
    <t>AGROPHOS</t>
  </si>
  <si>
    <t>AGRO PHOS INDIA LTD</t>
  </si>
  <si>
    <t>AGRO TECH FOODS LTD</t>
  </si>
  <si>
    <t>ATFL</t>
  </si>
  <si>
    <t>AHIMSA INDUSTRIES LTD</t>
  </si>
  <si>
    <t>AHIMSA</t>
  </si>
  <si>
    <t>AHLADA ENGINEERS LTD</t>
  </si>
  <si>
    <t>AHLADA</t>
  </si>
  <si>
    <t>AHLUWALIA CONTRACTS (INDIA) LTD</t>
  </si>
  <si>
    <t>AHLUCONT</t>
  </si>
  <si>
    <t>AHLUWALIA CONTRACTS INDIA LTD</t>
  </si>
  <si>
    <t>AHMEDABAD STEELCRAFT LTD</t>
  </si>
  <si>
    <t>AI CHAMPDANY INDUSTRIES LTD</t>
  </si>
  <si>
    <t>Jute &amp; Jute Products</t>
  </si>
  <si>
    <t>AIA ENGINEERING LTD</t>
  </si>
  <si>
    <t>AIAENG</t>
  </si>
  <si>
    <t>AIMCO PESTICIDES LTD</t>
  </si>
  <si>
    <t>AIRAN LTD</t>
  </si>
  <si>
    <t>AIRAN</t>
  </si>
  <si>
    <t>AIRO LAM LTD</t>
  </si>
  <si>
    <t>AIROLAM</t>
  </si>
  <si>
    <t>AISHWARYA TELECOM LTD</t>
  </si>
  <si>
    <t>AJANTA PHARMA LTD</t>
  </si>
  <si>
    <t>AJANTPHARM</t>
  </si>
  <si>
    <t>AJANTA SOYA LTD</t>
  </si>
  <si>
    <t>Edible Oils</t>
  </si>
  <si>
    <t>AJCON GLOBAL SERVICES LTD</t>
  </si>
  <si>
    <t>AJEL LTD</t>
  </si>
  <si>
    <t>AJMERA REALTY &amp; INFRA (INDIA) LTD</t>
  </si>
  <si>
    <t>AJMERA</t>
  </si>
  <si>
    <t>AJMERA REALTY &amp; INFRA INDIA LTD</t>
  </si>
  <si>
    <t>AJOONI BIOTECH LTD</t>
  </si>
  <si>
    <t>AJOONI</t>
  </si>
  <si>
    <t>AJWA FUN WORLD &amp; RESORT LTD</t>
  </si>
  <si>
    <t>AKAR AUTO INDUSTRIES LTD</t>
  </si>
  <si>
    <t>AKASH INFRA PROJECTS LTD</t>
  </si>
  <si>
    <t>AKASH</t>
  </si>
  <si>
    <t>AKASHDEEP METAL INDUSTRIES LTD</t>
  </si>
  <si>
    <t>AKG EXIM LTD</t>
  </si>
  <si>
    <t>AKG</t>
  </si>
  <si>
    <t>AKI (INDIA) LTD</t>
  </si>
  <si>
    <t>AKI INDIA LTD</t>
  </si>
  <si>
    <t>AKM LACE AND EMBROTEX LTD</t>
  </si>
  <si>
    <t>AKME STAR HOUSING FINANCE LTD</t>
  </si>
  <si>
    <t>AKSH OPTIFIBRE LTD</t>
  </si>
  <si>
    <t>AKSHOPTFBR</t>
  </si>
  <si>
    <t>Telecom Cables</t>
  </si>
  <si>
    <t>AKSHAR SPINTEX LTD</t>
  </si>
  <si>
    <t>AKSHARCHEM (INDIA) LTD</t>
  </si>
  <si>
    <t>AKSHARCHEM</t>
  </si>
  <si>
    <t>AKSHARCHEM INDIA LTD</t>
  </si>
  <si>
    <t>AKZO NOBEL (INDIA) LTD</t>
  </si>
  <si>
    <t>AKZO(INDIA)</t>
  </si>
  <si>
    <t>Furniture-Furnishing-Paints</t>
  </si>
  <si>
    <t>AKZO NOBEL INDIA LTD</t>
  </si>
  <si>
    <t>AKZOINDIA</t>
  </si>
  <si>
    <t>ALACRITY SECURITIES LTD</t>
  </si>
  <si>
    <t>ALAN SCOTT INDUSTRIES LTD</t>
  </si>
  <si>
    <t>ALANKIT LTD</t>
  </si>
  <si>
    <t>ALANKIT</t>
  </si>
  <si>
    <t>ALBERT DAVID LTD</t>
  </si>
  <si>
    <t>ALBERTDAVD</t>
  </si>
  <si>
    <t>ALCHEMIST CORPORATION LTD</t>
  </si>
  <si>
    <t>ALCHEMIST LTD</t>
  </si>
  <si>
    <t>ALCHEM</t>
  </si>
  <si>
    <t>ALCHEMIST REALTY LTD</t>
  </si>
  <si>
    <t>ALEMBIC LTD</t>
  </si>
  <si>
    <t>ALEMBICLTD</t>
  </si>
  <si>
    <t>ALEMBIC PHARMACEUTICALS LTD</t>
  </si>
  <si>
    <t>APLLTD</t>
  </si>
  <si>
    <t>ALEXANDER STAMPS AND COIN LTD</t>
  </si>
  <si>
    <t>ALFA ICA (INDIA) LTD</t>
  </si>
  <si>
    <t>ALFA ICA INDIA LTD</t>
  </si>
  <si>
    <t>ALFA TRANSFORMERS LTD</t>
  </si>
  <si>
    <t>Other Elect.Equip./ Prod.</t>
  </si>
  <si>
    <t>ALFAVISION OVERSEAS (INDIA) LTD</t>
  </si>
  <si>
    <t>ALFAVISION OVERSEAS INDIA LTD</t>
  </si>
  <si>
    <t>ALFRED HERBERT (INDIA) LTD</t>
  </si>
  <si>
    <t>ALFRED HERBERT INDIA LTD</t>
  </si>
  <si>
    <t>ALICON CASTALLOY LTD</t>
  </si>
  <si>
    <t>ALICON</t>
  </si>
  <si>
    <t>Aluminium</t>
  </si>
  <si>
    <t>ALKA (INDIA) LTD</t>
  </si>
  <si>
    <t>ALKA DIAMOND INDUSTRIES LTD</t>
  </si>
  <si>
    <t>ALKA INDIA LTD</t>
  </si>
  <si>
    <t>ALKA SECURITIES LTD</t>
  </si>
  <si>
    <t>ALKALI METALS LTD</t>
  </si>
  <si>
    <t>ALKALI</t>
  </si>
  <si>
    <t>ALKEM LABORATORIES LTD</t>
  </si>
  <si>
    <t>ALKEM</t>
  </si>
  <si>
    <t>ALKYL AMINES CHEMICALS LTD</t>
  </si>
  <si>
    <t>ALKYLAMINE</t>
  </si>
  <si>
    <t>ALLAHABAD BANK</t>
  </si>
  <si>
    <t>ALBK</t>
  </si>
  <si>
    <t>Banks</t>
  </si>
  <si>
    <t>ALLCARGO LOGISTICS LTD</t>
  </si>
  <si>
    <t>ALLCARGO</t>
  </si>
  <si>
    <t>Transportation - Logistics</t>
  </si>
  <si>
    <t>ALLIANCE INTEGRATED METALIKS LTD</t>
  </si>
  <si>
    <t>Iron &amp; Steel Products</t>
  </si>
  <si>
    <t>ALLIED COMPUTERS INTERNATIONAL ASIA LTD</t>
  </si>
  <si>
    <t>Computer Hardware</t>
  </si>
  <si>
    <t>ALLIED DIGITAL SERVICES LTD</t>
  </si>
  <si>
    <t>ADSL</t>
  </si>
  <si>
    <t>ALLSEC TECHNOLOGIES LTD</t>
  </si>
  <si>
    <t>ALLSEC</t>
  </si>
  <si>
    <t>BPO/KPO</t>
  </si>
  <si>
    <t>ALMONDZ GLOBAL SECURITIES LTD</t>
  </si>
  <si>
    <t>ALMONDZ</t>
  </si>
  <si>
    <t>ALNA TRADING &amp; EXPORTS LTD</t>
  </si>
  <si>
    <t>ALOK INDUSTRIES LTD</t>
  </si>
  <si>
    <t>ALOKTEXT</t>
  </si>
  <si>
    <t>ALPA LABORATORIES LTD</t>
  </si>
  <si>
    <t>ALPA</t>
  </si>
  <si>
    <t>Biotechnology</t>
  </si>
  <si>
    <t>ALPHAGEO (INDIA) LTD</t>
  </si>
  <si>
    <t>ALPHAGEO</t>
  </si>
  <si>
    <t>Oil Equipment &amp; Services</t>
  </si>
  <si>
    <t>ALPHAGEO INDIA LTD</t>
  </si>
  <si>
    <t>ALPINE HOUSING DEVELOPMENT CORPORATION LTD</t>
  </si>
  <si>
    <t>ALPS INDUSTRIES LTD</t>
  </si>
  <si>
    <t>ALPSINDUS</t>
  </si>
  <si>
    <t>Alps Motor Finance Ltd</t>
  </si>
  <si>
    <t>ALPSMOTOR</t>
  </si>
  <si>
    <t>ALSTONE TEXTILES (INDIA) LTD</t>
  </si>
  <si>
    <t>ALSTONE TEXTILES INDIA LTD</t>
  </si>
  <si>
    <t>ALUFLUORIDE LTD</t>
  </si>
  <si>
    <t>AMAL LTD</t>
  </si>
  <si>
    <t>AMANI TRADING &amp; EXPORTS LTD</t>
  </si>
  <si>
    <t>AMARA RAJA BATTERIES LTD</t>
  </si>
  <si>
    <t>AMARAJABAT</t>
  </si>
  <si>
    <t>Auto Parts &amp; Equipment</t>
  </si>
  <si>
    <t>AMARJOTHI SPINNING MILLS LTD</t>
  </si>
  <si>
    <t>AMARNATH SECURITIES LTD</t>
  </si>
  <si>
    <t>AMAZE ENTERTECH LTD</t>
  </si>
  <si>
    <t>AMBA ENTERPRISES LTD</t>
  </si>
  <si>
    <t>AMBALAL SARABHAI ENTERPRISES LTD</t>
  </si>
  <si>
    <t>AMBANI ORGANICS LTD</t>
  </si>
  <si>
    <t>AMBANIORG</t>
  </si>
  <si>
    <t>AMBAR PROTEIN INDUSTRIES LTD</t>
  </si>
  <si>
    <t>Ambassador Intra Holdings Ltd</t>
  </si>
  <si>
    <t>AIHL</t>
  </si>
  <si>
    <t>Comm.Trading  &amp;amp; Distribution</t>
  </si>
  <si>
    <t>AMBER ENTERPRISES (INDIA) LTD</t>
  </si>
  <si>
    <t>AMBER</t>
  </si>
  <si>
    <t>Consumer Electronics</t>
  </si>
  <si>
    <t>AMBER ENTERPRISES INDIA LTD</t>
  </si>
  <si>
    <t>AMBIKA COTTON MILLS LTD</t>
  </si>
  <si>
    <t>AMBIKCO</t>
  </si>
  <si>
    <t>AMBITION MICA LTD</t>
  </si>
  <si>
    <t>AMBUJA CEMENTS LTD</t>
  </si>
  <si>
    <t>AMBUJACEM</t>
  </si>
  <si>
    <t>AMCO (INDIA) LTD</t>
  </si>
  <si>
    <t>Fibres &amp; Plastics</t>
  </si>
  <si>
    <t>AMCO INDIA LTD</t>
  </si>
  <si>
    <t>AMD INDUSTRIES LTD</t>
  </si>
  <si>
    <t>AMDIND</t>
  </si>
  <si>
    <t>AMFORGE INDUSTRIES LTD</t>
  </si>
  <si>
    <t>AMIN TANNERY LTD</t>
  </si>
  <si>
    <t>AMINES &amp; PLASTICIZERS LTD</t>
  </si>
  <si>
    <t>AMIT INTERNATIONAL LTD</t>
  </si>
  <si>
    <t>AMIT SECURITIES LTD</t>
  </si>
  <si>
    <t>AMJ LAND HOLDINGS LTD</t>
  </si>
  <si>
    <t>AMJLAND</t>
  </si>
  <si>
    <t>AMRADEEP INDUSTRIES LTD</t>
  </si>
  <si>
    <t>AMRAPALI CAPITAL AND FINANCE SERVICES LTD</t>
  </si>
  <si>
    <t>AMRAPALI FINCAP LTD</t>
  </si>
  <si>
    <t>AMRAPALI INDUSTRIES LTD</t>
  </si>
  <si>
    <t>AMRAWORLD AGRICO LTD</t>
  </si>
  <si>
    <t>AMRIT CORP LTD</t>
  </si>
  <si>
    <t>AMRUTANJAN HEALTH CARE LTD</t>
  </si>
  <si>
    <t>AMRUTANJAN</t>
  </si>
  <si>
    <t>AMSONS APPARELS LTD</t>
  </si>
  <si>
    <t>ANAND PROJECTS LTD</t>
  </si>
  <si>
    <t>Construction &amp; Engineering</t>
  </si>
  <si>
    <t>ANANT RAJ LTD</t>
  </si>
  <si>
    <t>ANANTRAJ</t>
  </si>
  <si>
    <t>ANDHRA BANK</t>
  </si>
  <si>
    <t>ANDHRABANK</t>
  </si>
  <si>
    <t>ANDHRA CEMENTS LTD</t>
  </si>
  <si>
    <t>ANDHRACEMT</t>
  </si>
  <si>
    <t>ANDHRA PETROCHEMICALS LTD</t>
  </si>
  <si>
    <t>ANDREW YULE &amp; COMPANY LTD</t>
  </si>
  <si>
    <t>Tea &amp; Coffee</t>
  </si>
  <si>
    <t>ANERI FINCAP LTD</t>
  </si>
  <si>
    <t>ANG INDUSTRIES LTD</t>
  </si>
  <si>
    <t>ANGIND</t>
  </si>
  <si>
    <t>ANG LIFESCIENCES (INDIA) LTD</t>
  </si>
  <si>
    <t>ANG LIFESCIENCES INDIA LTD</t>
  </si>
  <si>
    <t>ANGEL FIBERS LTD</t>
  </si>
  <si>
    <t>ANI INTEGRATED SERVICES LTD</t>
  </si>
  <si>
    <t>AISL</t>
  </si>
  <si>
    <t>ANIK INDUSTRIES LTD</t>
  </si>
  <si>
    <t>ANIKINDS</t>
  </si>
  <si>
    <t>ANISHA IMPEX LTD</t>
  </si>
  <si>
    <t>ANJANI FINANCE LTD</t>
  </si>
  <si>
    <t>ANJANI FOODS LTD</t>
  </si>
  <si>
    <t>Misc.Commercial Services</t>
  </si>
  <si>
    <t>ANJANI PORTLAND CEMENT LTD</t>
  </si>
  <si>
    <t>APCL</t>
  </si>
  <si>
    <t>ANJANI SYNTHETICS LTD</t>
  </si>
  <si>
    <t>ANKA (INDIA) LTD</t>
  </si>
  <si>
    <t>Footwear</t>
  </si>
  <si>
    <t>ANKA INDIA LTD</t>
  </si>
  <si>
    <t>ANKIT METAL &amp; POWER LTD</t>
  </si>
  <si>
    <t>ANKITMETAL</t>
  </si>
  <si>
    <t>ANKUSH FINSTOCK LTD</t>
  </si>
  <si>
    <t>Anmol India Ltd</t>
  </si>
  <si>
    <t>ANMOL</t>
  </si>
  <si>
    <t>ANNA INFRASTRUCTURES LTD</t>
  </si>
  <si>
    <t>ANS INDUSTRIES LTD</t>
  </si>
  <si>
    <t>Non-alcoholic Beverages</t>
  </si>
  <si>
    <t>ANSAL BUILDWELL LTD</t>
  </si>
  <si>
    <t>ANSAL HOUSING AND CONSTRUCTION LTD</t>
  </si>
  <si>
    <t>ANSALHSG</t>
  </si>
  <si>
    <t>ANSAL PROPERTIES &amp; INFRASTRUCTURE LTD</t>
  </si>
  <si>
    <t>ANSALAPI</t>
  </si>
  <si>
    <t>ANSHUNI COMMERCIALS LTD</t>
  </si>
  <si>
    <t>ANTARCTICA LTD</t>
  </si>
  <si>
    <t>ANTGRAPHIC</t>
  </si>
  <si>
    <t>ANTARIKSH INDUSTRIES LTD</t>
  </si>
  <si>
    <t>ANUBHAV INDUSTRIAL RESOURCES LTD</t>
  </si>
  <si>
    <t>Real Estate Investment</t>
  </si>
  <si>
    <t>ANUBHAV INFRASTRUCTURE LTD</t>
  </si>
  <si>
    <t>ANUH PHARMA LTD</t>
  </si>
  <si>
    <t>ANUP MALLEABLE LTD</t>
  </si>
  <si>
    <t>ANUPAM FINSERV LTD</t>
  </si>
  <si>
    <t>APAR INDUSTRIES LTD</t>
  </si>
  <si>
    <t>APARINDS</t>
  </si>
  <si>
    <t>APCOTEX INDUSTRIES LTD</t>
  </si>
  <si>
    <t>APCOTEXIND</t>
  </si>
  <si>
    <t>APEX FROZEN FOODS LTD</t>
  </si>
  <si>
    <t>APEX</t>
  </si>
  <si>
    <t>APEX HOME FINANCE LTD</t>
  </si>
  <si>
    <t>APIS (INDIA) LTD</t>
  </si>
  <si>
    <t>APIS INDIA LTD</t>
  </si>
  <si>
    <t>APL APOLLO TUBES LTD</t>
  </si>
  <si>
    <t>APLAPOLLO</t>
  </si>
  <si>
    <t>APLAB LTD</t>
  </si>
  <si>
    <t>Aplaya Creations Ltd</t>
  </si>
  <si>
    <t>APLAYA</t>
  </si>
  <si>
    <t>APM INDUSTRIES LTD</t>
  </si>
  <si>
    <t>APOLLO FINVEST (INDIA) LTD</t>
  </si>
  <si>
    <t>APOLLO FINVEST INDIA LTD</t>
  </si>
  <si>
    <t>APOLLO HOSPITALS ENTERPRISE LTD</t>
  </si>
  <si>
    <t>APOLLOHOSP</t>
  </si>
  <si>
    <t>Healthcare Facilities</t>
  </si>
  <si>
    <t>APOLLO MICRO SYSTEMS LTD</t>
  </si>
  <si>
    <t>APOLLO</t>
  </si>
  <si>
    <t>Defence</t>
  </si>
  <si>
    <t>APOLLO PIPES LTD</t>
  </si>
  <si>
    <t>APOLLO SINDOORI HOTELS LTD</t>
  </si>
  <si>
    <t>APOLSINHOT</t>
  </si>
  <si>
    <t>APOLLO TRICOAT TUBES LTD</t>
  </si>
  <si>
    <t>APOLLO TYRES LTD</t>
  </si>
  <si>
    <t>APOLLOTYRE</t>
  </si>
  <si>
    <t>Auto Tyres &amp; Rubber Products</t>
  </si>
  <si>
    <t>APOORVA LEASING FINANCE AND INVESTMENT COMPANY LTD</t>
  </si>
  <si>
    <t>APPLE FINANCE LTD</t>
  </si>
  <si>
    <t>APTECH LTD</t>
  </si>
  <si>
    <t>APTECHT</t>
  </si>
  <si>
    <t>IT Training Services</t>
  </si>
  <si>
    <t>APUNKA INVEST COMMERCIAL LTD</t>
  </si>
  <si>
    <t>AQUA PUMPS INFRA VENTURES LTD</t>
  </si>
  <si>
    <t>ARAMBHAN HOSPITALITY SERVICES LTD</t>
  </si>
  <si>
    <t>Restaurants</t>
  </si>
  <si>
    <t>ARC FINANCE LTD</t>
  </si>
  <si>
    <t>ARCEE INDUSTRIES LTD</t>
  </si>
  <si>
    <t>ARCHANA SOFTWARE LTD</t>
  </si>
  <si>
    <t>ARCHIDPLY INDUSTRIES LTD</t>
  </si>
  <si>
    <t>ARCHIDPLY</t>
  </si>
  <si>
    <t>Forest Products</t>
  </si>
  <si>
    <t>ARCHIES LTD</t>
  </si>
  <si>
    <t>ARCHIES</t>
  </si>
  <si>
    <t xml:space="preserve">Gift Articles-Toys &amp; Cards </t>
  </si>
  <si>
    <t>ARCHIT ORGANOSYS LTD</t>
  </si>
  <si>
    <t>ARCOTECH LTD</t>
  </si>
  <si>
    <t>ARCOTECH</t>
  </si>
  <si>
    <t>ARDI INVESTMENT &amp; TRADING LTD</t>
  </si>
  <si>
    <t>AREX INDUSTRIES LTD</t>
  </si>
  <si>
    <t>ARFIN (INDIA) LTD</t>
  </si>
  <si>
    <t>ARFIN INDIA LTD</t>
  </si>
  <si>
    <t>ARIES AGRO LTD</t>
  </si>
  <si>
    <t>ARIES</t>
  </si>
  <si>
    <t>Fertilizers</t>
  </si>
  <si>
    <t>ARIHANT CAPITAL MARKETS LTD</t>
  </si>
  <si>
    <t>ARIHANT FOUNDATIONS &amp; HOUSING LTD</t>
  </si>
  <si>
    <t>ARIHANT</t>
  </si>
  <si>
    <t>ARIHANT INSTITUTE LTD</t>
  </si>
  <si>
    <t>ARIHANT SUPERSTRUCTURES LTD</t>
  </si>
  <si>
    <t>ARIHANTSUP</t>
  </si>
  <si>
    <t>ARIHANT TOURNESOL LTD</t>
  </si>
  <si>
    <t>ARIHANT'S SECURITIES LTD</t>
  </si>
  <si>
    <t>ARIS INTERNATIONAL LTD</t>
  </si>
  <si>
    <t>ARMAN FINANCIAL SERVICES LTD</t>
  </si>
  <si>
    <t>ARMANFIN</t>
  </si>
  <si>
    <t>Arman Holdings Ltd</t>
  </si>
  <si>
    <t>ARMAN</t>
  </si>
  <si>
    <t>ARMS PAPER LTD</t>
  </si>
  <si>
    <t>ARNAV CORPORATION LTD</t>
  </si>
  <si>
    <t>Publishing</t>
  </si>
  <si>
    <t>ARNOLD HOLDINGS LTD</t>
  </si>
  <si>
    <t>ARO GRANITE INDUSTRIES LTD</t>
  </si>
  <si>
    <t>AROGRANITE</t>
  </si>
  <si>
    <t>Construction Materials</t>
  </si>
  <si>
    <t>AROMA ENTERPRISES (INDIA) LTD</t>
  </si>
  <si>
    <t>AROMA ENTERPRISES INDIA LTD</t>
  </si>
  <si>
    <t>ARROW GREENTECH LTD</t>
  </si>
  <si>
    <t>ARROWGREEN</t>
  </si>
  <si>
    <t>ARROW TEXTILES LTD</t>
  </si>
  <si>
    <t>ARROWTEX</t>
  </si>
  <si>
    <t>ARSHIYA LTD</t>
  </si>
  <si>
    <t>ARSHIYA</t>
  </si>
  <si>
    <t>ARSS INFRASTRUCTURE PROJECTS LTD</t>
  </si>
  <si>
    <t>ARSSINFRA</t>
  </si>
  <si>
    <t>ART NIRMAN LTD</t>
  </si>
  <si>
    <t>ARTNIRMAN</t>
  </si>
  <si>
    <t>ARTECH POWER &amp; TRADING LTD</t>
  </si>
  <si>
    <t>Electronic Components</t>
  </si>
  <si>
    <t>ARTEFACT PROJECTS LTD</t>
  </si>
  <si>
    <t>Artemis Electricals Ltd</t>
  </si>
  <si>
    <t>ARTEMISELC</t>
  </si>
  <si>
    <t>Non-Durable Household Prod.</t>
  </si>
  <si>
    <t>ARTEMIS GLOBAL LIFE SCIENCES LTD</t>
  </si>
  <si>
    <t>AGLSL</t>
  </si>
  <si>
    <t>ARTSON ENGINEERING LTD</t>
  </si>
  <si>
    <t>ARUNA HOTELS LTD</t>
  </si>
  <si>
    <t>ARVEE LABORATORIES (INDIA) LTD</t>
  </si>
  <si>
    <t>ARVEE</t>
  </si>
  <si>
    <t>ARVEE LABORATORIES INDIA LTD</t>
  </si>
  <si>
    <t>Arvind Fashions Ltd</t>
  </si>
  <si>
    <t>ARVINDFASN</t>
  </si>
  <si>
    <t>Other Apparels &amp;amp; Accessories</t>
  </si>
  <si>
    <t>ARVIND LTD</t>
  </si>
  <si>
    <t>ARVIND</t>
  </si>
  <si>
    <t>ARVIND SMARTSPACES LTD</t>
  </si>
  <si>
    <t>ARVSMART</t>
  </si>
  <si>
    <t>ARYAMAN CAPITAL MARKETS LTD</t>
  </si>
  <si>
    <t>ARYAMAN FINANCIAL SERVICES LTD</t>
  </si>
  <si>
    <t>Aryan Share and Stock Brokers Ltd</t>
  </si>
  <si>
    <t>ARYAN</t>
  </si>
  <si>
    <t>ASAHI INDIA GLASS LTD</t>
  </si>
  <si>
    <t>ASAHIINDIA</t>
  </si>
  <si>
    <t>ASAHI INDUSTRIES LTD</t>
  </si>
  <si>
    <t>ASAHI SONGWON COLORS LTD</t>
  </si>
  <si>
    <t>ASAHISONG</t>
  </si>
  <si>
    <t>ASHAPURA INTIMATES FASHION LTD</t>
  </si>
  <si>
    <t>AIFL</t>
  </si>
  <si>
    <t>ASHAPURA MINECHEM LTD</t>
  </si>
  <si>
    <t>ASHAPURMIN</t>
  </si>
  <si>
    <t>Ashapuri Gold Ornament Ltd</t>
  </si>
  <si>
    <t>AGOL</t>
  </si>
  <si>
    <t>ASHARI AGENCIES LTD</t>
  </si>
  <si>
    <t>ASHIANA AGRO INDUSTRIES LTD</t>
  </si>
  <si>
    <t>ASHIANA HOUSING LTD</t>
  </si>
  <si>
    <t>ASHIANA</t>
  </si>
  <si>
    <t>ASHIANA ISPAT LTD</t>
  </si>
  <si>
    <t>ASHIKA CREDIT CAPITAL LTD.</t>
  </si>
  <si>
    <t>ASHIKACR</t>
  </si>
  <si>
    <t>ASHIMA LTD</t>
  </si>
  <si>
    <t>ASHIMASYN</t>
  </si>
  <si>
    <t>ASHIRWAD CAPITAL LTD</t>
  </si>
  <si>
    <t>ASHIRWAD STEELS &amp; INDUSTRIES LTD</t>
  </si>
  <si>
    <t>ASHISH POLYPLAST LTD</t>
  </si>
  <si>
    <t>ASHNISHA INDUSTRIES LTD</t>
  </si>
  <si>
    <t>ASHNOOR TEXTILE MILLS LTD</t>
  </si>
  <si>
    <t>ASHOK ALCO-CHEM LTD</t>
  </si>
  <si>
    <t>ASHOK LEYLAND LTD</t>
  </si>
  <si>
    <t>ASHOKLEY</t>
  </si>
  <si>
    <t>ASHOKA BUILDCON LTD</t>
  </si>
  <si>
    <t>ASHOKA</t>
  </si>
  <si>
    <t>Roads &amp; Highways</t>
  </si>
  <si>
    <t>ASHOKA METCAST LTD</t>
  </si>
  <si>
    <t>ASHOKA REFINERIES LTD</t>
  </si>
  <si>
    <t>ASHRAM ONLINE COM LTD</t>
  </si>
  <si>
    <t>ASHUTOSH PAPER MILLS LTD</t>
  </si>
  <si>
    <t>ASI INDUSTRIES LTD</t>
  </si>
  <si>
    <t>ASIA CAPITAL LTD</t>
  </si>
  <si>
    <t>ASIA PACK LTD</t>
  </si>
  <si>
    <t>ASIAN FLORA LTD</t>
  </si>
  <si>
    <t>ASIAN GRANITO (INDIA) LTD</t>
  </si>
  <si>
    <t>ASIANTILES</t>
  </si>
  <si>
    <t>ASIAN GRANITO INDIA LTD</t>
  </si>
  <si>
    <t>ASIAN HOTELS EAST LTD</t>
  </si>
  <si>
    <t>AHLEAST</t>
  </si>
  <si>
    <t>ASIAN HOTELS NORTH LTD</t>
  </si>
  <si>
    <t>ASIANHOTNR</t>
  </si>
  <si>
    <t>ASIAN HOTELS WEST LTD</t>
  </si>
  <si>
    <t>AHLWEST</t>
  </si>
  <si>
    <t>ASIAN OILFIELD SERVICES LTD</t>
  </si>
  <si>
    <t>ASIAN PAINTS LTD</t>
  </si>
  <si>
    <t>ASIANPAINT</t>
  </si>
  <si>
    <t>ASIAN PETROPRODUCTS &amp; EXPORTS LTD</t>
  </si>
  <si>
    <t>ASIAN STAR CO LTD</t>
  </si>
  <si>
    <t>ASIAN TEA &amp; EXPORTS LTD</t>
  </si>
  <si>
    <t>ASIS LOGISTICS LTD</t>
  </si>
  <si>
    <t>ASISL</t>
  </si>
  <si>
    <t>ASIT C MEHTA FINANCIAL SERVICES LTD</t>
  </si>
  <si>
    <t>ASL INDUSTRIES LTD</t>
  </si>
  <si>
    <t>ASLIND</t>
  </si>
  <si>
    <t>ASM TECHNOLOGIES LTD</t>
  </si>
  <si>
    <t>ASPINWALL AND COMPANY LTD</t>
  </si>
  <si>
    <t>ASPINWALL</t>
  </si>
  <si>
    <t>ASPIRA PATHLAB &amp; DIAGNOSTICS LTD</t>
  </si>
  <si>
    <t>ASSAM COMPANY (INDIA) LTD</t>
  </si>
  <si>
    <t>ASSAMCO</t>
  </si>
  <si>
    <t>ASSAM COMPANY INDIA LTD</t>
  </si>
  <si>
    <t>ASSOCIATED ALCOHOLS &amp; BREWERIES LTD</t>
  </si>
  <si>
    <t>Breweries &amp; Distilleries</t>
  </si>
  <si>
    <t>ASTEC LIFESCIENCES LTD</t>
  </si>
  <si>
    <t>ASTEC</t>
  </si>
  <si>
    <t>ASTER DM HEALTHCARE LTD</t>
  </si>
  <si>
    <t>ASTERDM</t>
  </si>
  <si>
    <t>ASTRA MICROWAVE PRODUCTS LTD</t>
  </si>
  <si>
    <t>ASTRAMICRO</t>
  </si>
  <si>
    <t>ASTRAL POLY TECHNIK LTD</t>
  </si>
  <si>
    <t>ASTRAL</t>
  </si>
  <si>
    <t>ASTRAZENECA PHARMA (INDIA) LTD</t>
  </si>
  <si>
    <t>ASTRAZEN</t>
  </si>
  <si>
    <t>ASTRAZENECA PHARMA INDIA LTD</t>
  </si>
  <si>
    <t>ASTRON PAPER &amp; BOARD MILL LTD</t>
  </si>
  <si>
    <t>ASTRON</t>
  </si>
  <si>
    <t>ASUTOSH ENTERPRISES LTD</t>
  </si>
  <si>
    <t>ASYA INFOSOFT LTD</t>
  </si>
  <si>
    <t>ATHARV ENTERPRISES LTD</t>
  </si>
  <si>
    <t>ATHENA CONSTRUCTIONS LTD</t>
  </si>
  <si>
    <t>Athena Global Technologies Ltd-$</t>
  </si>
  <si>
    <t>ATHENAGLO</t>
  </si>
  <si>
    <t>ATISHAY LTD</t>
  </si>
  <si>
    <t>ATLANTA DEVCON LTD</t>
  </si>
  <si>
    <t>ATLANTA LTD</t>
  </si>
  <si>
    <t>ATLANTA</t>
  </si>
  <si>
    <t>ATLAS CYCLES HARYANA LTD</t>
  </si>
  <si>
    <t>ATLASCYCLE</t>
  </si>
  <si>
    <t>2/3 Wheelers</t>
  </si>
  <si>
    <t>ATLAS JEWELLERY (INDIA) LTD</t>
  </si>
  <si>
    <t>ATLAS JEWELLERY INDIA LTD</t>
  </si>
  <si>
    <t>ATUL AUTO LTD</t>
  </si>
  <si>
    <t>ATULAUTO</t>
  </si>
  <si>
    <t>ATUL LTD</t>
  </si>
  <si>
    <t>ATUL</t>
  </si>
  <si>
    <t>ATV PROJECTS (INDIA) LTD</t>
  </si>
  <si>
    <t>ATV PROJECTS INDIA LTD</t>
  </si>
  <si>
    <t>AU SMALL FINANCE BANK LTD</t>
  </si>
  <si>
    <t>AUBANK</t>
  </si>
  <si>
    <t>AUNDE FAZE THREE AUTOFAB LTD</t>
  </si>
  <si>
    <t>AURANGABAD DISTILLERY LTD</t>
  </si>
  <si>
    <t>AURDIS</t>
  </si>
  <si>
    <t>AURIONPRO SOLUTIONS LTD</t>
  </si>
  <si>
    <t>AURIONPRO</t>
  </si>
  <si>
    <t>AURO LABORATORIES LTD</t>
  </si>
  <si>
    <t>AUROBINDO PHARMA LTD</t>
  </si>
  <si>
    <t>AUROPHARMA</t>
  </si>
  <si>
    <t>AUROMA COKE LTD</t>
  </si>
  <si>
    <t>Coal</t>
  </si>
  <si>
    <t>AUSOM ENTERPRISE LTD</t>
  </si>
  <si>
    <t>AUSOMENT</t>
  </si>
  <si>
    <t>AUSTIN ENGINEERING CO LTD</t>
  </si>
  <si>
    <t>AUTHUM INVESTMENT &amp; INFRASTRUCTURE LTD</t>
  </si>
  <si>
    <t>AUTO PINS (INDIA) LTD</t>
  </si>
  <si>
    <t>AUTO PINS INDIA LTD</t>
  </si>
  <si>
    <t>AUTOLINE INDUSTRIES LTD</t>
  </si>
  <si>
    <t>AUTOIND</t>
  </si>
  <si>
    <t>AUTOLITE (INDIA) LTD</t>
  </si>
  <si>
    <t>AUTOLITIND</t>
  </si>
  <si>
    <t>AUTOLITE INDIA LTD</t>
  </si>
  <si>
    <t>AUTOMOBILE CORPORATION OF GOA LTD</t>
  </si>
  <si>
    <t>AUTOMOTIVE AXLES LTD</t>
  </si>
  <si>
    <t>AUTOAXLES</t>
  </si>
  <si>
    <t>AUTOMOTIVE STAMPINGS AND ASSEMBLIES LTD</t>
  </si>
  <si>
    <t>ASAL</t>
  </si>
  <si>
    <t>AUTORIDERS INTERNATIONAL LTD</t>
  </si>
  <si>
    <t>AUTUMN BUILDERS LTD</t>
  </si>
  <si>
    <t>AVADH SUGAR &amp; ENERGY LTD</t>
  </si>
  <si>
    <t>AVADHSUGAR</t>
  </si>
  <si>
    <t>Sugar</t>
  </si>
  <si>
    <t>AVAILABLE FINANCE LTD</t>
  </si>
  <si>
    <t>AVANCE TECHNOLOGIES LTD</t>
  </si>
  <si>
    <t>AVANTEL LTD</t>
  </si>
  <si>
    <t>AVANTI FEEDS LTD</t>
  </si>
  <si>
    <t>AVANTIFEED</t>
  </si>
  <si>
    <t>ITC LTD</t>
  </si>
  <si>
    <t>ITC</t>
  </si>
  <si>
    <t>AVG LOGISTICS LTD</t>
  </si>
  <si>
    <t>AVG</t>
  </si>
  <si>
    <t>AVI POLYMERS LTD</t>
  </si>
  <si>
    <t>AVI PRODUCTS (INDIA) LTD</t>
  </si>
  <si>
    <t>AVI PRODUCTS INDIA LTD</t>
  </si>
  <si>
    <t>AVIVA INDUSTRIES LTD</t>
  </si>
  <si>
    <t>AVON LIFESCIENCES LTD</t>
  </si>
  <si>
    <t>AVON MOLDPLAST LTD</t>
  </si>
  <si>
    <t>AVONMPL</t>
  </si>
  <si>
    <t>AVONMORE CAPITAL &amp; MANAGEMENT SERVICES LTD</t>
  </si>
  <si>
    <t>AVSL INDUSTRIES LTD</t>
  </si>
  <si>
    <t>AVSL</t>
  </si>
  <si>
    <t>AVT NATURAL PRODUCTS LTD</t>
  </si>
  <si>
    <t>AVTNPL</t>
  </si>
  <si>
    <t>AVTIL ENTERPRISE LTD</t>
  </si>
  <si>
    <t>AXEL POLYMERS LTD</t>
  </si>
  <si>
    <t>AXIS BANK LTD</t>
  </si>
  <si>
    <t>AXISBANK</t>
  </si>
  <si>
    <t>AXISCADES ENGINEERING TECHNOLOGIES LTD</t>
  </si>
  <si>
    <t>AXISCADES</t>
  </si>
  <si>
    <t>Axita Cotton Ltd</t>
  </si>
  <si>
    <t>AXITA</t>
  </si>
  <si>
    <t>AXON VENTURES LTD</t>
  </si>
  <si>
    <t>AXTEL INDUSTRIES LTD</t>
  </si>
  <si>
    <t>AYEPEE LAMITUBES LTD</t>
  </si>
  <si>
    <t>AYM SYNTEX LTD</t>
  </si>
  <si>
    <t>AYMSYNTEX</t>
  </si>
  <si>
    <t>AYOKI MERCANTILE LTD</t>
  </si>
  <si>
    <t>B  P  CAPITAL LTD</t>
  </si>
  <si>
    <t>B &amp; A LTD</t>
  </si>
  <si>
    <t>B A G FILMS AND MEDIA LTD</t>
  </si>
  <si>
    <t>BAGFILMS</t>
  </si>
  <si>
    <t>Broadcasting &amp; Cable TV</t>
  </si>
  <si>
    <t>B C  POWER CONTROLS LTD</t>
  </si>
  <si>
    <t>B L KASHYAP AND SONS LTD</t>
  </si>
  <si>
    <t>BLKASHYAP</t>
  </si>
  <si>
    <t>B N RATHI SECURITIES LTD</t>
  </si>
  <si>
    <t>B&amp;A PACKAGING (INDIA) LTD</t>
  </si>
  <si>
    <t>B&amp;A PACKAGING INDIA LTD</t>
  </si>
  <si>
    <t>B&amp;B TRIPLEWALL CONTAINERS LTD</t>
  </si>
  <si>
    <t>BBTCL</t>
  </si>
  <si>
    <t>B.T. Syndicate Ltd</t>
  </si>
  <si>
    <t>BTSYN</t>
  </si>
  <si>
    <t>B2B SOFTWARE TECHNOLOGIES LTD</t>
  </si>
  <si>
    <t>BABA ARTS LTD</t>
  </si>
  <si>
    <t>BACIL PHARMA LTD</t>
  </si>
  <si>
    <t>BAFNA PHARMACEUTICALS LTD</t>
  </si>
  <si>
    <t>BAFNAPHARM</t>
  </si>
  <si>
    <t>BAGADIA COLOURCHEM LTD</t>
  </si>
  <si>
    <t>BAID LEASING AND FINANCE CO LTD</t>
  </si>
  <si>
    <t>BAJAJ AUTO LTD</t>
  </si>
  <si>
    <t>BAJAJ-AUTO</t>
  </si>
  <si>
    <t>Bajaj Consumer Care LTD</t>
  </si>
  <si>
    <t>BAJAJCON</t>
  </si>
  <si>
    <t>BAJAJ CORP LTD</t>
  </si>
  <si>
    <t>BAJAJCORP</t>
  </si>
  <si>
    <t>BAJAJ ELECTRICALS LTD</t>
  </si>
  <si>
    <t>BAJAJELEC</t>
  </si>
  <si>
    <t>Household Appliances</t>
  </si>
  <si>
    <t>BAJAJ FINANCE LTD</t>
  </si>
  <si>
    <t>BAJFINANCE</t>
  </si>
  <si>
    <t>BAJAJ FINSERV LTD</t>
  </si>
  <si>
    <t>BAJAJFINSV</t>
  </si>
  <si>
    <t>BAJAJ GLOBAL LTD</t>
  </si>
  <si>
    <t>BAJAJ HEALTHCARE LTD</t>
  </si>
  <si>
    <t>BAJAJ HINDUSTHAN SUGAR LTD</t>
  </si>
  <si>
    <t>BAJAJHIND</t>
  </si>
  <si>
    <t>BAJAJ HOLDINGS &amp; INVESTMENT LTD</t>
  </si>
  <si>
    <t>BAJAJHLDNG</t>
  </si>
  <si>
    <t>BAJAJ STEEL INDUSTRIES LTD</t>
  </si>
  <si>
    <t>BAJRANG FINANCE LTD</t>
  </si>
  <si>
    <t>BAL PHARMA LTD</t>
  </si>
  <si>
    <t>BALPHARMA</t>
  </si>
  <si>
    <t>BALAJI AMINES LTD</t>
  </si>
  <si>
    <t>BALAMINES</t>
  </si>
  <si>
    <t>BALAJI TELEFILMS LTD</t>
  </si>
  <si>
    <t>BALAJITELE</t>
  </si>
  <si>
    <t>BALASORE ALLOYS LTD</t>
  </si>
  <si>
    <t>Balaxi Ventures LTD</t>
  </si>
  <si>
    <t>BALAXI</t>
  </si>
  <si>
    <t>Unknown</t>
  </si>
  <si>
    <t>BALGOPAL COMMERCIAL LTD</t>
  </si>
  <si>
    <t>BALKRISHNA INDUSTRIES LTD</t>
  </si>
  <si>
    <t>BALKRISIND</t>
  </si>
  <si>
    <t>BALKRISHNA PAPER MILLS LTD</t>
  </si>
  <si>
    <t>BALKRISHNA</t>
  </si>
  <si>
    <t>BALLARPUR INDUSTRIES LTD</t>
  </si>
  <si>
    <t>BALLARPUR</t>
  </si>
  <si>
    <t>BALMER LAWRIE &amp; COMPANY LTD</t>
  </si>
  <si>
    <t>BALMLAWRIE</t>
  </si>
  <si>
    <t>BALMER LAWRIE INVESTMENTS LTD</t>
  </si>
  <si>
    <t>BALRAMPUR CHINI MILLS LTD</t>
  </si>
  <si>
    <t>BALRAMCHIN</t>
  </si>
  <si>
    <t>BALURGHAT TECHNOLOGIES LTD</t>
  </si>
  <si>
    <t>BAMBINO AGRO INDUSTRIES LTD</t>
  </si>
  <si>
    <t>BAMPSL SECURITIES LTD</t>
  </si>
  <si>
    <t>BANARAS BEADS LTD</t>
  </si>
  <si>
    <t>BANARBEADS</t>
  </si>
  <si>
    <t>BANAS FINANCE LTD</t>
  </si>
  <si>
    <t>BANCO PRODUCTS I LTD</t>
  </si>
  <si>
    <t>BANCOINDIA</t>
  </si>
  <si>
    <t>BANDHAN BANK LTD</t>
  </si>
  <si>
    <t>BANDHANBNK</t>
  </si>
  <si>
    <t>BANG OVERSEAS LTD</t>
  </si>
  <si>
    <t>BANG</t>
  </si>
  <si>
    <t>BANGALORE FORT FARMS LTD</t>
  </si>
  <si>
    <t>BANK OF BARODA</t>
  </si>
  <si>
    <t>BANKBARODA</t>
  </si>
  <si>
    <t>BANK OF INDIA</t>
  </si>
  <si>
    <t>BANKINDIA</t>
  </si>
  <si>
    <t>BANK OF MAHARASHTRA</t>
  </si>
  <si>
    <t>MAHABANK</t>
  </si>
  <si>
    <t>BANKA BIOLOO LTD</t>
  </si>
  <si>
    <t>BANKA</t>
  </si>
  <si>
    <t>BANNARI AMMAN SPINNING MILLS LTD</t>
  </si>
  <si>
    <t>BASML</t>
  </si>
  <si>
    <t>BANNARI AMMAN SUGARS LTD</t>
  </si>
  <si>
    <t>BANARISUG</t>
  </si>
  <si>
    <t>BANSAL MULTIFLEX LTD</t>
  </si>
  <si>
    <t>BANSAL</t>
  </si>
  <si>
    <t>BANSAL ROOFING PRODUCTS LTD</t>
  </si>
  <si>
    <t>BANSISONS TEA INDUSTRIES LTD</t>
  </si>
  <si>
    <t>BANSWARA SYNTEX LTD</t>
  </si>
  <si>
    <t>BANSWRAS</t>
  </si>
  <si>
    <t>BARAK VALLEY CEMENTS LTD</t>
  </si>
  <si>
    <t>BVCL</t>
  </si>
  <si>
    <t>BARODA EXTRUSION LTD</t>
  </si>
  <si>
    <t>BARON INFOTECH LTD</t>
  </si>
  <si>
    <t>BARTRONICS (INDIA) LTD</t>
  </si>
  <si>
    <t>BARTRONICS</t>
  </si>
  <si>
    <t>BARTRONICS INDIA LTD</t>
  </si>
  <si>
    <t>BASANT AGRO TECH (INDIA) LTD</t>
  </si>
  <si>
    <t>BASANT AGRO TECH INDIA LTD</t>
  </si>
  <si>
    <t>BASF (INDIA) LTD</t>
  </si>
  <si>
    <t>BASF</t>
  </si>
  <si>
    <t>BASF INDIA LTD</t>
  </si>
  <si>
    <t>BATA (INDIA) LTD</t>
  </si>
  <si>
    <t>BATA(INDIA)</t>
  </si>
  <si>
    <t>BATA INDIA LTD</t>
  </si>
  <si>
    <t>BATAINDIA</t>
  </si>
  <si>
    <t>BATLIBOI LTD</t>
  </si>
  <si>
    <t>BAYER CROPSCIENCE LTD</t>
  </si>
  <si>
    <t>BAYERCROP</t>
  </si>
  <si>
    <t>BAZEL INTERNATIONAL LTD</t>
  </si>
  <si>
    <t>BCC FUBA (INDIA) LTD</t>
  </si>
  <si>
    <t>BCC FUBA INDIA LTD</t>
  </si>
  <si>
    <t>BCL ENTERPRISES LTD</t>
  </si>
  <si>
    <t>BCL INDUSTRIES LTD</t>
  </si>
  <si>
    <t>BCPL RAILWAY INFRASTRUCTURE LTD</t>
  </si>
  <si>
    <t>BDH INDUSTRIES LTD</t>
  </si>
  <si>
    <t>BEARDSELL LTD</t>
  </si>
  <si>
    <t>BEARDSELL</t>
  </si>
  <si>
    <t>BEDMUTHA INDUSTRIES LTD</t>
  </si>
  <si>
    <t>BEDMUTHA</t>
  </si>
  <si>
    <t>BEEKAY NIRYAT LTD</t>
  </si>
  <si>
    <t>BEEKAY STEEL INDUSTRIES LTD</t>
  </si>
  <si>
    <t>BEEYU OVERSEAS LTD</t>
  </si>
  <si>
    <t>BELLA CASA FASHION &amp; RETAIL LTD</t>
  </si>
  <si>
    <t>BEMCO HYDRAULICS LTD</t>
  </si>
  <si>
    <t>BEML LTD</t>
  </si>
  <si>
    <t>BEML</t>
  </si>
  <si>
    <t>BENARA BEARINGS AND PISTONS LTD</t>
  </si>
  <si>
    <t>BENARES HOTELS LTD</t>
  </si>
  <si>
    <t>BENGAL &amp; ASSAM COMPANY LTD</t>
  </si>
  <si>
    <t>BENGAL STEEL INDUSTRIES LTD</t>
  </si>
  <si>
    <t>BENGAL TEA &amp; FABRICS LTD</t>
  </si>
  <si>
    <t>BENTLEY COMMERCIAL ENTERPRISES LTD</t>
  </si>
  <si>
    <t>BERGER PAINTS I LTD</t>
  </si>
  <si>
    <t>BERGEPAINT</t>
  </si>
  <si>
    <t>BERVIN INVESTMENT &amp; LEASING LTD</t>
  </si>
  <si>
    <t>BERYL DRUGS LTD</t>
  </si>
  <si>
    <t>BERYL SECURITIES LTD</t>
  </si>
  <si>
    <t>BEST EASTERN HOTELS LTD</t>
  </si>
  <si>
    <t>BETA DRUGS LTD</t>
  </si>
  <si>
    <t>BETA</t>
  </si>
  <si>
    <t>BETEX (INDIA) LTD</t>
  </si>
  <si>
    <t>BETEX INDIA LTD</t>
  </si>
  <si>
    <t>BF INVESTMENT LTD</t>
  </si>
  <si>
    <t>BFINVEST</t>
  </si>
  <si>
    <t>BF UTILITIES LTD</t>
  </si>
  <si>
    <t>BFUTILITIE</t>
  </si>
  <si>
    <t>BFL ASSET FINVEST LTD</t>
  </si>
  <si>
    <t>BGIL FILMS &amp; TECHNOLOGIES LTD</t>
  </si>
  <si>
    <t>BGR ENERGY SYSTEMS LTD</t>
  </si>
  <si>
    <t>BGRENERGY</t>
  </si>
  <si>
    <t>BHAGERIA INDUSTRIES LTD</t>
  </si>
  <si>
    <t>BHAGERIA</t>
  </si>
  <si>
    <t>BHAGIRADHA CHEMICALS &amp; INDUSTRIES LTD</t>
  </si>
  <si>
    <t>BHAGWATI AUTOCAST LTD</t>
  </si>
  <si>
    <t>BHAGWATI OXYGEN LTD</t>
  </si>
  <si>
    <t>BHAGYANAGAR (INDIA) LTD</t>
  </si>
  <si>
    <t>BHAGYANGR</t>
  </si>
  <si>
    <t>BHAGYANAGAR INDIA LTD</t>
  </si>
  <si>
    <t>BHAGYANAGAR PROPERTIES LTD</t>
  </si>
  <si>
    <t>BHAGYAPROP</t>
  </si>
  <si>
    <t>BHAKTI GEMS AND JEWELLERY LTD</t>
  </si>
  <si>
    <t>BHANDARI HOSIERY EXPORTS LTD</t>
  </si>
  <si>
    <t>BHANDARI</t>
  </si>
  <si>
    <t>BHANDERI INFRACON LTD</t>
  </si>
  <si>
    <t>BHANSALI ENGINEERING POLYMERS LTD</t>
  </si>
  <si>
    <t>BEPL</t>
  </si>
  <si>
    <t>BHARAT AGRI FERT &amp; REALTY LTD</t>
  </si>
  <si>
    <t>BHARAT BHUSHAN SHARE &amp; COMMODITY BROKERS LTD</t>
  </si>
  <si>
    <t>BHARAT BIJLEE LTD</t>
  </si>
  <si>
    <t>BBL</t>
  </si>
  <si>
    <t>BHARAT DYNAMICS LTD</t>
  </si>
  <si>
    <t>BDL</t>
  </si>
  <si>
    <t>BHARAT ELECTRONICS LTD</t>
  </si>
  <si>
    <t>BEL</t>
  </si>
  <si>
    <t>BHARAT FINANCIAL INCLUSION LTD</t>
  </si>
  <si>
    <t>BHARATFIN</t>
  </si>
  <si>
    <t>BHARAT FORGE LTD</t>
  </si>
  <si>
    <t>BHARATFORG</t>
  </si>
  <si>
    <t>Other Industrial Products</t>
  </si>
  <si>
    <t>BHARAT GEARS LTD</t>
  </si>
  <si>
    <t>BHARATGEAR</t>
  </si>
  <si>
    <t>BHARAT HEAVY ELECTRICALS LTD</t>
  </si>
  <si>
    <t>BHEL</t>
  </si>
  <si>
    <t>BHARAT IMMUNOLOGICALS &amp; BIOLOGICALS CORPORATION LTD</t>
  </si>
  <si>
    <t>BHARAT PARENTERALS LTD</t>
  </si>
  <si>
    <t>BHARAT PETROLEUM CORPORATION LTD</t>
  </si>
  <si>
    <t>BPCL</t>
  </si>
  <si>
    <t>Refineries/ Petro-Products</t>
  </si>
  <si>
    <t>BHARAT RASAYAN LTD</t>
  </si>
  <si>
    <t>BHARATRAS</t>
  </si>
  <si>
    <t>BHARAT ROAD NETWORK LTD</t>
  </si>
  <si>
    <t>BRNL</t>
  </si>
  <si>
    <t>BHARAT SEATS LTD</t>
  </si>
  <si>
    <t>BHARAT TEXTILES &amp; PROOFING INDUSTRIES LTD</t>
  </si>
  <si>
    <t>BHARAT WIRE ROPES LTD</t>
  </si>
  <si>
    <t>BHARATWIRE</t>
  </si>
  <si>
    <t>BHARATI DEFENCE AND INFRASTRUCTURE LTD</t>
  </si>
  <si>
    <t>BHARATIDIL</t>
  </si>
  <si>
    <t>BHARATIYA GLOBAL INFOMEDIA LTD</t>
  </si>
  <si>
    <t>BGLOBAL</t>
  </si>
  <si>
    <t>BHARTI AIRTEL LTD</t>
  </si>
  <si>
    <t>BHARTIARTL</t>
  </si>
  <si>
    <t>Telecom Services</t>
  </si>
  <si>
    <t>BHARTI INFRATEL LTD</t>
  </si>
  <si>
    <t>INFRATEL</t>
  </si>
  <si>
    <t>Other Telecom Services</t>
  </si>
  <si>
    <t>BHARTIYA INTERNATIONAL LTD</t>
  </si>
  <si>
    <t>BIL</t>
  </si>
  <si>
    <t>BHASKAR AGROCHEMICALS LTD</t>
  </si>
  <si>
    <t>BHATIA COMMUNICATIONS &amp; RETAIL (INDIA) LTD</t>
  </si>
  <si>
    <t>BHATIA COMMUNICATIONS &amp; RETAIL INDIA LTD</t>
  </si>
  <si>
    <t>BHILWARA SPINNERS LTD</t>
  </si>
  <si>
    <t>BHILWARA TECHNICAL TEXTILES LTD</t>
  </si>
  <si>
    <t>BHORUKA ALUMINIUM LTD</t>
  </si>
  <si>
    <t>BHUSHAN STEEL LTD</t>
  </si>
  <si>
    <t>BHUSANSTL</t>
  </si>
  <si>
    <t>BIGBLOC CONSTRUCTION LTD</t>
  </si>
  <si>
    <t>BIGBLOC</t>
  </si>
  <si>
    <t>BIHAR SPONGE IRON LTD</t>
  </si>
  <si>
    <t>BIJOY HANS LTD</t>
  </si>
  <si>
    <t>BIL ENERGY SYSTEMS LTD</t>
  </si>
  <si>
    <t>BILENERGY</t>
  </si>
  <si>
    <t>BILCARE LTD</t>
  </si>
  <si>
    <t>Healthcare Supplies</t>
  </si>
  <si>
    <t>BIMETAL BEARINGS LTD</t>
  </si>
  <si>
    <t>BINANI INDUSTRIES LTD</t>
  </si>
  <si>
    <t>BINANIIND</t>
  </si>
  <si>
    <t>BINAYAK TEX PROCESSORS LTD</t>
  </si>
  <si>
    <t>BINDAL EXPORTS LTD</t>
  </si>
  <si>
    <t>BINNY LTD</t>
  </si>
  <si>
    <t>BINNY MILLS LTD</t>
  </si>
  <si>
    <t>BIO GREEN PAPERS LTD</t>
  </si>
  <si>
    <t>BIOCON LTD</t>
  </si>
  <si>
    <t>BIOCON</t>
  </si>
  <si>
    <t>BIOFIL CHEMICALS &amp; PHARMACEUTICALS LTD</t>
  </si>
  <si>
    <t>BIOFILCHEM</t>
  </si>
  <si>
    <t>BIOPAC INDIA CORPORATION LTD</t>
  </si>
  <si>
    <t>BIRDHI CHAND PANNALAL AGENCIES LTD</t>
  </si>
  <si>
    <t>BIRLA CABLE LTD</t>
  </si>
  <si>
    <t>BIRLACABLE</t>
  </si>
  <si>
    <t>BIRLA CORPORATION LTD</t>
  </si>
  <si>
    <t>BIRLACORPN</t>
  </si>
  <si>
    <t>BIRLA COTSYN (INDIA) LTD</t>
  </si>
  <si>
    <t>BIRLA COTSYN INDIA LTD</t>
  </si>
  <si>
    <t>BIRLA PRECISION TECHNOLOGIES LTD</t>
  </si>
  <si>
    <t>Birla Sun Life Mutual Fund - Birla Sun Life Gold ETF</t>
  </si>
  <si>
    <t>BSLGOLDETF</t>
  </si>
  <si>
    <t>BIRLASOFT LTD</t>
  </si>
  <si>
    <t>BSOFT</t>
  </si>
  <si>
    <t>BKM INDUSTRIES LTD</t>
  </si>
  <si>
    <t>BKMINDST</t>
  </si>
  <si>
    <t>BLACK ROSE INDUSTRIES LTD</t>
  </si>
  <si>
    <t>BLB LTD</t>
  </si>
  <si>
    <t>BLBLIMITED</t>
  </si>
  <si>
    <t>BLISS GVS PHARMA LTD</t>
  </si>
  <si>
    <t>BLISSGVS</t>
  </si>
  <si>
    <t>BLOOM DEKOR LTD</t>
  </si>
  <si>
    <t>BLOOM INDUSTRIES LTD</t>
  </si>
  <si>
    <t>BLS INFOTECH LTD</t>
  </si>
  <si>
    <t>BLS INTERNATIONAL SERVICES LTD</t>
  </si>
  <si>
    <t>BLS</t>
  </si>
  <si>
    <t>Travel Support Services</t>
  </si>
  <si>
    <t>BLUE BLENDS (INDIA) LTD</t>
  </si>
  <si>
    <t>BLUE BLENDS I LTD</t>
  </si>
  <si>
    <t>BLUEBLENDS</t>
  </si>
  <si>
    <t>BLUE BLENDS INDIA LTD</t>
  </si>
  <si>
    <t>BLUE CHIP TEX INDUSTRIES LTD</t>
  </si>
  <si>
    <t>BLUE CIRCLE SERVICES LTD</t>
  </si>
  <si>
    <t>BLUE CLOUD SOFTECH SOLUTIONS LTD</t>
  </si>
  <si>
    <t>BLUE COAST HOTELS LTD</t>
  </si>
  <si>
    <t>BLUECOAST</t>
  </si>
  <si>
    <t>BLUE DART EXPRESS LTD</t>
  </si>
  <si>
    <t>BLUEDART</t>
  </si>
  <si>
    <t>BLUE PEARL TEXSPIN LTD</t>
  </si>
  <si>
    <t>BLUE STAR LTD</t>
  </si>
  <si>
    <t>BLUESTARCO</t>
  </si>
  <si>
    <t>BLUEBLOOD VENTURES LTD</t>
  </si>
  <si>
    <t>BLUECHIP STOCKSPIN LTD</t>
  </si>
  <si>
    <t>BMB MUSIC &amp; MAGNETICS LTD</t>
  </si>
  <si>
    <t>BMW Industries Ltd</t>
  </si>
  <si>
    <t>BMW</t>
  </si>
  <si>
    <t>BNK CAPITAL MARKETS LTD</t>
  </si>
  <si>
    <t>BNR UDYOG LTD</t>
  </si>
  <si>
    <t>BODAL CHEMICALS LTD</t>
  </si>
  <si>
    <t>BODALCHEM</t>
  </si>
  <si>
    <t>BODHTREE CONSULTING LTD</t>
  </si>
  <si>
    <t>BOHRA INDUSTRIES LTD</t>
  </si>
  <si>
    <t>BOHRA</t>
  </si>
  <si>
    <t>BOMBAY BURMAH TRADING CORPORATION LTD</t>
  </si>
  <si>
    <t>BBTC</t>
  </si>
  <si>
    <t>BOMBAY CYCLE &amp; MOTOR AGENCY LTD</t>
  </si>
  <si>
    <t>BOMBAY DYEING &amp; MFG COMPANY LTD</t>
  </si>
  <si>
    <t>BOMDYEING</t>
  </si>
  <si>
    <t>BOMBAY OXYGEN INVESTMENTS LTD</t>
  </si>
  <si>
    <t>Industrial Gases</t>
  </si>
  <si>
    <t>BOMBAY POTTERIES &amp; TILES LTD</t>
  </si>
  <si>
    <t>BOMBAY RAYON FASHIONS LTD</t>
  </si>
  <si>
    <t>BRFL</t>
  </si>
  <si>
    <t>BOMBAY SUPER HYBRID SEEDS LTD</t>
  </si>
  <si>
    <t>BSHSL</t>
  </si>
  <si>
    <t>BOMBAY WIRE ROPES LTD</t>
  </si>
  <si>
    <t>BONANZA INDUSTRIES LTD</t>
  </si>
  <si>
    <t>BOROSIL GLASS WORKS LTD</t>
  </si>
  <si>
    <t>BOROSIL</t>
  </si>
  <si>
    <t>Houseware</t>
  </si>
  <si>
    <t>BOSCH LTD</t>
  </si>
  <si>
    <t>BOSCHLTD</t>
  </si>
  <si>
    <t>BOSTON TEKNOWSYS (INDIA) LTD</t>
  </si>
  <si>
    <t>BOSTON TEKNOWSYS INDIA LTD</t>
  </si>
  <si>
    <t>BOTHRA METALS &amp; ALLOYS LTD</t>
  </si>
  <si>
    <t>BPL LTD</t>
  </si>
  <si>
    <t>BPL</t>
  </si>
  <si>
    <t>BRADY &amp; MORRIS ENGINEERING CO LTD</t>
  </si>
  <si>
    <t>BRAHMAPUTRA INFRASTRUCTURE LTD</t>
  </si>
  <si>
    <t>BRAND CONCEPTS LTD</t>
  </si>
  <si>
    <t>BCONCEPTS</t>
  </si>
  <si>
    <t>BRAND REALTY SERVICES LTD</t>
  </si>
  <si>
    <t>BRAWN BIOTECH LTD</t>
  </si>
  <si>
    <t>BRIDGE SECURITIES LTD</t>
  </si>
  <si>
    <t>BRIGADE ENTERPRISES LTD</t>
  </si>
  <si>
    <t>BRIGADE</t>
  </si>
  <si>
    <t>BRIGHT BROTHERS LTD</t>
  </si>
  <si>
    <t>BRIGHT SOLAR LTD</t>
  </si>
  <si>
    <t>BRIGHT</t>
  </si>
  <si>
    <t>BRIGHTCOM GROUP LTD</t>
  </si>
  <si>
    <t>BCG</t>
  </si>
  <si>
    <t>BRIJLAXMI LEASING &amp;amp; FINANCE LTD.</t>
  </si>
  <si>
    <t>BRIJLEAS</t>
  </si>
  <si>
    <t>BRILLIANT PORTFOLIOS LTD</t>
  </si>
  <si>
    <t>BRITANNIA INDUSTRIES LTD</t>
  </si>
  <si>
    <t>BRITANNIA</t>
  </si>
  <si>
    <t>BRONZE INFRA-TECH LTD</t>
  </si>
  <si>
    <t>BROOKS LABORATORIES LTD</t>
  </si>
  <si>
    <t>BROOKS</t>
  </si>
  <si>
    <t>BSE LTD</t>
  </si>
  <si>
    <t>BSEL INFRASTRUCTURE REALTY LTD</t>
  </si>
  <si>
    <t>BSELINFRA</t>
  </si>
  <si>
    <t>BSL LTD</t>
  </si>
  <si>
    <t>BSL</t>
  </si>
  <si>
    <t>BUDGE BUDGE COMPANY LTD</t>
  </si>
  <si>
    <t>BULLISH BONDS &amp; HOLDINGS LTD</t>
  </si>
  <si>
    <t>BURNPUR CEMENT LTD</t>
  </si>
  <si>
    <t>BURNPUR</t>
  </si>
  <si>
    <t>BUTTERFLY GANDHIMATHI APPLIANCES LTD</t>
  </si>
  <si>
    <t>BUTTERFLY</t>
  </si>
  <si>
    <t>BWL LTD</t>
  </si>
  <si>
    <t>C &amp; C CONSTRUCTIONS LTD</t>
  </si>
  <si>
    <t>CANDC</t>
  </si>
  <si>
    <t>C J GELATINE PRODUCTS LTD</t>
  </si>
  <si>
    <t>CADILA HEALTHCARE LTD</t>
  </si>
  <si>
    <t>CADILAHC</t>
  </si>
  <si>
    <t>CADSYS (INDIA) LTD</t>
  </si>
  <si>
    <t>CADSYS</t>
  </si>
  <si>
    <t>CADSYS INDIA LTD</t>
  </si>
  <si>
    <t>CALCOM VISION LTD</t>
  </si>
  <si>
    <t>CALIFORNIA SOFTWARE COMPANY LTD</t>
  </si>
  <si>
    <t>CALSOFT</t>
  </si>
  <si>
    <t>CAMBRIDGE TECHNOLOGY ENTERPRISES LTD</t>
  </si>
  <si>
    <t>CTE</t>
  </si>
  <si>
    <t>CAMEX LTD</t>
  </si>
  <si>
    <t>CAMLIN FINE SCIENCES LTD</t>
  </si>
  <si>
    <t>CAMLINFINE</t>
  </si>
  <si>
    <t>CAMSON BIO TECHNOLOGIES LTD</t>
  </si>
  <si>
    <t>CAMSON SEEDS LTD</t>
  </si>
  <si>
    <t>CAN FIN HOMES LTD</t>
  </si>
  <si>
    <t>CANFINHOME</t>
  </si>
  <si>
    <t>CANARA BANK</t>
  </si>
  <si>
    <t>CANBK</t>
  </si>
  <si>
    <t>CANOPY FINANCE LTD</t>
  </si>
  <si>
    <t>CANTABIL RETAIL (INDIA) LTD</t>
  </si>
  <si>
    <t>CANTABIL</t>
  </si>
  <si>
    <t>CANTABIL RETAIL INDIA LTD</t>
  </si>
  <si>
    <t>CAPACIT'E INFRAPROJECTS LTD</t>
  </si>
  <si>
    <t>CAPACITE</t>
  </si>
  <si>
    <t>CAPFIN (INDIA) LTD</t>
  </si>
  <si>
    <t>CAPFIN INDIA LTD</t>
  </si>
  <si>
    <t>CAPITAL FIRST LTD</t>
  </si>
  <si>
    <t>CAPF</t>
  </si>
  <si>
    <t>CAPITAL INDIA FINANCE LTD</t>
  </si>
  <si>
    <t>CAPITAL TRADE LINKS LTD</t>
  </si>
  <si>
    <t>CAPITAL TRUST LTD</t>
  </si>
  <si>
    <t>CAPTRUST</t>
  </si>
  <si>
    <t>CAPLIN POINT LABORATORIES LTD</t>
  </si>
  <si>
    <t>CAPLIPOINT</t>
  </si>
  <si>
    <t>CAPRI GLOBAL CAPITAL LTD</t>
  </si>
  <si>
    <t>CGCL</t>
  </si>
  <si>
    <t>CAPRICORN SYSTEMS GLOBAL SOLUTIONS LTD</t>
  </si>
  <si>
    <t>CAPRIHANS (INDIA) LTD</t>
  </si>
  <si>
    <t>CAPRIHANS INDIA LTD</t>
  </si>
  <si>
    <t>CAPROLACTAM CHEMICALS LTD</t>
  </si>
  <si>
    <t>CAPTAIN PIPES LTD</t>
  </si>
  <si>
    <t>CAPTAIN POLYPLAST LTD</t>
  </si>
  <si>
    <t>CAPTAIN TECHNOCAST LTD</t>
  </si>
  <si>
    <t>CARBORUNDUM UNIVERSAL LTD</t>
  </si>
  <si>
    <t>CARBORUNIV</t>
  </si>
  <si>
    <t>CARE RATINGS LTD</t>
  </si>
  <si>
    <t>CARERATING</t>
  </si>
  <si>
    <t>CAREER POINT LTD</t>
  </si>
  <si>
    <t>CAREERP</t>
  </si>
  <si>
    <t>CARNATION INDUSTRIES LTD</t>
  </si>
  <si>
    <t>CASTEX TECHNOLOGIES LTD</t>
  </si>
  <si>
    <t>CASTEXTECH</t>
  </si>
  <si>
    <t>CASTROL (INDIA) LTD</t>
  </si>
  <si>
    <t>CASTROLIND</t>
  </si>
  <si>
    <t>CASTROL INDIA LTD</t>
  </si>
  <si>
    <t>CAT TECHNOLOGIES LTD</t>
  </si>
  <si>
    <t>CATVISION LTD</t>
  </si>
  <si>
    <t>CCL INTERNATIONAL LTD</t>
  </si>
  <si>
    <t>CCL PRODUCTS (INDIA) LTD</t>
  </si>
  <si>
    <t>CCL</t>
  </si>
  <si>
    <t>CCL PRODUCTS INDIA LTD</t>
  </si>
  <si>
    <t>CEAT LTD</t>
  </si>
  <si>
    <t>CEATLTD</t>
  </si>
  <si>
    <t>CEEJAY FINANCE LTD</t>
  </si>
  <si>
    <t>CEENIK EXPORTS (INDIA) LTD</t>
  </si>
  <si>
    <t>CEENIK EXPORTS INDIA LTD</t>
  </si>
  <si>
    <t>CEETA INDUSTRIES LTD</t>
  </si>
  <si>
    <t>CEINSYS TECH LTD</t>
  </si>
  <si>
    <t>CELEBRITY FASHIONS LTD</t>
  </si>
  <si>
    <t>CELEBRITY</t>
  </si>
  <si>
    <t>CELESTIAL BIOLABS LTD</t>
  </si>
  <si>
    <t>CELESTIAL</t>
  </si>
  <si>
    <t>CELLA SPACE LTD</t>
  </si>
  <si>
    <t>CENLUB INDUSTRIES LTD</t>
  </si>
  <si>
    <t>CENTENIAL SURGICAL SUTURE LTD</t>
  </si>
  <si>
    <t>Medical Equipment</t>
  </si>
  <si>
    <t>CENTRAL BANK OF INDIA</t>
  </si>
  <si>
    <t>CENTRALBK</t>
  </si>
  <si>
    <t>CENTRAL DEPOSITORY SERVICES (INDIA) LTD</t>
  </si>
  <si>
    <t>CDSL</t>
  </si>
  <si>
    <t>CENTRAL DEPOSITORY SERVICES INDIA LTD</t>
  </si>
  <si>
    <t>CENTRAL PROVINCES RAILWAYS CO LTD</t>
  </si>
  <si>
    <t>CENTRUM CAPITAL LTD</t>
  </si>
  <si>
    <t>CENTRUM</t>
  </si>
  <si>
    <t>CENTUM ELECTRONICS LTD</t>
  </si>
  <si>
    <t>CENTUM</t>
  </si>
  <si>
    <t>CENTURY ENKA LTD</t>
  </si>
  <si>
    <t>CENTENKA</t>
  </si>
  <si>
    <t>CENTURY EXTRUSIONS LTD</t>
  </si>
  <si>
    <t>CENTEXT</t>
  </si>
  <si>
    <t>CENTURY PLYBOARDS (INDIA) LTD</t>
  </si>
  <si>
    <t>CENTURYPLY</t>
  </si>
  <si>
    <t>CENTURY PLYBOARDS INDIA LTD</t>
  </si>
  <si>
    <t>CENTURY TEXTILES &amp; INDUSTRIES LTD</t>
  </si>
  <si>
    <t>CENTURYTEX</t>
  </si>
  <si>
    <t>CENTURY TWENTYFIRST PORTFOLIO LTD</t>
  </si>
  <si>
    <t>CERA SANITARYWARE LTD</t>
  </si>
  <si>
    <t>CERA</t>
  </si>
  <si>
    <t>CEREBRA INTEGRATED TECHNOLOGIES LTD</t>
  </si>
  <si>
    <t>CEREBRAINT</t>
  </si>
  <si>
    <t>CES LTD</t>
  </si>
  <si>
    <t>CESC LTD</t>
  </si>
  <si>
    <t>CESC</t>
  </si>
  <si>
    <t>CESC Ventures LTD</t>
  </si>
  <si>
    <t>CESCVENT</t>
  </si>
  <si>
    <t>IT Consulting &amp;amp; Software</t>
  </si>
  <si>
    <t>CESC Ventures Ltd</t>
  </si>
  <si>
    <t>CESCVENTURE</t>
  </si>
  <si>
    <t>CG POWER AND INDUSTRIAL SOLUTIONS LTD</t>
  </si>
  <si>
    <t>CGPOWER</t>
  </si>
  <si>
    <t>CG-VAK SOFTWARE &amp; EXPORTS LTD</t>
  </si>
  <si>
    <t>CHADHA PAPERS LTD</t>
  </si>
  <si>
    <t>Chalet Hotels Ltd</t>
  </si>
  <si>
    <t>CHALET</t>
  </si>
  <si>
    <t>CHAMAK HOLDINGS LTD</t>
  </si>
  <si>
    <t>CHAMAN LAL SETIA EXPORTS LTD</t>
  </si>
  <si>
    <t>CHAMBAL BREWERIES &amp; DISTILLERIES LTD</t>
  </si>
  <si>
    <t>CHAMBAL FERTILIZERS &amp; CHEMICALS LTD</t>
  </si>
  <si>
    <t>CHAMBLFERT</t>
  </si>
  <si>
    <t>Chandni Machines Ltd</t>
  </si>
  <si>
    <t>CHANDNIMACH</t>
  </si>
  <si>
    <t>CHANDNI TEXTILES ENGINEERING IND  LTD</t>
  </si>
  <si>
    <t>CHANDRA PRABHU INTERNATIONAL LTD</t>
  </si>
  <si>
    <t>CHANDRIMA MERCANTILES LTD</t>
  </si>
  <si>
    <t>CHANNEL NINE ENTERTAINMENT LTD</t>
  </si>
  <si>
    <t>CHARMS INDUSTRIES LTD</t>
  </si>
  <si>
    <t>CHARTERED CAPITAL &amp; INVESTMENT LTD</t>
  </si>
  <si>
    <t>CHARTERED LOGISTICS LTD</t>
  </si>
  <si>
    <t>CHASE BRIGHT STEEL LTD</t>
  </si>
  <si>
    <t>CHD CHEMICALS LTD</t>
  </si>
  <si>
    <t>CHD DEVELOPERS LTD</t>
  </si>
  <si>
    <t>CHEMBOND CHEMICALS LTD</t>
  </si>
  <si>
    <t>CHEMCRUX ENTERPRISES LTD</t>
  </si>
  <si>
    <t>CHEMFAB ALKALIS LTD</t>
  </si>
  <si>
    <t>CHEMFAB</t>
  </si>
  <si>
    <t>CHEMIESYNTH VAPI LTD</t>
  </si>
  <si>
    <t>CHEMO PHARMA LABORATORIES LTD</t>
  </si>
  <si>
    <t>CHEMTECH INDUSTRIAL VALVES LTD</t>
  </si>
  <si>
    <t>CHENNAI FERROUS INDUSTRIES LTD</t>
  </si>
  <si>
    <t>CHENNAI MEENAKSHI MULTISPECIALITY HOSPITAL LTD</t>
  </si>
  <si>
    <t>CHENNAI PETROLEUM CORPORATION LTD</t>
  </si>
  <si>
    <t>CHENNPETRO</t>
  </si>
  <si>
    <t>CHEVIOT CO LTD</t>
  </si>
  <si>
    <t>CHITRADURGA SPINTEX LTD</t>
  </si>
  <si>
    <t>CHL LTD</t>
  </si>
  <si>
    <t>CHOICE INTERNATIONAL LTD</t>
  </si>
  <si>
    <t>CHOKSI IMAGING LTD</t>
  </si>
  <si>
    <t>Photographic Products</t>
  </si>
  <si>
    <t>CHOKSI LABORATORIES LTD</t>
  </si>
  <si>
    <t>Cholamandalam Financial Holdings LTD</t>
  </si>
  <si>
    <t>CHOLAHLDNG</t>
  </si>
  <si>
    <t>CHOLAMANDALAM INVESTMENT AND FINANCE COMPANY LTD</t>
  </si>
  <si>
    <t>CHOLAFIN</t>
  </si>
  <si>
    <t>CHORDIA FOOD PRODUCTS LTD</t>
  </si>
  <si>
    <t>CHOTHANI FOODS LTD</t>
  </si>
  <si>
    <t>CHOWGULE STEAMSHIPS LTD</t>
  </si>
  <si>
    <t>Shipping</t>
  </si>
  <si>
    <t>CHPL INDUSTRIES LTD</t>
  </si>
  <si>
    <t>CHROMATIC (INDIA) LTD</t>
  </si>
  <si>
    <t>CHROMATIC</t>
  </si>
  <si>
    <t>CHROMATIC INDIA LTD</t>
  </si>
  <si>
    <t>CIAN AGRO INDUSTRIES &amp; INFRASTRUCTURE LTD</t>
  </si>
  <si>
    <t>Cian Healthcare Ltd</t>
  </si>
  <si>
    <t>CHCL</t>
  </si>
  <si>
    <t>CIGNITI TECHNOLOGIES LTD</t>
  </si>
  <si>
    <t>CIGNITITEC</t>
  </si>
  <si>
    <t>CIL NOVA PETROCHEMICALS LTD</t>
  </si>
  <si>
    <t>CNOVAPETRO</t>
  </si>
  <si>
    <t>CIL SECURITIES LTD</t>
  </si>
  <si>
    <t>CIMMCO LTD</t>
  </si>
  <si>
    <t>CIMMCO</t>
  </si>
  <si>
    <t>CINDRELLA FINANCIAL SERVICES LTD</t>
  </si>
  <si>
    <t>CINDRELLA HOTELS LTD</t>
  </si>
  <si>
    <t>CINELINE (INDIA) LTD</t>
  </si>
  <si>
    <t>CINELINE</t>
  </si>
  <si>
    <t>CINELINE INDIA LTD</t>
  </si>
  <si>
    <t>CINERAD COMMUNICATIONS LTD</t>
  </si>
  <si>
    <t>CINEVISTA LTD</t>
  </si>
  <si>
    <t>CINEVISTA</t>
  </si>
  <si>
    <t>CIPLA LTD</t>
  </si>
  <si>
    <t>CIPLA</t>
  </si>
  <si>
    <t>CISTRO TELELINK LTD</t>
  </si>
  <si>
    <t>CITADEL REALTY AND DEVELOPERS LTD</t>
  </si>
  <si>
    <t>CITIPORT FINANCIAL SERVICES LTD</t>
  </si>
  <si>
    <t>CITIZEN INFOLINE LTD</t>
  </si>
  <si>
    <t>CITY ONLINE SERVICES LTD</t>
  </si>
  <si>
    <t>CITY UNION BANK LTD</t>
  </si>
  <si>
    <t>CUB</t>
  </si>
  <si>
    <t>CITYMAN LTD</t>
  </si>
  <si>
    <t>CITYON SYSTEMS (INDIA) LTD</t>
  </si>
  <si>
    <t>CITYON SYSTEMS INDIA LTD</t>
  </si>
  <si>
    <t>CKP LEISURE LTD</t>
  </si>
  <si>
    <t>CKPLEISURE</t>
  </si>
  <si>
    <t>CKP PRODUCTS LTD</t>
  </si>
  <si>
    <t>CKPPRODUCT</t>
  </si>
  <si>
    <t>CL EDUCATE LTD</t>
  </si>
  <si>
    <t>CLEDUCATE</t>
  </si>
  <si>
    <t>CLARIANT CHEMICALS (INDIA) LTD</t>
  </si>
  <si>
    <t>CLN(INDIA)</t>
  </si>
  <si>
    <t>CLARIANT CHEMICALS INDIA LTD</t>
  </si>
  <si>
    <t>CLNINDIA</t>
  </si>
  <si>
    <t>CLASSIC ELECTRICALS LTD</t>
  </si>
  <si>
    <t>CLASSIC FILAMENTS LTD</t>
  </si>
  <si>
    <t>CLASSIC GLOBAL FINANCE &amp; CAPITAL LTD</t>
  </si>
  <si>
    <t>CLASSIC LEASING &amp; FINANCE LTD</t>
  </si>
  <si>
    <t>CLIO INFOTECH LTD</t>
  </si>
  <si>
    <t>CMI FPE LTD</t>
  </si>
  <si>
    <t>CMI LTD</t>
  </si>
  <si>
    <t>CMICABLES</t>
  </si>
  <si>
    <t>CMM INFRAPROJECTS LTD</t>
  </si>
  <si>
    <t>CMMIPL</t>
  </si>
  <si>
    <t>CNI RESEARCH LTD</t>
  </si>
  <si>
    <t>COAL (INDIA) LTD</t>
  </si>
  <si>
    <t>COAL(INDIA)</t>
  </si>
  <si>
    <t>COAL INDIA LTD</t>
  </si>
  <si>
    <t>COALINDIA</t>
  </si>
  <si>
    <t>COASTAL CORPORATION LTD</t>
  </si>
  <si>
    <t>COASTAL ROADWAYS LTD</t>
  </si>
  <si>
    <t>COCHIN MALABAR ESTATES &amp; INDUSTRIES LTD</t>
  </si>
  <si>
    <t>COCHIN MINERALS &amp; RUTILE LTD</t>
  </si>
  <si>
    <t>COCHIN SHIPYARD LTD</t>
  </si>
  <si>
    <t>COCHINSHIP</t>
  </si>
  <si>
    <t>COFFEE DAY ENTERPRISES LTD</t>
  </si>
  <si>
    <t>COFFEEDAY</t>
  </si>
  <si>
    <t>COLGATE PALMOLIVE (INDIA) LTD</t>
  </si>
  <si>
    <t>COLPAL</t>
  </si>
  <si>
    <t>COLGATE PALMOLIVE INDIA LTD</t>
  </si>
  <si>
    <t>COLINZ LABORATORIES LTD</t>
  </si>
  <si>
    <t>COLORCHIPS NEW MEDIA LTD</t>
  </si>
  <si>
    <t>COMBAT DRUGS LTD</t>
  </si>
  <si>
    <t>COMFORT COMMOTRADE LTD</t>
  </si>
  <si>
    <t>COMFORT FINCAP LTD</t>
  </si>
  <si>
    <t>COMFORT INTECH LTD</t>
  </si>
  <si>
    <t>COMMERCIAL ENGINEERS &amp; BODY BUILDERS CO LTD</t>
  </si>
  <si>
    <t>CEBBCO</t>
  </si>
  <si>
    <t>COMMERCIAL SYN BAGS LTD</t>
  </si>
  <si>
    <t>COMMEX TECHNOLOGY LTD</t>
  </si>
  <si>
    <t>COMPETENT AUTOMOBILES CO LTD</t>
  </si>
  <si>
    <t>COMPUAGE INFOCOM LTD</t>
  </si>
  <si>
    <t>COMPINFO</t>
  </si>
  <si>
    <t>COMPUCOM SOFTWARE LTD</t>
  </si>
  <si>
    <t>COMPUSOFT</t>
  </si>
  <si>
    <t>COMPUTER POINT LTD</t>
  </si>
  <si>
    <t>CONART ENGINEERS LTD</t>
  </si>
  <si>
    <t>CONCORD DRUGS LTD</t>
  </si>
  <si>
    <t>CONCRETE CREDIT LTD</t>
  </si>
  <si>
    <t>CONFIDENCE FINANCE AND TRADING LTD</t>
  </si>
  <si>
    <t>Confidence Futuristic Energetech Ltd</t>
  </si>
  <si>
    <t>CFEL</t>
  </si>
  <si>
    <t>CONFIDENCE PETROLEUM (INDIA) LTD</t>
  </si>
  <si>
    <t>Confidence Petroleum India LTD</t>
  </si>
  <si>
    <t>CONFIPET</t>
  </si>
  <si>
    <t>CONFIDENCE PETROLEUM INDIA LTD</t>
  </si>
  <si>
    <t>CONSECUTIVE INVESTMENT &amp; TRADING COMPANY LTD</t>
  </si>
  <si>
    <t>CONSOLIDATED CONSTRUCTION CONSORTIUM LTD</t>
  </si>
  <si>
    <t>CCCL</t>
  </si>
  <si>
    <t>CONSOLIDATED FINVEST &amp; HOLDINGS LTD</t>
  </si>
  <si>
    <t>CONSOFINVT</t>
  </si>
  <si>
    <t>CONTAINER CORPORATION OF (INDIA) LTD</t>
  </si>
  <si>
    <t>CONCOR</t>
  </si>
  <si>
    <t>CONTAINER CORPORATION OF INDIA LTD</t>
  </si>
  <si>
    <t>CONTAINERWAY INTERNATIONAL LTD</t>
  </si>
  <si>
    <t>CONTIL (INDIA) LTD</t>
  </si>
  <si>
    <t>CONTIL INDIA LTD</t>
  </si>
  <si>
    <t>CONTINENTAL CHEMICALS LTD</t>
  </si>
  <si>
    <t>CONTINENTAL CONTROLS LTD</t>
  </si>
  <si>
    <t>CONTINENTAL PETROLEUMS LTD</t>
  </si>
  <si>
    <t>CONTINENTAL SECURITIES LTD</t>
  </si>
  <si>
    <t>CONTINENTAL SEEDS AND CHEMICALS LTD</t>
  </si>
  <si>
    <t>CONTI</t>
  </si>
  <si>
    <t>CONTROL PRINT LTD</t>
  </si>
  <si>
    <t>CONTROLPR</t>
  </si>
  <si>
    <t>CORAL INDIA FINANCE &amp; HOUSING LTD</t>
  </si>
  <si>
    <t>CORALFINAC</t>
  </si>
  <si>
    <t>CORAL LABORATORIES LTD</t>
  </si>
  <si>
    <t>CORAL NEWSPRINTS LTD.</t>
  </si>
  <si>
    <t>CORNE</t>
  </si>
  <si>
    <t>Paper &amp;amp; Paper Products</t>
  </si>
  <si>
    <t>CORDS CABLE INDUSTRIES LTD</t>
  </si>
  <si>
    <t>CORDSCABLE</t>
  </si>
  <si>
    <t>COROMANDEL AGRO PRODUCTS &amp; OILS LTD</t>
  </si>
  <si>
    <t>COROMANDEL ENGINEERING COMPANY LTD</t>
  </si>
  <si>
    <t>COROMANDEL INTERNATIONAL LTD</t>
  </si>
  <si>
    <t>COROMANDEL</t>
  </si>
  <si>
    <t>CORPORATE COURIER AND CARGO LTD</t>
  </si>
  <si>
    <t>CORPORATE MERCHANT BANKERS LTD</t>
  </si>
  <si>
    <t>CORPORATION BANK</t>
  </si>
  <si>
    <t>CORPBANK</t>
  </si>
  <si>
    <t>COSBOARD INDUSTRIES LTD</t>
  </si>
  <si>
    <t>COSCO (INDIA) LTD</t>
  </si>
  <si>
    <t>COSCO INDIA LTD</t>
  </si>
  <si>
    <t>COSMO FERRITES LTD</t>
  </si>
  <si>
    <t>COSMO FILMS LTD</t>
  </si>
  <si>
    <t>COSMOFILMS</t>
  </si>
  <si>
    <t>COSYN LTD</t>
  </si>
  <si>
    <t>COUNTRY CLUB HOSPITALITY &amp; HOLIDAYS LTD</t>
  </si>
  <si>
    <t>CCHHL</t>
  </si>
  <si>
    <t>COUNTRY CONDO'S LTD</t>
  </si>
  <si>
    <t>COUNCODOS</t>
  </si>
  <si>
    <t>COVENTRY COIL-O-MATIC HARYANA LTD</t>
  </si>
  <si>
    <t>COVIDH TECHNOLOGIES LTD</t>
  </si>
  <si>
    <t>COX &amp; KINGS LTD</t>
  </si>
  <si>
    <t>COX&amp;KINGS</t>
  </si>
  <si>
    <t>Cox &amp;amp; Kings Financial Service Ltd</t>
  </si>
  <si>
    <t>CKFSL</t>
  </si>
  <si>
    <t>CRANE INFRASTRUCTURE LTD</t>
  </si>
  <si>
    <t>CRANES SOFTWARE INTERNATIONAL LTD</t>
  </si>
  <si>
    <t>CRANEX LTD</t>
  </si>
  <si>
    <t>CRAVATEX LTD</t>
  </si>
  <si>
    <t>CRAZY INFOTECH LTD</t>
  </si>
  <si>
    <t>CREATIVE CASTINGS LTD</t>
  </si>
  <si>
    <t>CREATIVE EYE LTD</t>
  </si>
  <si>
    <t>CREATIVEYE</t>
  </si>
  <si>
    <t>CREATIVE PERIPHERALS AND DISTRIBUTION LTD</t>
  </si>
  <si>
    <t>CREATIVE</t>
  </si>
  <si>
    <t>CREDITACCESS GRAMEEN LTD</t>
  </si>
  <si>
    <t>CREDITACC</t>
  </si>
  <si>
    <t>CRESCENT LEASING LTD</t>
  </si>
  <si>
    <t>CRESSANDA SOLUTIONS LTD</t>
  </si>
  <si>
    <t>CREST VENTURES LTD</t>
  </si>
  <si>
    <t>CREST</t>
  </si>
  <si>
    <t>CRESTCHEM LTD</t>
  </si>
  <si>
    <t>CRIMSON METAL ENGINEERING COMPANY LTD</t>
  </si>
  <si>
    <t>CRISIL LTD</t>
  </si>
  <si>
    <t>CRISIL</t>
  </si>
  <si>
    <t>CROMPTON GREAVES CONSUMER ELECTRICALS LTD</t>
  </si>
  <si>
    <t>CROMPTON</t>
  </si>
  <si>
    <t>CROWN LIFTERS LTD</t>
  </si>
  <si>
    <t>CROWN</t>
  </si>
  <si>
    <t>CROWN TOURS LTD</t>
  </si>
  <si>
    <t>CRP RISK MANAGEMENT LTD</t>
  </si>
  <si>
    <t>CSL FINANCE LTD</t>
  </si>
  <si>
    <t>CUBEX TUBINGS LTD</t>
  </si>
  <si>
    <t>CUBEXTUB</t>
  </si>
  <si>
    <t>CUBICAL FINANCIAL SERVICES LTD</t>
  </si>
  <si>
    <t>CUMMINS (INDIA) LTD</t>
  </si>
  <si>
    <t>CUMMINSIND</t>
  </si>
  <si>
    <t>CUMMINS INDIA LTD</t>
  </si>
  <si>
    <t>CUPID LTD</t>
  </si>
  <si>
    <t>CUPID</t>
  </si>
  <si>
    <t>CURA TECHNOLOGIES LTD</t>
  </si>
  <si>
    <t>CURATECH</t>
  </si>
  <si>
    <t>CYBELE INDUSTRIES LTD</t>
  </si>
  <si>
    <t>CYBER MEDIA (INDIA) LTD</t>
  </si>
  <si>
    <t>CYBERMEDIA</t>
  </si>
  <si>
    <t>CYBER MEDIA INDIA LTD</t>
  </si>
  <si>
    <t>CYBERMATE INFOTEK LTD</t>
  </si>
  <si>
    <t>CYBERTECH SYSTEMS AND SOFTWARE LTD</t>
  </si>
  <si>
    <t>CYBERTECH</t>
  </si>
  <si>
    <t>CYIENT LTD</t>
  </si>
  <si>
    <t>CYIENT</t>
  </si>
  <si>
    <t>D B CORP LTD</t>
  </si>
  <si>
    <t>DBCORP</t>
  </si>
  <si>
    <t>D B REALTY LTD</t>
  </si>
  <si>
    <t>DBREALTY</t>
  </si>
  <si>
    <t>D P ABHUSHAN LTD</t>
  </si>
  <si>
    <t>DPABHUSHAN</t>
  </si>
  <si>
    <t>D P WIRES LTD</t>
  </si>
  <si>
    <t>DPWIRES</t>
  </si>
  <si>
    <t>D&amp;H (INDIA) LTD</t>
  </si>
  <si>
    <t>D&amp;H INDIA LTD</t>
  </si>
  <si>
    <t>DABUR (INDIA) LTD</t>
  </si>
  <si>
    <t>DABUR</t>
  </si>
  <si>
    <t>DABUR INDIA LTD</t>
  </si>
  <si>
    <t>DAI-ICHI KARKARIA LTD</t>
  </si>
  <si>
    <t>DAIKAFFIL CHEMICALS (INDIA) LTD</t>
  </si>
  <si>
    <t>DAIKAFFIL CHEMICALS INDIA LTD</t>
  </si>
  <si>
    <t>DALAL STREET INVESTMENTS LTD</t>
  </si>
  <si>
    <t>Dalmia Bharat Ltd</t>
  </si>
  <si>
    <t>DALBHARAT</t>
  </si>
  <si>
    <t>Cement &amp;amp; Cement Products</t>
  </si>
  <si>
    <t>DALMIA BHARAT SUGAR AND INDUSTRIES LTD</t>
  </si>
  <si>
    <t>DALMIASUG</t>
  </si>
  <si>
    <t>DALMIA INDUSTRIAL DEVELOPMENT LTD</t>
  </si>
  <si>
    <t>DAMODAR INDUSTRIES LTD</t>
  </si>
  <si>
    <t>DAMODARIND</t>
  </si>
  <si>
    <t>DANGEE DUMS LTD</t>
  </si>
  <si>
    <t>DANGEE</t>
  </si>
  <si>
    <t>DANLAW TECHNOLOGIES (INDIA) LTD</t>
  </si>
  <si>
    <t>DANLAW TECHNOLOGIES INDIA LTD</t>
  </si>
  <si>
    <t>DANUBE INDUSTRIES LTD</t>
  </si>
  <si>
    <t>DARJEELING ROPEWAY COMPANY LTD</t>
  </si>
  <si>
    <t>DARSHAN ORNA LTD</t>
  </si>
  <si>
    <t>DATAMATICS GLOBAL SERVICES LTD</t>
  </si>
  <si>
    <t>DATAMATICS</t>
  </si>
  <si>
    <t>DAULAT SECURITIES LTD</t>
  </si>
  <si>
    <t>DB INTERNATIONAL STOCK BROKERS LTD</t>
  </si>
  <si>
    <t>DBSTOCKBRO</t>
  </si>
  <si>
    <t>DCB BANK LTD</t>
  </si>
  <si>
    <t>DCBBANK</t>
  </si>
  <si>
    <t>DCM FINANCIAL SERVICES LTD</t>
  </si>
  <si>
    <t>DCMFINSERV</t>
  </si>
  <si>
    <t>DCM LTD</t>
  </si>
  <si>
    <t>DCM</t>
  </si>
  <si>
    <t>DCM SHRIRAM INDUSTRIES LTD</t>
  </si>
  <si>
    <t>DCM SHRIRAM LTD</t>
  </si>
  <si>
    <t>DCMSHRIRAM</t>
  </si>
  <si>
    <t>DCW LTD</t>
  </si>
  <si>
    <t>DCW</t>
  </si>
  <si>
    <t>DE NORA (INDIA) LTD</t>
  </si>
  <si>
    <t>DENORA</t>
  </si>
  <si>
    <t>DE NORA INDIA LTD</t>
  </si>
  <si>
    <t>DEBOCK SALES AND MARKETING LTD</t>
  </si>
  <si>
    <t>DSML</t>
  </si>
  <si>
    <t>DECCAN BEARINGS LTD</t>
  </si>
  <si>
    <t>DECCAN CEMENTS LTD</t>
  </si>
  <si>
    <t>DECCANCE</t>
  </si>
  <si>
    <t>DECCAN GOLD MINES LTD</t>
  </si>
  <si>
    <t>Deccan Health Care Ltd</t>
  </si>
  <si>
    <t>DECCAN</t>
  </si>
  <si>
    <t>DECCAN POLYPACKS LTD</t>
  </si>
  <si>
    <t>DECILLION FINANCE LTD</t>
  </si>
  <si>
    <t>DECO-MICA LTD</t>
  </si>
  <si>
    <t>DECOROUS INVESTMENT &amp; TRADING CO LTD</t>
  </si>
  <si>
    <t>DEEP DIAMOND (INDIA) LTD</t>
  </si>
  <si>
    <t>DEEP DIAMOND INDIA LTD</t>
  </si>
  <si>
    <t>DEEP INDUSTRIES LTD</t>
  </si>
  <si>
    <t>DEEPIND</t>
  </si>
  <si>
    <t>DEEP POLYMERS LTD</t>
  </si>
  <si>
    <t>DEEPAK FERTILIZERS AND PETROCHEMICALS CORPORATION LTD</t>
  </si>
  <si>
    <t>DEEPAKFERT</t>
  </si>
  <si>
    <t>DEEPAK NITRITE LTD</t>
  </si>
  <si>
    <t>DEEPAKNTR</t>
  </si>
  <si>
    <t>DEEPAK SPINNERS LTD</t>
  </si>
  <si>
    <t>DEEPTI ALLOY STEEL LTD</t>
  </si>
  <si>
    <t>DEKSON CASTINGS LTD</t>
  </si>
  <si>
    <t>DELTA CORP LTD</t>
  </si>
  <si>
    <t>DELTACORP</t>
  </si>
  <si>
    <t>DELTA INDUSTRIAL RESOURCES LTD</t>
  </si>
  <si>
    <t>DELTA MAGNETS LTD</t>
  </si>
  <si>
    <t>DELTAMAGNT</t>
  </si>
  <si>
    <t>DELTON CABLES LTD</t>
  </si>
  <si>
    <t>DELTRON LTD</t>
  </si>
  <si>
    <t>DEN NETWORKS LTD</t>
  </si>
  <si>
    <t>DEN</t>
  </si>
  <si>
    <t>DENA BANK</t>
  </si>
  <si>
    <t>DENABANK</t>
  </si>
  <si>
    <t>DENIS CHEM LAB LTD</t>
  </si>
  <si>
    <t>DESH RAKSHAK AUSHDHALAYA LTD</t>
  </si>
  <si>
    <t>DEV INFORMATION TECHNOLOGY LTD</t>
  </si>
  <si>
    <t>DEVIT</t>
  </si>
  <si>
    <t>DEVHARI EXPORTS (INDIA) LTD</t>
  </si>
  <si>
    <t>DEVHARI EXPORTS INDIA LTD</t>
  </si>
  <si>
    <t>DEVINE IMPEX LTD</t>
  </si>
  <si>
    <t>DEVINSU TRADING LTD</t>
  </si>
  <si>
    <t>DEVKI LEASING &amp; FINANCE LTD</t>
  </si>
  <si>
    <t>DEVOTED CONSTRUCTION LTD</t>
  </si>
  <si>
    <t>DEWAN HOUSING FINANCE CORPORATION LTD</t>
  </si>
  <si>
    <t>DHFL</t>
  </si>
  <si>
    <t>DFM FOODS LTD</t>
  </si>
  <si>
    <t>DFMFOODS</t>
  </si>
  <si>
    <t>DHABRIYA POLYWOOD LTD</t>
  </si>
  <si>
    <t>DHAMPUR SUGAR MILLS LTD</t>
  </si>
  <si>
    <t>DHAMPURSUG</t>
  </si>
  <si>
    <t>DHAMPURE SPECIALITY SUGARS LTD</t>
  </si>
  <si>
    <t>DHANADA CORPORATION LTD</t>
  </si>
  <si>
    <t>DHANALAXMI ROTO SPINNERS LTD</t>
  </si>
  <si>
    <t>Dhanashree Electronics Ltd</t>
  </si>
  <si>
    <t>DEL</t>
  </si>
  <si>
    <t>DHANLAXMI BANK LTD</t>
  </si>
  <si>
    <t>DHANBANK</t>
  </si>
  <si>
    <t>DHANLAXMI COTEX LTD</t>
  </si>
  <si>
    <t>DHANLAXMI FABRICS LTD</t>
  </si>
  <si>
    <t>DHANLEELA INVESTMENTS &amp; TRADING COMPANY LTD</t>
  </si>
  <si>
    <t>DHANUKA AGRITECH LTD</t>
  </si>
  <si>
    <t>DHANUKA</t>
  </si>
  <si>
    <t>DHANUKA COMMERCIAL LTD</t>
  </si>
  <si>
    <t>DHANUKA REALTY LTD</t>
  </si>
  <si>
    <t>DRL</t>
  </si>
  <si>
    <t>DHANVANTRI JEEVAN REKHA LTD</t>
  </si>
  <si>
    <t>DHANVARSHA FINVEST LTD</t>
  </si>
  <si>
    <t>DHARAMSI MORARJI CHEMICAL CO LTD</t>
  </si>
  <si>
    <t>DHARANI FINANCE LTD</t>
  </si>
  <si>
    <t>DHARANI SUGARS &amp; CHEMICALS LTD</t>
  </si>
  <si>
    <t>DHARSUGAR</t>
  </si>
  <si>
    <t>DHENU BUILDCON INFRA LTD</t>
  </si>
  <si>
    <t>DHOOT INDUSTRIAL FINANCE LTD</t>
  </si>
  <si>
    <t>DHP (INDIA) LTD</t>
  </si>
  <si>
    <t>DHP INDIA LTD</t>
  </si>
  <si>
    <t>DHRUV CONSULTANCY SERVICES LTD</t>
  </si>
  <si>
    <t>DHRUV ESTATES LTD</t>
  </si>
  <si>
    <t>DHRUV WELLNESS LTD</t>
  </si>
  <si>
    <t>DHRUVA CAPITAL SERVICES LTD</t>
  </si>
  <si>
    <t>DHUNSERI INVESTMENTS LTD</t>
  </si>
  <si>
    <t>DHUNINV</t>
  </si>
  <si>
    <t>DHUNSERI PETROCHEM LTD</t>
  </si>
  <si>
    <t>DPL</t>
  </si>
  <si>
    <t>DHUNSERI TEA &amp; INDUSTRIES LTD</t>
  </si>
  <si>
    <t>DTIL</t>
  </si>
  <si>
    <t>Dhunseri Ventures LTD</t>
  </si>
  <si>
    <t>DVL</t>
  </si>
  <si>
    <t>DIAMANT INFRASTRUCTURE LTD</t>
  </si>
  <si>
    <t>DIAMINES &amp; CHEMICALS LTD</t>
  </si>
  <si>
    <t>DIAMOND POWER INFRA LTD</t>
  </si>
  <si>
    <t>DIAPOWER</t>
  </si>
  <si>
    <t>DIANA TEA CO LTD</t>
  </si>
  <si>
    <t>DIC (INDIA) LTD</t>
  </si>
  <si>
    <t>DICIND</t>
  </si>
  <si>
    <t>DIC INDIA LTD</t>
  </si>
  <si>
    <t>DIGGI MULTITRADE LTD</t>
  </si>
  <si>
    <t>Digicontent Ltd</t>
  </si>
  <si>
    <t>DGCONTENT</t>
  </si>
  <si>
    <t>DIGJAM LTD</t>
  </si>
  <si>
    <t>DIGJAMLTD</t>
  </si>
  <si>
    <t>DIKSAT TRANSWORLD LTD</t>
  </si>
  <si>
    <t>Diksha Greens Ltd</t>
  </si>
  <si>
    <t>DGL</t>
  </si>
  <si>
    <t>DIL LTD</t>
  </si>
  <si>
    <t>DILIGENT INDUSTRIES LTD</t>
  </si>
  <si>
    <t>DILIGENT MEDIA CORPORATION LTD</t>
  </si>
  <si>
    <t>DNAMEDIA</t>
  </si>
  <si>
    <t>Advertising &amp; Media</t>
  </si>
  <si>
    <t>DILIP BUILDCON LTD</t>
  </si>
  <si>
    <t>DBL</t>
  </si>
  <si>
    <t>DION GLOBAL SOLUTIONS LTD</t>
  </si>
  <si>
    <t>DISA (INDIA) LTD</t>
  </si>
  <si>
    <t>DISA INDIA LTD</t>
  </si>
  <si>
    <t>DISH TV (INDIA) LTD</t>
  </si>
  <si>
    <t>DISHTV</t>
  </si>
  <si>
    <t>DISH TV INDIA LTD</t>
  </si>
  <si>
    <t>DISHA RESOURCES LTD</t>
  </si>
  <si>
    <t>DISHMAN CARBOGEN AMCIS LTD</t>
  </si>
  <si>
    <t>DCAL</t>
  </si>
  <si>
    <t>DIVINUS FABRICS LTD</t>
  </si>
  <si>
    <t>DIVI'S LABORATORIES LTD</t>
  </si>
  <si>
    <t>DIVISLAB</t>
  </si>
  <si>
    <t>DIVYA JYOTI INDUSTRIES LTD</t>
  </si>
  <si>
    <t>DIVYASHAKTI GRANITES LTD</t>
  </si>
  <si>
    <t>DIXON TECHNOLOGIES (INDIA) LTD</t>
  </si>
  <si>
    <t>DIXON</t>
  </si>
  <si>
    <t>DIXON TECHNOLOGIES INDIA LTD</t>
  </si>
  <si>
    <t>DLF LTD</t>
  </si>
  <si>
    <t>DLF</t>
  </si>
  <si>
    <t>D-LINK (INDIA) LTD</t>
  </si>
  <si>
    <t>DLINK(INDIA)</t>
  </si>
  <si>
    <t>IT Networking Equipment</t>
  </si>
  <si>
    <t>D-LINK INDIA LTD</t>
  </si>
  <si>
    <t>DLINKINDIA</t>
  </si>
  <si>
    <t>DOLAT INVESTMENTS LTD</t>
  </si>
  <si>
    <t>DOLFIN RUBBERS LTD</t>
  </si>
  <si>
    <t>DOLLAR INDUSTRIES LTD</t>
  </si>
  <si>
    <t>DOLLAR</t>
  </si>
  <si>
    <t>DOLPHIN MEDICAL SERVICES LTD</t>
  </si>
  <si>
    <t>DOLPHIN OFFSHORE ENTERPRISES (INDIA) LTD</t>
  </si>
  <si>
    <t>DOLPHINOFF</t>
  </si>
  <si>
    <t>DOLPHIN OFFSHORE ENTERPRISES INDIA LTD</t>
  </si>
  <si>
    <t>DONEAR INDUSTRIES LTD</t>
  </si>
  <si>
    <t>DONEAR</t>
  </si>
  <si>
    <t>DPSC LTD</t>
  </si>
  <si>
    <t>DPSCLTD</t>
  </si>
  <si>
    <t>DQ ENTERTAINMENT INTERNATIONAL LTD</t>
  </si>
  <si>
    <t>DQE</t>
  </si>
  <si>
    <t>DR AGARWALS EYE HOSPITAL LTD</t>
  </si>
  <si>
    <t>DR HABEEBULLAH LIFE SCIENCES LTD</t>
  </si>
  <si>
    <t>DR LAL PATH LABS LTD</t>
  </si>
  <si>
    <t>LALPATHLAB</t>
  </si>
  <si>
    <t>DR LALCHANDANI LABS LTD</t>
  </si>
  <si>
    <t>DR REDDY'S LABORATORIES LTD</t>
  </si>
  <si>
    <t>DRREDDY</t>
  </si>
  <si>
    <t>DRA CONSULTANTS LTD</t>
  </si>
  <si>
    <t>DREDGING CORPORATION OF (INDIA) LTD</t>
  </si>
  <si>
    <t>DREDGECORP</t>
  </si>
  <si>
    <t>DREDGING CORPORATION OF INDIA LTD</t>
  </si>
  <si>
    <t>DUCON INFRATECHNOLOGIES LTD</t>
  </si>
  <si>
    <t>DUCON</t>
  </si>
  <si>
    <t>DUGAR HOUSING DEVELOPMENTS LTD</t>
  </si>
  <si>
    <t>DUKE OFFSHORE LTD</t>
  </si>
  <si>
    <t>DUNCAN ENGINEERING LTD</t>
  </si>
  <si>
    <t>DUROPACK LTD</t>
  </si>
  <si>
    <t>DUTRON POLYMERS LTD</t>
  </si>
  <si>
    <t>DWARIKESH SUGAR INDUSTRIES LTD</t>
  </si>
  <si>
    <t>DWARKESH</t>
  </si>
  <si>
    <t>Dwitiya Trading Ltd</t>
  </si>
  <si>
    <t>DWITIYA</t>
  </si>
  <si>
    <t>DYNACONS SYSTEMS &amp; SOLUTIONS LTD</t>
  </si>
  <si>
    <t>DSSL</t>
  </si>
  <si>
    <t>DYNAMATIC TECHNOLOGIES LTD</t>
  </si>
  <si>
    <t>DYNAMATECH</t>
  </si>
  <si>
    <t>DYNAMIC ARCHISTRUCTURES LTD</t>
  </si>
  <si>
    <t>DYNAMIC CABLES LTD</t>
  </si>
  <si>
    <t>DYNAMIC INDUSTRIES LTD</t>
  </si>
  <si>
    <t>DYNAMIC PORTFOLIO MANAGEMENT &amp; SERVICES LTD</t>
  </si>
  <si>
    <t>DYNAVISION LTD</t>
  </si>
  <si>
    <t>DYNEMIC PRODUCTS LTD</t>
  </si>
  <si>
    <t>DYNPRO</t>
  </si>
  <si>
    <t>E COM INFOTECH I LTD</t>
  </si>
  <si>
    <t>E2E NETWORKS LTD</t>
  </si>
  <si>
    <t>E2E</t>
  </si>
  <si>
    <t>EAST BUILDTECH LTD</t>
  </si>
  <si>
    <t>EAST COAST STEEL LTD</t>
  </si>
  <si>
    <t>EAST INDIA SECURITIES LTD</t>
  </si>
  <si>
    <t>EASTERN SILK INDUSTRIES LTD</t>
  </si>
  <si>
    <t>EASTSILK</t>
  </si>
  <si>
    <t>EASTERN TREADS LTD</t>
  </si>
  <si>
    <t>EASUN REYROLLE LTD</t>
  </si>
  <si>
    <t>EASUNREYRL</t>
  </si>
  <si>
    <t>ECE INDUSTRIES LTD</t>
  </si>
  <si>
    <t>ECEIND</t>
  </si>
  <si>
    <t>ECLERX SERVICES LTD</t>
  </si>
  <si>
    <t>ECLERX</t>
  </si>
  <si>
    <t>ECO FRIENDLY FOOD PROCESSING PARK LTD</t>
  </si>
  <si>
    <t>ECO RECYCLING LTD</t>
  </si>
  <si>
    <t>ECOBOARD INDUSTRIES LTD</t>
  </si>
  <si>
    <t>ECONO TRADE (INDIA) LTD</t>
  </si>
  <si>
    <t>ECONO TRADE INDIA LTD</t>
  </si>
  <si>
    <t>ECOPLAST LTD</t>
  </si>
  <si>
    <t>ECS BIZTECH LTD</t>
  </si>
  <si>
    <t>EDELWEISS FINANCIAL SERVICES LTD</t>
  </si>
  <si>
    <t>EDELWEISS</t>
  </si>
  <si>
    <t>EDUCOMP SOLUTIONS LTD</t>
  </si>
  <si>
    <t>EDUCOMP</t>
  </si>
  <si>
    <t>EDUEXEL INFOTAINMENT LTD</t>
  </si>
  <si>
    <t>EDYNAMICS SOLUTIONS LTD</t>
  </si>
  <si>
    <t>EICHER MOTORS LTD</t>
  </si>
  <si>
    <t>EICHERMOT</t>
  </si>
  <si>
    <t>EID PARRY (INDIA) LTD</t>
  </si>
  <si>
    <t>EIDPARRY</t>
  </si>
  <si>
    <t>EID PARRY INDIA LTD</t>
  </si>
  <si>
    <t>EIH ASSOCIATED HOTELS LTD</t>
  </si>
  <si>
    <t>EIHAHOTELS</t>
  </si>
  <si>
    <t>EIH LTD</t>
  </si>
  <si>
    <t>EIHOTEL</t>
  </si>
  <si>
    <t>EIMCO ELECON (INDIA) LTD</t>
  </si>
  <si>
    <t>EIMCOELECO</t>
  </si>
  <si>
    <t>EIMCO ELECON INDIA LTD</t>
  </si>
  <si>
    <t>Ejecta Marketing Ltd</t>
  </si>
  <si>
    <t>EML</t>
  </si>
  <si>
    <t>EKAM LEASING &amp; FINANCE CO LTD</t>
  </si>
  <si>
    <t>E-LAND APPAREL LTD</t>
  </si>
  <si>
    <t>ELAND</t>
  </si>
  <si>
    <t>ELANGO INDUSTRIES LTD</t>
  </si>
  <si>
    <t>ELANTAS BECK (INDIA) LTD</t>
  </si>
  <si>
    <t>ELANTAS BECK INDIA LTD</t>
  </si>
  <si>
    <t>ELCID INVESTMENTS LTD</t>
  </si>
  <si>
    <t>ELDECO HOUSING &amp; INDUSTRIES LTD</t>
  </si>
  <si>
    <t>ELECON ENGINEERING COMPANY LTD</t>
  </si>
  <si>
    <t>ELECON</t>
  </si>
  <si>
    <t>ELECTROSTEEL CASTINGS LTD</t>
  </si>
  <si>
    <t>ELECTCAST</t>
  </si>
  <si>
    <t>ELECTROSTEEL STEELS LTD</t>
  </si>
  <si>
    <t>ELECTROSL</t>
  </si>
  <si>
    <t>ELECTROTHERM (INDIA) LTD</t>
  </si>
  <si>
    <t>ELECTHERM</t>
  </si>
  <si>
    <t>ELECTROTHERM INDIA LTD</t>
  </si>
  <si>
    <t>ELEGANT FLORICULTURE &amp; AGROTECH (INDIA) LTD</t>
  </si>
  <si>
    <t>ELEGANT FLORICULTURE &amp; AGROTECH INDIA LTD</t>
  </si>
  <si>
    <t>ELEGANT MARBLES &amp; GRANI INDUSTRIES LTD</t>
  </si>
  <si>
    <t>ELGI EQUIPMENTS LTD</t>
  </si>
  <si>
    <t>ELGIEQUIP</t>
  </si>
  <si>
    <t>ELGI RUBBER COMPANY LTD</t>
  </si>
  <si>
    <t>ELGIRUBCO</t>
  </si>
  <si>
    <t>ELIXIR CAPITAL LTD</t>
  </si>
  <si>
    <t>ELNET TECHNOLOGIES LTD</t>
  </si>
  <si>
    <t>ELPRO INTERNATIONAL LTD</t>
  </si>
  <si>
    <t>EMA (INDIA) LTD</t>
  </si>
  <si>
    <t>EMA INDIA LTD</t>
  </si>
  <si>
    <t>EMAMI LTD</t>
  </si>
  <si>
    <t>EMAMILTD</t>
  </si>
  <si>
    <t>Emami Paper Mills LTD</t>
  </si>
  <si>
    <t>EMAMIPAP</t>
  </si>
  <si>
    <t>EMAMI PAPER MILLS LTD</t>
  </si>
  <si>
    <t>EMAMI REALTY LTD</t>
  </si>
  <si>
    <t>EMAMIREAL</t>
  </si>
  <si>
    <t>Embassy Office Parks REIT</t>
  </si>
  <si>
    <t>EMBASSY</t>
  </si>
  <si>
    <t>EMCO LTD</t>
  </si>
  <si>
    <t>EMCO</t>
  </si>
  <si>
    <t>EMERALD LEASING FINANCE &amp; INVESTMENT COMPANY LTD</t>
  </si>
  <si>
    <t>EMERALD LEISURES LTD</t>
  </si>
  <si>
    <t>EMGEE CABLES &amp; COMMUNICATIONS LTD</t>
  </si>
  <si>
    <t>EMKAY GLOBAL FINANCIAL SERVICES LTD</t>
  </si>
  <si>
    <t>EMKAY</t>
  </si>
  <si>
    <t>EMKAY TAPS AND CUTTING TOOLS LTD</t>
  </si>
  <si>
    <t>EMKAYTOOLS</t>
  </si>
  <si>
    <t>EMMBI INDUSTRIES LTD</t>
  </si>
  <si>
    <t>EMMBI</t>
  </si>
  <si>
    <t>EMMESSAR BIOTECH &amp; NUTRITION LTD</t>
  </si>
  <si>
    <t>EMMSONS INTERNATIONAL LTD</t>
  </si>
  <si>
    <t>EMPEE DISTILLERIES LTD</t>
  </si>
  <si>
    <t>EDL</t>
  </si>
  <si>
    <t>EMPEE SUGARS &amp; CHEMICALS LTD</t>
  </si>
  <si>
    <t>EMPIRE INDUSTRIES LTD</t>
  </si>
  <si>
    <t>EMPOWER (INDIA) LTD</t>
  </si>
  <si>
    <t>EMPOWER INDIA LTD</t>
  </si>
  <si>
    <t>ENBEE TRADE &amp; FINANCE LTD</t>
  </si>
  <si>
    <t>ENCASH ENTERTAINMENT LTD</t>
  </si>
  <si>
    <t>ENDURANCE TECHNOLOGIES LTD</t>
  </si>
  <si>
    <t>ENDURANCE</t>
  </si>
  <si>
    <t>ENERGY DEVELOPMENT COMPANY LTD</t>
  </si>
  <si>
    <t>ENERGYDEV</t>
  </si>
  <si>
    <t>ENGINEERS (INDIA) LTD</t>
  </si>
  <si>
    <t>ENGINERSIN</t>
  </si>
  <si>
    <t>ENGINEERS INDIA LTD</t>
  </si>
  <si>
    <t>ENKEI WHEELS (INDIA) LTD</t>
  </si>
  <si>
    <t>ENKEI WHEELS INDIA LTD</t>
  </si>
  <si>
    <t>ENTERPRISE INTERNATIONAL LTD</t>
  </si>
  <si>
    <t>ENTERTAINMENT NETWORK (INDIA) LTD</t>
  </si>
  <si>
    <t>ENIL</t>
  </si>
  <si>
    <t>ENTERTAINMENT NETWORK INDIA LTD</t>
  </si>
  <si>
    <t>ENVAIR ELECTRODYNE LTD</t>
  </si>
  <si>
    <t>EON ELECTRIC LTD</t>
  </si>
  <si>
    <t>EON</t>
  </si>
  <si>
    <t>EPC INDUSTRIE LTD</t>
  </si>
  <si>
    <t>EPIC ENERGY LTD</t>
  </si>
  <si>
    <t>EPSOM PROPERTIES LTD</t>
  </si>
  <si>
    <t>EQUITAS HOLDINGS LTD</t>
  </si>
  <si>
    <t>EQUITAS</t>
  </si>
  <si>
    <t>ERIS LIFESCIENCES LTD</t>
  </si>
  <si>
    <t>ERIS</t>
  </si>
  <si>
    <t>EROS INTERNATIONAL MEDIA LTD</t>
  </si>
  <si>
    <t>EROSMEDIA</t>
  </si>
  <si>
    <t>ERP SOFT SYSTEMS LTD</t>
  </si>
  <si>
    <t>ESAAR (INDIA) LTD</t>
  </si>
  <si>
    <t>ESAAR INDIA LTD</t>
  </si>
  <si>
    <t>ESAB (INDIA) LTD</t>
  </si>
  <si>
    <t>ESAB(INDIA)</t>
  </si>
  <si>
    <t>ESAB INDIA LTD</t>
  </si>
  <si>
    <t>ESABINDIA</t>
  </si>
  <si>
    <t>ESCORP ASSET MANAGEMENT LTD</t>
  </si>
  <si>
    <t>ESCORTS FINANCE LTD</t>
  </si>
  <si>
    <t>ESCORTS LTD</t>
  </si>
  <si>
    <t>ESCORTS</t>
  </si>
  <si>
    <t>ESHA MEDIA RESEARCH LTD</t>
  </si>
  <si>
    <t>ESKAY K'N'IT (INDIA) LTD</t>
  </si>
  <si>
    <t>ESKAY K'N'IT INDIA LTD</t>
  </si>
  <si>
    <t>ESS DEE ALUMINIUM LTD</t>
  </si>
  <si>
    <t>ESSDEE</t>
  </si>
  <si>
    <t>Household Products</t>
  </si>
  <si>
    <t>ESSAR SECURITIES LTD</t>
  </si>
  <si>
    <t>ESSAR SHIPPING LTD</t>
  </si>
  <si>
    <t>ESSARSHPNG</t>
  </si>
  <si>
    <t>ESSEL PROPACK LTD</t>
  </si>
  <si>
    <t>ESSELPACK</t>
  </si>
  <si>
    <t>ESTEEM BIO ORGANIC FOOD PROCESSING  LTD</t>
  </si>
  <si>
    <t>ESTER INDUSTRIES LTD</t>
  </si>
  <si>
    <t>ESTER</t>
  </si>
  <si>
    <t>ETT LTD</t>
  </si>
  <si>
    <t>EUREKA INDUSTRIES LTD</t>
  </si>
  <si>
    <t>EURO ASIA EXPORTS LTD</t>
  </si>
  <si>
    <t>EURO CERAMICS LTD</t>
  </si>
  <si>
    <t>EUROCERA</t>
  </si>
  <si>
    <t>EURO INDIA FRESH FOODS LTD</t>
  </si>
  <si>
    <t>EIFFL</t>
  </si>
  <si>
    <t>EURO MULTIVISION LTD</t>
  </si>
  <si>
    <t>EUROMULTI</t>
  </si>
  <si>
    <t>EUROTEX INDUSTRIES &amp; EXPORTS LTD</t>
  </si>
  <si>
    <t>Eurotex Industries and Exports LTD</t>
  </si>
  <si>
    <t>EUROTEXIND</t>
  </si>
  <si>
    <t>Evans Electric Ltd</t>
  </si>
  <si>
    <t>EVANS</t>
  </si>
  <si>
    <t>EVEREADY INDUSTRIES (INDIA) LTD</t>
  </si>
  <si>
    <t>EVEREADY</t>
  </si>
  <si>
    <t>EVEREADY INDUSTRIES INDIA LTD</t>
  </si>
  <si>
    <t>EVEREST INDUSTRIES LTD</t>
  </si>
  <si>
    <t>EVERESTIND</t>
  </si>
  <si>
    <t>EVEREST KANTO CYLINDER LTD</t>
  </si>
  <si>
    <t>EKC</t>
  </si>
  <si>
    <t>EVEREST ORGANICS LTD</t>
  </si>
  <si>
    <t>EVERGREEN TEXTILES LTD</t>
  </si>
  <si>
    <t>EVERLON SYNTHETICS LTD</t>
  </si>
  <si>
    <t>EXCEL CROP CARE LTD</t>
  </si>
  <si>
    <t>EXCELCROP</t>
  </si>
  <si>
    <t>EXCEL INDUSTRIES LTD</t>
  </si>
  <si>
    <t>EXCELINDUS</t>
  </si>
  <si>
    <t>EXCEL REALTY N INFRA LTD</t>
  </si>
  <si>
    <t>EXCEL</t>
  </si>
  <si>
    <t>EXIDE INDUSTRIES LTD</t>
  </si>
  <si>
    <t>EXIDEIND</t>
  </si>
  <si>
    <t>Expleo Solutions LTD</t>
  </si>
  <si>
    <t>EXPLEOSOL</t>
  </si>
  <si>
    <t>EXPLICIT FINANCE LTD</t>
  </si>
  <si>
    <t>EXPO GAS CONTAINERS LTD</t>
  </si>
  <si>
    <t>F MEC INTERNATIONAL FINANCIAL SERVICES LTD</t>
  </si>
  <si>
    <t>FACOR ALLOYS LTD</t>
  </si>
  <si>
    <t>FAIR DEAL FILAMENTS LTD</t>
  </si>
  <si>
    <t>FAIRCHEM SPECIALITY LTD</t>
  </si>
  <si>
    <t>FAIRCHEM</t>
  </si>
  <si>
    <t>FAZE THREE LTD</t>
  </si>
  <si>
    <t>FCS SOFTWARE SOLUTIONS LTD</t>
  </si>
  <si>
    <t>FCSSOFT</t>
  </si>
  <si>
    <t>FDC LTD</t>
  </si>
  <si>
    <t>FDC</t>
  </si>
  <si>
    <t>FEDERAL-MOGUL GOETZE (INDIA) LTD</t>
  </si>
  <si>
    <t>FMGOETZE</t>
  </si>
  <si>
    <t>FEDERAL-MOGUL GOETZE INDIA LTD</t>
  </si>
  <si>
    <t>FELIX INDUSTRIES LTD</t>
  </si>
  <si>
    <t>FELIX</t>
  </si>
  <si>
    <t>FENOPLAST LTD</t>
  </si>
  <si>
    <t>FERRO ALLOYS CORPORATION LTD</t>
  </si>
  <si>
    <t>FERTILIZERS AND CHEMICALS TRAVANCORE LTD</t>
  </si>
  <si>
    <t>FACT</t>
  </si>
  <si>
    <t>FERVENT SYNERGIES LTD</t>
  </si>
  <si>
    <t>FGP LTD</t>
  </si>
  <si>
    <t>FIBERWEB (INDIA) LTD</t>
  </si>
  <si>
    <t>FIBERWEB INDIA LTD</t>
  </si>
  <si>
    <t>FIEM INDUSTRIES LTD</t>
  </si>
  <si>
    <t>FIEMIND</t>
  </si>
  <si>
    <t>FILATEX (INDIA) LTD</t>
  </si>
  <si>
    <t>FILATEX</t>
  </si>
  <si>
    <t>FILATEX FASHIONS LTD</t>
  </si>
  <si>
    <t>FILATEX INDIA LTD</t>
  </si>
  <si>
    <t>FILTRA CONSULTANTS AND ENGINEERS LTD</t>
  </si>
  <si>
    <t>FINE ORGANIC INDUSTRIES LTD</t>
  </si>
  <si>
    <t>FINEORG</t>
  </si>
  <si>
    <t>FINE-LINE CIRCUITS LTD.</t>
  </si>
  <si>
    <t>FINELINE</t>
  </si>
  <si>
    <t>FINEOTEX CHEMICAL LTD</t>
  </si>
  <si>
    <t>FCL</t>
  </si>
  <si>
    <t>FINKURVE FINANCIAL SERVICES LTD</t>
  </si>
  <si>
    <t>FINOLEX CABLES LTD</t>
  </si>
  <si>
    <t>FINCABLES</t>
  </si>
  <si>
    <t>FINOLEX INDUSTRIES LTD</t>
  </si>
  <si>
    <t>FINPIPE</t>
  </si>
  <si>
    <t>FIRST CUSTODIAN FUND (INDIA) LTD</t>
  </si>
  <si>
    <t>FIRST CUSTODIAN FUND INDIA LTD</t>
  </si>
  <si>
    <t>FIRSTOBJECT TECHNOLOGIES LTD</t>
  </si>
  <si>
    <t>FIRSTSOURCE SOLUTIONS LTD</t>
  </si>
  <si>
    <t>FSL</t>
  </si>
  <si>
    <t>FISCHER CHEMIC LTD</t>
  </si>
  <si>
    <t>FIVE CORE ELECTRONICS LTD</t>
  </si>
  <si>
    <t>FIVECORE</t>
  </si>
  <si>
    <t>FIVE CORE EXIM LTD</t>
  </si>
  <si>
    <t>FIVE X TRADECOM LTD</t>
  </si>
  <si>
    <t>FLEX FOODS LTD</t>
  </si>
  <si>
    <t>FLEXITUFF VENTURES INTERNATIONAL LTD</t>
  </si>
  <si>
    <t>FLEXITUFF</t>
  </si>
  <si>
    <t>FLORA CORPORATION LTD</t>
  </si>
  <si>
    <t>FLORA TEXTILES LTD</t>
  </si>
  <si>
    <t>FLORENCE INVESTECH LTD</t>
  </si>
  <si>
    <t>FLUIDOMAT LTD</t>
  </si>
  <si>
    <t>FOCUS INDUSTRIAL RESOURCES LTD</t>
  </si>
  <si>
    <t>FOCUS LIGHTING AND FIXTURES LTD</t>
  </si>
  <si>
    <t>FOCUS</t>
  </si>
  <si>
    <t>FOCUS SUITES SOLUTIONS &amp; SERVICES LTD</t>
  </si>
  <si>
    <t>FOMENTO RESORTS &amp; HOTELS LTD</t>
  </si>
  <si>
    <t>FOODS &amp; INNS LTD</t>
  </si>
  <si>
    <t>FORBES &amp; COMPANY LTD</t>
  </si>
  <si>
    <t>FORCE MOTORS LTD</t>
  </si>
  <si>
    <t>Cars &amp; Utility Vehicles</t>
  </si>
  <si>
    <t>FORTIS HEALTHCARE LTD</t>
  </si>
  <si>
    <t>FORTIS</t>
  </si>
  <si>
    <t>FORTIS MALAR HOSPITALS LTD</t>
  </si>
  <si>
    <t>FORTUNE INTERNATIONAL LTD</t>
  </si>
  <si>
    <t>FOSECO (INDIA) LTD</t>
  </si>
  <si>
    <t>FOSECOIND</t>
  </si>
  <si>
    <t>FOSECO INDIA LTD</t>
  </si>
  <si>
    <t>FOUNDRY FUEL PRODUCTS LTD</t>
  </si>
  <si>
    <t>FOURTH DIMENSION SOLUTIONS LTD</t>
  </si>
  <si>
    <t>FOURTHDIM</t>
  </si>
  <si>
    <t>FOURTH GENERATION INFORMATION SYSTEMS LTD</t>
  </si>
  <si>
    <t>FRANKLIN INDUSTRIES LTD</t>
  </si>
  <si>
    <t>FRANKLIN LEASING AND FINANCE LTD</t>
  </si>
  <si>
    <t>Fraser and Company Ltd</t>
  </si>
  <si>
    <t>FRASER</t>
  </si>
  <si>
    <t>FREDUN PHARMACEUTICALS LTD</t>
  </si>
  <si>
    <t>FRESHTROP FRUITS LTD</t>
  </si>
  <si>
    <t>FRONTIER CAPITAL LTD</t>
  </si>
  <si>
    <t>FRONTIER SPRINGS LTD</t>
  </si>
  <si>
    <t>FRONTLINE BUSINESS SOLUTIONS LTD.</t>
  </si>
  <si>
    <t>FRONTBUSS</t>
  </si>
  <si>
    <t>FRONTLINE CORPORATION LTD</t>
  </si>
  <si>
    <t>FRONTLINE SECURITIES LTD</t>
  </si>
  <si>
    <t>FRUITION VENTURE LTD</t>
  </si>
  <si>
    <t>FUNNY SOFTWARE LTD</t>
  </si>
  <si>
    <t>FUTURE CONSUMER LTD</t>
  </si>
  <si>
    <t>FCONSUMER</t>
  </si>
  <si>
    <t>FUTURE ENTERPRISES LTD</t>
  </si>
  <si>
    <t>FEL</t>
  </si>
  <si>
    <t>FELDVR</t>
  </si>
  <si>
    <t>FUTURE LIFESTYLE FASHIONS LTD</t>
  </si>
  <si>
    <t>FLFL</t>
  </si>
  <si>
    <t>FUTURE MARKET NETWORKS LTD</t>
  </si>
  <si>
    <t>FMNL</t>
  </si>
  <si>
    <t>FUTURE RETAIL LTD</t>
  </si>
  <si>
    <t>FRETAIL</t>
  </si>
  <si>
    <t>FUTURE SUPPLY CHAIN SOLUTIONS LTD</t>
  </si>
  <si>
    <t>FSC</t>
  </si>
  <si>
    <t>FUTURISTIC SECURITIES LTD</t>
  </si>
  <si>
    <t>FUTURISTIC SOLUTIONS LTD</t>
  </si>
  <si>
    <t>G D TRADING &amp; AGENCIES LTD</t>
  </si>
  <si>
    <t>G G DANDEKAR MACHINE WORKS LTD</t>
  </si>
  <si>
    <t>G G ENGINEERING LTD</t>
  </si>
  <si>
    <t>G K CONSULTANTS LTD</t>
  </si>
  <si>
    <t>G S AUTO INTERNATIONAL LTD</t>
  </si>
  <si>
    <t>G. K. P. Printing &amp;amp; Packaging Ltd</t>
  </si>
  <si>
    <t>GKP</t>
  </si>
  <si>
    <t>Containers &amp;amp; Packaging</t>
  </si>
  <si>
    <t>GABRIEL (INDIA) LTD</t>
  </si>
  <si>
    <t>GABRIEL</t>
  </si>
  <si>
    <t>GABRIEL INDIA LTD</t>
  </si>
  <si>
    <t>GAGAN GASES LTD.</t>
  </si>
  <si>
    <t>GAGAN</t>
  </si>
  <si>
    <t>Integrated Oil &amp;amp; Gas</t>
  </si>
  <si>
    <t>GAGAN POLYCOT (INDIA) LTD</t>
  </si>
  <si>
    <t>GAGAN POLYCOT INDIA LTD</t>
  </si>
  <si>
    <t>GAIL (INDIA) LTD</t>
  </si>
  <si>
    <t>GAIL</t>
  </si>
  <si>
    <t>GAIL INDIA LTD</t>
  </si>
  <si>
    <t>GAJANAN SECURITIES SERVICES LTD</t>
  </si>
  <si>
    <t>GAJRA BEVEL GEARS LTD</t>
  </si>
  <si>
    <t>GALA GLOBAL PRODUCTS LTD</t>
  </si>
  <si>
    <t>Comm.Printing/Stationery</t>
  </si>
  <si>
    <t>GALADA FINANCE LTD</t>
  </si>
  <si>
    <t>GALADA POWER &amp; TELECOMMUNICATION LTD</t>
  </si>
  <si>
    <t>GALAXY AGRICO EXPORTS LTD</t>
  </si>
  <si>
    <t>GALAXY BEARINGS LTD</t>
  </si>
  <si>
    <t>GALAXY ENTERTAINMENT CORPORATION LTD</t>
  </si>
  <si>
    <t>GALAXY SURFACTANTS LTD</t>
  </si>
  <si>
    <t>GALAXYSURF</t>
  </si>
  <si>
    <t>GALLANTT ISPAT LTD</t>
  </si>
  <si>
    <t>GALLISPAT</t>
  </si>
  <si>
    <t>GALLANTT METAL LTD</t>
  </si>
  <si>
    <t>GALLANTT</t>
  </si>
  <si>
    <t>GALLOPS ENTERPRISE LTD.</t>
  </si>
  <si>
    <t>GALLOPENT</t>
  </si>
  <si>
    <t>GAMMON INFRASTRUCTURE PROJECTS LTD</t>
  </si>
  <si>
    <t>GAMMNINFRA</t>
  </si>
  <si>
    <t>GANDHI SPECIAL TUBES LTD</t>
  </si>
  <si>
    <t>GANDHITUBE</t>
  </si>
  <si>
    <t>GANESH BENZOPLAST LTD</t>
  </si>
  <si>
    <t>GANESH FILMS (INDIA) LTD</t>
  </si>
  <si>
    <t>GANESH FILMS INDIA LTD</t>
  </si>
  <si>
    <t>GANESH HOLDINGS LTD</t>
  </si>
  <si>
    <t>GANESH HOUSING CORPORATION LTD</t>
  </si>
  <si>
    <t>GANESHHOUC</t>
  </si>
  <si>
    <t>GANESHA ECOSPHERE LTD</t>
  </si>
  <si>
    <t>GANECOS</t>
  </si>
  <si>
    <t>GANGA FORGING LTD</t>
  </si>
  <si>
    <t>GANGAFORGE</t>
  </si>
  <si>
    <t>GANGA PAPERS (INDIA) LTD</t>
  </si>
  <si>
    <t>GANGA PAPERS INDIA LTD</t>
  </si>
  <si>
    <t>GANGA PHARMACEUTICALS LTD</t>
  </si>
  <si>
    <t>GANGES SECURITIES LTD</t>
  </si>
  <si>
    <t>GANGESSECU</t>
  </si>
  <si>
    <t>GANGOTRI TEXTILES LTD</t>
  </si>
  <si>
    <t>GANGOTRI</t>
  </si>
  <si>
    <t>GANON PRODUCTS LTD</t>
  </si>
  <si>
    <t>GARBI FINVEST LTD</t>
  </si>
  <si>
    <t>GARDEN REACH SHIPBUILDERS &amp; ENGINEERS LTD</t>
  </si>
  <si>
    <t>GRSE</t>
  </si>
  <si>
    <t>GARDEN SILK MILLS LTD</t>
  </si>
  <si>
    <t>GARDENSILK</t>
  </si>
  <si>
    <t>GARG FURNACE LTD</t>
  </si>
  <si>
    <t>GARNET CONSTRUCTION LTD</t>
  </si>
  <si>
    <t>GARNET INTERNATIONAL LTD</t>
  </si>
  <si>
    <t>GARODIA CHEMICALS LTD</t>
  </si>
  <si>
    <t>GARV INDUSTRIES LTD</t>
  </si>
  <si>
    <t>GARWARE MARINE INDUSTRIES LTD</t>
  </si>
  <si>
    <t>GARWARE POLYESTER LTD</t>
  </si>
  <si>
    <t>GARWARE SYNTHETICS LTD</t>
  </si>
  <si>
    <t>GARWARE TECHNICAL FIBRES LTD</t>
  </si>
  <si>
    <t>GARFIBRES</t>
  </si>
  <si>
    <t>GATEWAY DISTRIPARKS LTD</t>
  </si>
  <si>
    <t>GDL</t>
  </si>
  <si>
    <t>GATI LTD</t>
  </si>
  <si>
    <t>GATI</t>
  </si>
  <si>
    <t>GAURAV MERCANTILES LTD</t>
  </si>
  <si>
    <t>GAUTAM EXIM LTD</t>
  </si>
  <si>
    <t>GAUTAM GEMS LTD</t>
  </si>
  <si>
    <t>GAYATRI BIOORGANICS LTD</t>
  </si>
  <si>
    <t>GAYATRI HIGHWAYS LTD</t>
  </si>
  <si>
    <t>GAYAHWS</t>
  </si>
  <si>
    <t>GAYATRI PROJECTS LTD</t>
  </si>
  <si>
    <t>GAYAPROJ</t>
  </si>
  <si>
    <t>GAYATRI SUGARS LTD</t>
  </si>
  <si>
    <t>GBL INDUSTRIES LTD</t>
  </si>
  <si>
    <t>GCM CAPITAL ADVISORS LTD</t>
  </si>
  <si>
    <t>GCM COMMODITY &amp; DERIVATIVES LTD</t>
  </si>
  <si>
    <t>GCM SECURITIES LTD</t>
  </si>
  <si>
    <t>GDL LEASING &amp; FINANCE LTD</t>
  </si>
  <si>
    <t>GE POWER (INDIA) LTD</t>
  </si>
  <si>
    <t>GEPIL</t>
  </si>
  <si>
    <t>GE POWER INDIA LTD</t>
  </si>
  <si>
    <t>GE T&amp;D (INDIA) LTD</t>
  </si>
  <si>
    <t>GET&amp;D</t>
  </si>
  <si>
    <t>GE T&amp;D INDIA LTD</t>
  </si>
  <si>
    <t>GEE LTD</t>
  </si>
  <si>
    <t>GEECEE VENTURES LTD</t>
  </si>
  <si>
    <t>GEECEE</t>
  </si>
  <si>
    <t>GEEFCEE FINANCE LTD</t>
  </si>
  <si>
    <t>GEEKAY WIRES LTD</t>
  </si>
  <si>
    <t>GEEKAYWIRE</t>
  </si>
  <si>
    <t>GEETANJALI CREDIT AND CAPITAL LTD</t>
  </si>
  <si>
    <t>GEM SPINNERS (INDIA) LTD</t>
  </si>
  <si>
    <t>GEM SPINNERS INDIA LTD</t>
  </si>
  <si>
    <t>GEMINI COMMUNICATION LTD</t>
  </si>
  <si>
    <t>GEMINI</t>
  </si>
  <si>
    <t>GEMSTONE INVESTMENTS LTD</t>
  </si>
  <si>
    <t>GENERA AGRI CORP LTD</t>
  </si>
  <si>
    <t>GENERAL INSURANCE CORPORATION OF INDIA</t>
  </si>
  <si>
    <t>GICRE</t>
  </si>
  <si>
    <t>General Insurance</t>
  </si>
  <si>
    <t>GENERIC ENGINEERING CONSTRUCTION AND PROJECTS LTD</t>
  </si>
  <si>
    <t>GENESIS IBRC (INDIA) LTD</t>
  </si>
  <si>
    <t>GENESIS IBRC INDIA LTD</t>
  </si>
  <si>
    <t>GENESYS INTERNATIONAL CORPORATION LTD</t>
  </si>
  <si>
    <t>GENESYS</t>
  </si>
  <si>
    <t>GENNEX LABORATORIES LTD</t>
  </si>
  <si>
    <t>GENOMIC VALLEY BIOTECH LTD</t>
  </si>
  <si>
    <t>GENUS PAPER &amp; BOARDS LTD</t>
  </si>
  <si>
    <t>GENUSPAPER</t>
  </si>
  <si>
    <t>GENUS POWER INFRASTRUCTURES LTD</t>
  </si>
  <si>
    <t>GENUSPOWER</t>
  </si>
  <si>
    <t>GEOJIT FINANCIAL SERVICES LTD</t>
  </si>
  <si>
    <t>GEOJITFSL</t>
  </si>
  <si>
    <t>GHCL LTD</t>
  </si>
  <si>
    <t>GHCL</t>
  </si>
  <si>
    <t>GI ENGINEERING SOLUTIONS LTD</t>
  </si>
  <si>
    <t>GISOLUTION</t>
  </si>
  <si>
    <t>GIC HOUSING FINANCE LTD</t>
  </si>
  <si>
    <t>GICHSGFIN</t>
  </si>
  <si>
    <t>GILADA FINANCE &amp; INVESTMENTS LTD</t>
  </si>
  <si>
    <t>GILLANDERS ARBUTHNOT &amp; COMPANY LTD</t>
  </si>
  <si>
    <t>GILLANDERS</t>
  </si>
  <si>
    <t>GILLETTE (INDIA) LTD</t>
  </si>
  <si>
    <t>GILLETTE</t>
  </si>
  <si>
    <t>GILLETTE INDIA LTD</t>
  </si>
  <si>
    <t>GINI SILK MILLS LTD</t>
  </si>
  <si>
    <t>GINNI FILAMENTS LTD</t>
  </si>
  <si>
    <t>GINNIFILA</t>
  </si>
  <si>
    <t>GIRDHARILAL SUGAR &amp; ALLIED INDUSTRIES LTD</t>
  </si>
  <si>
    <t>GIRIRAJ CIVIL DEVELOPERS LTD</t>
  </si>
  <si>
    <t>GIRIRAJ</t>
  </si>
  <si>
    <t>GITA RENEWABLE ENERGY LTD</t>
  </si>
  <si>
    <t>GKB OPHTHALMICS LTD</t>
  </si>
  <si>
    <t>GKW LTD</t>
  </si>
  <si>
    <t>GKWLIMITED</t>
  </si>
  <si>
    <t>GLANCE FINANCE LTD</t>
  </si>
  <si>
    <t>GLAXOSMITHKLINE CONSUMER HEALTHCARE LTD</t>
  </si>
  <si>
    <t>GSKCONS</t>
  </si>
  <si>
    <t>GLAXOSMITHKLINE PHARMACEUTICALS LTD</t>
  </si>
  <si>
    <t>GLAXO</t>
  </si>
  <si>
    <t>Gleam Fabmat Ltd</t>
  </si>
  <si>
    <t>GLEAM</t>
  </si>
  <si>
    <t>GLENMARK PHARMACEUTICALS LTD</t>
  </si>
  <si>
    <t>GLENMARK</t>
  </si>
  <si>
    <t>GLITTEK GRANITES LTD</t>
  </si>
  <si>
    <t>GLOBAL CAPITAL MARKETS LTD</t>
  </si>
  <si>
    <t>GLOBAL EDUCATION LTD</t>
  </si>
  <si>
    <t>GLOBAL</t>
  </si>
  <si>
    <t>GLOBAL INFRATECH &amp; FINANCE LTD</t>
  </si>
  <si>
    <t>GLOBAL LAND MASTERS CORPORATION LTD</t>
  </si>
  <si>
    <t>GLOBAL OFFSHORE SERVICES LTD</t>
  </si>
  <si>
    <t>GLOBOFFS</t>
  </si>
  <si>
    <t>GLOBAL VECTRA HELICORP LTD</t>
  </si>
  <si>
    <t>GLOBALVECT</t>
  </si>
  <si>
    <t>Airlines</t>
  </si>
  <si>
    <t>GLOBALSPACE TECHNOLOGIES LTD</t>
  </si>
  <si>
    <t>GLOBE COMMERCIALS LTD</t>
  </si>
  <si>
    <t>GLOBE INTERNATIONAL CARRIERS LTD</t>
  </si>
  <si>
    <t>GICL</t>
  </si>
  <si>
    <t>GLOBE TEXTILES (INDIA) LTD</t>
  </si>
  <si>
    <t>GLOBE</t>
  </si>
  <si>
    <t>GLOBE TEXTILES INDIA LTD</t>
  </si>
  <si>
    <t>GLOBUS CONSTRUCTORS &amp; DEVELOPERS LTD</t>
  </si>
  <si>
    <t>GLOBUS CORPORATION LTD.-$</t>
  </si>
  <si>
    <t>GLOBUSCOR</t>
  </si>
  <si>
    <t>GLOBUS SPIRITS LTD</t>
  </si>
  <si>
    <t>GLOBUSSPR</t>
  </si>
  <si>
    <t>Gloster Ltd</t>
  </si>
  <si>
    <t>GLOSTERLTD</t>
  </si>
  <si>
    <t>Jute &amp;amp; Jute Products</t>
  </si>
  <si>
    <t>GM BREWERIES LTD</t>
  </si>
  <si>
    <t>GMBREW</t>
  </si>
  <si>
    <t>GMM PFAUDLER LTD</t>
  </si>
  <si>
    <t>GMMPFAUDLR</t>
  </si>
  <si>
    <t>GMR INFRASTRUCTURE LTD</t>
  </si>
  <si>
    <t>GMRINFRA</t>
  </si>
  <si>
    <t>GNA AXLES LTD</t>
  </si>
  <si>
    <t>GNA</t>
  </si>
  <si>
    <t>GOA CARBON LTD</t>
  </si>
  <si>
    <t>GOACARBON</t>
  </si>
  <si>
    <t>GOCL CORPORATION LTD</t>
  </si>
  <si>
    <t>GOCLCORP</t>
  </si>
  <si>
    <t>GODAVARI DRUGS LTD</t>
  </si>
  <si>
    <t>GODAWARI POWER AND ISPAT LTD</t>
  </si>
  <si>
    <t>GPIL</t>
  </si>
  <si>
    <t>GODFREY PHILLIPS (INDIA) LTD</t>
  </si>
  <si>
    <t>GODFRYPHLP</t>
  </si>
  <si>
    <t>Cigarettes-Tobacco Products</t>
  </si>
  <si>
    <t>GODFREY PHILLIPS INDIA LTD</t>
  </si>
  <si>
    <t>GODHA CABCON &amp; INSULATION LTD</t>
  </si>
  <si>
    <t>GODHA</t>
  </si>
  <si>
    <t>GODREJ AGROVET LTD</t>
  </si>
  <si>
    <t>GODREJAGRO</t>
  </si>
  <si>
    <t>GODREJCP</t>
  </si>
  <si>
    <t>GODREJ INDUSTRIES LTD</t>
  </si>
  <si>
    <t>GODREJIND</t>
  </si>
  <si>
    <t>GODREJ PROPERTIES LTD</t>
  </si>
  <si>
    <t>GODREJPROP</t>
  </si>
  <si>
    <t>GOENKA BUSINESS &amp; FINANCE LTD</t>
  </si>
  <si>
    <t>GOENKA DIAMOND AND JEWELS LTD</t>
  </si>
  <si>
    <t>GOENKA</t>
  </si>
  <si>
    <t>GOGIA CAPITAL SERVICES LTD</t>
  </si>
  <si>
    <t>GOKAK TEXTILES LTD</t>
  </si>
  <si>
    <t>GOKALDAS EXPORTS LTD</t>
  </si>
  <si>
    <t>GOKEX</t>
  </si>
  <si>
    <t>GOKUL AGRO RESOURCES LTD</t>
  </si>
  <si>
    <t>GOKULAGRO</t>
  </si>
  <si>
    <t>GOKUL REFOILS AND SOLVENT LTD</t>
  </si>
  <si>
    <t>GOKUL</t>
  </si>
  <si>
    <t>GOKUL SOLUTIONS LTD</t>
  </si>
  <si>
    <t>GOLD COIN HEALTH FOODS LTD</t>
  </si>
  <si>
    <t>Gold Line International Finvest Ltd</t>
  </si>
  <si>
    <t>GOLDLINE</t>
  </si>
  <si>
    <t>GOLDCREST CORPORATION LTD</t>
  </si>
  <si>
    <t>GOLDEN CARPETS LTD</t>
  </si>
  <si>
    <t>GOLDEN CREST EDUCATION &amp; SERVICES LTD</t>
  </si>
  <si>
    <t>GOLDEN GOENKA FINCORP LTD</t>
  </si>
  <si>
    <t>GOLDEN TOBACCO LTD</t>
  </si>
  <si>
    <t>GOLDENTOBC</t>
  </si>
  <si>
    <t>GOLDIAM INTERNATIONAL LTD</t>
  </si>
  <si>
    <t>GOLDIAM</t>
  </si>
  <si>
    <t>GOLDSTAR POWER LTD</t>
  </si>
  <si>
    <t>GOLDSTAR</t>
  </si>
  <si>
    <t>GOLDSTONE TECHNOLOGIES LTD</t>
  </si>
  <si>
    <t>GOLDTECH</t>
  </si>
  <si>
    <t>GOLECHHA GLOBAL FINANCE LTD</t>
  </si>
  <si>
    <t>GOLKONDA ALUMINIUM EXTRUSIONS LTD</t>
  </si>
  <si>
    <t>GOLKUNDA DIAMONDS &amp; JEWELLERY LTD</t>
  </si>
  <si>
    <t>GOODLUCK (INDIA) LTD</t>
  </si>
  <si>
    <t>GOODLUCK</t>
  </si>
  <si>
    <t>GOODLUCK INDIA LTD</t>
  </si>
  <si>
    <t>GOODRICKE GROUP LTD</t>
  </si>
  <si>
    <t>GOODYEAR (INDIA) LTD</t>
  </si>
  <si>
    <t>GOODYEAR INDIA LTD</t>
  </si>
  <si>
    <t>GOPAL IRON &amp; STEELS CO GUJARAT LTD</t>
  </si>
  <si>
    <t>GOPALA POLYPLAST LTD</t>
  </si>
  <si>
    <t>GORANI INDUSTRIES LTD</t>
  </si>
  <si>
    <t>GOTHI PLASCON (INDIA) LTD</t>
  </si>
  <si>
    <t>GOTHI PLASCON INDIA LTD</t>
  </si>
  <si>
    <t>GOVIND RUBBER LTD</t>
  </si>
  <si>
    <t>GOWRA LEASING &amp; FINANCE LTD</t>
  </si>
  <si>
    <t>GOYAL ASSOCIATES LTD</t>
  </si>
  <si>
    <t>GP PETROLEUMS LTD</t>
  </si>
  <si>
    <t>GULFPETRO</t>
  </si>
  <si>
    <t>GPT INFRAPROJECTS LTD</t>
  </si>
  <si>
    <t>GPTINFRA</t>
  </si>
  <si>
    <t>GRACIOUS SOFTWARE LTD</t>
  </si>
  <si>
    <t>GRADIENTE INFOTAINMENT LTD</t>
  </si>
  <si>
    <t>GRANDEUR PRODUCTS LTD</t>
  </si>
  <si>
    <t>GRANULES (INDIA) LTD</t>
  </si>
  <si>
    <t>GRANULES</t>
  </si>
  <si>
    <t>GRANULES INDIA LTD</t>
  </si>
  <si>
    <t>GRAPHITE (INDIA) LTD</t>
  </si>
  <si>
    <t>GRAPHITE</t>
  </si>
  <si>
    <t>GRAPHITE INDIA LTD</t>
  </si>
  <si>
    <t>GRASIM INDUSTRIES LTD</t>
  </si>
  <si>
    <t>GRASIM</t>
  </si>
  <si>
    <t>GRATEX INDUSTRIES LTD</t>
  </si>
  <si>
    <t>GRAUER &amp; WEIL (INDIA) LTD</t>
  </si>
  <si>
    <t>GRAUER &amp; WEIL INDIA LTD</t>
  </si>
  <si>
    <t>GRAVISS HOSPITALITY LTD</t>
  </si>
  <si>
    <t>GRAVITA (INDIA) LTD</t>
  </si>
  <si>
    <t>GRAVITA</t>
  </si>
  <si>
    <t>Other Non-Ferrous Metals</t>
  </si>
  <si>
    <t>GRAVITA INDIA LTD</t>
  </si>
  <si>
    <t>GRAVITY (INDIA) LTD</t>
  </si>
  <si>
    <t>GRAVITY INDIA LTD</t>
  </si>
  <si>
    <t>GREAVES COTTON LTD</t>
  </si>
  <si>
    <t>GREAVESCOT</t>
  </si>
  <si>
    <t>GREENCREST FINANCIAL SERVICES LTD</t>
  </si>
  <si>
    <t>GREENLAM INDUSTRIES LTD</t>
  </si>
  <si>
    <t>GREENLAM</t>
  </si>
  <si>
    <t>GREENPLY INDUSTRIES LTD</t>
  </si>
  <si>
    <t>GREENPLY</t>
  </si>
  <si>
    <t>GRETEX INDUSTRIES LTD</t>
  </si>
  <si>
    <t>GRETEX</t>
  </si>
  <si>
    <t>GREYCELLS EDUCATION LTD</t>
  </si>
  <si>
    <t>GRINDWELL NORTON LTD</t>
  </si>
  <si>
    <t>GRINDWELL</t>
  </si>
  <si>
    <t>GRM OVERSEAS LTD</t>
  </si>
  <si>
    <t>GROMO TRADE &amp; CONSULTANCY LTD</t>
  </si>
  <si>
    <t>GROVY (INDIA) LTD</t>
  </si>
  <si>
    <t>GROVY INDIA LTD</t>
  </si>
  <si>
    <t>GRP LTD</t>
  </si>
  <si>
    <t>GRPLTD</t>
  </si>
  <si>
    <t>GRUH FINANCE LTD</t>
  </si>
  <si>
    <t>GRUH</t>
  </si>
  <si>
    <t>GSB FINANCE LTD</t>
  </si>
  <si>
    <t>GSL NOVA PETROCHEMICALS LTD</t>
  </si>
  <si>
    <t>GSL SECURITIES LTD</t>
  </si>
  <si>
    <t>GSS INFOTECH LTD</t>
  </si>
  <si>
    <t>GSS</t>
  </si>
  <si>
    <t>G-TECH INFO-TRAINING LTD</t>
  </si>
  <si>
    <t>GTL INFRASTRUCTURE LTD</t>
  </si>
  <si>
    <t>GTLINFRA</t>
  </si>
  <si>
    <t>GTL LTD</t>
  </si>
  <si>
    <t>GTL</t>
  </si>
  <si>
    <t>GTN INDUSTRIES LTD</t>
  </si>
  <si>
    <t>GTNIND</t>
  </si>
  <si>
    <t>GTN TEXTILES LTD</t>
  </si>
  <si>
    <t>GTNTEX</t>
  </si>
  <si>
    <t>GTPL HATHWAY LTD</t>
  </si>
  <si>
    <t>GTPL</t>
  </si>
  <si>
    <t>GTV ENGINEERING LTD</t>
  </si>
  <si>
    <t>GUFIC BIOSCIENCES LTD</t>
  </si>
  <si>
    <t>GUFICBIO</t>
  </si>
  <si>
    <t>GUJARAT ALKALIES AND CHEMICALS LTD</t>
  </si>
  <si>
    <t>GUJALKALI</t>
  </si>
  <si>
    <t>GUJARAT AMBUJA EXPORTS LTD</t>
  </si>
  <si>
    <t>GAEL</t>
  </si>
  <si>
    <t>GUJARAT APOLLO INDUSTRIES LTD</t>
  </si>
  <si>
    <t>GUJAPOLLO</t>
  </si>
  <si>
    <t>GUJARAT BOROSIL LTD</t>
  </si>
  <si>
    <t>GUJARAT CONTAINERS LTD</t>
  </si>
  <si>
    <t>GUJARAT COTEX LTD</t>
  </si>
  <si>
    <t>GUJARAT CRAFT INDUSTRIES LTD</t>
  </si>
  <si>
    <t>GUJARAT CREDIT CORPORATION LTD</t>
  </si>
  <si>
    <t>GUJARAT FLUOROCHEMICALS LTD</t>
  </si>
  <si>
    <t>GUJFLUORO</t>
  </si>
  <si>
    <t>GUJARAT FOILS LTD</t>
  </si>
  <si>
    <t>GUJARAT GAS LTD</t>
  </si>
  <si>
    <t>GUJGASLTD</t>
  </si>
  <si>
    <t>GUJARAT HOTELS LTD</t>
  </si>
  <si>
    <t>GUJARAT HY-SPIN LTD</t>
  </si>
  <si>
    <t>GUJARAT INDUSTRIES POWER COMPANY LTD</t>
  </si>
  <si>
    <t>GIPCL</t>
  </si>
  <si>
    <t>GUJARAT INTRUX LTD</t>
  </si>
  <si>
    <t>GUJARAT INVESTA LTD</t>
  </si>
  <si>
    <t>GUJARAT LEASE FINANCING LTD</t>
  </si>
  <si>
    <t>GLFL</t>
  </si>
  <si>
    <t>GUJARAT MEDITECH LTD</t>
  </si>
  <si>
    <t>GUJARAT METALLIC COAL &amp; COKE LTD</t>
  </si>
  <si>
    <t>GUJARAT MINERAL DEVELOPMENT CORPORATION LTD</t>
  </si>
  <si>
    <t>GMDCLTD</t>
  </si>
  <si>
    <t>GUJARAT NARMADA VALLEY FERTILIZERS AND CHEMICALS LTD</t>
  </si>
  <si>
    <t>GNFC</t>
  </si>
  <si>
    <t>GUJARAT NATURAL RESOURCES LTD</t>
  </si>
  <si>
    <t>GUJARAT PETROSYNTHESE LTD</t>
  </si>
  <si>
    <t>GUJARAT PIPAVAV PORT LTD</t>
  </si>
  <si>
    <t>GPPL</t>
  </si>
  <si>
    <t>GUJARAT POLY ELECTRONICS LTD</t>
  </si>
  <si>
    <t>GUJARAT RAFFIA INDUSTRIES LTD</t>
  </si>
  <si>
    <t>GUJRAFFIA</t>
  </si>
  <si>
    <t>GUJARAT SIDHEE CEMENT LTD</t>
  </si>
  <si>
    <t>GSCLCEMENT</t>
  </si>
  <si>
    <t>GUJARAT STATE FERTILIZERS &amp; CHEMICALS LTD</t>
  </si>
  <si>
    <t>GSFC</t>
  </si>
  <si>
    <t>GUJARAT STATE FINANCIAL CORPORATION LTD</t>
  </si>
  <si>
    <t>Financial Institutions</t>
  </si>
  <si>
    <t>GUJARAT STATE PETRONET LTD</t>
  </si>
  <si>
    <t>GSPL</t>
  </si>
  <si>
    <t>GUJARAT TERCE LABORATORIES LTD</t>
  </si>
  <si>
    <t>GUJARAT THEMIS BIOSYN LTD</t>
  </si>
  <si>
    <t>GUJARAT TOOLROOM LTD</t>
  </si>
  <si>
    <t>GUJCHEM DISTILLERS (INDIA) LTD</t>
  </si>
  <si>
    <t>GUJCHEM DISTILLERS INDIA LTD</t>
  </si>
  <si>
    <t>GULF OIL LUBRICANTS (INDIA) LTD</t>
  </si>
  <si>
    <t>GULFOILLUB</t>
  </si>
  <si>
    <t>GULF OIL LUBRICANTS INDIA LTD</t>
  </si>
  <si>
    <t>GULSHAN CHEMFILL LTD</t>
  </si>
  <si>
    <t>GULSHAN POLYOLS LTD</t>
  </si>
  <si>
    <t>GULPOLY</t>
  </si>
  <si>
    <t>GV FILMS LTD</t>
  </si>
  <si>
    <t>GVK POWER &amp; INFRASTRUCTURE LTD</t>
  </si>
  <si>
    <t>GVKPIL</t>
  </si>
  <si>
    <t>GYAN DEVELOPERS &amp; BUILDERS LTD</t>
  </si>
  <si>
    <t>GYSCOAL ALLOYS LTD</t>
  </si>
  <si>
    <t>GAL</t>
  </si>
  <si>
    <t>H G INFRA ENGINEERING LTD</t>
  </si>
  <si>
    <t>HGINFRA</t>
  </si>
  <si>
    <t>H K  TRADE INTERNATIONAL LTD</t>
  </si>
  <si>
    <t>H P COTTON TEXTILE MILLS LTD</t>
  </si>
  <si>
    <t>H S (INDIA) LTD</t>
  </si>
  <si>
    <t>H S INDIA LTD</t>
  </si>
  <si>
    <t>HALDER VENTURE LTD</t>
  </si>
  <si>
    <t>HALDYN GLASS LTD</t>
  </si>
  <si>
    <t>HARDCASTLE &amp; WAUD MFG CO LTD</t>
  </si>
  <si>
    <t>HARI GOVIND INTERNATIONAL LTD</t>
  </si>
  <si>
    <t>HARIA APPARELS LTD</t>
  </si>
  <si>
    <t>HARIA EXPORTS LTD</t>
  </si>
  <si>
    <t>Harish Textile Engineers Ltd</t>
  </si>
  <si>
    <t>HARISH</t>
  </si>
  <si>
    <t>HARITA SEATING SYSTEMS LTD</t>
  </si>
  <si>
    <t>HARITASEAT</t>
  </si>
  <si>
    <t>HARIYANA METALS LTD</t>
  </si>
  <si>
    <t>HARIYANA SHIP BREAKERS LTD</t>
  </si>
  <si>
    <t>HARMONY CAPITAL SERVICES LTD</t>
  </si>
  <si>
    <t>HARRISONS MALAYALAM LTD</t>
  </si>
  <si>
    <t>HARRMALAYA</t>
  </si>
  <si>
    <t>HARYANA CAPFIN LTD</t>
  </si>
  <si>
    <t>HARYANA FINANCIAL CORPORATION LTD</t>
  </si>
  <si>
    <t>HARYANA LEATHER CHEMICALS LTD</t>
  </si>
  <si>
    <t>HAS LIFESTYLE LTD</t>
  </si>
  <si>
    <t>HASTI FINANCE LTD</t>
  </si>
  <si>
    <t>HATHWAY BHAWANI CABLETEL &amp;amp; DATACOM LTD.</t>
  </si>
  <si>
    <t>HATHWAYB</t>
  </si>
  <si>
    <t>Broadcasting &amp;amp; Cable TV</t>
  </si>
  <si>
    <t>HATHWAY CABLE &amp; DATACOM LTD</t>
  </si>
  <si>
    <t>HATHWAY</t>
  </si>
  <si>
    <t>HATSUN AGRO PRODUCT LTD</t>
  </si>
  <si>
    <t>HATSUN</t>
  </si>
  <si>
    <t>HAVELLS (INDIA) LTD</t>
  </si>
  <si>
    <t>HAVELLS</t>
  </si>
  <si>
    <t>HAVELLS INDIA LTD</t>
  </si>
  <si>
    <t>HAWA ENGINEERS LTD</t>
  </si>
  <si>
    <t>HAWKINS COOKERS LTD</t>
  </si>
  <si>
    <t>HAZOOR MULTI PROJECTS LTD</t>
  </si>
  <si>
    <t>HB ESTATE DEVELOPERS LTD</t>
  </si>
  <si>
    <t>HB LEASING &amp; FINANCE CO LTD</t>
  </si>
  <si>
    <t>HB PORTFOLIO LTD</t>
  </si>
  <si>
    <t>HB STOCKHOLDINGS LTD</t>
  </si>
  <si>
    <t>HBSL</t>
  </si>
  <si>
    <t>HBL POWER SYSTEMS LTD</t>
  </si>
  <si>
    <t>HBLPOWER</t>
  </si>
  <si>
    <t>HCKK VENTURES LTD</t>
  </si>
  <si>
    <t>HCL INFOSYSTEMS LTD</t>
  </si>
  <si>
    <t>HCL-INSYS</t>
  </si>
  <si>
    <t>HCL TECHNOLOGIES LTD</t>
  </si>
  <si>
    <t>HCLTECH</t>
  </si>
  <si>
    <t>HDFC ASSET MANAGEMENT COMPANY LTD</t>
  </si>
  <si>
    <t>HDFCAMC</t>
  </si>
  <si>
    <t>Asset Management Cos.</t>
  </si>
  <si>
    <t>HDFC BANK LTD</t>
  </si>
  <si>
    <t>HDFCBANK</t>
  </si>
  <si>
    <t>HDFC Mutual Fund - HDFC Gold Exchange Traded Fund</t>
  </si>
  <si>
    <t>HDFCMFGETF</t>
  </si>
  <si>
    <t>HDFC STANDARD LIFE INSURANCE COMPANY LTD</t>
  </si>
  <si>
    <t>HDFCLIFE</t>
  </si>
  <si>
    <t>Life Insurance</t>
  </si>
  <si>
    <t>HEALTHCARE GLOBAL ENTERPRISES LTD</t>
  </si>
  <si>
    <t>HCG</t>
  </si>
  <si>
    <t>HEALTHY INVESTMENTS LTD</t>
  </si>
  <si>
    <t>HEC INFRA PROJECTS LTD</t>
  </si>
  <si>
    <t>HECPROJECT</t>
  </si>
  <si>
    <t>HEERA ISPAT LTD</t>
  </si>
  <si>
    <t>HEG LTD</t>
  </si>
  <si>
    <t>HEG</t>
  </si>
  <si>
    <t>HEIDELBERGCEMENT (INDIA) LTD</t>
  </si>
  <si>
    <t>HEIDELBERG</t>
  </si>
  <si>
    <t>HEIDELBERGCEMENT INDIA LTD</t>
  </si>
  <si>
    <t>Helpage Finlease Ltd</t>
  </si>
  <si>
    <t>HELPAGE</t>
  </si>
  <si>
    <t>HEM HOLDINGS &amp; TRADING LTD</t>
  </si>
  <si>
    <t>HEMANG RESOURCES LTD</t>
  </si>
  <si>
    <t>HEMO ORGANIC LTD</t>
  </si>
  <si>
    <t>HERCULES HOISTS LTD</t>
  </si>
  <si>
    <t>HERCULES</t>
  </si>
  <si>
    <t>HERITAGE FOODS LTD</t>
  </si>
  <si>
    <t>HERITGFOOD</t>
  </si>
  <si>
    <t>HERO MOTOCORP LTD</t>
  </si>
  <si>
    <t>HEROMOTOCO</t>
  </si>
  <si>
    <t>HESTER BIOSCIENCES LTD</t>
  </si>
  <si>
    <t>HESTERBIO</t>
  </si>
  <si>
    <t>HEXA TRADEX LTD</t>
  </si>
  <si>
    <t>HEXATRADEX</t>
  </si>
  <si>
    <t>HEXAWARE TECHNOLOGIES LTD</t>
  </si>
  <si>
    <t>HEXAWARE</t>
  </si>
  <si>
    <t>HIGH ENERGY BATTERIES (INDIA) LTD</t>
  </si>
  <si>
    <t>HIGH ENERGY BATTERIES INDIA LTD</t>
  </si>
  <si>
    <t>HIGH GROUND ENTERPRISE LTD</t>
  </si>
  <si>
    <t>HIGHGROUND</t>
  </si>
  <si>
    <t>HIGH STREET FILATEX LTD</t>
  </si>
  <si>
    <t>HIKAL LTD</t>
  </si>
  <si>
    <t>HIKAL</t>
  </si>
  <si>
    <t>Hi-Klass Trading and Investment Ltd</t>
  </si>
  <si>
    <t>HIKLASS</t>
  </si>
  <si>
    <t>HIL LTD</t>
  </si>
  <si>
    <t>HIL</t>
  </si>
  <si>
    <t>HILTON METAL FORGING LTD</t>
  </si>
  <si>
    <t>HILTON</t>
  </si>
  <si>
    <t>HIM TEKNOFORGE LTD</t>
  </si>
  <si>
    <t>HIMACHAL FIBRES LTD</t>
  </si>
  <si>
    <t>HIMACHAL FUTURISTIC COMMUNICATIONS LTD</t>
  </si>
  <si>
    <t>HFCL</t>
  </si>
  <si>
    <t>HIMADRI SPECIALITY CHEMICAL LTD</t>
  </si>
  <si>
    <t>HSCL</t>
  </si>
  <si>
    <t>HIMALAYA FOOD INTERNATIONAL LTD</t>
  </si>
  <si>
    <t>HIMALAYA GRANITES LTD</t>
  </si>
  <si>
    <t>HIMALCHULI FOOD PRODUCTS LTD</t>
  </si>
  <si>
    <t>HIMATSINGKA SEIDE LTD</t>
  </si>
  <si>
    <t>HIMATSEIDE</t>
  </si>
  <si>
    <t>HIND ALUMINIUM INDUSTRIES LTD</t>
  </si>
  <si>
    <t>HIND COMMERCE LTD</t>
  </si>
  <si>
    <t>HIND RECTIFIERS LTD</t>
  </si>
  <si>
    <t>HIRECT</t>
  </si>
  <si>
    <t>HIND SECURITIES &amp; CREDITS LTD</t>
  </si>
  <si>
    <t>HIND SYNTEX LTD</t>
  </si>
  <si>
    <t>HINDSYNTEX</t>
  </si>
  <si>
    <t>HINDALCO INDUSTRIES LTD</t>
  </si>
  <si>
    <t>HINDALCO</t>
  </si>
  <si>
    <t>HINDCON CHEMICALS LTD</t>
  </si>
  <si>
    <t>HINDCON</t>
  </si>
  <si>
    <t>HINDOOSTAN MILLS LTD</t>
  </si>
  <si>
    <t>HINDUJA GLOBAL SOLUTIONS LTD</t>
  </si>
  <si>
    <t>HGS</t>
  </si>
  <si>
    <t>HINDUJA VENTURES LTD</t>
  </si>
  <si>
    <t>HINDUJAVEN</t>
  </si>
  <si>
    <t>HINDUSTAN ADHESIVES LTD</t>
  </si>
  <si>
    <t>HINDUSTAN AERONAUTICS LTD</t>
  </si>
  <si>
    <t>HAL</t>
  </si>
  <si>
    <t>Aerospace</t>
  </si>
  <si>
    <t>HINDUSTAN APPLIANCES LTD</t>
  </si>
  <si>
    <t>HINDUSTAN BIO SCIENCES LTD.</t>
  </si>
  <si>
    <t>HINDBIO</t>
  </si>
  <si>
    <t>HINDUSTAN COMPOSITES LTD</t>
  </si>
  <si>
    <t>HINDCOMPOS</t>
  </si>
  <si>
    <t>HINDUSTAN CONSTRUCTION COMPANY LTD</t>
  </si>
  <si>
    <t>HCC</t>
  </si>
  <si>
    <t>HINDUSTAN COPPER LTD</t>
  </si>
  <si>
    <t>HINDCOPPER</t>
  </si>
  <si>
    <t>HINDUSTAN EVEREST TOOLS LTD.</t>
  </si>
  <si>
    <t>HINDEVER</t>
  </si>
  <si>
    <t>HINDUSTAN FLUOROCARBONS LTD</t>
  </si>
  <si>
    <t>HINDUSTAN FOODS LTD</t>
  </si>
  <si>
    <t>HINDUSTAN HARDY SPICER LTD</t>
  </si>
  <si>
    <t>HINDUSTAN HOUSING CO LTD</t>
  </si>
  <si>
    <t>HINDUSTAN MEDIA VENTURES LTD</t>
  </si>
  <si>
    <t>HMVL</t>
  </si>
  <si>
    <t>HINDUSTAN MOTORS LTD</t>
  </si>
  <si>
    <t>HINDMOTORS</t>
  </si>
  <si>
    <t>HINDUSTAN OIL EXPLORATION COMPANY LTD</t>
  </si>
  <si>
    <t>HINDOILEXP</t>
  </si>
  <si>
    <t>HINDUSTAN ORGANIC CHEMICALS LTD</t>
  </si>
  <si>
    <t>HINDUSTAN PETROLEUM CORPORATION LTD</t>
  </si>
  <si>
    <t>HINDPETRO</t>
  </si>
  <si>
    <t>HINDUSTAN TIN WORKS LTD</t>
  </si>
  <si>
    <t>HINDUSTAN UNILEVER LTD</t>
  </si>
  <si>
    <t>HINDUNILVR</t>
  </si>
  <si>
    <t>HINDUSTAN WIRES LTD</t>
  </si>
  <si>
    <t>HINDUSTAN ZINC LTD</t>
  </si>
  <si>
    <t>HINDZINC</t>
  </si>
  <si>
    <t>Zinc</t>
  </si>
  <si>
    <t>HINDUSTHAN NATIONAL GLASS &amp; INDUSTRIES LTD</t>
  </si>
  <si>
    <t>HINDNATGLS</t>
  </si>
  <si>
    <t>HINDUSTHAN UDYOG LTD</t>
  </si>
  <si>
    <t>HINDUSTHAN URBAN INFRASTRUCTURE LTD</t>
  </si>
  <si>
    <t>HIPOLIN LTD</t>
  </si>
  <si>
    <t>HIRA AUTOMOBILES LTD</t>
  </si>
  <si>
    <t>HISAR METAL INDUSTRIES LTD</t>
  </si>
  <si>
    <t>HISARMETAL</t>
  </si>
  <si>
    <t>HISAR SPINNING MILLS LTD</t>
  </si>
  <si>
    <t>HIT KIT GLOBAL SOLUTIONS LTD</t>
  </si>
  <si>
    <t>HITECH CORPORATION LTD</t>
  </si>
  <si>
    <t>HITECHCORP</t>
  </si>
  <si>
    <t>HI-TECH PIPES LTD</t>
  </si>
  <si>
    <t>HITECH</t>
  </si>
  <si>
    <t>Hi-Tech Winding Systems Ltd</t>
  </si>
  <si>
    <t>HITECHWIND</t>
  </si>
  <si>
    <t>HITTCO TOOLS LTD</t>
  </si>
  <si>
    <t>HMT LTD</t>
  </si>
  <si>
    <t>HMT</t>
  </si>
  <si>
    <t>HONDA SIEL POWER PRODUCTS LTD</t>
  </si>
  <si>
    <t>HONDAPOWER</t>
  </si>
  <si>
    <t>HONEYWELL AUTOMATION (INDIA) LTD</t>
  </si>
  <si>
    <t>HONAUT</t>
  </si>
  <si>
    <t>HONEYWELL AUTOMATION INDIA LTD</t>
  </si>
  <si>
    <t>HOTEL LEELA VENTURE LTD</t>
  </si>
  <si>
    <t>HOTELEELA</t>
  </si>
  <si>
    <t>HOTEL RUGBY LTD</t>
  </si>
  <si>
    <t>HOTELRUGBY</t>
  </si>
  <si>
    <t>HOUSING &amp; URBAN DEVELOPMENT CORPORATION LTD</t>
  </si>
  <si>
    <t>HUDCO</t>
  </si>
  <si>
    <t>HOUSING DEVELOPMENT AND INFRASTRUCTURE LTD</t>
  </si>
  <si>
    <t>HDIL</t>
  </si>
  <si>
    <t>HOUSING DEVELOPMENT FINANCE CORPORATION LTD</t>
  </si>
  <si>
    <t>HDFC</t>
  </si>
  <si>
    <t>HOV SERVICES LTD</t>
  </si>
  <si>
    <t>HOVS</t>
  </si>
  <si>
    <t>HOWARD HOTELS LTD</t>
  </si>
  <si>
    <t>HPC BIOSCIENCES LTD</t>
  </si>
  <si>
    <t>HPL ELECTRIC &amp; POWER LTD</t>
  </si>
  <si>
    <t>HPL</t>
  </si>
  <si>
    <t>HRB FLORICULTURE LTD</t>
  </si>
  <si>
    <t>HSIL LTD</t>
  </si>
  <si>
    <t>HSIL</t>
  </si>
  <si>
    <t>HT MEDIA LTD</t>
  </si>
  <si>
    <t>HTMEDIA</t>
  </si>
  <si>
    <t>HUBTOWN LTD</t>
  </si>
  <si>
    <t>HUBTOWN</t>
  </si>
  <si>
    <t>HUHTAMAKI PPL LTD</t>
  </si>
  <si>
    <t>PAPERPROD</t>
  </si>
  <si>
    <t>Humming Bird Education Ltd</t>
  </si>
  <si>
    <t>HBEL</t>
  </si>
  <si>
    <t>HUSYS CONSULTING LTD</t>
  </si>
  <si>
    <t>HUSYSLTD</t>
  </si>
  <si>
    <t>HYPERSOFT TECHNOLOGIES LTD</t>
  </si>
  <si>
    <t>IB INFOTECH ENTERPRISES LTD</t>
  </si>
  <si>
    <t>ICE MAKE REFRIGERATION LTD</t>
  </si>
  <si>
    <t>ICEMAKE</t>
  </si>
  <si>
    <t>ICICI BANK LTD</t>
  </si>
  <si>
    <t>ICICIBANK</t>
  </si>
  <si>
    <t>ICICI LOMBARD GENERAL INSURANCE COMPANY LTD</t>
  </si>
  <si>
    <t>ICICIGI</t>
  </si>
  <si>
    <t>ICICI Prudential Gold ETF</t>
  </si>
  <si>
    <t>ICICIGOLD</t>
  </si>
  <si>
    <t>ICICI PRUDENTIAL LIFE INSURANCE COMPANY LTD</t>
  </si>
  <si>
    <t>ICICIPRULI</t>
  </si>
  <si>
    <t>ICICI Prudential Sensex ETF</t>
  </si>
  <si>
    <t>ICICISENSX</t>
  </si>
  <si>
    <t>ICICI SECURITIES LTD</t>
  </si>
  <si>
    <t>ISEC</t>
  </si>
  <si>
    <t>ICRA LTD</t>
  </si>
  <si>
    <t>ICRA</t>
  </si>
  <si>
    <t>ICSA (INDIA) LTD</t>
  </si>
  <si>
    <t>ICSA</t>
  </si>
  <si>
    <t>ICSA INDIA LTD</t>
  </si>
  <si>
    <t>IDBI BANK LTD</t>
  </si>
  <si>
    <t>IDBI</t>
  </si>
  <si>
    <t>IDFC BANK LTD</t>
  </si>
  <si>
    <t>IDFCBANK</t>
  </si>
  <si>
    <t>IDFC First Bank LTD</t>
  </si>
  <si>
    <t>IDFCFIRSTB</t>
  </si>
  <si>
    <t>IDFC LTD</t>
  </si>
  <si>
    <t>IDFC</t>
  </si>
  <si>
    <t>IFB AGRO INDUSTRIES LTD</t>
  </si>
  <si>
    <t>IFBAGRO</t>
  </si>
  <si>
    <t>IFB INDUSTRIES LTD</t>
  </si>
  <si>
    <t>IFBIND</t>
  </si>
  <si>
    <t>IFCI LTD</t>
  </si>
  <si>
    <t>IFCI</t>
  </si>
  <si>
    <t>IFGL REFRACTORIES LTD</t>
  </si>
  <si>
    <t>IFGLEXPOR</t>
  </si>
  <si>
    <t>IFL ENTERPRISES LTD</t>
  </si>
  <si>
    <t>IFM IMPEX GLOBAL LTD</t>
  </si>
  <si>
    <t>IG PETROCHEMICALS LTD</t>
  </si>
  <si>
    <t>IGPL</t>
  </si>
  <si>
    <t>IGARASHI MOTORS (INDIA) LTD</t>
  </si>
  <si>
    <t>IGARASHI</t>
  </si>
  <si>
    <t>IGARASHI MOTORS INDIA LTD</t>
  </si>
  <si>
    <t>IGC INDUSTRIES LTD</t>
  </si>
  <si>
    <t>IIFL HOLDINGS LTD</t>
  </si>
  <si>
    <t>IIFL</t>
  </si>
  <si>
    <t>IITL PROJECTS LTD</t>
  </si>
  <si>
    <t>IITLPROJ</t>
  </si>
  <si>
    <t>IKAB SECURITIES &amp; INVESTMENT LTD</t>
  </si>
  <si>
    <t>IKF TECHNOLOGIES LTD</t>
  </si>
  <si>
    <t>IL&amp;FS ENGINEERING AND CONSTRUCTION COMPANY LTD</t>
  </si>
  <si>
    <t>IL&amp;FSENGG</t>
  </si>
  <si>
    <t>IL&amp;FS INVESTMENT MANAGERS LTD</t>
  </si>
  <si>
    <t>IVC</t>
  </si>
  <si>
    <t>IL&amp;FS TRANSPORTATION NETWORKS LTD</t>
  </si>
  <si>
    <t>IL&amp;FSTRANS</t>
  </si>
  <si>
    <t>IM+ CAPITALS LTD</t>
  </si>
  <si>
    <t>IMC FINANCE LTD</t>
  </si>
  <si>
    <t>IMEC SERVICES LTD</t>
  </si>
  <si>
    <t>IMP POWERS LTD</t>
  </si>
  <si>
    <t>INDLMETER</t>
  </si>
  <si>
    <t>IMPEX FERRO TECH LTD</t>
  </si>
  <si>
    <t>IMPEXFERRO</t>
  </si>
  <si>
    <t>INANI MARBLES &amp; INDUSTRIES LTD</t>
  </si>
  <si>
    <t>INANI SECURITIES LTD</t>
  </si>
  <si>
    <t>INCAP LTD</t>
  </si>
  <si>
    <t>INCEPTUM ENTERPRISES LTD</t>
  </si>
  <si>
    <t>INCON ENGINEERS LTD</t>
  </si>
  <si>
    <t>IND BANK HOUSING LTD</t>
  </si>
  <si>
    <t>IND RENEWABLE ENERGY LTD</t>
  </si>
  <si>
    <t>INDAG RUBBER LTD</t>
  </si>
  <si>
    <t>IND-AGIV COMMERCE LTD</t>
  </si>
  <si>
    <t>INDBANK MERCHANT BANKING SERVICES LTD</t>
  </si>
  <si>
    <t>INDBANK</t>
  </si>
  <si>
    <t>INDERGIRI FINANCE LTD</t>
  </si>
  <si>
    <t>INDIA CEMENTS CAPITAL LTD</t>
  </si>
  <si>
    <t>INDIA FINSEC LTD</t>
  </si>
  <si>
    <t>INDIA GELATINE &amp; CHEMICALS LTD</t>
  </si>
  <si>
    <t>INDIA GLYCOLS LTD</t>
  </si>
  <si>
    <t>INDIAGLYCO</t>
  </si>
  <si>
    <t>INDIA GREEN REALITY LTD</t>
  </si>
  <si>
    <t>India Grid Trust</t>
  </si>
  <si>
    <t>INDIGRID</t>
  </si>
  <si>
    <t>INDIA HOME LOAN LTD</t>
  </si>
  <si>
    <t>INDIA INFRASPACE LTD</t>
  </si>
  <si>
    <t>INDIA MOTOR PARTS AND ACCESSORIES LTD</t>
  </si>
  <si>
    <t>IMPAL</t>
  </si>
  <si>
    <t>INDIA NIPPON ELECTRICALS LTD</t>
  </si>
  <si>
    <t>INDNIPPON</t>
  </si>
  <si>
    <t>INDIA STEEL WORKS LTD</t>
  </si>
  <si>
    <t>INDIA TOURISM DEVELOPMENT CORPORATION LTD</t>
  </si>
  <si>
    <t>ITDC</t>
  </si>
  <si>
    <t>INDIABULLS HOUSING FINANCE LTD</t>
  </si>
  <si>
    <t>IBULHSGFIN</t>
  </si>
  <si>
    <t>INDIABULLS INTEGRATED SERVICES LTD</t>
  </si>
  <si>
    <t>IBULISL</t>
  </si>
  <si>
    <t>INDIABULLS REAL ESTATE LTD</t>
  </si>
  <si>
    <t>IBREALEST</t>
  </si>
  <si>
    <t>INDIABULLS VENTURES LTD</t>
  </si>
  <si>
    <t>IBVENTURES</t>
  </si>
  <si>
    <t>INDIAN ACRYLICS LTD</t>
  </si>
  <si>
    <t>INDIAN BANK</t>
  </si>
  <si>
    <t>INDIANB</t>
  </si>
  <si>
    <t>INDIAN BRIGHT STEEL CO LTD</t>
  </si>
  <si>
    <t>INDIAN CARD CLOTHING COMPANY LTD</t>
  </si>
  <si>
    <t>INDIANCARD</t>
  </si>
  <si>
    <t>INDIAN ENERGY EXCHANGE LTD</t>
  </si>
  <si>
    <t>IEX</t>
  </si>
  <si>
    <t>INDIAN EXTRACTIONS LTD</t>
  </si>
  <si>
    <t>INDIAN HUME PIPE COMPANY LTD</t>
  </si>
  <si>
    <t>INDIANHUME</t>
  </si>
  <si>
    <t>INDIAN INFOTECH &amp; SOFTWARE LTD</t>
  </si>
  <si>
    <t>INDIAN LINK CHAIN MANUFACTURES LTD</t>
  </si>
  <si>
    <t>INDIAN METALS &amp; FERRO ALLOYS LTD</t>
  </si>
  <si>
    <t>IMFA</t>
  </si>
  <si>
    <t>INDIAN OIL CORPORATION LTD</t>
  </si>
  <si>
    <t>IOC</t>
  </si>
  <si>
    <t>INDIAN OVERSEAS BANK</t>
  </si>
  <si>
    <t>IOB</t>
  </si>
  <si>
    <t>INDIAN SUCROSE LTD</t>
  </si>
  <si>
    <t>INDIAN TERRAIN FASHIONS LTD</t>
  </si>
  <si>
    <t>INDTERRAIN</t>
  </si>
  <si>
    <t>INDIAN TONERS &amp; DEVELOPERS LTD</t>
  </si>
  <si>
    <t>INDIANIVESH LTD</t>
  </si>
  <si>
    <t>INDITRADE CAPITAL LTD</t>
  </si>
  <si>
    <t>INDO AMINES LTD</t>
  </si>
  <si>
    <t>INDO ASIAN FINANCE LTD</t>
  </si>
  <si>
    <t>INDO BORAX &amp; CHEMICALS LTD</t>
  </si>
  <si>
    <t>INDO COTSPIN LTD</t>
  </si>
  <si>
    <t>INDO COUNT INDUSTRIES LTD</t>
  </si>
  <si>
    <t>ICIL</t>
  </si>
  <si>
    <t>INDO CREDIT CAPITAL LTD</t>
  </si>
  <si>
    <t>INDO EURO INDCHEM LTD</t>
  </si>
  <si>
    <t>INDO GULF INDUSTRIES LTD</t>
  </si>
  <si>
    <t>INDO PACIFIC PROJECTS LTD</t>
  </si>
  <si>
    <t>INDO RAMA SYNTHETICS (INDIA) LTD</t>
  </si>
  <si>
    <t>INDORAMA</t>
  </si>
  <si>
    <t>INDO RAMA SYNTHETICS INDIA LTD</t>
  </si>
  <si>
    <t>INDO TECH TRANSFORMERS LTD</t>
  </si>
  <si>
    <t>INDOTECH</t>
  </si>
  <si>
    <t>INDO THAI SECURITIES LTD</t>
  </si>
  <si>
    <t>INDOTHAI</t>
  </si>
  <si>
    <t>INDO US BIO-TECH LTD</t>
  </si>
  <si>
    <t>INDO-CITY INFOTECH LTD</t>
  </si>
  <si>
    <t>INDOCO REMEDIES LTD</t>
  </si>
  <si>
    <t>INDOCO</t>
  </si>
  <si>
    <t>INDO-GLOBAL ENTERPRISES LTD</t>
  </si>
  <si>
    <t>INDOKEM LTD</t>
  </si>
  <si>
    <t>INDO-NATIONAL LTD</t>
  </si>
  <si>
    <t>NIPPOBATRY</t>
  </si>
  <si>
    <t>INDOSOLAR LTD</t>
  </si>
  <si>
    <t>INDOSOLAR</t>
  </si>
  <si>
    <t>INDOSTAR CAPITAL FINANCE LTD</t>
  </si>
  <si>
    <t>INDOSTAR</t>
  </si>
  <si>
    <t>INDOVATION TECHNOLOGIES LTD</t>
  </si>
  <si>
    <t>INDOWIND ENERGY LTD</t>
  </si>
  <si>
    <t>INDOWIND</t>
  </si>
  <si>
    <t>INDRA INDUSTRIES LTD</t>
  </si>
  <si>
    <t>INDRAPRASTHA GAS LTD</t>
  </si>
  <si>
    <t>IGL</t>
  </si>
  <si>
    <t>INDRAPRASTHA MEDICAL CORPORATION LTD</t>
  </si>
  <si>
    <t>INDRAMEDCO</t>
  </si>
  <si>
    <t>INDRAYANI BIOTECH LTD.</t>
  </si>
  <si>
    <t>INDRANIB</t>
  </si>
  <si>
    <t>INDSIL HYDRO POWER AND MANGANESE LTD</t>
  </si>
  <si>
    <t>INDSOYA LTD</t>
  </si>
  <si>
    <t>IND-SWIFT LABORATORIES LTD</t>
  </si>
  <si>
    <t>INDSWFTLAB</t>
  </si>
  <si>
    <t>IND-SWIFT LTD</t>
  </si>
  <si>
    <t>INDSWFTLTD</t>
  </si>
  <si>
    <t>INDUCTO STEEL LTD</t>
  </si>
  <si>
    <t>INDUS FINANCE LTD</t>
  </si>
  <si>
    <t>INDUSIND BANK LTD</t>
  </si>
  <si>
    <t>INDUSINDBK</t>
  </si>
  <si>
    <t>INDUSTRIAL &amp; PRUDENTIAL INVESTMENTS CO LTD</t>
  </si>
  <si>
    <t>INDUSTRIAL INVESTMENT TRUST LTD</t>
  </si>
  <si>
    <t>IITL</t>
  </si>
  <si>
    <t>INEOS STYROLUTION (INDIA) LTD</t>
  </si>
  <si>
    <t>INEOSSTYRO</t>
  </si>
  <si>
    <t>INEOS STYROLUTION INDIA LTD</t>
  </si>
  <si>
    <t>INERTIA STEEL LTD</t>
  </si>
  <si>
    <t>INFIBEAM AVENUES LTD</t>
  </si>
  <si>
    <t>INFIBEAM</t>
  </si>
  <si>
    <t>INFINITE COMPUTER SOLUTIONS (INDIA) LTD</t>
  </si>
  <si>
    <t>INFINITE</t>
  </si>
  <si>
    <t>INFINITE COMPUTER SOLUTIONS INDIA LTD</t>
  </si>
  <si>
    <t>INFLAME APPLIANCES LTD</t>
  </si>
  <si>
    <t>INFO EDGE (INDIA) LTD</t>
  </si>
  <si>
    <t>NAUKRI</t>
  </si>
  <si>
    <t>Internet &amp; Catalogue Retail</t>
  </si>
  <si>
    <t>INFO EDGE INDIA LTD</t>
  </si>
  <si>
    <t>INFOBEANS TECHNOLOGIES LTD</t>
  </si>
  <si>
    <t>INFOBEAN</t>
  </si>
  <si>
    <t>INFORMED TECHNOLOGIES (INDIA) LTD</t>
  </si>
  <si>
    <t>INFORMED TECHNOLOGIES INDIA LTD</t>
  </si>
  <si>
    <t>INFOSYS LTD</t>
  </si>
  <si>
    <t>INFY</t>
  </si>
  <si>
    <t>INFRA INDUSTRIES LTD</t>
  </si>
  <si>
    <t>INFRONICS SYSTEMS LTD</t>
  </si>
  <si>
    <t>INGERSOLL RAND (INDIA) LTD</t>
  </si>
  <si>
    <t>INGERRAND</t>
  </si>
  <si>
    <t>INGERSOLL RAND INDIA LTD</t>
  </si>
  <si>
    <t>INLAND PRINTERS LTD</t>
  </si>
  <si>
    <t>INNOCORP LTD.</t>
  </si>
  <si>
    <t>INNOCORP</t>
  </si>
  <si>
    <t>INNOVANA THINKLABS LTD</t>
  </si>
  <si>
    <t>INNOVANA</t>
  </si>
  <si>
    <t>INNOVASSYNTH INVESTMENTS LTD</t>
  </si>
  <si>
    <t>INNOVATION SOFTWARE EXPORTS LTD</t>
  </si>
  <si>
    <t>INNOVATIVE IDEALS AND SERVICES (INDIA) LTD</t>
  </si>
  <si>
    <t>Sp.Consumer Services</t>
  </si>
  <si>
    <t>INNOVATIVE IDEALS AND SERVICES INDIA LTD</t>
  </si>
  <si>
    <t>INNOVATIVE TECH PACK LTD</t>
  </si>
  <si>
    <t>INNOVATIVE TYRES AND TUBES LTD</t>
  </si>
  <si>
    <t>INNOVATIVE</t>
  </si>
  <si>
    <t>INNOVATORS FACADE SYSTEMS LTD</t>
  </si>
  <si>
    <t>INOX LEISURE LTD</t>
  </si>
  <si>
    <t>INOXLEISUR</t>
  </si>
  <si>
    <t>INOX WIND LTD</t>
  </si>
  <si>
    <t>INOXWIND</t>
  </si>
  <si>
    <t>INSECTICIDES (INDIA) LTD</t>
  </si>
  <si>
    <t>INSECTICID</t>
  </si>
  <si>
    <t>INSECTICIDES INDIA LTD</t>
  </si>
  <si>
    <t>INSILCO LTD</t>
  </si>
  <si>
    <t>INSPIRISYS SOLUTIONS LTD</t>
  </si>
  <si>
    <t>INSPIRISYS</t>
  </si>
  <si>
    <t>INTEC CAPITAL LTD</t>
  </si>
  <si>
    <t>INTEGRA CAPITAL MANAGEMENT LTD.</t>
  </si>
  <si>
    <t>INTCAPM</t>
  </si>
  <si>
    <t>INTEGRA ENGINEERING (INDIA) LTD</t>
  </si>
  <si>
    <t>INTEGRA ENGINEERING INDIA LTD</t>
  </si>
  <si>
    <t>INTEGRA GARMENTS AND TEXTILES LTD</t>
  </si>
  <si>
    <t>INTEGRA</t>
  </si>
  <si>
    <t>INTEGRA SWITCHGEAR LTD</t>
  </si>
  <si>
    <t>INTEGRA TELECOMMUNICATION &amp; SOFTWARE LTD</t>
  </si>
  <si>
    <t>INTEGRATED CAPITAL SERVICES LTD</t>
  </si>
  <si>
    <t>INTEGRATED FINANCIAL SERVICES LTD</t>
  </si>
  <si>
    <t>INTEGRATED PROTEINS LTD</t>
  </si>
  <si>
    <t>INTEGRATED TECHNOLOGIES LTD</t>
  </si>
  <si>
    <t>INTEGRATED THERMOPLASTICS LTD</t>
  </si>
  <si>
    <t>INTELLECT DESIGN ARENA LTD</t>
  </si>
  <si>
    <t>INTELLECT</t>
  </si>
  <si>
    <t>INTELLIVATE CAPITAL ADVISORS LTD</t>
  </si>
  <si>
    <t>INTELLIVATE CAPITAL VENTURES LTD</t>
  </si>
  <si>
    <t>INTENSE TECHNOLOGIES LTD</t>
  </si>
  <si>
    <t>INTENTECH</t>
  </si>
  <si>
    <t>INTER GLOBE FINANCE LTD</t>
  </si>
  <si>
    <t>INTER STATE OIL CARRIER LTD</t>
  </si>
  <si>
    <t>INTERACTIVE FINANCIAL SERVICES LTD</t>
  </si>
  <si>
    <t>INTERGLOBE AVIATION LTD</t>
  </si>
  <si>
    <t>INDIGO</t>
  </si>
  <si>
    <t>INTERLINK PETROLEUM LTD</t>
  </si>
  <si>
    <t>INTERNATIONAL COMBUSTION (INDIA) LTD</t>
  </si>
  <si>
    <t>INTERNATIONAL COMBUSTION INDIA LTD</t>
  </si>
  <si>
    <t>INTERNATIONAL CONSTRUCTIONS LTD</t>
  </si>
  <si>
    <t>SUBCAPCITY</t>
  </si>
  <si>
    <t>INTERNATIONAL CONVEYORS LTD</t>
  </si>
  <si>
    <t>INTERNATIONAL DATA MANAGEMENT LTD</t>
  </si>
  <si>
    <t>INTERNATIONAL HOUSING FINANCE CORPORATION LTD</t>
  </si>
  <si>
    <t>INTERNATIONAL PAPER APPM LTD</t>
  </si>
  <si>
    <t>IPAPPM</t>
  </si>
  <si>
    <t>INTERNATIONAL TRAVEL HOUSE LTD</t>
  </si>
  <si>
    <t>INTERWORLD DIGITAL LTD</t>
  </si>
  <si>
    <t>INTRASOFT TECHNOLOGIES LTD</t>
  </si>
  <si>
    <t>ISFT</t>
  </si>
  <si>
    <t>INVENTURE GROWTH &amp; SECURITIES LTD</t>
  </si>
  <si>
    <t>INVENTURE</t>
  </si>
  <si>
    <t>Invesco India Gold Exchange Traded Fund</t>
  </si>
  <si>
    <t>IVZINGOLD</t>
  </si>
  <si>
    <t>INVESTMENT &amp; PRECISION CASTINGS LTD</t>
  </si>
  <si>
    <t>INVICTA MEDITEK LTD</t>
  </si>
  <si>
    <t>IO SYSTEM LTD</t>
  </si>
  <si>
    <t>IOL CHEMICALS AND PHARMACEUTICALS LTD</t>
  </si>
  <si>
    <t>IOLCP</t>
  </si>
  <si>
    <t>ION EXCHANGE (INDIA) LTD</t>
  </si>
  <si>
    <t>ION EXCHANGE INDIA LTD</t>
  </si>
  <si>
    <t>IP RINGS LTD</t>
  </si>
  <si>
    <t>IPCA LABORATORIES LTD</t>
  </si>
  <si>
    <t>IPCALAB</t>
  </si>
  <si>
    <t>I-POWER SOLUTIONS (INDIA) LTD</t>
  </si>
  <si>
    <t>I-POWER SOLUTIONS INDIA LTD</t>
  </si>
  <si>
    <t>IRB INFRASTRUCTURE DEVELOPERS LTD</t>
  </si>
  <si>
    <t>IRB</t>
  </si>
  <si>
    <t>IRB InvIT Fund</t>
  </si>
  <si>
    <t>IRBINVIT</t>
  </si>
  <si>
    <t>IRCON INTERNATIONAL LTD</t>
  </si>
  <si>
    <t>IRCON</t>
  </si>
  <si>
    <t>IRIS BUSINESS SERVICES LTD</t>
  </si>
  <si>
    <t>IRIS CLOTHINGS LTD</t>
  </si>
  <si>
    <t>IRISDOREME</t>
  </si>
  <si>
    <t>IRIS MEDIAWORKS LTD</t>
  </si>
  <si>
    <t>ISF LTD</t>
  </si>
  <si>
    <t>ISGEC HEAVY ENGINEERING LTD</t>
  </si>
  <si>
    <t>ISHAAN INFRASTRUCTURES AND SHELTERS LTD</t>
  </si>
  <si>
    <t>ISHAN DYES &amp; CHEMICALS LTD</t>
  </si>
  <si>
    <t>ISHITA DRUGS &amp; INDUSTRIES LTD</t>
  </si>
  <si>
    <t>ISHWARSHAKTI HOLDINGS &amp; TRADERS LTD</t>
  </si>
  <si>
    <t>ISL CONSULTING LTD</t>
  </si>
  <si>
    <t>ISMT LTD</t>
  </si>
  <si>
    <t>ISMTLTD</t>
  </si>
  <si>
    <t>IST LTD</t>
  </si>
  <si>
    <t>ISTREET NETWORK LTD</t>
  </si>
  <si>
    <t>ITD CEMENTATION (INDIA) LTD</t>
  </si>
  <si>
    <t>ITDCEM</t>
  </si>
  <si>
    <t>ITD CEMENTATION INDIA LTD</t>
  </si>
  <si>
    <t>ITI LTD</t>
  </si>
  <si>
    <t>ITI</t>
  </si>
  <si>
    <t>ITL INDUSTRIES LTD</t>
  </si>
  <si>
    <t>IVP LTD</t>
  </si>
  <si>
    <t>IVP</t>
  </si>
  <si>
    <t>IVRCL LTD</t>
  </si>
  <si>
    <t>IVRCLINFRA</t>
  </si>
  <si>
    <t>IYKOT HITECH TOOLROOM LTD</t>
  </si>
  <si>
    <t>IZMO LTD</t>
  </si>
  <si>
    <t>IZMO</t>
  </si>
  <si>
    <t>J  TAPARIA PROJECTS LTD</t>
  </si>
  <si>
    <t>J J EXPORTERS LTD</t>
  </si>
  <si>
    <t>J J FINANCE CORPORATION LTD</t>
  </si>
  <si>
    <t>J KUMAR INFRAPROJECTS LTD</t>
  </si>
  <si>
    <t>JKIL</t>
  </si>
  <si>
    <t>J L MORISON (INDIA) LTD</t>
  </si>
  <si>
    <t>J L MORISON INDIA LTD</t>
  </si>
  <si>
    <t>J R FOODS LTD</t>
  </si>
  <si>
    <t>JACKSON INVESTMENTS LTD</t>
  </si>
  <si>
    <t>JAGAN LAMPS LTD</t>
  </si>
  <si>
    <t>JAGATJIT INDUSTRIES LTD</t>
  </si>
  <si>
    <t>JAGJANANI TEXTILES LTD</t>
  </si>
  <si>
    <t>JAGRAN PRAKASHAN LTD</t>
  </si>
  <si>
    <t>JAGRAN</t>
  </si>
  <si>
    <t>JAGSON AIRLINES LTD</t>
  </si>
  <si>
    <t>JAGSONPAL FINANCE &amp; LEASING LTD</t>
  </si>
  <si>
    <t>JAGSONPAL PHARMACEUTICALS LTD</t>
  </si>
  <si>
    <t>JAGSNPHARM</t>
  </si>
  <si>
    <t>JAI BALAJI INDUSTRIES LTD</t>
  </si>
  <si>
    <t>JAIBALAJI</t>
  </si>
  <si>
    <t>JAI CORP LTD</t>
  </si>
  <si>
    <t>JAICORPLTD</t>
  </si>
  <si>
    <t>JAI MATA GLASS LTD</t>
  </si>
  <si>
    <t>JAIHIND PROJECTS LTD</t>
  </si>
  <si>
    <t>JAIHINDPRO</t>
  </si>
  <si>
    <t>JAIHIND SYNTHETICS LTD</t>
  </si>
  <si>
    <t>JAIN IRRIGATION SYSTEMS LTD</t>
  </si>
  <si>
    <t>JISLJALEQS</t>
  </si>
  <si>
    <t>JISLDVREQS</t>
  </si>
  <si>
    <t>JAIN MARMO INDUSTRIES LTD</t>
  </si>
  <si>
    <t>JAIN STUDIOS LTD</t>
  </si>
  <si>
    <t>JAINSTUDIO</t>
  </si>
  <si>
    <t>JAINCO PROJECTS (INDIA) LTD</t>
  </si>
  <si>
    <t>JAINCO PROJECTS INDIA LTD</t>
  </si>
  <si>
    <t>JAINEX AAMCOL LTD</t>
  </si>
  <si>
    <t>JAIPAN INDUSTRIES LTD</t>
  </si>
  <si>
    <t>JAIPRAKASH ASSOCIATES LTD</t>
  </si>
  <si>
    <t>JPASSOCIAT</t>
  </si>
  <si>
    <t>JAIPRAKASH POWER VENTURES LTD</t>
  </si>
  <si>
    <t>JPPOWER</t>
  </si>
  <si>
    <t>JAISUKH DEALERS LTD</t>
  </si>
  <si>
    <t>JAKHARIA FABRIC LTD</t>
  </si>
  <si>
    <t>JAKHARIA</t>
  </si>
  <si>
    <t>JALAN TRANSOLUTIONS (INDIA) LTD</t>
  </si>
  <si>
    <t>JALAN</t>
  </si>
  <si>
    <t>JALAN TRANSOLUTIONS INDIA LTD</t>
  </si>
  <si>
    <t>JAMES WARREN TEA LTD</t>
  </si>
  <si>
    <t>JAMNA AUTO INDUSTRIES LTD</t>
  </si>
  <si>
    <t>JAMNAAUTO</t>
  </si>
  <si>
    <t>JAMSHRI RANJITSINGHJI SPG  &amp; WVG  MILLS CO LTD</t>
  </si>
  <si>
    <t>JASCH INDUSTRIES LTD</t>
  </si>
  <si>
    <t>JASH DEALMARK LTD</t>
  </si>
  <si>
    <t>JASH ENGINEERING LTD</t>
  </si>
  <si>
    <t>JASH</t>
  </si>
  <si>
    <t>JATTASHANKAR INDUSTIES LTD</t>
  </si>
  <si>
    <t>JAUSS POLYMERS LTD</t>
  </si>
  <si>
    <t>JAY BHARAT MARUTI LTD</t>
  </si>
  <si>
    <t>JAYBARMARU</t>
  </si>
  <si>
    <t>JAY SHREE TEA &amp; INDUSTRIES LTD</t>
  </si>
  <si>
    <t>JAY USHIN LTD</t>
  </si>
  <si>
    <t>JAYANT AGRO ORGANICS LTD</t>
  </si>
  <si>
    <t>JAYAGROGN</t>
  </si>
  <si>
    <t>JAYASWAL NECO INDUSTRIES LTD</t>
  </si>
  <si>
    <t>JAYNECOIND</t>
  </si>
  <si>
    <t>JAYATMA ENTERPRISES LTD</t>
  </si>
  <si>
    <t>JAYATMA INDUSTRIES LTD</t>
  </si>
  <si>
    <t>JAYBHARAT TEXTILES &amp; REAL ESTATE LTD</t>
  </si>
  <si>
    <t>JAYKAY ENTERPRISES LTD</t>
  </si>
  <si>
    <t>JAYPEE INFRATECH LTD</t>
  </si>
  <si>
    <t>JPINFRATEC</t>
  </si>
  <si>
    <t>JAYSHREE CHEMICALS LTD</t>
  </si>
  <si>
    <t>JAYSHREE TEA &amp; INDUSTRIES LTD</t>
  </si>
  <si>
    <t>JAYSREETEA</t>
  </si>
  <si>
    <t>JAYSYNTH DYESTUFF (INDIA) LTD</t>
  </si>
  <si>
    <t>JAYSYNTH DYESTUFF INDIA LTD</t>
  </si>
  <si>
    <t>JB CHEMICALS &amp; PHARMACEUTICALS LTD</t>
  </si>
  <si>
    <t>JBCHEPHARM</t>
  </si>
  <si>
    <t>JBF INDUSTRIES LTD</t>
  </si>
  <si>
    <t>JBFIND</t>
  </si>
  <si>
    <t>JBM AUTO LTD</t>
  </si>
  <si>
    <t>JBMA</t>
  </si>
  <si>
    <t>JCT LTD</t>
  </si>
  <si>
    <t>JD ORGOCHEM LTD</t>
  </si>
  <si>
    <t>JEEVAN SCIENTIFIC TECHNOLOGY LTD</t>
  </si>
  <si>
    <t>JENBURKT PHARMACEUTICALS LTD</t>
  </si>
  <si>
    <t>JET AIRWAYS (INDIA) LTD</t>
  </si>
  <si>
    <t>JETAIRWAYS</t>
  </si>
  <si>
    <t>JET AIRWAYS INDIA LTD</t>
  </si>
  <si>
    <t>JET FREIGHT LOGISTICS LTD</t>
  </si>
  <si>
    <t>JETFREIGHT</t>
  </si>
  <si>
    <t>JET INFRAVENTURE LTD</t>
  </si>
  <si>
    <t>JET KNITWEARS LTD</t>
  </si>
  <si>
    <t>JETKNIT</t>
  </si>
  <si>
    <t>JETKING INFOTRAIN LTD</t>
  </si>
  <si>
    <t>JHANDEWALAS FOODS LTD</t>
  </si>
  <si>
    <t>JHAVERI CREDITS &amp; CAPITAL LTD</t>
  </si>
  <si>
    <t>JHS SVENDGAARD LABORATORIES LTD</t>
  </si>
  <si>
    <t>JHS</t>
  </si>
  <si>
    <t>JIGAR CABLES LTD</t>
  </si>
  <si>
    <t>JIGYASA INFRASTRUCTURE LTD</t>
  </si>
  <si>
    <t>JIK INDUSTRIES LTD</t>
  </si>
  <si>
    <t>JIKIND</t>
  </si>
  <si>
    <t>Jinaams Dress Ltd</t>
  </si>
  <si>
    <t>JINAAM</t>
  </si>
  <si>
    <t>JINDAL CAPITAL LTD</t>
  </si>
  <si>
    <t>JINDAL COTEX LTD</t>
  </si>
  <si>
    <t>JINDCOT</t>
  </si>
  <si>
    <t>JINDAL DRILLING AND INDUSTRIES LTD</t>
  </si>
  <si>
    <t>JINDRILL</t>
  </si>
  <si>
    <t>JINDAL HOTELS LTD</t>
  </si>
  <si>
    <t>JINDAL LEASEFIN LTD</t>
  </si>
  <si>
    <t>JINDAL PHOTO LTD</t>
  </si>
  <si>
    <t>JINDALPHOT</t>
  </si>
  <si>
    <t>JINDAL POLY FILMS LTD</t>
  </si>
  <si>
    <t>JINDALPOLY</t>
  </si>
  <si>
    <t>JINDAL POLY INVESTMENT AND FINANCE COMPANY LTD</t>
  </si>
  <si>
    <t>JPOLYINVST</t>
  </si>
  <si>
    <t>JINDAL SAW LTD</t>
  </si>
  <si>
    <t>JINDALSAW</t>
  </si>
  <si>
    <t>JINDAL STAINLESS HISAR LTD</t>
  </si>
  <si>
    <t>JSLHISAR</t>
  </si>
  <si>
    <t>JINDAL STAINLESS LTD</t>
  </si>
  <si>
    <t>JSL</t>
  </si>
  <si>
    <t>JINDAL STEEL &amp; POWER LTD</t>
  </si>
  <si>
    <t>JINDALSTEL</t>
  </si>
  <si>
    <t>JINDAL WORLDWIDE LTD</t>
  </si>
  <si>
    <t>JINDWORLD</t>
  </si>
  <si>
    <t>JITF INFRALOGISTICS LTD</t>
  </si>
  <si>
    <t>JITFINFRA</t>
  </si>
  <si>
    <t>JIYA ECO-PRODUCTS LTD</t>
  </si>
  <si>
    <t>JK AGRI GENETICS LTD</t>
  </si>
  <si>
    <t>JK CEMENT LTD</t>
  </si>
  <si>
    <t>JKCEMENT</t>
  </si>
  <si>
    <t>JK LAKSHMI CEMENT LTD</t>
  </si>
  <si>
    <t>JKLAKSHMI</t>
  </si>
  <si>
    <t>JK PAPER LTD</t>
  </si>
  <si>
    <t>JKPAPER</t>
  </si>
  <si>
    <t>JK TYRE &amp; INDUSTRIES LTD</t>
  </si>
  <si>
    <t>JKTYRE</t>
  </si>
  <si>
    <t>JLA INFRAVILLE SHOPPERS LTD</t>
  </si>
  <si>
    <t>JM FINANCIAL LTD</t>
  </si>
  <si>
    <t>JMFINANCIL</t>
  </si>
  <si>
    <t>JMC PROJECTS (INDIA) LTD</t>
  </si>
  <si>
    <t>JMCPROJECT</t>
  </si>
  <si>
    <t>JMC PROJECTS INDIA LTD</t>
  </si>
  <si>
    <t>JMD VENTURES LTD</t>
  </si>
  <si>
    <t>JMG CORPORATION LTD</t>
  </si>
  <si>
    <t>JMT AUTO LTD</t>
  </si>
  <si>
    <t>JMTAUTOLTD</t>
  </si>
  <si>
    <t>JOCIL LTD</t>
  </si>
  <si>
    <t>JOCIL</t>
  </si>
  <si>
    <t>JOHNSON CONTROLS – HITACHI AIR CONDITIONING (INDIA) LTD</t>
  </si>
  <si>
    <t>JCHAC</t>
  </si>
  <si>
    <t>JOHNSON CONTROLS – HITACHI AIR CONDITIONING INDIA LTD</t>
  </si>
  <si>
    <t>JOINDRE CAPITAL SERVICES LTD</t>
  </si>
  <si>
    <t>JOINTECA EDUCATION SOLUTIONS LTD</t>
  </si>
  <si>
    <t>Jonjua Overseas Ltd</t>
  </si>
  <si>
    <t>JONJUA</t>
  </si>
  <si>
    <t>JOONKTOLLEE TEA &amp; INDUSTRIES LTD</t>
  </si>
  <si>
    <t>JOST'S ENGINEERING CO LTD</t>
  </si>
  <si>
    <t>JOY REALTY LTD</t>
  </si>
  <si>
    <t>JPT SECURITIES LTD</t>
  </si>
  <si>
    <t>JRI INDUSTRIES &amp; INFRASTRUCTURE LTD</t>
  </si>
  <si>
    <t>JSL INDUSTRIES LTD</t>
  </si>
  <si>
    <t>JSW ENERGY LTD</t>
  </si>
  <si>
    <t>JSWENERGY</t>
  </si>
  <si>
    <t>JSW HOLDINGS LTD</t>
  </si>
  <si>
    <t>JSWHL</t>
  </si>
  <si>
    <t>JSW STEEL LTD</t>
  </si>
  <si>
    <t>JSWSTEEL</t>
  </si>
  <si>
    <t>JTEKT (INDIA) LTD</t>
  </si>
  <si>
    <t>JTEKT(INDIA)</t>
  </si>
  <si>
    <t>JTEKT INDIA LTD</t>
  </si>
  <si>
    <t>JTEKTINDIA</t>
  </si>
  <si>
    <t>JTL INFRA LTD</t>
  </si>
  <si>
    <t>JUBILANT FOODWORKS LTD</t>
  </si>
  <si>
    <t>JUBLFOOD</t>
  </si>
  <si>
    <t>JUBILANT INDUSTRIES LTD</t>
  </si>
  <si>
    <t>JUBLINDS</t>
  </si>
  <si>
    <t>JUBILANT LIFE SCIENCES LTD</t>
  </si>
  <si>
    <t>JUBILANT</t>
  </si>
  <si>
    <t>JULLUNDUR MOTOR AGENCY DELHI LTD</t>
  </si>
  <si>
    <t>JMA</t>
  </si>
  <si>
    <t>JUMBO BAG LTD</t>
  </si>
  <si>
    <t>JUMBO FINANCE LTD</t>
  </si>
  <si>
    <t>JUNCTION FABRICS AND APPARELS LTD</t>
  </si>
  <si>
    <t>JUPITER INDUSTRIES &amp; LEASING LTD</t>
  </si>
  <si>
    <t>JUPITER INFOMEDIA LTD</t>
  </si>
  <si>
    <t>JUST DIAL LTD</t>
  </si>
  <si>
    <t>JUSTDIAL</t>
  </si>
  <si>
    <t>JUSTRIDE ENTERPRISES LTD</t>
  </si>
  <si>
    <t>JVL AGRO INDUSTRIES LTD</t>
  </si>
  <si>
    <t>JVLAGRO</t>
  </si>
  <si>
    <t>Jyot International Marketing Ltd</t>
  </si>
  <si>
    <t>JYOTIN</t>
  </si>
  <si>
    <t>JYOTHY LABORATORIES LTD</t>
  </si>
  <si>
    <t>JYOTHYLAB</t>
  </si>
  <si>
    <t>JYOTI LTD</t>
  </si>
  <si>
    <t>JYOTI RESINS &amp; ADHESIVES LTD</t>
  </si>
  <si>
    <t>JYOTI STRUCTURES LTD</t>
  </si>
  <si>
    <t>JYOTISTRUC</t>
  </si>
  <si>
    <t>JYOTIRGAMYA ENTERPRISES LTD</t>
  </si>
  <si>
    <t>K M SUGAR MILLS LTD</t>
  </si>
  <si>
    <t>KMSUGAR</t>
  </si>
  <si>
    <t>K P  ENERGY LTD</t>
  </si>
  <si>
    <t>K P R MILL LTD</t>
  </si>
  <si>
    <t>KPRMILL</t>
  </si>
  <si>
    <t>K Z LEASING &amp; FINANCE LTD</t>
  </si>
  <si>
    <t>K&amp;R RAIL ENGINEERING LTD</t>
  </si>
  <si>
    <t>K.P.I. Global Infrastructure Ltd</t>
  </si>
  <si>
    <t>KPIGLOBAL</t>
  </si>
  <si>
    <t>KAARYA FACILITIES AND SERVICES LTD</t>
  </si>
  <si>
    <t>KABRA COMMERCIAL LTD</t>
  </si>
  <si>
    <t>KABRA DRUGS LTD</t>
  </si>
  <si>
    <t>KABRA EXTRUSION TECHNIK LTD</t>
  </si>
  <si>
    <t>KABRAEXTRU</t>
  </si>
  <si>
    <t>KABSONS INDUSTRIES LTD</t>
  </si>
  <si>
    <t>KACHCHH MINERALS LTD</t>
  </si>
  <si>
    <t>KAIRA CAN CO LTD</t>
  </si>
  <si>
    <t>KAISER CORPORATION LTD</t>
  </si>
  <si>
    <t>KAJARIA CERAMICS LTD</t>
  </si>
  <si>
    <t>KAJARIACER</t>
  </si>
  <si>
    <t>KAKATIYA CEMENT SUGAR &amp; INDUSTRIES LTD</t>
  </si>
  <si>
    <t>KAKATCEM</t>
  </si>
  <si>
    <t>KAKATIYA TEXTILES LTD</t>
  </si>
  <si>
    <t>KALLAM TEXTILES LTD</t>
  </si>
  <si>
    <t>KALPA COMMERCIAL LTD</t>
  </si>
  <si>
    <t>KALPATARU POWER TRANSMISSION LTD</t>
  </si>
  <si>
    <t>KALPATPOWR</t>
  </si>
  <si>
    <t>KALYANI COMMERCIALS LTD</t>
  </si>
  <si>
    <t>KALYANI</t>
  </si>
  <si>
    <t>KALYANI FORGE LTD</t>
  </si>
  <si>
    <t>KALYANIFRG</t>
  </si>
  <si>
    <t>KALYANI INVESTMENT COMPANY LTD</t>
  </si>
  <si>
    <t>KICL</t>
  </si>
  <si>
    <t>KALYANI STEELS LTD</t>
  </si>
  <si>
    <t>KSL</t>
  </si>
  <si>
    <t>KAMA HOLDINGS LTD</t>
  </si>
  <si>
    <t>KAMADGIRI FASHION LTD</t>
  </si>
  <si>
    <t>KAMANWALA HOUSING CONSTRUCTION LTD</t>
  </si>
  <si>
    <t>KAMAT HOTELS I LTD</t>
  </si>
  <si>
    <t>KAMATHOTEL</t>
  </si>
  <si>
    <t>KAMDHENU LTD</t>
  </si>
  <si>
    <t>KAMDHENU</t>
  </si>
  <si>
    <t>KAMRON LABORATORIES LTD</t>
  </si>
  <si>
    <t>KANAK KRISHI IMPLEMENTS LTD</t>
  </si>
  <si>
    <t>KANANI INDUSTRIES LTD</t>
  </si>
  <si>
    <t>KANANIIND</t>
  </si>
  <si>
    <t>KANCHI KARPOORAM LTD</t>
  </si>
  <si>
    <t>KANCO TEA &amp; INDUSTRIES LTD</t>
  </si>
  <si>
    <t>KANDAGIRI SPINNING MILLS LTD</t>
  </si>
  <si>
    <t>Kanel Industries LTD</t>
  </si>
  <si>
    <t>KANELIND</t>
  </si>
  <si>
    <t>KANISHK STEEL INDUSTRIES LTD</t>
  </si>
  <si>
    <t>KANORIA CHEMICALS &amp; INDUSTRIES LTD</t>
  </si>
  <si>
    <t>KANORICHEM</t>
  </si>
  <si>
    <t>KANPUR PLASTIPACK LTD</t>
  </si>
  <si>
    <t>KANSAI NEROLAC PAINTS LTD</t>
  </si>
  <si>
    <t>KANSAINER</t>
  </si>
  <si>
    <t>KANUNGO FINANCIERS LTD</t>
  </si>
  <si>
    <t>KAPASHI COMMERCIALS LTD</t>
  </si>
  <si>
    <t>KAPIL COTEX LTD</t>
  </si>
  <si>
    <t>KAPIL RAJ FINANCE LTD</t>
  </si>
  <si>
    <t>KAPSTON FACILITIES MANAGEMENT LTD</t>
  </si>
  <si>
    <t>KAPSTON</t>
  </si>
  <si>
    <t>KARAN WOO-SIN LTD</t>
  </si>
  <si>
    <t>KARDA CONSTRUCTIONS LTD</t>
  </si>
  <si>
    <t>KARDA</t>
  </si>
  <si>
    <t>KARMA ENERGY LTD</t>
  </si>
  <si>
    <t>KARMAENG</t>
  </si>
  <si>
    <t>KARNAVATI FINANCE LTD</t>
  </si>
  <si>
    <t>KARNIMATA COLD STORAGE LTD</t>
  </si>
  <si>
    <t>KARUR VYSYA BANK LTD</t>
  </si>
  <si>
    <t>KARURVYSYA</t>
  </si>
  <si>
    <t>KARUTURI GLOBAL LTD</t>
  </si>
  <si>
    <t>KGL</t>
  </si>
  <si>
    <t>KASHIRAM JAIN AND COMPANY LTD</t>
  </si>
  <si>
    <t>KATARE SPINNING MILLS LTD</t>
  </si>
  <si>
    <t>KAUSHALYA INFRASTRUCTURE DEVELOPMENT CORPORATION LTD</t>
  </si>
  <si>
    <t>KAUSHALYA</t>
  </si>
  <si>
    <t>KAVERI SEED COMPANY LTD</t>
  </si>
  <si>
    <t>KSCL</t>
  </si>
  <si>
    <t>KAVIT INDUSTRIES LTD</t>
  </si>
  <si>
    <t>KAVITA FABRICS LTD</t>
  </si>
  <si>
    <t>KAVVERI TELECOM PRODUCTS LTD</t>
  </si>
  <si>
    <t>KAVVERITEL</t>
  </si>
  <si>
    <t>KAY POWER AND PAPER LTD</t>
  </si>
  <si>
    <t>KAYA LTD</t>
  </si>
  <si>
    <t>KAYA</t>
  </si>
  <si>
    <t>KAYCEE INDUSTRIES LTD</t>
  </si>
  <si>
    <t>KAYEL SECURITIES LTD</t>
  </si>
  <si>
    <t>KBS (INDIA) LTD</t>
  </si>
  <si>
    <t>KBS INDIA LTD</t>
  </si>
  <si>
    <t>KCCL PLASTIC LTD</t>
  </si>
  <si>
    <t>KCL INFRA PROJECTS LTD</t>
  </si>
  <si>
    <t>KCP LTD</t>
  </si>
  <si>
    <t>KCP</t>
  </si>
  <si>
    <t>KCP SUGAR AND INDUSTRIES CORPORATION LTD</t>
  </si>
  <si>
    <t>KCPSUGIND</t>
  </si>
  <si>
    <t>KD LEISURES LTD</t>
  </si>
  <si>
    <t>KDDL LTD</t>
  </si>
  <si>
    <t>KDDL</t>
  </si>
  <si>
    <t>KEC INTERNATIONAL LTD</t>
  </si>
  <si>
    <t>KEC</t>
  </si>
  <si>
    <t>KEDIA CONSTRUCTION CO LTD</t>
  </si>
  <si>
    <t>KEERTHI INDUSTRIES LTD</t>
  </si>
  <si>
    <t>KEERTI KNOWLEDGE AND SKILLS LTD</t>
  </si>
  <si>
    <t>KEERTI</t>
  </si>
  <si>
    <t>KEI INDUSTRIES LTD</t>
  </si>
  <si>
    <t>KEI</t>
  </si>
  <si>
    <t>KELLTON TECH SOLUTIONS LTD</t>
  </si>
  <si>
    <t>KELLTONTEC</t>
  </si>
  <si>
    <t>KELTECH ENERGIES LTD</t>
  </si>
  <si>
    <t>Kemistar Corporation LTD</t>
  </si>
  <si>
    <t>KEMISTAR</t>
  </si>
  <si>
    <t>KEMP &amp; COMPANY LTD</t>
  </si>
  <si>
    <t>KENNAMETAL (INDIA) LTD</t>
  </si>
  <si>
    <t>KENNAMETAL INDIA LTD</t>
  </si>
  <si>
    <t>KENVI JEWELS LTD</t>
  </si>
  <si>
    <t>KERALA AYURVEDA LTD</t>
  </si>
  <si>
    <t>KERNEX MICROSYSTEMS (INDIA) LTD</t>
  </si>
  <si>
    <t>KERNEX</t>
  </si>
  <si>
    <t>KERNEX MICROSYSTEMS INDIA LTD</t>
  </si>
  <si>
    <t>KESAR ENTERPRISES LTD</t>
  </si>
  <si>
    <t>KESARENT</t>
  </si>
  <si>
    <t>KESAR PETROPRODUCTS LTD</t>
  </si>
  <si>
    <t>KESAR TERMINALS &amp; INFRASTRUCTURE LTD</t>
  </si>
  <si>
    <t>KTIL</t>
  </si>
  <si>
    <t>KESORAM INDUSTRIES LTD</t>
  </si>
  <si>
    <t>KESORAMIND</t>
  </si>
  <si>
    <t>KEWAL KIRAN CLOTHING LTD</t>
  </si>
  <si>
    <t>KKCL</t>
  </si>
  <si>
    <t>KEY CORP LTD</t>
  </si>
  <si>
    <t>KEYNOTE CORPORATE SERVICES LTD</t>
  </si>
  <si>
    <t>KEYCORPSER</t>
  </si>
  <si>
    <t>Keynote Financial Services LTD</t>
  </si>
  <si>
    <t>KEYFINSERV</t>
  </si>
  <si>
    <t>KG DENIM LTD</t>
  </si>
  <si>
    <t>KG PETROCHEM LTD</t>
  </si>
  <si>
    <t>KHADIM (INDIA) LTD</t>
  </si>
  <si>
    <t>KHADIM</t>
  </si>
  <si>
    <t>KHADIM INDIA LTD</t>
  </si>
  <si>
    <t>KHAITAN (INDIA) LTD</t>
  </si>
  <si>
    <t>KHAITANLTD</t>
  </si>
  <si>
    <t>KHAITAN CHEMICALS &amp; FERTILIZERS LTD</t>
  </si>
  <si>
    <t>KHAITAN ELECTRICALS LTD.</t>
  </si>
  <si>
    <t>KHAITANELE</t>
  </si>
  <si>
    <t>KHAITAN INDIA LTD</t>
  </si>
  <si>
    <t>KHANDELWAL EXTRACTION LTD</t>
  </si>
  <si>
    <t>KHANDWALA SECURITIES LTD</t>
  </si>
  <si>
    <t>KHANDSE</t>
  </si>
  <si>
    <t>KHATAU EXIM LTD</t>
  </si>
  <si>
    <t>KHATOR FIBRE &amp; FABRICS LTD</t>
  </si>
  <si>
    <t>KHEMANI DISTRIBUTORS &amp; MARKETING LTD</t>
  </si>
  <si>
    <t>KHODAY (INDIA) LTD</t>
  </si>
  <si>
    <t>KHODAY INDIA LTD</t>
  </si>
  <si>
    <t>KHOOBSURAT LTD</t>
  </si>
  <si>
    <t>KHYATI MULTIMEDIA-ENTERTAINMENT LTD</t>
  </si>
  <si>
    <t>KIC METALIKS LTD</t>
  </si>
  <si>
    <t>KIDS MEDICAL SYSTEMS LTD</t>
  </si>
  <si>
    <t>KIDUJA (INDIA) LTD</t>
  </si>
  <si>
    <t>KIDUJA INDIA LTD</t>
  </si>
  <si>
    <t>KIFS FINANCIAL SERVICES LTD</t>
  </si>
  <si>
    <t>KILBURN CHEMICALS LTD</t>
  </si>
  <si>
    <t>KILBURN ENGINEERING LTD</t>
  </si>
  <si>
    <t>KILBURN OFFICE AUTOMATION LTD.</t>
  </si>
  <si>
    <t>KILBURN</t>
  </si>
  <si>
    <t>KILITCH DRUGS (INDIA) LTD</t>
  </si>
  <si>
    <t>KILITCH</t>
  </si>
  <si>
    <t>KILITCH DRUGS INDIA LTD</t>
  </si>
  <si>
    <t>KILPEST (INDIA) LTD</t>
  </si>
  <si>
    <t>KILPEST INDIA LTD</t>
  </si>
  <si>
    <t>Kimia Biosciences Ltd</t>
  </si>
  <si>
    <t>KIMIABL</t>
  </si>
  <si>
    <t>KINETIC ENGINEERING LTD</t>
  </si>
  <si>
    <t>KINETIC TRUST LTD</t>
  </si>
  <si>
    <t>KINGFA SCIENCE &amp; TECHNOLOGY (INDIA) LTD</t>
  </si>
  <si>
    <t>KINGFA</t>
  </si>
  <si>
    <t>KINGFA SCIENCE &amp; TECHNOLOGY INDIA LTD</t>
  </si>
  <si>
    <t>KINGS INFRA VENTURES LTD</t>
  </si>
  <si>
    <t>KINTECH RENEWABLES LTD</t>
  </si>
  <si>
    <t>KIOCL LTD</t>
  </si>
  <si>
    <t>KIOCL</t>
  </si>
  <si>
    <t>KIRAN PRINT-PACK LTD</t>
  </si>
  <si>
    <t>KIRAN VYAPAR LTD</t>
  </si>
  <si>
    <t>KIRI INDUSTRIES LTD</t>
  </si>
  <si>
    <t>KIRIINDUS</t>
  </si>
  <si>
    <t>KIRLOSKAR BROTHERS LTD</t>
  </si>
  <si>
    <t>KIRLOSBROS</t>
  </si>
  <si>
    <t>KIRLOSKAR ELECTRIC COMPANY LTD</t>
  </si>
  <si>
    <t>KECL</t>
  </si>
  <si>
    <t>KIRLOSKAR FERROUS INDUSTRIES LTD</t>
  </si>
  <si>
    <t>KIRLOSKAR INDUSTRIES LTD</t>
  </si>
  <si>
    <t>KIRLOSIND</t>
  </si>
  <si>
    <t>KIRLOSKAR OIL ENGINES LTD</t>
  </si>
  <si>
    <t>KIRLOSENG</t>
  </si>
  <si>
    <t>KIRLOSKAR PNEUMATIC CO LTD</t>
  </si>
  <si>
    <t>KISAN MOULDINGS LTD</t>
  </si>
  <si>
    <t>KITEX GARMENTS LTD</t>
  </si>
  <si>
    <t>KITEX</t>
  </si>
  <si>
    <t>KJMC CORPORATE ADVISORS (INDIA) LTD</t>
  </si>
  <si>
    <t>KJMC CORPORATE ADVISORS INDIA LTD</t>
  </si>
  <si>
    <t>KJMC FINANCIAL SERVICES LTD</t>
  </si>
  <si>
    <t>KKALPANA INDUSTRIES (INDIA) LTD</t>
  </si>
  <si>
    <t>KKALPANA INDUSTRIES INDIA LTD</t>
  </si>
  <si>
    <t>KKALPANA PLASTICK LTD</t>
  </si>
  <si>
    <t>KKRRAFTON DEVELOPERS LTD</t>
  </si>
  <si>
    <t>KKV AGRO POWERS LTD</t>
  </si>
  <si>
    <t>KKVAPOW</t>
  </si>
  <si>
    <t>KLG CAPITAL SERVICES LTD</t>
  </si>
  <si>
    <t>K-LIFESTYLE &amp; INDUSTRIES LTD</t>
  </si>
  <si>
    <t>KLK Electrical Ltd</t>
  </si>
  <si>
    <t>KLKELEC</t>
  </si>
  <si>
    <t>KMC SPECIALITY HOSPITALS (INDIA) LTD</t>
  </si>
  <si>
    <t>KMC SPECIALITY HOSPITALS INDIA LTD</t>
  </si>
  <si>
    <t>KMF BUILDERS &amp; DEVELOPERS LTD</t>
  </si>
  <si>
    <t>KMG MILK FOOD LTD</t>
  </si>
  <si>
    <t>KMS MEDISURGI LTD</t>
  </si>
  <si>
    <t>KNR CONSTRUCTIONS LTD</t>
  </si>
  <si>
    <t>KNRCON</t>
  </si>
  <si>
    <t>KOHINOOR FOODS LTD</t>
  </si>
  <si>
    <t>KOHINOOR</t>
  </si>
  <si>
    <t>KOKUYO CAMLIN LTD</t>
  </si>
  <si>
    <t>KOKUYOCMLN</t>
  </si>
  <si>
    <t>KOLTE - PATIL DEVELOPERS LTD</t>
  </si>
  <si>
    <t>KOLTEPATIL</t>
  </si>
  <si>
    <t>KOME-ON COMMUNICATION LTD</t>
  </si>
  <si>
    <t>KONARK SYNTHETIC LTD</t>
  </si>
  <si>
    <t>KOPRAN LTD</t>
  </si>
  <si>
    <t>KOPRAN</t>
  </si>
  <si>
    <t>KOTAK MAHINDRA BANK LTD</t>
  </si>
  <si>
    <t>KOTAKBANK</t>
  </si>
  <si>
    <t>KOTAK MAHINDRA MUTUAL FUND - KOTAK GOLD EXCHANGE TRADED FUND</t>
  </si>
  <si>
    <t>KOTAKGOLD</t>
  </si>
  <si>
    <t>KOTAK MAHINDRA MUTUAL FUND - KOTAK PSU BANK ETF</t>
  </si>
  <si>
    <t>KOTAKPSUBK</t>
  </si>
  <si>
    <t>KOTAK SENSEX ETF</t>
  </si>
  <si>
    <t>KTKSENSEX</t>
  </si>
  <si>
    <t>KOTHARI FERMENTATION &amp; BIOCHEM LTD</t>
  </si>
  <si>
    <t>KOTHARI PETROCHEMICALS LTD</t>
  </si>
  <si>
    <t>KOTHARIPET</t>
  </si>
  <si>
    <t>KOTHARI PRODUCTS LTD</t>
  </si>
  <si>
    <t>KOTHARIPRO</t>
  </si>
  <si>
    <t>KOTHARI SUGARS AND CHEMICALS LTD</t>
  </si>
  <si>
    <t>KOTARISUG</t>
  </si>
  <si>
    <t>KOTHARI WORLD FINANCE LTD</t>
  </si>
  <si>
    <t>KOTIA ENTERPRISES LTD</t>
  </si>
  <si>
    <t>KOVAI MEDICAL CENTER &amp; HOSPITAL LTD</t>
  </si>
  <si>
    <t>KOVALAM INVESTMENT &amp; TRADING CO LTD</t>
  </si>
  <si>
    <t>KOVILPATTI LAKSHMI ROLLER FLOUR MILLS LTD</t>
  </si>
  <si>
    <t>KPIT TECHNOLOGIES LTD</t>
  </si>
  <si>
    <t>KPIT</t>
  </si>
  <si>
    <t>KPIT Technologies Ltd</t>
  </si>
  <si>
    <t>KPITTECH</t>
  </si>
  <si>
    <t>Auto Parts &amp;amp; Equipment</t>
  </si>
  <si>
    <t>Kranti Industries Ltd</t>
  </si>
  <si>
    <t>KRANTI</t>
  </si>
  <si>
    <t>KRATOS ENERGY &amp; INFRASTRUCTURE LTD</t>
  </si>
  <si>
    <t>KRBL LTD</t>
  </si>
  <si>
    <t>KRBL</t>
  </si>
  <si>
    <t>KREBS BIOCHEMICALS AND INDUSTRIES LTD</t>
  </si>
  <si>
    <t>KREBSBIO</t>
  </si>
  <si>
    <t>KREON FINNANCIAL SERVICES LTD</t>
  </si>
  <si>
    <t>KRETTO SYSCON LTD</t>
  </si>
  <si>
    <t>KRIDHAN INFRA LTD</t>
  </si>
  <si>
    <t>KRIDHANINF</t>
  </si>
  <si>
    <t>KRISHANA PHOSCHEM LTD</t>
  </si>
  <si>
    <t>KRISHANA</t>
  </si>
  <si>
    <t>KRISHNA CAPITAL AND SECURITIES LTD</t>
  </si>
  <si>
    <t>KRISHNA VENTURES LTD</t>
  </si>
  <si>
    <t>KRITI INDUSTRIES (INDIA) LTD</t>
  </si>
  <si>
    <t>KRITI INDUSTRIES INDIA LTD</t>
  </si>
  <si>
    <t>KRITI NUTRIENTS LTD</t>
  </si>
  <si>
    <t>KRITIKA WIRES LTD</t>
  </si>
  <si>
    <t>KRITIKA</t>
  </si>
  <si>
    <t>KRYPTON INDUSTRIES LTD</t>
  </si>
  <si>
    <t>KSB LTD</t>
  </si>
  <si>
    <t>KSB</t>
  </si>
  <si>
    <t>KSE LTD</t>
  </si>
  <si>
    <t>KSHITIJ POLYLINE LTD</t>
  </si>
  <si>
    <t>KSHITIJPOL</t>
  </si>
  <si>
    <t>KSHITIZ INVESTMENT LTD</t>
  </si>
  <si>
    <t>KSK ENERGY VENTURES LTD</t>
  </si>
  <si>
    <t>KSK</t>
  </si>
  <si>
    <t>KSL AND INDUSTRIES LTD</t>
  </si>
  <si>
    <t>KSS LTD</t>
  </si>
  <si>
    <t>KSERASERA</t>
  </si>
  <si>
    <t>KUANTUM PAPERS LTD</t>
  </si>
  <si>
    <t>KUBER UDYOG LTD</t>
  </si>
  <si>
    <t>KULKARNI POWER &amp; TOOLS LTD</t>
  </si>
  <si>
    <t>KUMAR WIRE CLOTH MANUFACTURING COMPANY LTD</t>
  </si>
  <si>
    <t>KUNSTSTOFFE INDUSTRIES LTD</t>
  </si>
  <si>
    <t>KUSAM ELECTRICAL INDUSTRIES LTD</t>
  </si>
  <si>
    <t>KUSH INDUSTRIES LTD</t>
  </si>
  <si>
    <t>KUSHAL LTD</t>
  </si>
  <si>
    <t>KUWER INDUSTRIES LTD</t>
  </si>
  <si>
    <t>KWALITY CREDIT &amp; LEASING LTD</t>
  </si>
  <si>
    <t>KWALITY LTD</t>
  </si>
  <si>
    <t>KWALITY</t>
  </si>
  <si>
    <t>KWALITY PHARMACEUTICALS LTD</t>
  </si>
  <si>
    <t>L  P  NAVAL AND ENGINEERING LTD</t>
  </si>
  <si>
    <t>L&amp;T FINANCE HOLDINGS LTD</t>
  </si>
  <si>
    <t>L&amp;TFH</t>
  </si>
  <si>
    <t>L&amp;T TECHNOLOGY SERVICES LTD</t>
  </si>
  <si>
    <t>LTTS</t>
  </si>
  <si>
    <t>LA OPALA RG LTD</t>
  </si>
  <si>
    <t>LAOPALA</t>
  </si>
  <si>
    <t>La Tim Metal &amp;amp; Industries Ltd</t>
  </si>
  <si>
    <t>LATIMMETAL</t>
  </si>
  <si>
    <t>LACTOSE (INDIA) LTD</t>
  </si>
  <si>
    <t>LACTOSE INDIA LTD</t>
  </si>
  <si>
    <t>LADAM AFFORDABLE HOUSING LTD</t>
  </si>
  <si>
    <t>LADDERUP FINANCE LTD</t>
  </si>
  <si>
    <t>LAFFANS PETROCHEMICALS LTD</t>
  </si>
  <si>
    <t>LAGNAM SPINTEX LTD</t>
  </si>
  <si>
    <t>LAGNAM</t>
  </si>
  <si>
    <t>LAHOTI OVERSEAS LTD</t>
  </si>
  <si>
    <t>LAKHOTIA POLYESTERS (INDIA) LTD</t>
  </si>
  <si>
    <t>LAKHOTIA POLYESTERS INDIA LTD</t>
  </si>
  <si>
    <t>LAKSHMI AUTOMATIC LOOM WORKS LTD</t>
  </si>
  <si>
    <t>LAKSHMI ELECTRICAL CONTROL SYSTEMS LTD</t>
  </si>
  <si>
    <t>LAKSHMI FINANCE &amp; INDUSTRIAL CORPORATION LTD</t>
  </si>
  <si>
    <t>LFIC</t>
  </si>
  <si>
    <t>LAKSHMI MACHINE WORKS LTD</t>
  </si>
  <si>
    <t>LAXMIMACH</t>
  </si>
  <si>
    <t>LAKSHMI MILLS COMPANY LTD</t>
  </si>
  <si>
    <t>LAKSHMI PRECISION SCREWS LTD</t>
  </si>
  <si>
    <t>LAKPRE</t>
  </si>
  <si>
    <t>LAKSHMI VILAS BANK LTD</t>
  </si>
  <si>
    <t>LAKSHVILAS</t>
  </si>
  <si>
    <t>LAMBODHARA TEXTILES LTD</t>
  </si>
  <si>
    <t>LAMBODHARA</t>
  </si>
  <si>
    <t>LANCER CONTAINER LINES LTD</t>
  </si>
  <si>
    <t>LANCOR HOLDINGS LTD</t>
  </si>
  <si>
    <t>LANDMARC LEISURE CORPORATION LTD</t>
  </si>
  <si>
    <t>LANDMARK PROPERTY DEVELOPMENT COMPANY LTD</t>
  </si>
  <si>
    <t>LPDC</t>
  </si>
  <si>
    <t>LARSEN &amp; TOUBRO INFOTECH LTD</t>
  </si>
  <si>
    <t>LTI</t>
  </si>
  <si>
    <t>LARSEN &amp; TOUBRO LTD</t>
  </si>
  <si>
    <t>LT</t>
  </si>
  <si>
    <t>LASA SUPERGENERICS LTD</t>
  </si>
  <si>
    <t>LASA</t>
  </si>
  <si>
    <t>LASER DIAMONDS LTD</t>
  </si>
  <si>
    <t>LATENT LIGHT FINANCE LTD</t>
  </si>
  <si>
    <t>LATTEYS INDUSTRIES LTD</t>
  </si>
  <si>
    <t>LATTEYS</t>
  </si>
  <si>
    <t>LAURUS LABS LTD</t>
  </si>
  <si>
    <t>LAURUSLABS</t>
  </si>
  <si>
    <t>LAWRESHWAR POLYMERS LTD</t>
  </si>
  <si>
    <t>LAXMI COTSPIN LTD</t>
  </si>
  <si>
    <t>LAXMICOT</t>
  </si>
  <si>
    <t>LEAD FINANCIAL SERVICES LTD</t>
  </si>
  <si>
    <t>LEADING LEASING FINANCE AND INVESTMENT COMPANY LTD</t>
  </si>
  <si>
    <t>LEDO TEA CO LTD</t>
  </si>
  <si>
    <t>LEE &amp; NEE SOFTWARES EXPORTS LTD</t>
  </si>
  <si>
    <t>LEEL ELECTRICALS LTD</t>
  </si>
  <si>
    <t>LEEL</t>
  </si>
  <si>
    <t>LEENA CONSULTANCY LTD</t>
  </si>
  <si>
    <t>LEGACY MERCANTILE LTD</t>
  </si>
  <si>
    <t>LEMON TREE HOTELS LTD</t>
  </si>
  <si>
    <t>LEMONTREE</t>
  </si>
  <si>
    <t>LESHA INDUSTRIES LTD</t>
  </si>
  <si>
    <t>LEX NIMBLE SOLUTIONS LTD</t>
  </si>
  <si>
    <t>LEXUS GRANITO (INDIA) LTD</t>
  </si>
  <si>
    <t>LEXUS</t>
  </si>
  <si>
    <t>LEXUS GRANITO INDIA LTD</t>
  </si>
  <si>
    <t>LG BALAKRISHNAN &amp; BROS LTD</t>
  </si>
  <si>
    <t>LGBBROSLTD</t>
  </si>
  <si>
    <t>LGB FORGE LTD.</t>
  </si>
  <si>
    <t>LGBFORGE</t>
  </si>
  <si>
    <t>LIBAS DESIGNS LTD</t>
  </si>
  <si>
    <t>LIBAS</t>
  </si>
  <si>
    <t>LIBERTY SHOES LTD</t>
  </si>
  <si>
    <t>LIBERTSHOE</t>
  </si>
  <si>
    <t>LIBORD FINANCE LTD</t>
  </si>
  <si>
    <t>LIBORD SECURITIES LTD</t>
  </si>
  <si>
    <t>LIC HOUSING FINANCE LTD</t>
  </si>
  <si>
    <t>LICHSGFIN</t>
  </si>
  <si>
    <t>LIKHAMI CONSULTING LTD</t>
  </si>
  <si>
    <t>LIME CHEMICALS LTD</t>
  </si>
  <si>
    <t>LINAKS MICROELECTRONICS LTD.</t>
  </si>
  <si>
    <t>LINAKS</t>
  </si>
  <si>
    <t>LINC PEN &amp; PLASTICS LTD</t>
  </si>
  <si>
    <t>LINCPEN</t>
  </si>
  <si>
    <t>LINCOLN PHARMACEUTICALS LTD</t>
  </si>
  <si>
    <t>LINCOLN</t>
  </si>
  <si>
    <t>LINDE (INDIA) LTD</t>
  </si>
  <si>
    <t>LINDE(INDIA)</t>
  </si>
  <si>
    <t>LINDE INDIA LTD</t>
  </si>
  <si>
    <t>LINDEINDIA</t>
  </si>
  <si>
    <t>LINK PHARMA CHEM LTD</t>
  </si>
  <si>
    <t>LIPPI SYSTEMS LTD</t>
  </si>
  <si>
    <t>LKP FINANCE LTD</t>
  </si>
  <si>
    <t>LKP SECURITIES LTD</t>
  </si>
  <si>
    <t>LLOYDS METALS AND ENERGY LTD</t>
  </si>
  <si>
    <t>LLOYDS STEELS INDUSTRIES LTD</t>
  </si>
  <si>
    <t>LSIL</t>
  </si>
  <si>
    <t>LOHIA SECURITIES LTD</t>
  </si>
  <si>
    <t>LOKESH MACHINES LTD</t>
  </si>
  <si>
    <t>LOKESHMACH</t>
  </si>
  <si>
    <t>LONGVIEW TEA COMPANY LTD</t>
  </si>
  <si>
    <t>LOOKS HEALTH SERVICES LTD</t>
  </si>
  <si>
    <t>LORDS CHLORO ALKALI LTD</t>
  </si>
  <si>
    <t>LORDS ISHWAR HOTELS LTD</t>
  </si>
  <si>
    <t>LORENZINI APPARELS LTD</t>
  </si>
  <si>
    <t>LOTUS CHOCOLATE CO LTD</t>
  </si>
  <si>
    <t>LOTUS EYE HOSPITAL AND INSTITUTE LTD</t>
  </si>
  <si>
    <t>LOTUSEYE</t>
  </si>
  <si>
    <t>LOVABLE LINGERIE LTD</t>
  </si>
  <si>
    <t>LOVABLE</t>
  </si>
  <si>
    <t>LOYAL EQUIPMENTS LTD</t>
  </si>
  <si>
    <t>LOYAL TEXTILE MILLS LTD</t>
  </si>
  <si>
    <t>LT FOODS LTD</t>
  </si>
  <si>
    <t>DAAWAT</t>
  </si>
  <si>
    <t>LUDLOW JUTE &amp; SPECIALITIES LTD</t>
  </si>
  <si>
    <t>LUHARUKA MEDIA &amp; INFRA LTD</t>
  </si>
  <si>
    <t>LUMAX AUTO TECHNOLOGIES LTD</t>
  </si>
  <si>
    <t>LUMAXTECH</t>
  </si>
  <si>
    <t>LUMAX INDUSTRIES LTD</t>
  </si>
  <si>
    <t>LUMAXIND</t>
  </si>
  <si>
    <t>LUPIN LTD</t>
  </si>
  <si>
    <t>LUPIN</t>
  </si>
  <si>
    <t>LUX INDUSTRIES LTD</t>
  </si>
  <si>
    <t>LUXIND</t>
  </si>
  <si>
    <t>LWS KNITWEAR LTD</t>
  </si>
  <si>
    <t>LYKA LABS LTD</t>
  </si>
  <si>
    <t>LYKALABS</t>
  </si>
  <si>
    <t>LYKIS LTD</t>
  </si>
  <si>
    <t>LYNX MACHINERY &amp; COMMERCIALS LTD</t>
  </si>
  <si>
    <t>LYPSA GEMS &amp; JEWELLERY LTD</t>
  </si>
  <si>
    <t>LYPSAGEMS</t>
  </si>
  <si>
    <t>M B PARIKH FINSTOCKS LTD</t>
  </si>
  <si>
    <t>M K  EXIM (INDIA) LTD</t>
  </si>
  <si>
    <t>M K  EXIM INDIA LTD</t>
  </si>
  <si>
    <t>M K PROTEINS LTD</t>
  </si>
  <si>
    <t>MKPL</t>
  </si>
  <si>
    <t>M P AGRO INDUSTRIES LTD</t>
  </si>
  <si>
    <t>MAAN ALUMINIUM LTD</t>
  </si>
  <si>
    <t>MAANALU</t>
  </si>
  <si>
    <t>MAC CHARLES (INDIA) LTD</t>
  </si>
  <si>
    <t>MAC CHARLES INDIA LTD</t>
  </si>
  <si>
    <t>MAC HOTELS LTD</t>
  </si>
  <si>
    <t>MACHINO PLASTICS LTD</t>
  </si>
  <si>
    <t>MACK TRADING CO LTD</t>
  </si>
  <si>
    <t>MACPOWER CNC MACHINES LTD</t>
  </si>
  <si>
    <t>MACPOWER</t>
  </si>
  <si>
    <t>MACRO INTERNATIONAL EXPORTS LTD</t>
  </si>
  <si>
    <t>MADHAV COPPER LTD</t>
  </si>
  <si>
    <t>MCL</t>
  </si>
  <si>
    <t>MADHAV INFRA PROJECTS LTD</t>
  </si>
  <si>
    <t>MADHAV MARBLES AND GRANITES LTD</t>
  </si>
  <si>
    <t>MADHAV</t>
  </si>
  <si>
    <t>MADHUBAN CONSTRUCTIONS LTD</t>
  </si>
  <si>
    <t>MADHUCON PROJECTS LTD</t>
  </si>
  <si>
    <t>MADHUCON</t>
  </si>
  <si>
    <t>MADHUR INDUSTRIES LTD</t>
  </si>
  <si>
    <t>MADHUSUDAN INDUSTRIES LTD</t>
  </si>
  <si>
    <t>MADHUSUDAN SECURITIES LTD</t>
  </si>
  <si>
    <t>MADHUVEER COM 18 NETWORK LTD</t>
  </si>
  <si>
    <t>MADHYA BHARAT AGRO PRODUCTS LTD</t>
  </si>
  <si>
    <t>MBAPL</t>
  </si>
  <si>
    <t>MADHYA PRADESH TODAY MEDIA LTD</t>
  </si>
  <si>
    <t>MPTODAY</t>
  </si>
  <si>
    <t>MADRAS FERTILIZERS LTD</t>
  </si>
  <si>
    <t>MADRASFERT</t>
  </si>
  <si>
    <t>MAESTROS ELECTRONICS &amp; TELECOMMUNICATIONS SYSTEMS LTD</t>
  </si>
  <si>
    <t>MAFATLAL INDUSTRIES LTD</t>
  </si>
  <si>
    <t>MAGADH SUGAR &amp; ENERGY LTD</t>
  </si>
  <si>
    <t>MAGADSUGAR</t>
  </si>
  <si>
    <t>MAGMA FINCORP LTD</t>
  </si>
  <si>
    <t>MAGMA</t>
  </si>
  <si>
    <t>MAGNA ELECTRO CASTINGS LTD</t>
  </si>
  <si>
    <t>MAGNANIMOUS TRADE &amp; FINANCE LTD</t>
  </si>
  <si>
    <t>MAGNUM VENTURES LTD</t>
  </si>
  <si>
    <t>MAGNUM</t>
  </si>
  <si>
    <t>MAHA RASHTRA APEX CORPORATION LTD</t>
  </si>
  <si>
    <t>MAHAPEXLTD</t>
  </si>
  <si>
    <t>MAHAAN FOODS LTD</t>
  </si>
  <si>
    <t>MAHALAXMI RUBTECH LTD</t>
  </si>
  <si>
    <t>MAHALAXMI SEAMLESS LTD</t>
  </si>
  <si>
    <t>MAHAMAYA STEEL INDUSTRIES LTD</t>
  </si>
  <si>
    <t>MAHASTEEL</t>
  </si>
  <si>
    <t>MAHAN INDUSTRIES LTD</t>
  </si>
  <si>
    <t>MAHANAGAR GAS LTD</t>
  </si>
  <si>
    <t>MGL</t>
  </si>
  <si>
    <t>MAHANAGAR TELEPHONE NIGAM LTD</t>
  </si>
  <si>
    <t>MTNL</t>
  </si>
  <si>
    <t>MAHANIVESH (INDIA) LTD</t>
  </si>
  <si>
    <t>MAHANIVESH INDIA LTD</t>
  </si>
  <si>
    <t>MAHARASHTRA CORPORATION LTD</t>
  </si>
  <si>
    <t>MAHARASHTRA SCOOTERS LTD</t>
  </si>
  <si>
    <t>MAHSCOOTER</t>
  </si>
  <si>
    <t>MAHARASHTRA SEAMLESS LTD</t>
  </si>
  <si>
    <t>MAHSEAMLES</t>
  </si>
  <si>
    <t>MAHASAGAR TRAVELS LTD</t>
  </si>
  <si>
    <t>MAHASHREE TRADING LTD</t>
  </si>
  <si>
    <t>MAHAVEER INFOWAY LTD</t>
  </si>
  <si>
    <t>MAHAVIR INDUSTRIES LTD</t>
  </si>
  <si>
    <t>Mahesh Developers Ltd</t>
  </si>
  <si>
    <t>MAHESH</t>
  </si>
  <si>
    <t>MAHESHWARI LOGISTICS LTD</t>
  </si>
  <si>
    <t>MAHESHWARI</t>
  </si>
  <si>
    <t>MAHICKRA CHEMICALS LTD</t>
  </si>
  <si>
    <t>MAHICKRA</t>
  </si>
  <si>
    <t>MAHINDRA &amp; MAHINDRA FINANCIAL SERVICES LTD</t>
  </si>
  <si>
    <t>M&amp;MFIN</t>
  </si>
  <si>
    <t>MAHINDRA &amp; MAHINDRA LTD</t>
  </si>
  <si>
    <t>M&amp;M</t>
  </si>
  <si>
    <t>MAHINDRA CIE AUTOMOTIVE LTD</t>
  </si>
  <si>
    <t>MAHINDCIE</t>
  </si>
  <si>
    <t>MAHINDRA HOLIDAYS &amp; RESORTS (INDIA) LTD</t>
  </si>
  <si>
    <t>MHRIL</t>
  </si>
  <si>
    <t>MAHINDRA HOLIDAYS &amp; RESORTS INDIA LTD</t>
  </si>
  <si>
    <t>MAHINDRA LIFESPACE DEVELOPERS LTD</t>
  </si>
  <si>
    <t>MAHLIFE</t>
  </si>
  <si>
    <t>MAHINDRA LOGISTICS LTD</t>
  </si>
  <si>
    <t>MAHLOG</t>
  </si>
  <si>
    <t>Mahip Industries Ltd</t>
  </si>
  <si>
    <t>MAHIP</t>
  </si>
  <si>
    <t>MAITHAN ALLOYS LTD</t>
  </si>
  <si>
    <t>MAITHANALL</t>
  </si>
  <si>
    <t>MAITRI ENTERPRISES LTD</t>
  </si>
  <si>
    <t>MAJESCO LTD</t>
  </si>
  <si>
    <t>MAJESCO</t>
  </si>
  <si>
    <t>MAJESTIC AUTO LTD</t>
  </si>
  <si>
    <t>MAJESTIC RESEARCH SERVICES AND SOLUTIONS LTD</t>
  </si>
  <si>
    <t>MAKERS LABORATORIES LTD</t>
  </si>
  <si>
    <t>MALLCOM (INDIA) LTD</t>
  </si>
  <si>
    <t>MALLCOM INDIA LTD</t>
  </si>
  <si>
    <t>MALU PAPER MILLS LTD</t>
  </si>
  <si>
    <t>MALUPAPER</t>
  </si>
  <si>
    <t>MAN INDUSTRIES (INDIA) LTD</t>
  </si>
  <si>
    <t>MANINDS</t>
  </si>
  <si>
    <t>MAN INDUSTRIES INDIA LTD</t>
  </si>
  <si>
    <t>MAN INFRACONSTRUCTION LTD</t>
  </si>
  <si>
    <t>MANINFRA</t>
  </si>
  <si>
    <t>MANAKSIA ALUMINIUM COMPANY LTD</t>
  </si>
  <si>
    <t>MANAKALUCO</t>
  </si>
  <si>
    <t>MANAKSIA COATED METALS &amp; INDUSTRIES LTD</t>
  </si>
  <si>
    <t>MANAKCOAT</t>
  </si>
  <si>
    <t>MANAKSIA LTD</t>
  </si>
  <si>
    <t>MANAKSIA</t>
  </si>
  <si>
    <t>MANAKSIA STEELS LTD</t>
  </si>
  <si>
    <t>MANAKSTEEL</t>
  </si>
  <si>
    <t>MANALI PETROCHEMICALS LTD</t>
  </si>
  <si>
    <t>MANALIPETC</t>
  </si>
  <si>
    <t>MANAPPURAM FINANCE LTD</t>
  </si>
  <si>
    <t>MANAPPURAM</t>
  </si>
  <si>
    <t>MANAS PROPERTIES LTD</t>
  </si>
  <si>
    <t>MANAV INFRA PROJECTS LTD</t>
  </si>
  <si>
    <t>MANAV</t>
  </si>
  <si>
    <t>MANDHANA INDUSTRIES LTD</t>
  </si>
  <si>
    <t>MANDHANA</t>
  </si>
  <si>
    <t>MANGAL CREDIT AND FINCORP LTD.</t>
  </si>
  <si>
    <t>MANCREDIT</t>
  </si>
  <si>
    <t>MANGALAM CEMENT LTD</t>
  </si>
  <si>
    <t>MANGLMCEM</t>
  </si>
  <si>
    <t>MANGALAM DRUGS AND ORGANICS LTD</t>
  </si>
  <si>
    <t>MANGALAM</t>
  </si>
  <si>
    <t>MANGALAM INDUSTRIAL FINANCE LTD</t>
  </si>
  <si>
    <t>MANGALAM ORGANICS LTD</t>
  </si>
  <si>
    <t>MANGALAM SEEDS LTD</t>
  </si>
  <si>
    <t>MANGALAM TIMBER PRODUCTS LTD</t>
  </si>
  <si>
    <t>MANGTIMBER</t>
  </si>
  <si>
    <t>MANGALORE CHEMICALS &amp; FERTILIZERS LTD</t>
  </si>
  <si>
    <t>MANGCHEFER</t>
  </si>
  <si>
    <t>MANGALORE REFINERY AND PETROCHEMICALS LTD</t>
  </si>
  <si>
    <t>MRPL</t>
  </si>
  <si>
    <t>MANGALYA SOFT-TECH LTD</t>
  </si>
  <si>
    <t>MANIPAL FINANCE CORPORATION LTD</t>
  </si>
  <si>
    <t>MANJEERA CONSTRUCTIONS LTD</t>
  </si>
  <si>
    <t>MANOMAY TEX (INDIA) LTD</t>
  </si>
  <si>
    <t>MANOMAY TEX INDIA LTD</t>
  </si>
  <si>
    <t>MANORAMA INDUSTRIES LTD</t>
  </si>
  <si>
    <t>MANPASAND BEVERAGES LTD</t>
  </si>
  <si>
    <t>MANPASAND</t>
  </si>
  <si>
    <t>MANRAJ HOUSING FINANCE LTD</t>
  </si>
  <si>
    <t>MANSI FINANCE CHENNAI LTD</t>
  </si>
  <si>
    <t>MANSOON TRADING CO LTD</t>
  </si>
  <si>
    <t>MANUGRAPH (INDIA) LTD</t>
  </si>
  <si>
    <t>MANUGRAPH</t>
  </si>
  <si>
    <t>MANUGRAPH INDIA LTD</t>
  </si>
  <si>
    <t>MANVIJAY DEVELOPMENT COMPANY LTD</t>
  </si>
  <si>
    <t>MARAL OVERSEAS LTD</t>
  </si>
  <si>
    <t>MARALOVER</t>
  </si>
  <si>
    <t>MARATHON NEXTGEN REALTY LTD</t>
  </si>
  <si>
    <t>MARATHON</t>
  </si>
  <si>
    <t>MARATHWADA REFRACTORIES LTD</t>
  </si>
  <si>
    <t>MARDIA SAMYOUNG CAPILLARY TUBES COMPANY LTD</t>
  </si>
  <si>
    <t>MARG LTD</t>
  </si>
  <si>
    <t>MARG TECHNO PROJECTS LTD</t>
  </si>
  <si>
    <t>MARGO FINANCE LTD</t>
  </si>
  <si>
    <t>MARICO LTD</t>
  </si>
  <si>
    <t>MARICO</t>
  </si>
  <si>
    <t>MARINE ELECTRICALS (INDIA) LTD</t>
  </si>
  <si>
    <t>MARINE</t>
  </si>
  <si>
    <t>MARINE ELECTRICALS INDIA LTD</t>
  </si>
  <si>
    <t>MARIS SPINNERS LTD</t>
  </si>
  <si>
    <t>MARKET CREATORS LTD</t>
  </si>
  <si>
    <t>MARKSANS PHARMA LTD</t>
  </si>
  <si>
    <t>MARKSANS</t>
  </si>
  <si>
    <t>MARSHALL MACHINES LTD</t>
  </si>
  <si>
    <t>MARSHALL</t>
  </si>
  <si>
    <t>MARSONS LTD</t>
  </si>
  <si>
    <t>MARTIN BURN LTD</t>
  </si>
  <si>
    <t>MARUTI INFRASTRUCTURE LTD</t>
  </si>
  <si>
    <t>MARUTI SECURITIES LTD</t>
  </si>
  <si>
    <t>MARUTI SUZUKI (INDIA) LTD</t>
  </si>
  <si>
    <t>MARUTI</t>
  </si>
  <si>
    <t>MARUTI SUZUKI INDIA LTD</t>
  </si>
  <si>
    <t>MARVEL DECOR LTD</t>
  </si>
  <si>
    <t>MDL</t>
  </si>
  <si>
    <t>MAS FINANCIAL SERVICES LTD</t>
  </si>
  <si>
    <t>MASFIN</t>
  </si>
  <si>
    <t>MASK INVESTMENTS LTD</t>
  </si>
  <si>
    <t>MASKINVEST</t>
  </si>
  <si>
    <t>MASTEK LTD</t>
  </si>
  <si>
    <t>MASTEK</t>
  </si>
  <si>
    <t>MASTER CHEMICALS LTD</t>
  </si>
  <si>
    <t>MASTER TRUST LTD</t>
  </si>
  <si>
    <t>MATHEW EASOW RESEARCH SECURITIES LTD</t>
  </si>
  <si>
    <t>MATRIMONY COM LTD</t>
  </si>
  <si>
    <t>MATRIMONY</t>
  </si>
  <si>
    <t>MAURIA UDYOG LTD</t>
  </si>
  <si>
    <t>MAVI INDUSTRIES LTD</t>
  </si>
  <si>
    <t>MAWANA SUGARS LTD</t>
  </si>
  <si>
    <t>MAWANASUG</t>
  </si>
  <si>
    <t>MAX (INDIA) LTD</t>
  </si>
  <si>
    <t>MAX(INDIA)</t>
  </si>
  <si>
    <t>MAX ALERT SYSTEMS LTD.</t>
  </si>
  <si>
    <t>MASL</t>
  </si>
  <si>
    <t>MAX FINANCIAL SERVICES LTD</t>
  </si>
  <si>
    <t>MFSL</t>
  </si>
  <si>
    <t>MAX INDIA LTD</t>
  </si>
  <si>
    <t>MAXINDIA</t>
  </si>
  <si>
    <t>MAX VENTURES AND INDUSTRIES LTD</t>
  </si>
  <si>
    <t>MAXVIL</t>
  </si>
  <si>
    <t>MAXHEIGHTS INFRASTRUCTURE LTD</t>
  </si>
  <si>
    <t>MAXIMAA SYSTEMS LTD</t>
  </si>
  <si>
    <t>MAXIMUS INTERNATIONAL LTD</t>
  </si>
  <si>
    <t>MAYUKH DEALTRADE LTD</t>
  </si>
  <si>
    <t>MAYUR FLOORINGS LTD</t>
  </si>
  <si>
    <t>MAYUR LEATHER PRODUCTS LTD</t>
  </si>
  <si>
    <t>MAYUR UNIQUOTERS LTD</t>
  </si>
  <si>
    <t>MAYURUNIQ</t>
  </si>
  <si>
    <t>MAZDA LTD</t>
  </si>
  <si>
    <t>MAZDA</t>
  </si>
  <si>
    <t>MBL INFRASTRUCTURES LTD</t>
  </si>
  <si>
    <t>MBLINFRA</t>
  </si>
  <si>
    <t>MCDOWELL HOLDINGS LTD</t>
  </si>
  <si>
    <t>MCDHOLDING</t>
  </si>
  <si>
    <t>MCLEOD RUSSEL (INDIA) LTD</t>
  </si>
  <si>
    <t>MCLEODRUSS</t>
  </si>
  <si>
    <t>MCLEOD RUSSEL INDIA LTD</t>
  </si>
  <si>
    <t>MCNALLY BHARAT ENGINEERING COMPANY LTD</t>
  </si>
  <si>
    <t>MBECL</t>
  </si>
  <si>
    <t>MEDIA MATRIX WORLDWIDE LTD</t>
  </si>
  <si>
    <t>MEDICAMEN BIOTECH LTD</t>
  </si>
  <si>
    <t>MEDI-CAPS LTD</t>
  </si>
  <si>
    <t>Medico Intercontinental Ltd</t>
  </si>
  <si>
    <t>MIL</t>
  </si>
  <si>
    <t>MEDICO REMEDIES LTD</t>
  </si>
  <si>
    <t>MEDINOVA DIAGNOSTIC SERVICES LTD</t>
  </si>
  <si>
    <t>MEENAKSHI ENTERPRISES LTD</t>
  </si>
  <si>
    <t>MEENAKSHI STEEL INDUSTRIES LTD</t>
  </si>
  <si>
    <t>MEERA INDUSTRIES LTD</t>
  </si>
  <si>
    <t>MEFCOM AGRO INDUSTRIES LTD</t>
  </si>
  <si>
    <t>MEFCOM CAPITAL MARKETS LTD</t>
  </si>
  <si>
    <t>MEGA CORPORATION LTD</t>
  </si>
  <si>
    <t>MEGA FIN (INDIA) LTD</t>
  </si>
  <si>
    <t>MEGA FIN INDIA LTD</t>
  </si>
  <si>
    <t>MEGA NIRMAN AND INDUSTRIES LTD</t>
  </si>
  <si>
    <t>MEGASOFT LTD</t>
  </si>
  <si>
    <t>MEGASOFT</t>
  </si>
  <si>
    <t>MEGASTAR FOODS LTD</t>
  </si>
  <si>
    <t>MEGHMANI ORGANICS LTD</t>
  </si>
  <si>
    <t>MEGH</t>
  </si>
  <si>
    <t>MEGLON INFRA-REAL (INDIA) LTD</t>
  </si>
  <si>
    <t>MEGLON INFRA-REAL INDIA LTD</t>
  </si>
  <si>
    <t>MEGRI SOFT LTD</t>
  </si>
  <si>
    <t>MEHAI TECHNOLOGY LTD</t>
  </si>
  <si>
    <t>MEHTA HOUSING FINANCE LTD</t>
  </si>
  <si>
    <t>MEHTA INTEGRATED FINANCE LTD</t>
  </si>
  <si>
    <t>MEHTA SECURITIES LTD</t>
  </si>
  <si>
    <t>MELSTAR INFORMATION TECHNOLOGIES LTD</t>
  </si>
  <si>
    <t>MELSTAR</t>
  </si>
  <si>
    <t>MENA MANI INDUSTRIES LTD</t>
  </si>
  <si>
    <t>MENON BEARINGS LTD</t>
  </si>
  <si>
    <t>MENONBE</t>
  </si>
  <si>
    <t>MENON PISTONS LTD</t>
  </si>
  <si>
    <t>MEP INFRASTRUCTURE DEVELOPERS LTD</t>
  </si>
  <si>
    <t>MEP</t>
  </si>
  <si>
    <t>MERCANTILE VENTURES LTD</t>
  </si>
  <si>
    <t>MERCATOR LTD</t>
  </si>
  <si>
    <t>MERCATOR</t>
  </si>
  <si>
    <t>MERCK LTD</t>
  </si>
  <si>
    <t>MERCK</t>
  </si>
  <si>
    <t>MERCURY LABORATORIES LTD</t>
  </si>
  <si>
    <t>MERCURY METALS LTD</t>
  </si>
  <si>
    <t>MERCURY TRADE LINKS LTD</t>
  </si>
  <si>
    <t>MESCO PHARMACEUTICALS LTD</t>
  </si>
  <si>
    <t>METAL COATINGS (INDIA) LTD</t>
  </si>
  <si>
    <t>METAL COATINGS INDIA LTD</t>
  </si>
  <si>
    <t>METALYST FORGINGS LTD</t>
  </si>
  <si>
    <t>METALFORGE</t>
  </si>
  <si>
    <t>METKORE ALLOYS &amp; INDUSTRIES LTD</t>
  </si>
  <si>
    <t>METKORE</t>
  </si>
  <si>
    <t>METROGLOBAL LTD</t>
  </si>
  <si>
    <t>Metropolis Healthcare Ltd</t>
  </si>
  <si>
    <t>METROPOLIS</t>
  </si>
  <si>
    <t>MEWAR HI-TECH ENGINEERING LTD</t>
  </si>
  <si>
    <t>MEWAT ZINC LTD</t>
  </si>
  <si>
    <t>Meyer Apparel Ltd</t>
  </si>
  <si>
    <t>MAL</t>
  </si>
  <si>
    <t>MFL (INDIA) LTD</t>
  </si>
  <si>
    <t>MFL INDIA LTD</t>
  </si>
  <si>
    <t>MFS INTERCORP LTD</t>
  </si>
  <si>
    <t>MIC ELECTRONICS LTD</t>
  </si>
  <si>
    <t>MIC</t>
  </si>
  <si>
    <t>MICROSE (INDIA) LTD</t>
  </si>
  <si>
    <t>MICROSE INDIA LTD</t>
  </si>
  <si>
    <t>MID EAST PORTFOLIO MANAGEMENT LTD</t>
  </si>
  <si>
    <t>MID INDIA INDUSTRIES LTD</t>
  </si>
  <si>
    <t>MIDAS INFRA TRADE LTD</t>
  </si>
  <si>
    <t>MIDEAST INTEGRATED STEELS LTD</t>
  </si>
  <si>
    <t>MIDVALLEY ENTERTAINMENT LTD.</t>
  </si>
  <si>
    <t>MIDVAL</t>
  </si>
  <si>
    <t>Movies &amp;amp; Entertainment</t>
  </si>
  <si>
    <t>MIDWEST GOLD LTD</t>
  </si>
  <si>
    <t>MIHIKA INDUSTRIES LTD</t>
  </si>
  <si>
    <t>MILESTONE FURNITURE LTD</t>
  </si>
  <si>
    <t>MILESTONE GLOBAL LTD</t>
  </si>
  <si>
    <t>MILGREY FINANCE &amp; INVESTMENTS LTD</t>
  </si>
  <si>
    <t>MILKFOOD LTD</t>
  </si>
  <si>
    <t>MILLENNIUM ONLINE SOLUTIONS  INDIA  LTD</t>
  </si>
  <si>
    <t>MILTON INDUSTRIES LTD</t>
  </si>
  <si>
    <t>MILTON</t>
  </si>
  <si>
    <t>MINAXI TEXTILES LTD</t>
  </si>
  <si>
    <t>MINDA CORPORATION LTD</t>
  </si>
  <si>
    <t>MINDACORP</t>
  </si>
  <si>
    <t>MINDA FINANCE LTD</t>
  </si>
  <si>
    <t>MINDA INDUSTRIES LTD</t>
  </si>
  <si>
    <t>MINDAIND</t>
  </si>
  <si>
    <t>MINDTECK (INDIA) LTD</t>
  </si>
  <si>
    <t>MINDTECK</t>
  </si>
  <si>
    <t>MINDTECK INDIA LTD</t>
  </si>
  <si>
    <t>MINDTREE LTD</t>
  </si>
  <si>
    <t>MINDTREE</t>
  </si>
  <si>
    <t>MINI DIAMONDS (INDIA) LTD</t>
  </si>
  <si>
    <t>MINI DIAMONDS INDIA LTD</t>
  </si>
  <si>
    <t>MINOLTA FINANCE LTD</t>
  </si>
  <si>
    <t>MIPCO SEAMLESS RINGS GUJARAT LTD</t>
  </si>
  <si>
    <t>MIRC ELECTRONICS LTD</t>
  </si>
  <si>
    <t>MIRCELECTR</t>
  </si>
  <si>
    <t>MIRCH TECHNOLOGIES (INDIA) LTD</t>
  </si>
  <si>
    <t>MIRCH TECHNOLOGIES INDIA LTD</t>
  </si>
  <si>
    <t>MIRZA INTERNATIONAL LTD</t>
  </si>
  <si>
    <t>MIRZAINT</t>
  </si>
  <si>
    <t>MISHKA EXIM LTD</t>
  </si>
  <si>
    <t>MISHRA DHATU NIGAM LTD</t>
  </si>
  <si>
    <t>MIDHANI</t>
  </si>
  <si>
    <t>MISHTANN FOODS LTD</t>
  </si>
  <si>
    <t>MITCON CONSULTANCY &amp; ENGINEERING SERVICES LTD</t>
  </si>
  <si>
    <t>MITCON</t>
  </si>
  <si>
    <t>MITSHI (INDIA) LTD</t>
  </si>
  <si>
    <t>MITSHI INDIA LTD</t>
  </si>
  <si>
    <t>MITSU CHEM PLAST LTD</t>
  </si>
  <si>
    <t>MITTAL LIFE STYLE LTD</t>
  </si>
  <si>
    <t>MITTAL</t>
  </si>
  <si>
    <t>MIVEN MACHINE TOOLS LTD.</t>
  </si>
  <si>
    <t>MIVENMACH</t>
  </si>
  <si>
    <t>MM FORGINGS LTD</t>
  </si>
  <si>
    <t>MMFL</t>
  </si>
  <si>
    <t>MM RUBBER COMPANY LTD.</t>
  </si>
  <si>
    <t>MMRUBBR-B</t>
  </si>
  <si>
    <t>Auto Tyres &amp;amp; Rubber Products</t>
  </si>
  <si>
    <t>MMP INDUSTRIES LTD</t>
  </si>
  <si>
    <t>MMP</t>
  </si>
  <si>
    <t>MMTC LTD</t>
  </si>
  <si>
    <t>MMTC</t>
  </si>
  <si>
    <t>MODELLA WOOLLENS LTD</t>
  </si>
  <si>
    <t>MODERN (INDIA) LTD</t>
  </si>
  <si>
    <t>MODERN CONVERTERS LTD</t>
  </si>
  <si>
    <t>MODERN DAIRIES LTD</t>
  </si>
  <si>
    <t>MODERN INDIA LTD</t>
  </si>
  <si>
    <t>MODERN SHARES &amp; STOCKBROKERS LTD</t>
  </si>
  <si>
    <t>MODERN STEELS LTD.-$</t>
  </si>
  <si>
    <t>MDRNSTL</t>
  </si>
  <si>
    <t>Iron &amp;amp; Steel/Interm.Products</t>
  </si>
  <si>
    <t>MODEX INTERNATIONAL SECURITIES LTD</t>
  </si>
  <si>
    <t>MODI NATURALS LTD</t>
  </si>
  <si>
    <t>MODI RUBBER LTD</t>
  </si>
  <si>
    <t>MODIRUBBER</t>
  </si>
  <si>
    <t>MODIPON LTD</t>
  </si>
  <si>
    <t>MODISON METALS LTD</t>
  </si>
  <si>
    <t>MOHINI HEALTH &amp; HYGIENE LTD</t>
  </si>
  <si>
    <t>MHHL</t>
  </si>
  <si>
    <t>MOHIT INDUSTRIES LTD</t>
  </si>
  <si>
    <t>MOHITIND</t>
  </si>
  <si>
    <t>MOHIT PAPER MILLS LTD</t>
  </si>
  <si>
    <t>MOHITE INDUSTRIES LTD</t>
  </si>
  <si>
    <t>MOHOTA INDUSTRIES LTD</t>
  </si>
  <si>
    <t>MOHOTAIND</t>
  </si>
  <si>
    <t>MOIL LTD</t>
  </si>
  <si>
    <t>MOIL</t>
  </si>
  <si>
    <t>MOKSH ORNAMENTS LTD</t>
  </si>
  <si>
    <t>MOKSH</t>
  </si>
  <si>
    <t>MOLD-TEK PACKAGING LTD</t>
  </si>
  <si>
    <t>MOLDTKPAC</t>
  </si>
  <si>
    <t>MOLD-TEK TECHNOLOGIES LTD</t>
  </si>
  <si>
    <t>MOLDTECH</t>
  </si>
  <si>
    <t>MONARCH NETWORTH CAPITAL LTD</t>
  </si>
  <si>
    <t>MONEY MASTERS LEASING &amp; FINANCE LTD</t>
  </si>
  <si>
    <t>MONNET INDUSTRIES LTD</t>
  </si>
  <si>
    <t>MONNET ISPAT &amp; ENERGY LTD</t>
  </si>
  <si>
    <t>AIONJSW</t>
  </si>
  <si>
    <t>MONNET PROJECT DEVELOPERS LTD</t>
  </si>
  <si>
    <t>MONOTYPE (INDIA) LTD</t>
  </si>
  <si>
    <t>MONOTYPE INDIA LTD</t>
  </si>
  <si>
    <t>MONSANTO (INDIA) LTD</t>
  </si>
  <si>
    <t>MONSANTO</t>
  </si>
  <si>
    <t>MONSANTO INDIA LTD</t>
  </si>
  <si>
    <t>MONTE CARLO FASHIONS LTD</t>
  </si>
  <si>
    <t>MONTECARLO</t>
  </si>
  <si>
    <t>MOONGIPA CAPITAL FINANCE LTD</t>
  </si>
  <si>
    <t>MOONGIPA SECURITIES LTD</t>
  </si>
  <si>
    <t>MORARJEE TEXTILES LTD</t>
  </si>
  <si>
    <t>MORARJEE</t>
  </si>
  <si>
    <t>MORARKA FINANCE LTD</t>
  </si>
  <si>
    <t>MOREPEN LABORATORIES LTD</t>
  </si>
  <si>
    <t>MOREPENLAB</t>
  </si>
  <si>
    <t>MORGAN VENTURES LTD</t>
  </si>
  <si>
    <t>MORGANITE CRUCIBLE (INDIA) LTD</t>
  </si>
  <si>
    <t>MORGANITE CRUCIBLE INDIA LTD</t>
  </si>
  <si>
    <t>MORYO INDUSTRIES LTD.</t>
  </si>
  <si>
    <t>MORYOIND</t>
  </si>
  <si>
    <t>MOSCHIP SEMICONDUCTOR TECHNOLOGY LTD</t>
  </si>
  <si>
    <t>MOSER-BAER I LTD</t>
  </si>
  <si>
    <t>MOSERBAER</t>
  </si>
  <si>
    <t>MOTHERSON SUMI SYSTEMS LTD</t>
  </si>
  <si>
    <t>MOTHERSUMI</t>
  </si>
  <si>
    <t>MOTILAL OSWAL FINANCIAL SERVICES LTD</t>
  </si>
  <si>
    <t>MOTILALOFS</t>
  </si>
  <si>
    <t>Motilal Oswal MOSt Shares M50 ETF</t>
  </si>
  <si>
    <t>M50</t>
  </si>
  <si>
    <t>Motilal Oswal MOSt Shares NASDAQ-100 ETF</t>
  </si>
  <si>
    <t>N100</t>
  </si>
  <si>
    <t>MOUNT SHIVALIK INDUSTRIES LTD</t>
  </si>
  <si>
    <t>MPHASIS LTD</t>
  </si>
  <si>
    <t>MPHASIS</t>
  </si>
  <si>
    <t>MPIL CORPORATION LTD</t>
  </si>
  <si>
    <t>MPL PLASTICS LTD</t>
  </si>
  <si>
    <t>MPS LTD</t>
  </si>
  <si>
    <t>MPSLTD</t>
  </si>
  <si>
    <t>MRC EXIM LTD</t>
  </si>
  <si>
    <t>MRF LTD</t>
  </si>
  <si>
    <t>MRF</t>
  </si>
  <si>
    <t>MRO-TEK REALTY LTD</t>
  </si>
  <si>
    <t>MRO-TEK</t>
  </si>
  <si>
    <t>MRUGESH TRADING LTD</t>
  </si>
  <si>
    <t>MSP STEEL &amp; POWER LTD</t>
  </si>
  <si>
    <t>MSPL</t>
  </si>
  <si>
    <t>MSR (INDIA) LTD</t>
  </si>
  <si>
    <t>MSR INDIA LTD</t>
  </si>
  <si>
    <t>Mstc LTD</t>
  </si>
  <si>
    <t>MSTCLTD</t>
  </si>
  <si>
    <t>MSTC Ltd</t>
  </si>
  <si>
    <t>MSTC</t>
  </si>
  <si>
    <t>MT EDUCARE LTD</t>
  </si>
  <si>
    <t>MTEDUCARE</t>
  </si>
  <si>
    <t>MUDIT FINLEASE LTD</t>
  </si>
  <si>
    <t>MUDRA FINANCIAL SERVICES LTD</t>
  </si>
  <si>
    <t>MUDUNURU LTD</t>
  </si>
  <si>
    <t>MUKAND ENGINEERS LTD</t>
  </si>
  <si>
    <t>MUKANDENGG</t>
  </si>
  <si>
    <t>MUKAND LTD</t>
  </si>
  <si>
    <t>MUKANDLTD</t>
  </si>
  <si>
    <t>MUKAT PIPES LTD.-$</t>
  </si>
  <si>
    <t>MUKATPIP</t>
  </si>
  <si>
    <t>MUKESH BABU FINANCIAL SERVICES LTD</t>
  </si>
  <si>
    <t>MUKTA AGRICULTURE LTD</t>
  </si>
  <si>
    <t>MUKTA ARTS LTD</t>
  </si>
  <si>
    <t>MUKTAARTS</t>
  </si>
  <si>
    <t>MULLER &amp; PHIPPS (INDIA) LTD</t>
  </si>
  <si>
    <t>MULLER &amp; PHIPPS INDIA LTD</t>
  </si>
  <si>
    <t>MULTI COMMODITY EXCHANGE OF (INDIA) LTD</t>
  </si>
  <si>
    <t>MCX</t>
  </si>
  <si>
    <t>MULTI COMMODITY EXCHANGE OF INDIA LTD</t>
  </si>
  <si>
    <t>MULTIBASE (INDIA) LTD</t>
  </si>
  <si>
    <t>MULTIBASE INDIA LTD</t>
  </si>
  <si>
    <t>MULTIPLUS HOLDINGS LTD</t>
  </si>
  <si>
    <t>MULTIPURPOSE TRADING &amp; AGENCIES LTD</t>
  </si>
  <si>
    <t>MUNJAL AUTO INDUSTRIES LTD</t>
  </si>
  <si>
    <t>MUNJALAU</t>
  </si>
  <si>
    <t>MUNJAL SHOWA LTD</t>
  </si>
  <si>
    <t>MUNJALSHOW</t>
  </si>
  <si>
    <t>MUNOTH CAPITAL MARKET LTD</t>
  </si>
  <si>
    <t>Munoth Communication Ltd</t>
  </si>
  <si>
    <t>MCLTD</t>
  </si>
  <si>
    <t>MUNOTH FINANCIAL SERVICES LTD</t>
  </si>
  <si>
    <t>MURUDESHWAR CERAMICS LTD</t>
  </si>
  <si>
    <t>MURUDCERA</t>
  </si>
  <si>
    <t>MUSIC BROADCAST LTD</t>
  </si>
  <si>
    <t>RADIOCITY</t>
  </si>
  <si>
    <t>MUTHOOT CAPITAL SERVICES LTD</t>
  </si>
  <si>
    <t>MUTHOOTCAP</t>
  </si>
  <si>
    <t>MUTHOOT FINANCE LTD</t>
  </si>
  <si>
    <t>MUTHOOTFIN</t>
  </si>
  <si>
    <t>MVL LTD</t>
  </si>
  <si>
    <t>MVL</t>
  </si>
  <si>
    <t>MY MONEY SECURITIES LTD</t>
  </si>
  <si>
    <t>MYSORE PETRO CHEMICALS LTD</t>
  </si>
  <si>
    <t>MYSTIC ELECTRONICS LTD</t>
  </si>
  <si>
    <t>N B I INDUSTRIAL FINANCE COMPANY LTD</t>
  </si>
  <si>
    <t>NBIFIN</t>
  </si>
  <si>
    <t>N D METAL INDUSTRIES LTD</t>
  </si>
  <si>
    <t>N G INDUSTRIES LTD</t>
  </si>
  <si>
    <t>N R AGARWAL INDUSTRIES LTD</t>
  </si>
  <si>
    <t>NRAIL</t>
  </si>
  <si>
    <t>N R INTERNATIONAL LTD</t>
  </si>
  <si>
    <t>N2N TECHNOLOGIES LTD</t>
  </si>
  <si>
    <t>NACL INDUSTRIES LTD</t>
  </si>
  <si>
    <t>NACLIND</t>
  </si>
  <si>
    <t>NAGA DHUNSERI GROUP LTD</t>
  </si>
  <si>
    <t>NDGL</t>
  </si>
  <si>
    <t>NAGARJUNA AGRI TECH LTD</t>
  </si>
  <si>
    <t>NAGARJUNA FERTILIZERS AND CHEMICALS LTD</t>
  </si>
  <si>
    <t>NAGAFERT</t>
  </si>
  <si>
    <t>NAGARJUNA OIL REFINERY LTD</t>
  </si>
  <si>
    <t>NAGAROIL</t>
  </si>
  <si>
    <t>NAGPUR POWER &amp; INDUSTRIES LTD</t>
  </si>
  <si>
    <t>NAGREEKA CAPITAL &amp; INFRASTRUCTURE LTD</t>
  </si>
  <si>
    <t>NAGREEKCAP</t>
  </si>
  <si>
    <t>NAGREEKA EXPORTS LTD</t>
  </si>
  <si>
    <t>NAGREEKEXP</t>
  </si>
  <si>
    <t>NAHAR CAPITAL AND FINANCIAL SERVICES LTD</t>
  </si>
  <si>
    <t>NAHARCAP</t>
  </si>
  <si>
    <t>NAHAR INDUSTRIAL ENTERPRISES LTD</t>
  </si>
  <si>
    <t>NAHARINDUS</t>
  </si>
  <si>
    <t>NAHAR POLY FILMS LTD</t>
  </si>
  <si>
    <t>NAHARPOLY</t>
  </si>
  <si>
    <t>NAHAR SPINNING MILLS LTD</t>
  </si>
  <si>
    <t>NAHARSPING</t>
  </si>
  <si>
    <t>NAKODA GROUP OF INDUSTRIES LTD</t>
  </si>
  <si>
    <t>NALIN LEASE FINANCE LTD</t>
  </si>
  <si>
    <t>NALWA SONS INVESTMENTS LTD</t>
  </si>
  <si>
    <t>NSIL</t>
  </si>
  <si>
    <t>NAM SECURITIES LTD</t>
  </si>
  <si>
    <t>NANDAN DENIM LTD</t>
  </si>
  <si>
    <t>NDL</t>
  </si>
  <si>
    <t>NANDANI CREATION LTD</t>
  </si>
  <si>
    <t>NANDANI</t>
  </si>
  <si>
    <t>NARAYANA HRUDAYALAYA LTD</t>
  </si>
  <si>
    <t>NH</t>
  </si>
  <si>
    <t>NARAYANI STEELS LTD</t>
  </si>
  <si>
    <t>NARBADA GEMS AND JEWELLERY LTD</t>
  </si>
  <si>
    <t>Narendra Investments (Delhi) Ltd</t>
  </si>
  <si>
    <t>NIDL</t>
  </si>
  <si>
    <t>NARENDRA PROPERTIES LTD</t>
  </si>
  <si>
    <t>NARMADA AGROBASE LTD</t>
  </si>
  <si>
    <t>NARMADA</t>
  </si>
  <si>
    <t>NARMADA GELATINES LTD</t>
  </si>
  <si>
    <t>NARMADA MACPLAST DRIP IRRIGATION SYSTEMS LTD.</t>
  </si>
  <si>
    <t>NARMP</t>
  </si>
  <si>
    <t>NATCO ECONOMICALS LTD</t>
  </si>
  <si>
    <t>NATCO PHARMA LTD</t>
  </si>
  <si>
    <t>NATCOPHARM</t>
  </si>
  <si>
    <t>NATH BIO-GENES (INDIA) LTD</t>
  </si>
  <si>
    <t>NATHBIOGEN</t>
  </si>
  <si>
    <t>NATH BIO-GENES INDIA LTD</t>
  </si>
  <si>
    <t>NATH PULP &amp; PAPER MILLS LTD</t>
  </si>
  <si>
    <t>NATIONAL ALUMINIUM COMPANY LTD</t>
  </si>
  <si>
    <t>NATIONALUM</t>
  </si>
  <si>
    <t>NATIONAL FERTILIZERS LTD</t>
  </si>
  <si>
    <t>NFL</t>
  </si>
  <si>
    <t>NATIONAL FITTINGS LTD</t>
  </si>
  <si>
    <t>NATIONAL GENERAL INDUSTRIES LTD</t>
  </si>
  <si>
    <t>NATIONAL OXYGEN LTD</t>
  </si>
  <si>
    <t>NATIONAL PEROXIDE LTD</t>
  </si>
  <si>
    <t>NATIONAL PLASTIC INDUSTRIES LTD</t>
  </si>
  <si>
    <t>NATIONAL PLASTIC TECHNOLOGIES LTD</t>
  </si>
  <si>
    <t>NATIONAL PLYWOOD INDUSTRIES LTD</t>
  </si>
  <si>
    <t>NATIONAL STANDARD (INDIA) LTD</t>
  </si>
  <si>
    <t>NATIONAL STANDARD INDIA LTD</t>
  </si>
  <si>
    <t>NATIONAL STEEL AND AGRO INDUSTRIES LTD</t>
  </si>
  <si>
    <t>NATNLSTEEL</t>
  </si>
  <si>
    <t>NATRAJ PROTEINS LTD</t>
  </si>
  <si>
    <t>NATURA HUE CHEM LTD</t>
  </si>
  <si>
    <t>NATURAL CAPSULES LTD</t>
  </si>
  <si>
    <t>NATURITE AGRO PRODUCTS LTD</t>
  </si>
  <si>
    <t>NAVA BHARAT VENTURES LTD</t>
  </si>
  <si>
    <t>NBVENTURES</t>
  </si>
  <si>
    <t>NAVIGANT CORPORATE ADVISORS LTD</t>
  </si>
  <si>
    <t>NAVIN FLUORINE INTERNATIONAL LTD</t>
  </si>
  <si>
    <t>NAVINFLUOR</t>
  </si>
  <si>
    <t>NAVKAR BUILDERS LTD</t>
  </si>
  <si>
    <t>NAVKAR CORPORATION LTD</t>
  </si>
  <si>
    <t>NAVKARCORP</t>
  </si>
  <si>
    <t>NAVKETAN MERCHANTS LTD</t>
  </si>
  <si>
    <t>NAVNEET EDUCATION LTD</t>
  </si>
  <si>
    <t>NAVNETEDUL</t>
  </si>
  <si>
    <t>NAYSAA SECURITIES LTD</t>
  </si>
  <si>
    <t>NB FOOTWEAR LTD</t>
  </si>
  <si>
    <t>NBCC (INDIA) LTD</t>
  </si>
  <si>
    <t>NBCC</t>
  </si>
  <si>
    <t>NBCC INDIA LTD</t>
  </si>
  <si>
    <t>NCC BLUE WATER PRODUCTS LTD</t>
  </si>
  <si>
    <t>NCC FINANCE LTD</t>
  </si>
  <si>
    <t>NCC LTD</t>
  </si>
  <si>
    <t>NCC</t>
  </si>
  <si>
    <t>NCL INDUSTRIES LTD</t>
  </si>
  <si>
    <t>NCLIND</t>
  </si>
  <si>
    <t>NCL RESEARCH &amp; FINANCIAL SERVICES LTD</t>
  </si>
  <si>
    <t>NDA SECURITIES LTD</t>
  </si>
  <si>
    <t>NECTAR LIFESCIENCES LTD</t>
  </si>
  <si>
    <t>NECLIFE</t>
  </si>
  <si>
    <t>NEELAMALAI AGRO INDUSTRIES LTD</t>
  </si>
  <si>
    <t>NEELKANTH ROCKMINERALS LTD</t>
  </si>
  <si>
    <t>NEERAJ PAPER MARKETING LTD</t>
  </si>
  <si>
    <t>NEGOTIUM INTERNATIONAL TRADE LTD</t>
  </si>
  <si>
    <t>NEHA INTERNATIONAL LTD</t>
  </si>
  <si>
    <t>NEIL INDUSTRIES LTD</t>
  </si>
  <si>
    <t>NELCAST LTD</t>
  </si>
  <si>
    <t>NELCAST</t>
  </si>
  <si>
    <t>NELCO LTD</t>
  </si>
  <si>
    <t>NELCO</t>
  </si>
  <si>
    <t>NEO INFRACON LTD</t>
  </si>
  <si>
    <t>NEOGEM (INDIA) LTD</t>
  </si>
  <si>
    <t>NEOGEM INDIA LTD</t>
  </si>
  <si>
    <t>Neogen Chemicals Ltd</t>
  </si>
  <si>
    <t>NEOGEN</t>
  </si>
  <si>
    <t>NEPTUNE EXPORTS LTD</t>
  </si>
  <si>
    <t>NESCO LTD</t>
  </si>
  <si>
    <t>NESCO</t>
  </si>
  <si>
    <t>NESTLE (INDIA) LTD</t>
  </si>
  <si>
    <t>NESTLEIND</t>
  </si>
  <si>
    <t>NESTLE INDIA LTD</t>
  </si>
  <si>
    <t>NETLINK SOLUTIONS (INDIA) LTD</t>
  </si>
  <si>
    <t>NETLINK SOLUTIONS INDIA LTD</t>
  </si>
  <si>
    <t>NETRIPPLES SOFTWARE LTD</t>
  </si>
  <si>
    <t>NETTLINX LTD</t>
  </si>
  <si>
    <t>NETWORK LTD</t>
  </si>
  <si>
    <t>NETWORK18 MEDIA &amp; INVESTMENTS LTD</t>
  </si>
  <si>
    <t>NETWORK18</t>
  </si>
  <si>
    <t>NEUEON TOWERS LTD</t>
  </si>
  <si>
    <t>NTL</t>
  </si>
  <si>
    <t>NEULAND LABORATORIES LTD</t>
  </si>
  <si>
    <t>NEULANDLAB</t>
  </si>
  <si>
    <t>NEW DELHI TELEVISION LTD</t>
  </si>
  <si>
    <t>NDTV</t>
  </si>
  <si>
    <t>NEW LIGHT APPARELS LTD</t>
  </si>
  <si>
    <t>NEW MARKETS ADVISORY LTD</t>
  </si>
  <si>
    <t>NEW SAGAR TRADING CO LTD</t>
  </si>
  <si>
    <t>NEWEVER TRADE WINGS LTD</t>
  </si>
  <si>
    <t>NEWGEN SOFTWARE TECHNOLOGIES LTD</t>
  </si>
  <si>
    <t>NEWGEN</t>
  </si>
  <si>
    <t>NEXT MEDIAWORKS LTD</t>
  </si>
  <si>
    <t>NEXTMEDIA</t>
  </si>
  <si>
    <t>NEXUS COMMODITIES AND TECHNOLOGIES LTD</t>
  </si>
  <si>
    <t>NGL FINE-CHEM LTD</t>
  </si>
  <si>
    <t>NHC FOODS LTD</t>
  </si>
  <si>
    <t>NHPC LTD</t>
  </si>
  <si>
    <t>NHPC</t>
  </si>
  <si>
    <t>NICCO PARKS &amp; RESORTS LTD</t>
  </si>
  <si>
    <t>NICCO UCO ALLIANCE CREDIT LTD</t>
  </si>
  <si>
    <t>NIDHI GRANITES LTD</t>
  </si>
  <si>
    <t>NIHAR INFO GLOBAL LTD</t>
  </si>
  <si>
    <t>NIIT LTD</t>
  </si>
  <si>
    <t>NIITLTD</t>
  </si>
  <si>
    <t>NIIT TECHNOLOGIES LTD</t>
  </si>
  <si>
    <t>NIITTECH</t>
  </si>
  <si>
    <t>NIKHIL ADHESIVES LTD</t>
  </si>
  <si>
    <t>NIKKI GLOBAL FINANCE LTD</t>
  </si>
  <si>
    <t>NILA INFRASTRUCTURES LTD</t>
  </si>
  <si>
    <t>NILAINFRA</t>
  </si>
  <si>
    <t>Nila Spaces Ltd</t>
  </si>
  <si>
    <t>NILASPACES</t>
  </si>
  <si>
    <t>NILACHAL REFRACTORIES LTD</t>
  </si>
  <si>
    <t>NILE LTD</t>
  </si>
  <si>
    <t>NILKAMAL LTD</t>
  </si>
  <si>
    <t>NILKAMAL</t>
  </si>
  <si>
    <t>NILKANTH ENGINEERING LTD</t>
  </si>
  <si>
    <t>NIMBUS FOODS INDUSTRIES LTD</t>
  </si>
  <si>
    <t>NIMBUS INDUSTRIES LTD</t>
  </si>
  <si>
    <t>NIMBUS PROJECTS LTD</t>
  </si>
  <si>
    <t>NINTEC SYSTEMS LTD</t>
  </si>
  <si>
    <t>NIRAJ CEMENT STRUCTURALS LTD</t>
  </si>
  <si>
    <t>NIRAJ ISPAT INDUSTRIES LTD</t>
  </si>
  <si>
    <t>NIRAJISPAT</t>
  </si>
  <si>
    <t>NIRAV COMMERCIALS LTD</t>
  </si>
  <si>
    <t>NIRLON LTD</t>
  </si>
  <si>
    <t>NISHTHA FINANCE AND INVESTMENT (INDIA) LTD</t>
  </si>
  <si>
    <t>NISHTHA FINANCE AND INVESTMENT INDIA LTD</t>
  </si>
  <si>
    <t>NITCO LTD</t>
  </si>
  <si>
    <t>NITCO</t>
  </si>
  <si>
    <t>NITESH ESTATES LTD</t>
  </si>
  <si>
    <t>NITESHEST</t>
  </si>
  <si>
    <t>NITIN CASTINGS LTD</t>
  </si>
  <si>
    <t>NITIN FIRE PROTECTION INDUSTRIES LTD</t>
  </si>
  <si>
    <t>NITINFIRE</t>
  </si>
  <si>
    <t>NITIN SPINNERS LTD</t>
  </si>
  <si>
    <t>NITINSPIN</t>
  </si>
  <si>
    <t>NITIRAJ ENGINEERS LTD</t>
  </si>
  <si>
    <t>NITIRAJ</t>
  </si>
  <si>
    <t>NITTA GELATIN (INDIA) LTD</t>
  </si>
  <si>
    <t>NITTA GELATIN INDIA LTD</t>
  </si>
  <si>
    <t>NIVEDITA MERCANTILE &amp; FINANCING LTD</t>
  </si>
  <si>
    <t>NIVI TRADING LTD</t>
  </si>
  <si>
    <t>NIYOGIN FINTECH LTD</t>
  </si>
  <si>
    <t>NK INDUSTRIES LTD</t>
  </si>
  <si>
    <t>NKIND</t>
  </si>
  <si>
    <t>NLC (INDIA) LTD</t>
  </si>
  <si>
    <t>NLC(INDIA)</t>
  </si>
  <si>
    <t>NLC INDIA LTD</t>
  </si>
  <si>
    <t>NLCINDIA</t>
  </si>
  <si>
    <t>NMDC LTD</t>
  </si>
  <si>
    <t>NMDC</t>
  </si>
  <si>
    <t>NOCIL LTD</t>
  </si>
  <si>
    <t>NOCIL</t>
  </si>
  <si>
    <t>NOIDA TOLL BRIDGE COMPANY LTD</t>
  </si>
  <si>
    <t>NOIDATOLL</t>
  </si>
  <si>
    <t>NORBEN TEA &amp; EXPORTS LTD</t>
  </si>
  <si>
    <t>NORBTEAEXP</t>
  </si>
  <si>
    <t>NORRIS MEDICINES LTD</t>
  </si>
  <si>
    <t>NORTH EASTERN CARRYING CORPORATION LTD</t>
  </si>
  <si>
    <t>NECCLTD</t>
  </si>
  <si>
    <t>Northern Spirits Ltd</t>
  </si>
  <si>
    <t>NSL</t>
  </si>
  <si>
    <t>NORTHLINK FISCAL AND CAPITAL SERVICES LTD</t>
  </si>
  <si>
    <t>NOURITRANS EXIM LTD</t>
  </si>
  <si>
    <t>NOUVEAU GLOBAL VENTURES LTD</t>
  </si>
  <si>
    <t>NOVA IRON &amp; STEEL LTD</t>
  </si>
  <si>
    <t>NOVA PUBLICATIONS (INDIA) LTD</t>
  </si>
  <si>
    <t>NOVA PUBLICATIONS INDIA LTD</t>
  </si>
  <si>
    <t>NOVARTIS (INDIA) LTD</t>
  </si>
  <si>
    <t>NOVARTIS INDIA LTD</t>
  </si>
  <si>
    <t>NPR FINANCE LTD</t>
  </si>
  <si>
    <t>NRB BEARING LTD</t>
  </si>
  <si>
    <t>NRBBEARING</t>
  </si>
  <si>
    <t>NRB INDUSTRIAL BEARINGS LTD</t>
  </si>
  <si>
    <t>NIBL</t>
  </si>
  <si>
    <t>NTC INDUSTRIES LTD</t>
  </si>
  <si>
    <t>NTPC LTD</t>
  </si>
  <si>
    <t>NTPC</t>
  </si>
  <si>
    <t>NU TEK (INDIA) LTD</t>
  </si>
  <si>
    <t>NUTEK</t>
  </si>
  <si>
    <t>NU TEK INDIA LTD</t>
  </si>
  <si>
    <t>NUCLEUS SOFTWARE EXPORTS LTD</t>
  </si>
  <si>
    <t>NUCLEUS</t>
  </si>
  <si>
    <t>NUTECH GLOBAL LTD</t>
  </si>
  <si>
    <t>NUTRAPLUS (INDIA) LTD</t>
  </si>
  <si>
    <t>NUTRAPLUS INDIA LTD</t>
  </si>
  <si>
    <t>NUTRICIRCLE LTD</t>
  </si>
  <si>
    <t>NUWAY ORGANIC NATURALS (INDIA) LTD</t>
  </si>
  <si>
    <t>NUWAY ORGANIC NATURALS INDIA LTD</t>
  </si>
  <si>
    <t>NYSSA CORPORATION LTD</t>
  </si>
  <si>
    <t>O  P  CHAINS LTD</t>
  </si>
  <si>
    <t>OASIS SECURITIES LTD</t>
  </si>
  <si>
    <t>OASIS TRADELINK LTD</t>
  </si>
  <si>
    <t>OBEROI REALTY LTD</t>
  </si>
  <si>
    <t>OBEROIRLTY</t>
  </si>
  <si>
    <t>OBJECTONE INFORMATION SYSTEMS LTD</t>
  </si>
  <si>
    <t>OCEAN AGRO (INDIA) LTD</t>
  </si>
  <si>
    <t>OCEAN AGRO INDIA LTD</t>
  </si>
  <si>
    <t>OCEANAA BIOTEK INDUSTRIES LTD</t>
  </si>
  <si>
    <t>OCEANIC FOODS LTD</t>
  </si>
  <si>
    <t>OCL IRON AND STEEL LTD</t>
  </si>
  <si>
    <t>OISL</t>
  </si>
  <si>
    <t>OCTAL CREDIT CAPITAL LTD</t>
  </si>
  <si>
    <t>OCTAWARE TECHNOLOGIES LTD</t>
  </si>
  <si>
    <t>ODYSSEY CORPORATION LTD</t>
  </si>
  <si>
    <t>ODYSSEY TECHNOLOGIES LTD</t>
  </si>
  <si>
    <t>OFS TECHNOLOGIES LTD</t>
  </si>
  <si>
    <t>OIL &amp; NATURAL GAS CORPORATION LTD</t>
  </si>
  <si>
    <t>ONGC</t>
  </si>
  <si>
    <t>OIL (INDIA) LTD</t>
  </si>
  <si>
    <t>OIL</t>
  </si>
  <si>
    <t>OIL COUNTRY TUBULAR LTD</t>
  </si>
  <si>
    <t>OILCOUNTUB</t>
  </si>
  <si>
    <t>OIL INDIA LTD</t>
  </si>
  <si>
    <t>OK PLAY (INDIA) LTD</t>
  </si>
  <si>
    <t>OK PLAY INDIA LTD</t>
  </si>
  <si>
    <t>OLECTRA GREENTECH LTD</t>
  </si>
  <si>
    <t>OLECTRA</t>
  </si>
  <si>
    <t>OLYMPIA INDUSTRIES LTD</t>
  </si>
  <si>
    <t>OLYMPIC CARDS LTD</t>
  </si>
  <si>
    <t>OLYMPIC OIL INDUSTRIES LTD</t>
  </si>
  <si>
    <t>OM METALS INFRAPROJECTS LTD</t>
  </si>
  <si>
    <t>OMMETALS</t>
  </si>
  <si>
    <t>OMANSH ENTERPRISES LTD</t>
  </si>
  <si>
    <t>OMAX AUTOS LTD</t>
  </si>
  <si>
    <t>OMAXAUTO</t>
  </si>
  <si>
    <t>OMAXE LTD</t>
  </si>
  <si>
    <t>OMAXE</t>
  </si>
  <si>
    <t>OMFURN (INDIA) LTD</t>
  </si>
  <si>
    <t>OMFURN</t>
  </si>
  <si>
    <t>OMFURN INDIA LTD</t>
  </si>
  <si>
    <t>OMKAR OVERSEAS LTD</t>
  </si>
  <si>
    <t>OMKAR PHARMACHEM LTD</t>
  </si>
  <si>
    <t>OMKAR SPECIALITY CHEMICALS LTD</t>
  </si>
  <si>
    <t>OMKARCHEM</t>
  </si>
  <si>
    <t>OMNI AXS SOFTWARE LTD</t>
  </si>
  <si>
    <t>OMNITEX INDUSTRIES (INDIA) LTD</t>
  </si>
  <si>
    <t>OMNITEX INDUSTRIES INDIA LTD</t>
  </si>
  <si>
    <t>ONE POINT ONE SOLUTIONS LTD</t>
  </si>
  <si>
    <t>ONEPOINT</t>
  </si>
  <si>
    <t>ONELIFE CAPITAL ADVISORS LTD</t>
  </si>
  <si>
    <t>ONELIFECAP</t>
  </si>
  <si>
    <t>ONESOURCE IDEAS VENTURE LTD</t>
  </si>
  <si>
    <t>ONESOURCE TECHMEDIA LTD</t>
  </si>
  <si>
    <t>ONMOBILE GLOBAL LTD</t>
  </si>
  <si>
    <t>ONMOBILE</t>
  </si>
  <si>
    <t>ONTIC FINSERVE LTD</t>
  </si>
  <si>
    <t>ONWARD TECHNOLOGIES LTD</t>
  </si>
  <si>
    <t>ONWARDTEC</t>
  </si>
  <si>
    <t>OPAL LUXURY TIME PRODUCTS LTD</t>
  </si>
  <si>
    <t>OPAL</t>
  </si>
  <si>
    <t>OPTIEMUS INFRACOM LTD</t>
  </si>
  <si>
    <t>OPTIEMUS</t>
  </si>
  <si>
    <t>OPTIMUS FINANCE LTD</t>
  </si>
  <si>
    <t>OPTO CIRCUITS (INDIA) LTD</t>
  </si>
  <si>
    <t>OPTOCIRCUI</t>
  </si>
  <si>
    <t>OPTO CIRCUITS INDIA LTD</t>
  </si>
  <si>
    <t>ORACLE CREDIT LTD</t>
  </si>
  <si>
    <t>ORACLE FINANCIAL SERVICES SOFTWARE LTD</t>
  </si>
  <si>
    <t>OFSS</t>
  </si>
  <si>
    <t>ORBIT EXPORTS LTD</t>
  </si>
  <si>
    <t>ORBTEXP</t>
  </si>
  <si>
    <t>ORCHID PHARMA LTD</t>
  </si>
  <si>
    <t>ORCHIDPHAR</t>
  </si>
  <si>
    <t>ORGANIC COATINGS LTD</t>
  </si>
  <si>
    <t>ORICON ENTERPRISES LTD</t>
  </si>
  <si>
    <t>ORICONENT</t>
  </si>
  <si>
    <t>ORIENT ABRASIVES LTD</t>
  </si>
  <si>
    <t>ORIENTABRA</t>
  </si>
  <si>
    <t>ORIENT BELL LTD</t>
  </si>
  <si>
    <t>ORIENTBELL</t>
  </si>
  <si>
    <t>ORIENT BEVERAGES LTD</t>
  </si>
  <si>
    <t>ORIENT CEMENT LTD</t>
  </si>
  <si>
    <t>ORIENTCEM</t>
  </si>
  <si>
    <t>ORIENT ELECTRIC LTD</t>
  </si>
  <si>
    <t>ORIENTELEC</t>
  </si>
  <si>
    <t>ORIENT GREEN POWER COMPANY LTD</t>
  </si>
  <si>
    <t>GREENPOWER</t>
  </si>
  <si>
    <t>ORIENT PAPER &amp; INDUSTRIES LTD</t>
  </si>
  <si>
    <t>ORIENTPPR</t>
  </si>
  <si>
    <t>ORIENT PRESS LTD</t>
  </si>
  <si>
    <t>ORIENTLTD</t>
  </si>
  <si>
    <t>ORIENT REFRACTORIES LTD</t>
  </si>
  <si>
    <t>ORIENTREF</t>
  </si>
  <si>
    <t>ORIENT TRADELINK LTD</t>
  </si>
  <si>
    <t>ORIENTAL AROMATICS LTD</t>
  </si>
  <si>
    <t>ORIENTAL BANK OF COMMERCE</t>
  </si>
  <si>
    <t>ORIENTBANK</t>
  </si>
  <si>
    <t>ORIENTAL CARBON &amp; CHEMICALS LTD</t>
  </si>
  <si>
    <t>OCCL</t>
  </si>
  <si>
    <t>ORIENTAL HOTELS LTD</t>
  </si>
  <si>
    <t>ORIENTHOT</t>
  </si>
  <si>
    <t>ORIENTAL TRIMEX LTD</t>
  </si>
  <si>
    <t>ORIENTALTL</t>
  </si>
  <si>
    <t>ORIENTAL VENEER PRODUCTS LTD</t>
  </si>
  <si>
    <t>ORISSA BENGAL CARRIER LTD</t>
  </si>
  <si>
    <t>OROSIL SMITHS (INDIA) LTD</t>
  </si>
  <si>
    <t>OROSIL SMITHS INDIA LTD</t>
  </si>
  <si>
    <t>ORTEL COMMUNICATIONS LTD</t>
  </si>
  <si>
    <t>ORTEL</t>
  </si>
  <si>
    <t>ORTIN LABORATORIES LTD</t>
  </si>
  <si>
    <t>ORTINLABSS</t>
  </si>
  <si>
    <t>OSCAR GLOBAL LTD</t>
  </si>
  <si>
    <t>OSCAR INVESTMENTS LTD</t>
  </si>
  <si>
    <t>OSEASPRE CONSULTANTS LTD</t>
  </si>
  <si>
    <t>OSIAJEE TEXFAB LTD</t>
  </si>
  <si>
    <t>OSWAL AGRO MILLS LTD</t>
  </si>
  <si>
    <t>OSWALAGRO</t>
  </si>
  <si>
    <t>OSWAL CHEMICALS &amp; FERTILIZERS LTD</t>
  </si>
  <si>
    <t>BINDALAGRO</t>
  </si>
  <si>
    <t>OSWAL LEASING LTD</t>
  </si>
  <si>
    <t>OSWAL OVERSEAS LTD</t>
  </si>
  <si>
    <t>OSWAL YARNS LTD</t>
  </si>
  <si>
    <t>OTCO INTERNATIONAL LTD</t>
  </si>
  <si>
    <t>OVERSEAS SYNTHETICS LTD</t>
  </si>
  <si>
    <t>OVOBEL FOODS LTD</t>
  </si>
  <si>
    <t>OZONE WORLD LTD</t>
  </si>
  <si>
    <t>P  B  FILMS LTD</t>
  </si>
  <si>
    <t>P M TELELINNKS LTD</t>
  </si>
  <si>
    <t>PACHELI INDUSTRIAL FINANCE LTD</t>
  </si>
  <si>
    <t>PACIFIC INDUSTRIES LTD</t>
  </si>
  <si>
    <t>PACT INDUSTRIES LTD</t>
  </si>
  <si>
    <t>PADAM COTTON YARNS LTD</t>
  </si>
  <si>
    <t>PADMALAYA TELEFILMS LTD</t>
  </si>
  <si>
    <t>PADMANABH INDUSTRIES LTD</t>
  </si>
  <si>
    <t>PAE LTD</t>
  </si>
  <si>
    <t>PAEL</t>
  </si>
  <si>
    <t>PAGE INDUSTRIES LTD</t>
  </si>
  <si>
    <t>PAGEIND</t>
  </si>
  <si>
    <t>PAISALO DIGITAL LTD</t>
  </si>
  <si>
    <t>PAISALO</t>
  </si>
  <si>
    <t>PALASH SECURITIES LTD</t>
  </si>
  <si>
    <t>PALASHSECU</t>
  </si>
  <si>
    <t>PALCO METALS LTD</t>
  </si>
  <si>
    <t>PALM JEWELS LTD</t>
  </si>
  <si>
    <t>PALRED TECHNOLOGIES LTD</t>
  </si>
  <si>
    <t>PALREDTEC</t>
  </si>
  <si>
    <t>PALSOFT INFOSYSTEMS LTD</t>
  </si>
  <si>
    <t>PAN ELECTRONICS (INDIA) LTD</t>
  </si>
  <si>
    <t>PAN ELECTRONICS INDIA LTD</t>
  </si>
  <si>
    <t>PAN INDIA CORPORATION LTD</t>
  </si>
  <si>
    <t>PANACEA BIOTEC LTD</t>
  </si>
  <si>
    <t>PANACEABIO</t>
  </si>
  <si>
    <t>PANACHE DIGILIFE LTD</t>
  </si>
  <si>
    <t>PANACHE</t>
  </si>
  <si>
    <t>PANACHE INNOVATIONS LTD</t>
  </si>
  <si>
    <t>PANAFIC INDUSTRIALS LTD</t>
  </si>
  <si>
    <t>PANAMA PETROCHEM LTD</t>
  </si>
  <si>
    <t>PANAMAPET</t>
  </si>
  <si>
    <t>PANASONIC CARBON INDIA CO LTD</t>
  </si>
  <si>
    <t>PANASONIC ENERGY INDIA COMPANY LTD</t>
  </si>
  <si>
    <t>PANCHMAHAL STEEL LTD</t>
  </si>
  <si>
    <t>PANCHSHEEL ORGANICS LTD</t>
  </si>
  <si>
    <t>PANKAJ PIYUSH TRADE &amp; INVESTMENT LTD</t>
  </si>
  <si>
    <t>PANKAJ POLYMERS LTD</t>
  </si>
  <si>
    <t>PANKAJ POLYPACK LTD</t>
  </si>
  <si>
    <t>PANSARI DEVELOPERS LTD</t>
  </si>
  <si>
    <t>PANSARI</t>
  </si>
  <si>
    <t>PANTH INFINITY LTD</t>
  </si>
  <si>
    <t>PANYAM CEMENTS &amp; MINERAL INDUSTRIES LTD</t>
  </si>
  <si>
    <t>Parab Infra Ltd</t>
  </si>
  <si>
    <t>PARINFRA</t>
  </si>
  <si>
    <t>PARABOLIC DRUGS LTD</t>
  </si>
  <si>
    <t>PARABDRUGS</t>
  </si>
  <si>
    <t>PARAG MILK FOODS LTD</t>
  </si>
  <si>
    <t>PARAGMILK</t>
  </si>
  <si>
    <t>PARAGON FINANCE LTD</t>
  </si>
  <si>
    <t>PARAMOUNT COMMUNICATIONS LTD</t>
  </si>
  <si>
    <t>PARACABLES</t>
  </si>
  <si>
    <t>PARAMOUNT COSMETICS (INDIA) LTD</t>
  </si>
  <si>
    <t>PARAMOUNT COSMETICS INDIA LTD</t>
  </si>
  <si>
    <t>PARENTERAL DRUGS (INDIA) LTD</t>
  </si>
  <si>
    <t>PDPL</t>
  </si>
  <si>
    <t>PARENTERAL DRUGS INDIA LTD</t>
  </si>
  <si>
    <t>PARIKSHA FIN- INVEST- LEASE LTD</t>
  </si>
  <si>
    <t>PARIN FURNITURE LTD</t>
  </si>
  <si>
    <t>PARIN</t>
  </si>
  <si>
    <t>PARKER AGROCHEM EXPORTS LTD</t>
  </si>
  <si>
    <t>PARLE SOFTWARE LTD</t>
  </si>
  <si>
    <t>PARMAX PHARMA LTD</t>
  </si>
  <si>
    <t>PARMESHWARI SILK MILLS LTD</t>
  </si>
  <si>
    <t>PARNAV SPORTS ACADEMY LTD</t>
  </si>
  <si>
    <t>PARNAX LAB LTD</t>
  </si>
  <si>
    <t>PARSHARTI INVESTMENT LTD</t>
  </si>
  <si>
    <t>PARSHWANATH CORPORATION LTD</t>
  </si>
  <si>
    <t>PARSVNATH DEVELOPERS LTD</t>
  </si>
  <si>
    <t>PARSVNATH</t>
  </si>
  <si>
    <t>PARTH INDUSTRIES LTD</t>
  </si>
  <si>
    <t>PARVATI SWEETNERS AND POWER LTD</t>
  </si>
  <si>
    <t>PASARI SPINNING MILLS LTD</t>
  </si>
  <si>
    <t>PASHUPATI COTSPIN LTD</t>
  </si>
  <si>
    <t>PASHUPATI</t>
  </si>
  <si>
    <t>PASUPATI ACRYLON LTD</t>
  </si>
  <si>
    <t>PASUPATI FINCAP LTD</t>
  </si>
  <si>
    <t>PASUPATI SPG &amp; WVG MILLS LTD</t>
  </si>
  <si>
    <t>PATDIAM JEWELLERY LTD</t>
  </si>
  <si>
    <t>PATEL ENGINEERING LTD</t>
  </si>
  <si>
    <t>PATELENG</t>
  </si>
  <si>
    <t>PATEL INTEGRATED LOGISTICS LTD</t>
  </si>
  <si>
    <t>PATINTLOG</t>
  </si>
  <si>
    <t>PATELS AIRTEMP (INDIA) LTD</t>
  </si>
  <si>
    <t>PATELS AIRTEMP INDIA LTD</t>
  </si>
  <si>
    <t>PATIDAR BUILDCON LTD</t>
  </si>
  <si>
    <t>PATSPIN (INDIA) LTD</t>
  </si>
  <si>
    <t>PATSPINLTD</t>
  </si>
  <si>
    <t>PATSPIN INDIA LTD</t>
  </si>
  <si>
    <t>PAUL MERCHANTS LTD</t>
  </si>
  <si>
    <t>PAUSHAK LTD</t>
  </si>
  <si>
    <t>PAWANSUT HOLDINGS LTD</t>
  </si>
  <si>
    <t>PBA INFRASTRUCTURE LTD</t>
  </si>
  <si>
    <t>PBAINFRA</t>
  </si>
  <si>
    <t>PBM POLYTEX LTD</t>
  </si>
  <si>
    <t>PC JEWELLER LTD</t>
  </si>
  <si>
    <t>PCJEWELLER</t>
  </si>
  <si>
    <t>PCS TECHNOLOGY LTD</t>
  </si>
  <si>
    <t>PDS MULTINATIONAL FASHIONS LTD</t>
  </si>
  <si>
    <t>PDSMFL</t>
  </si>
  <si>
    <t>PEARL GLOBAL INDUSTRIES LTD</t>
  </si>
  <si>
    <t>PGIL</t>
  </si>
  <si>
    <t>PEARL POLYMERS LTD</t>
  </si>
  <si>
    <t>PEARLPOLY</t>
  </si>
  <si>
    <t>PECOS HOTELS AND PUBS LTD</t>
  </si>
  <si>
    <t>PEE CEE COSMA SOPE LTD</t>
  </si>
  <si>
    <t>PEETI SECURITIES LTD</t>
  </si>
  <si>
    <t>PENINSULA LAND LTD</t>
  </si>
  <si>
    <t>PENINLAND</t>
  </si>
  <si>
    <t>PENNAR ENGINEERED BUILDING SYSTEMS LTD</t>
  </si>
  <si>
    <t>PENPEBS</t>
  </si>
  <si>
    <t>PENNAR INDUSTRIES LTD</t>
  </si>
  <si>
    <t>PENIND</t>
  </si>
  <si>
    <t>PENTA GOLD LTD</t>
  </si>
  <si>
    <t>PENTAGOLD</t>
  </si>
  <si>
    <t>PENTAMEDIA GRAPHICS LTD</t>
  </si>
  <si>
    <t>PENTOKEY ORGANY (INDIA) LTD</t>
  </si>
  <si>
    <t>PENTOKEY ORGANY INDIA LTD</t>
  </si>
  <si>
    <t>PEOPLES INVESTMENTS LTD</t>
  </si>
  <si>
    <t>PERFECT INFRAENGINEERS LTD</t>
  </si>
  <si>
    <t>PERFECT</t>
  </si>
  <si>
    <t>PERFECT-OCTAVE MEDIA PROJECTS LTD</t>
  </si>
  <si>
    <t>PERFECTPAC LTD</t>
  </si>
  <si>
    <t>PERMANENT MAGNETS LTD</t>
  </si>
  <si>
    <t>PERSISTENT SYSTEMS LTD</t>
  </si>
  <si>
    <t>PERSISTENT</t>
  </si>
  <si>
    <t>PERVASIVE COMMODITIES LTD</t>
  </si>
  <si>
    <t>PETRON ENGINEERING CONSTRUCTION LTD</t>
  </si>
  <si>
    <t>PETRONENGG</t>
  </si>
  <si>
    <t>PETRONET LNG LTD</t>
  </si>
  <si>
    <t>PETRONET</t>
  </si>
  <si>
    <t>PFIZER LTD</t>
  </si>
  <si>
    <t>PFIZER</t>
  </si>
  <si>
    <t>PFL INFOTECH LTD</t>
  </si>
  <si>
    <t>PG ELECTROPLAST LTD</t>
  </si>
  <si>
    <t>PGEL</t>
  </si>
  <si>
    <t>PG FOILS LTD</t>
  </si>
  <si>
    <t>PG INDUSTRY LTD</t>
  </si>
  <si>
    <t>PH CAPITAL LTD</t>
  </si>
  <si>
    <t>PH TRADING LTD</t>
  </si>
  <si>
    <t>PHAARMASIA LTD</t>
  </si>
  <si>
    <t>PHILLIPS CARBON BLACK LTD</t>
  </si>
  <si>
    <t>PHILIPCARB</t>
  </si>
  <si>
    <t>Carbon Black</t>
  </si>
  <si>
    <t>PHOENIX INTERNATIONAL LTD</t>
  </si>
  <si>
    <t>PHOENIX TOWNSHIP LTD</t>
  </si>
  <si>
    <t>PHOTON CAPITAL ADVISORS LTD</t>
  </si>
  <si>
    <t>PHOTOQUIP (INDIA) LTD</t>
  </si>
  <si>
    <t>PHOTOQUIP INDIA LTD</t>
  </si>
  <si>
    <t>PHYTO CHEM (INDIA) LTD</t>
  </si>
  <si>
    <t>PHYTO CHEM INDIA LTD</t>
  </si>
  <si>
    <t>PI INDUSTRIES LTD</t>
  </si>
  <si>
    <t>PIIND</t>
  </si>
  <si>
    <t>PICCADILY AGRO INDUSTRIES LTD</t>
  </si>
  <si>
    <t>PICCADILY SUGAR &amp; ALLIED INDUSTRIES LTD</t>
  </si>
  <si>
    <t>PICTUREHOUSE MEDIA LTD</t>
  </si>
  <si>
    <t>PIDILITE INDUSTRIES LTD</t>
  </si>
  <si>
    <t>PIDILITIND</t>
  </si>
  <si>
    <t>PIL ITALICA LIFESTYLE LTD</t>
  </si>
  <si>
    <t>PILITA</t>
  </si>
  <si>
    <t>PILANI INVESTMENT AND INDUSTRIES CORPORATION LTD</t>
  </si>
  <si>
    <t>PILANIINVS</t>
  </si>
  <si>
    <t>PIONEER AGRO EXTRACTS LTD</t>
  </si>
  <si>
    <t>PIONEER DISTILLERIES LTD</t>
  </si>
  <si>
    <t>PIONDIST</t>
  </si>
  <si>
    <t>PIONEER EMBROIDERIES LTD</t>
  </si>
  <si>
    <t>PIONEEREMB</t>
  </si>
  <si>
    <t>PIONEER INVESTCORP LTD</t>
  </si>
  <si>
    <t>PIRAMAL ENTERPRISES LTD</t>
  </si>
  <si>
    <t>PEL</t>
  </si>
  <si>
    <t>PIRAMAL PHYTOCARE LTD</t>
  </si>
  <si>
    <t>PIRPHYTO</t>
  </si>
  <si>
    <t>PITHAMPUR POLY PRODUCTS LTD</t>
  </si>
  <si>
    <t>PITTI ENGINEERING LTD</t>
  </si>
  <si>
    <t>PITTIENG</t>
  </si>
  <si>
    <t>PIX TRANSMISSIONS LTD</t>
  </si>
  <si>
    <t>PLANTER POLYSACKS LTD</t>
  </si>
  <si>
    <t>PLASTIBLENDS (INDIA) LTD</t>
  </si>
  <si>
    <t>PLASTIBLEN</t>
  </si>
  <si>
    <t>PLASTIBLENDS INDIA LTD</t>
  </si>
  <si>
    <t>PMC FINCORP LTD</t>
  </si>
  <si>
    <t>PNB GILTS LTD</t>
  </si>
  <si>
    <t>PNBGILTS</t>
  </si>
  <si>
    <t>PNB HOUSING FINANCE LTD</t>
  </si>
  <si>
    <t>PNBHOUSING</t>
  </si>
  <si>
    <t>PNC INFRATECH LTD</t>
  </si>
  <si>
    <t>PNCINFRA</t>
  </si>
  <si>
    <t>POCHIRAJU INDUSTRIES LTD</t>
  </si>
  <si>
    <t>POCHIRAJU</t>
  </si>
  <si>
    <t>POCL ENTERPRISES LTD</t>
  </si>
  <si>
    <t>PODDAR HOUSING AND DEVELOPMENT LTD</t>
  </si>
  <si>
    <t>PODDARHOUS</t>
  </si>
  <si>
    <t>PODDAR PIGMENTS LTD</t>
  </si>
  <si>
    <t>PODDARMENT</t>
  </si>
  <si>
    <t>POKARNA LTD</t>
  </si>
  <si>
    <t>POKARNA</t>
  </si>
  <si>
    <t>POLO HOTELS LTD</t>
  </si>
  <si>
    <t>POLO QUEEN INDUSTRIAL AND FINTECH LTD</t>
  </si>
  <si>
    <t>POLSON LTD</t>
  </si>
  <si>
    <t>POLY MEDICURE LTD</t>
  </si>
  <si>
    <t>POLYMED</t>
  </si>
  <si>
    <t>Polycab India Ltd</t>
  </si>
  <si>
    <t>POLYCAB</t>
  </si>
  <si>
    <t>POLYCHEM LTD</t>
  </si>
  <si>
    <t>POLYCON INTERNATIONAL LTD</t>
  </si>
  <si>
    <t>POLYGENTA TECHNOLOGIES LTD</t>
  </si>
  <si>
    <t>POLYLINK POLYMERS (INDIA) LTD</t>
  </si>
  <si>
    <t>POLYLINK POLYMERS INDIA LTD</t>
  </si>
  <si>
    <t>POLYMAC THERMOFORMERS LTD</t>
  </si>
  <si>
    <t>POLYMECHPLAST MACHINES LTD</t>
  </si>
  <si>
    <t>POLYPLEX CORPORATION LTD</t>
  </si>
  <si>
    <t>POLYPLEX</t>
  </si>
  <si>
    <t>POLYSPIN EXPORTS LTD</t>
  </si>
  <si>
    <t>POLYTEX (INDIA) LTD</t>
  </si>
  <si>
    <t>POLYTEX INDIA LTD</t>
  </si>
  <si>
    <t>PONDY OXIDES &amp; CHEMICALS LTD</t>
  </si>
  <si>
    <t>PONNI SUGARS ERODE LTD</t>
  </si>
  <si>
    <t>PONNIERODE</t>
  </si>
  <si>
    <t>POOJA ENTERTAINMENT AND FILMS LTD</t>
  </si>
  <si>
    <t>POOJAWESTERN METALIKS LTD</t>
  </si>
  <si>
    <t>POONA DAL &amp; OIL INDUSTRIES LTD</t>
  </si>
  <si>
    <t>POPULAR ESTATE MANAGEMENT LTD</t>
  </si>
  <si>
    <t>PORWAL AUTO COMPONENTS LTD</t>
  </si>
  <si>
    <t>POWER &amp; INSTRUMENTATION GUJARAT LTD</t>
  </si>
  <si>
    <t>PIGL</t>
  </si>
  <si>
    <t>POWER FINANCE CORPORATION LTD</t>
  </si>
  <si>
    <t>PFC</t>
  </si>
  <si>
    <t>POWER GRID CORPORATION OF (INDIA) LTD</t>
  </si>
  <si>
    <t>POWERGRID</t>
  </si>
  <si>
    <t>POWER GRID CORPORATION OF INDIA LTD</t>
  </si>
  <si>
    <t>POWER MECH PROJECTS LTD</t>
  </si>
  <si>
    <t>POWERMECH</t>
  </si>
  <si>
    <t>POWERFUL TECHNOLOGIES LTD</t>
  </si>
  <si>
    <t>POWERFUL</t>
  </si>
  <si>
    <t>POWERHOUSE GYM &amp; WELLNESS LTD</t>
  </si>
  <si>
    <t>PPAP AUTOMOTIVE LTD</t>
  </si>
  <si>
    <t>PPAP</t>
  </si>
  <si>
    <t>PRABHAT DAIRY LTD</t>
  </si>
  <si>
    <t>PRABHAT</t>
  </si>
  <si>
    <t>PRABHAT TELECOMS (INDIA) LTD</t>
  </si>
  <si>
    <t>PRABHAT TELECOMS INDIA LTD</t>
  </si>
  <si>
    <t>PRABHAV INDUSTRIES LTD</t>
  </si>
  <si>
    <t>PRABHU STEEL INDUSTRIES LTD</t>
  </si>
  <si>
    <t>PRADEEP METALS LTD</t>
  </si>
  <si>
    <t>PRADHIN LTD</t>
  </si>
  <si>
    <t>PRADIP OVERSEAS LTD</t>
  </si>
  <si>
    <t>PRADIP</t>
  </si>
  <si>
    <t>PRAG BOSIMI SYNTHETICS LTD</t>
  </si>
  <si>
    <t>PRAJ INDUSTRIES LTD</t>
  </si>
  <si>
    <t>PRAJIND</t>
  </si>
  <si>
    <t>PRAJAY ENGINEERS SYNDICATE LTD</t>
  </si>
  <si>
    <t>PRAENG</t>
  </si>
  <si>
    <t>PRAKASH CONSTROWELL LTD</t>
  </si>
  <si>
    <t>PRAKASHCON</t>
  </si>
  <si>
    <t>PRAKASH INDUSTRIES LTD</t>
  </si>
  <si>
    <t>PRAKASH</t>
  </si>
  <si>
    <t>Prakash Pipes Ltd</t>
  </si>
  <si>
    <t>PPL</t>
  </si>
  <si>
    <t>PRAKASH STEELAGE LTD</t>
  </si>
  <si>
    <t>PRAKASHSTL</t>
  </si>
  <si>
    <t>PRAKASH WOOLLEN &amp; SYNTHETIC MILLS LTD</t>
  </si>
  <si>
    <t>PRANAVADITYA SPINNING MILLS LTD</t>
  </si>
  <si>
    <t>PRASHANT (INDIA) LTD</t>
  </si>
  <si>
    <t>PRASHANT INDIA LTD</t>
  </si>
  <si>
    <t>PRATAAP SNACKS LTD</t>
  </si>
  <si>
    <t>DIAMONDYD</t>
  </si>
  <si>
    <t>PRATIK PANELS LTD</t>
  </si>
  <si>
    <t>PRATIKSHA CHEMICALS LTD</t>
  </si>
  <si>
    <t>PRAXIS HOME RETAIL LTD</t>
  </si>
  <si>
    <t>PRAXIS</t>
  </si>
  <si>
    <t>PRECIOUS TRADING &amp; INVESTMENTS LTD</t>
  </si>
  <si>
    <t>PRECISION CAMSHAFTS LTD</t>
  </si>
  <si>
    <t>PRECAM</t>
  </si>
  <si>
    <t>PRECISION CONTAINEURS LTD</t>
  </si>
  <si>
    <t>PRECISION ELECTRONICS LTD</t>
  </si>
  <si>
    <t>PRECISION WIRES (INDIA) LTD</t>
  </si>
  <si>
    <t>PRECWIRE</t>
  </si>
  <si>
    <t>PRECISION WIRES INDIA LTD</t>
  </si>
  <si>
    <t>PRECOT MERIDIAN LTD</t>
  </si>
  <si>
    <t>PRECOT</t>
  </si>
  <si>
    <t>PREM SOMANI FINANCIAL SERVICES LTD</t>
  </si>
  <si>
    <t>PREMCO GLOBAL LTD</t>
  </si>
  <si>
    <t>PREMIER CHENNAI PROPERTIES LTD</t>
  </si>
  <si>
    <t>PREMIER EXPLOSIVES LTD</t>
  </si>
  <si>
    <t>PREMEXPLN</t>
  </si>
  <si>
    <t>PREMIER LTD</t>
  </si>
  <si>
    <t>PREMIER</t>
  </si>
  <si>
    <t>PREMIER PIPES LTD</t>
  </si>
  <si>
    <t>PREMIER POLYFILM LTD</t>
  </si>
  <si>
    <t>PREMIERPOL</t>
  </si>
  <si>
    <t>PREMIER SYNTHETICS LTD</t>
  </si>
  <si>
    <t>PRERNA INFRABUILD LTD</t>
  </si>
  <si>
    <t>PRESSMAN ADVERTISING LTD</t>
  </si>
  <si>
    <t>PRESSMN</t>
  </si>
  <si>
    <t>PRESTIGE ESTATES PROJECTS LTD</t>
  </si>
  <si>
    <t>PRESTIGE</t>
  </si>
  <si>
    <t>PRICOL LTD</t>
  </si>
  <si>
    <t>PRICOLLTD</t>
  </si>
  <si>
    <t>PRIMA AGRO LTD</t>
  </si>
  <si>
    <t>PRIMA INDUSTRIES LTD</t>
  </si>
  <si>
    <t>PRIMA PLASTICS LTD</t>
  </si>
  <si>
    <t>PRIME CAPITAL MARKET LTD</t>
  </si>
  <si>
    <t>PRIME CUSTOMER SERVICES LTD</t>
  </si>
  <si>
    <t>PRIME FOCUS LTD</t>
  </si>
  <si>
    <t>PFOCUS</t>
  </si>
  <si>
    <t>PRIME INDUSTRIES LTD</t>
  </si>
  <si>
    <t>PRIME PROPERTY DEVELOPMENT CORPORATION LTD</t>
  </si>
  <si>
    <t>PRIME SECURITIES LTD</t>
  </si>
  <si>
    <t>PRIMESECU</t>
  </si>
  <si>
    <t>PRIME URBAN DEVELOPMENT (INDIA) LTD</t>
  </si>
  <si>
    <t>PRIME URBAN DEVELOPMENT INDIA LTD</t>
  </si>
  <si>
    <t>PRISM FINANCE LTD</t>
  </si>
  <si>
    <t>PRISM JOHNSON LTD</t>
  </si>
  <si>
    <t>PRSMJOHNSN</t>
  </si>
  <si>
    <t>PRISM MEDICO AND PHARMACY LTD</t>
  </si>
  <si>
    <t>PRITHVI EXCHANGE (INDIA) LTD</t>
  </si>
  <si>
    <t>PRITHVI EXCHANGE INDIA LTD</t>
  </si>
  <si>
    <t>PRITI INTERNATIONAL LTD</t>
  </si>
  <si>
    <t>PRITI</t>
  </si>
  <si>
    <t>PRITIKA AUTO INDUSTRIES LTD</t>
  </si>
  <si>
    <t>PRITISH NANDY COMMUNICATIONS LTD</t>
  </si>
  <si>
    <t>PNC</t>
  </si>
  <si>
    <t>PRIYA LTD</t>
  </si>
  <si>
    <t>PRO FIN CAPITAL SERVICES LTD</t>
  </si>
  <si>
    <t>PROAIM ENTERPRISES LTD</t>
  </si>
  <si>
    <t>PROCAL ELECTRONICS (INDIA) LTD</t>
  </si>
  <si>
    <t>PROCAL ELECTRONICS INDIA LTD</t>
  </si>
  <si>
    <t>Procter &amp; Gamble Health LTD</t>
  </si>
  <si>
    <t>PGHL</t>
  </si>
  <si>
    <t>PROCTER &amp; GAMBLE HYGIENE AND HEALTH CARE LTD</t>
  </si>
  <si>
    <t>PGHH</t>
  </si>
  <si>
    <t>PROGRESSIVE EXTRACTIONS &amp; EXPORTS LTD</t>
  </si>
  <si>
    <t>PROLIFE INDUSTRIES LTD</t>
  </si>
  <si>
    <t>PROLIFE</t>
  </si>
  <si>
    <t>PROMACT IMPEX LTD</t>
  </si>
  <si>
    <t>PROSEED (INDIA) LTD</t>
  </si>
  <si>
    <t>PROSEED</t>
  </si>
  <si>
    <t>PROSEED INDIA LTD</t>
  </si>
  <si>
    <t>PROVESTMENT SERVICES LTD</t>
  </si>
  <si>
    <t>PROVOGUE (INDIA) LTD</t>
  </si>
  <si>
    <t>PROVOGE</t>
  </si>
  <si>
    <t>PROVOGUE INDIA LTD</t>
  </si>
  <si>
    <t>PROZONE INTU PROPERTIES LTD</t>
  </si>
  <si>
    <t>PROZONINTU</t>
  </si>
  <si>
    <t>PS IT INFRASTRUCTURE &amp; SERVICES LTD</t>
  </si>
  <si>
    <t>PSL LTD</t>
  </si>
  <si>
    <t>PSL</t>
  </si>
  <si>
    <t>PSP PROJECTS LTD</t>
  </si>
  <si>
    <t>PSPPROJECT</t>
  </si>
  <si>
    <t>PTC (INDIA) LTD</t>
  </si>
  <si>
    <t>PTC</t>
  </si>
  <si>
    <t>PTC INDIA FINANCIAL SERVICES LTD</t>
  </si>
  <si>
    <t>PFS</t>
  </si>
  <si>
    <t>PTC INDIA LTD</t>
  </si>
  <si>
    <t>PTC INDUSTRIES LTD</t>
  </si>
  <si>
    <t>PTL ENTERPRISES LTD</t>
  </si>
  <si>
    <t>PTL</t>
  </si>
  <si>
    <t>PUDUMJEE PAPER PRODUCTS LTD</t>
  </si>
  <si>
    <t>PDMJEPAPER</t>
  </si>
  <si>
    <t>PULSAR INTERNATIONAL LTD</t>
  </si>
  <si>
    <t>PULZ ELECTRONICS LTD</t>
  </si>
  <si>
    <t>PULZ</t>
  </si>
  <si>
    <t>PUNCTUAL TRADING LTD</t>
  </si>
  <si>
    <t>PUNIT COMMERCIALS LTD</t>
  </si>
  <si>
    <t>PUNJ LLOYD LTD</t>
  </si>
  <si>
    <t>PUNJLLOYD</t>
  </si>
  <si>
    <t>PUNJAB &amp; SIND BANK</t>
  </si>
  <si>
    <t>PSB</t>
  </si>
  <si>
    <t>PUNJAB ALKALIES &amp; CHEMICALS LTD</t>
  </si>
  <si>
    <t>PUNJAB CHEMICALS &amp; CROP PROTECTION LTD</t>
  </si>
  <si>
    <t>PUNJABCHEM</t>
  </si>
  <si>
    <t>PUNJAB COMMUNICATIONS LTD</t>
  </si>
  <si>
    <t>PUNJAB NATIONAL BANK</t>
  </si>
  <si>
    <t>PNB</t>
  </si>
  <si>
    <t>PURAVANKARA LTD</t>
  </si>
  <si>
    <t>PURVA</t>
  </si>
  <si>
    <t>PURE GIFTCARAT LTD</t>
  </si>
  <si>
    <t>PURITY FLEX PACK LTD</t>
  </si>
  <si>
    <t>PUROHIT CONSTRUCTION LTD</t>
  </si>
  <si>
    <t>PURPLE ENTERTAINMENT LTD</t>
  </si>
  <si>
    <t>PURSHOTTAM INVESTOFIN LTD</t>
  </si>
  <si>
    <t>PUSHPANJALI REALMS AND INFRATECH LTD</t>
  </si>
  <si>
    <t>PUSHPREALM</t>
  </si>
  <si>
    <t>PUSHPSONS INDUSTRIES LTD</t>
  </si>
  <si>
    <t>PVP VENTURES LTD</t>
  </si>
  <si>
    <t>PVP</t>
  </si>
  <si>
    <t>PVR LTD</t>
  </si>
  <si>
    <t>PVR</t>
  </si>
  <si>
    <t>PVV INFRA LTD</t>
  </si>
  <si>
    <t>PYXIS FINVEST LTD</t>
  </si>
  <si>
    <t>QUADRANT TELEVENTURES LTD</t>
  </si>
  <si>
    <t>QUANTUM BUILD-TECH LTD</t>
  </si>
  <si>
    <t>QUANTUM DIGITAL VISION (INDIA) LTD</t>
  </si>
  <si>
    <t>QUANTUM DIGITAL VISION INDIA LTD</t>
  </si>
  <si>
    <t>QUANTUM GOLD FUND - EXCHANGE TRADED FUND (ETF)</t>
  </si>
  <si>
    <t>QGOLDHALF</t>
  </si>
  <si>
    <t>QUANTUM MUTUAL FUND - QUANTUM INDEX FUND ETF</t>
  </si>
  <si>
    <t>QNIFTY</t>
  </si>
  <si>
    <t>QUESS CORP LTD</t>
  </si>
  <si>
    <t>QUESS</t>
  </si>
  <si>
    <t>QUEST FINANCIAL SERVICES LTD</t>
  </si>
  <si>
    <t>QUEST SOFTECH (INDIA) LTD</t>
  </si>
  <si>
    <t>QUEST SOFTECH INDIA LTD</t>
  </si>
  <si>
    <t>QUICK HEAL TECHNOLOGIES LTD</t>
  </si>
  <si>
    <t>QUICKHEAL</t>
  </si>
  <si>
    <t>QUINTEGRA SOLUTIONS LTD</t>
  </si>
  <si>
    <t>QUINTEGRA</t>
  </si>
  <si>
    <t>R B GUPTA FINANCIALS LTD</t>
  </si>
  <si>
    <t>R J BIO-TECH LTD</t>
  </si>
  <si>
    <t>R J SHAH &amp; CO LTD</t>
  </si>
  <si>
    <t>R M DRIP AND SPRINKLERS SYSTEMS LTD</t>
  </si>
  <si>
    <t>RMDRIP</t>
  </si>
  <si>
    <t>R P P INFRA PROJECTS LTD</t>
  </si>
  <si>
    <t>RPPINFRA</t>
  </si>
  <si>
    <t>R R SECURITIES LTD</t>
  </si>
  <si>
    <t>R S SOFTWARE (INDIA) LTD</t>
  </si>
  <si>
    <t>RSSOFTWARE</t>
  </si>
  <si>
    <t>R S SOFTWARE INDIA LTD</t>
  </si>
  <si>
    <t>R SYSTEMS INTERNATIONAL LTD</t>
  </si>
  <si>
    <t>RSYSTEMS</t>
  </si>
  <si>
    <t>R T EXPORTS LTD</t>
  </si>
  <si>
    <t>R&amp;B DENIMS LTD</t>
  </si>
  <si>
    <t>RAAJ MEDISAFE (INDIA) LTD</t>
  </si>
  <si>
    <t>RAAJ MEDISAFE INDIA LTD</t>
  </si>
  <si>
    <t>RAASI REFRACTORIES LTD</t>
  </si>
  <si>
    <t>RACL GEARTECH LTD</t>
  </si>
  <si>
    <t>RADAAN MEDIAWORKS (INDIA) LTD</t>
  </si>
  <si>
    <t>RADAAN</t>
  </si>
  <si>
    <t>RADAAN MEDIAWORKS INDIA LTD</t>
  </si>
  <si>
    <t>RADHA MADHAV CORPORATION LTD</t>
  </si>
  <si>
    <t>RMCL</t>
  </si>
  <si>
    <t>RADHAGOBIND COMMERCIAL LTD</t>
  </si>
  <si>
    <t>RADHE DEVELOPERS (INDIA) LTD</t>
  </si>
  <si>
    <t>RADHE DEVELOPERS INDIA LTD</t>
  </si>
  <si>
    <t>RADHEY TRADE HOLDING LTD</t>
  </si>
  <si>
    <t>RADHIKA JEWELTECH LTD</t>
  </si>
  <si>
    <t>RADICO KHAITAN LTD</t>
  </si>
  <si>
    <t>RADICO</t>
  </si>
  <si>
    <t>RADIX INDUSTRIES (INDIA) LTD</t>
  </si>
  <si>
    <t>RADIX INDUSTRIES INDIA LTD</t>
  </si>
  <si>
    <t>RAGHAV PRODUCTIVITY ENHANCERS LTD</t>
  </si>
  <si>
    <t>RAGHUNATH INTERNATIONAL LTD</t>
  </si>
  <si>
    <t>RAGHUNATH TOBACCO CO LTD</t>
  </si>
  <si>
    <t>RAGHUVANSH AGROFARMS LTD</t>
  </si>
  <si>
    <t>RAGHUVIR SYNTHETICS LTD</t>
  </si>
  <si>
    <t>RAHUL MERCHANDISING LTD</t>
  </si>
  <si>
    <t>RAIDEEP INDUSTRIES LTD</t>
  </si>
  <si>
    <t>Rail Vikas Nigam Ltd</t>
  </si>
  <si>
    <t>RVNL</t>
  </si>
  <si>
    <t>Construction &amp;amp; Engineering</t>
  </si>
  <si>
    <t>RAIN INDUSTRIES LTD</t>
  </si>
  <si>
    <t>RAIN</t>
  </si>
  <si>
    <t>RAINBOW DENIM LTD</t>
  </si>
  <si>
    <t>RAINBOW FOUNDATIONS LTD</t>
  </si>
  <si>
    <t>RAINBOW PAPERS LTD</t>
  </si>
  <si>
    <t>RAINBOWPAP</t>
  </si>
  <si>
    <t>RAJ PACKAGING INDUSTRIES LTD</t>
  </si>
  <si>
    <t>RAJ RAYON INDUSTRIES LTD</t>
  </si>
  <si>
    <t>RAJRAYON</t>
  </si>
  <si>
    <t>RAJ TELEVISION NETWORK LTD</t>
  </si>
  <si>
    <t>RAJTV</t>
  </si>
  <si>
    <t>RAJA BAHADUR INTERNATIONAL LTD</t>
  </si>
  <si>
    <t>RAJAPALAYAM MILLS LTD</t>
  </si>
  <si>
    <t>RAJASTHAN CYLINDERS &amp; CONTAINERS LTD</t>
  </si>
  <si>
    <t>RAJASTHAN GASES LTD</t>
  </si>
  <si>
    <t>RAJASTHAN TUBE MANUFACTURING CO LTD</t>
  </si>
  <si>
    <t>RAJATH FINANCE LTD</t>
  </si>
  <si>
    <t>RAJDARSHAN INDUSTRIES LTD</t>
  </si>
  <si>
    <t>ARENTERP</t>
  </si>
  <si>
    <t>RAJESH EXPORTS LTD</t>
  </si>
  <si>
    <t>RAJESHEXPO</t>
  </si>
  <si>
    <t>RAJESWARI INFRASTRUCTURE LTD</t>
  </si>
  <si>
    <t>RAJKAMAL SYNTHETICS LTD</t>
  </si>
  <si>
    <t>RAJKOT INVESTMENT TRUST LTD</t>
  </si>
  <si>
    <t>RAJKUMAR FORGE LTD</t>
  </si>
  <si>
    <t>RAJNANDINI METAL LTD</t>
  </si>
  <si>
    <t>RAJMET</t>
  </si>
  <si>
    <t>RAJNISH WELLNESS LTD</t>
  </si>
  <si>
    <t>RAJOO ENGINEERS LTD</t>
  </si>
  <si>
    <t>RAJRATAN GLOBAL WIRE LTD</t>
  </si>
  <si>
    <t>RAJSANKET REALTY LTD</t>
  </si>
  <si>
    <t>RAJSHREE POLYPACK LTD</t>
  </si>
  <si>
    <t>RPPL</t>
  </si>
  <si>
    <t>RAJSHREE SUGARS &amp; CHEMICALS LTD</t>
  </si>
  <si>
    <t>RAJSREESUG</t>
  </si>
  <si>
    <t>RAJVIR INDUSTRIES LTD</t>
  </si>
  <si>
    <t>RAJVIR</t>
  </si>
  <si>
    <t>RALLIS (INDIA) LTD</t>
  </si>
  <si>
    <t>RALLIS</t>
  </si>
  <si>
    <t>RALLIS INDIA LTD</t>
  </si>
  <si>
    <t>RAM MINERALS AND CHEMICALS LTD</t>
  </si>
  <si>
    <t>RAM RATNA WIRES LTD</t>
  </si>
  <si>
    <t>RAMA PAPER MILLS LTD</t>
  </si>
  <si>
    <t>RAMA PETROCHEMICALS LTD</t>
  </si>
  <si>
    <t>RAMA PHOSPHATES LTD</t>
  </si>
  <si>
    <t>RAMA PULP &amp; PAPERS LTD</t>
  </si>
  <si>
    <t>RAMA STEEL TUBES LTD</t>
  </si>
  <si>
    <t>RAMASTEEL</t>
  </si>
  <si>
    <t>RAMA VISION LTD</t>
  </si>
  <si>
    <t>RAMASIGNS INDUSTRIES LTD</t>
  </si>
  <si>
    <t>RAMCHANDRA LEASING &amp; FINANCE LTD</t>
  </si>
  <si>
    <t>RAMCO INDUSTRIES LTD</t>
  </si>
  <si>
    <t>RAMCOIND</t>
  </si>
  <si>
    <t>RAMCO SYSTEMS LTD</t>
  </si>
  <si>
    <t>RAMCOSYS</t>
  </si>
  <si>
    <t>RAMGOPAL POLYTEX LTD</t>
  </si>
  <si>
    <t>RAMGOPOLY</t>
  </si>
  <si>
    <t>RAMINFO LTD</t>
  </si>
  <si>
    <t>RAMKRISHNA FORGINGS LTD</t>
  </si>
  <si>
    <t>RKFORGE</t>
  </si>
  <si>
    <t>RAMKY INFRASTRUCTURE LTD</t>
  </si>
  <si>
    <t>RAMKY</t>
  </si>
  <si>
    <t>RAMSARUP INDUSTRIES LTD</t>
  </si>
  <si>
    <t>RAMSARUP</t>
  </si>
  <si>
    <t>RAMSONS PROJECTS LTD</t>
  </si>
  <si>
    <t>RANA SUGARS LTD</t>
  </si>
  <si>
    <t>RANASUG</t>
  </si>
  <si>
    <t>RANDER CORPORATION LTD</t>
  </si>
  <si>
    <t>RANE BRAKE LINING LTD</t>
  </si>
  <si>
    <t>RBL</t>
  </si>
  <si>
    <t>RANE ENGINE VALVE LTD</t>
  </si>
  <si>
    <t>RANEENGINE</t>
  </si>
  <si>
    <t>RANE HOLDINGS LTD</t>
  </si>
  <si>
    <t>RANEHOLDIN</t>
  </si>
  <si>
    <t>RANE MADRAS LTD</t>
  </si>
  <si>
    <t>RML</t>
  </si>
  <si>
    <t>RANJEET MECHATRONICS LTD</t>
  </si>
  <si>
    <t>RAP MEDIA LTD</t>
  </si>
  <si>
    <t>RAPICUT CARBIDES LTD</t>
  </si>
  <si>
    <t>RAPID INVESTMENTS LTD</t>
  </si>
  <si>
    <t>RAS RESORTS &amp; APART HOTELS LTD</t>
  </si>
  <si>
    <t>RASANDIK ENGINEERING INDUSTRIES (INDIA) LTD</t>
  </si>
  <si>
    <t>RASANDIK ENGINEERING INDUSTRIES INDIA LTD</t>
  </si>
  <si>
    <t>RASHTRIYA CHEMICALS AND FERTILIZERS LTD</t>
  </si>
  <si>
    <t>RCF</t>
  </si>
  <si>
    <t>RASI ELECTRODES LTD</t>
  </si>
  <si>
    <t>RASOI LTD</t>
  </si>
  <si>
    <t>RATHI BARS LTD</t>
  </si>
  <si>
    <t>RATHI GRAPHIC TECHNOLOGIES LTD</t>
  </si>
  <si>
    <t>RATNABHUMI DEVELOPERS LTD</t>
  </si>
  <si>
    <t>RATNAMANI METALS &amp; TUBES LTD</t>
  </si>
  <si>
    <t>RATNAMANI</t>
  </si>
  <si>
    <t>RATTANINDIA INFRASTRUCTURE LTD</t>
  </si>
  <si>
    <t>RTNINFRA</t>
  </si>
  <si>
    <t>RATTANINDIA POWER LTD</t>
  </si>
  <si>
    <t>RTNPOWER</t>
  </si>
  <si>
    <t>RAUNAQ EPC INTERNATIONAL LTD</t>
  </si>
  <si>
    <t>RAVALGAON SUGAR FARM LTD</t>
  </si>
  <si>
    <t>RAVI KUMAR DISTILLERIES LTD</t>
  </si>
  <si>
    <t>RKDL</t>
  </si>
  <si>
    <t>RAVILEELA GRANITES LTD</t>
  </si>
  <si>
    <t>RAVINDRA ENERGY LTD</t>
  </si>
  <si>
    <t>RAW EDGE INDUSTRIAL SOLUTIONS LTD</t>
  </si>
  <si>
    <t>RAYMED LABS LTD</t>
  </si>
  <si>
    <t>RAYMOND LTD</t>
  </si>
  <si>
    <t>RAYMOND</t>
  </si>
  <si>
    <t>RBL BANK LTD</t>
  </si>
  <si>
    <t>RBLBANK</t>
  </si>
  <si>
    <t>RCC CEMENTS LTD</t>
  </si>
  <si>
    <t>RCI INDUSTRIES &amp; TECHNOLOGIES LTD</t>
  </si>
  <si>
    <t>RCL RETAIL LTD</t>
  </si>
  <si>
    <t>RDB RASAYANS LTD</t>
  </si>
  <si>
    <t>RDB REALTY &amp; INFRASTRUCTURE LTD</t>
  </si>
  <si>
    <t>REAL GROWTH COMMERCIAL ENTERPRISES LTD</t>
  </si>
  <si>
    <t>REAL NEWS &amp; VIEWS LTD</t>
  </si>
  <si>
    <t>REAL STRIPS LTD</t>
  </si>
  <si>
    <t>REAL TOUCH FINANCE LTD</t>
  </si>
  <si>
    <t>REC LTD</t>
  </si>
  <si>
    <t>RECLTD</t>
  </si>
  <si>
    <t>REDEX PROTECH LTD</t>
  </si>
  <si>
    <t>REDINGTON (INDIA) LTD</t>
  </si>
  <si>
    <t>REDINGTON</t>
  </si>
  <si>
    <t>REDINGTON INDIA LTD</t>
  </si>
  <si>
    <t>REFEX INDUSTRIES LTD</t>
  </si>
  <si>
    <t>REFEX</t>
  </si>
  <si>
    <t>REFNOL RESINS &amp; CHEMICALS LTD</t>
  </si>
  <si>
    <t>REGAL ENTERTAINMENT &amp; CONSULTANTS LTD</t>
  </si>
  <si>
    <t>REGALIAA REALTY LTD</t>
  </si>
  <si>
    <t>REGENCY CERAMICS LTD</t>
  </si>
  <si>
    <t>REGENCERAM</t>
  </si>
  <si>
    <t>REGENCY INVESTMENTS LTD</t>
  </si>
  <si>
    <t>REGENCY TRUST LTD</t>
  </si>
  <si>
    <t>REGENT ENTERPRISES LTD</t>
  </si>
  <si>
    <t>REIL ELECTRICALS (INDIA) LTD</t>
  </si>
  <si>
    <t>REIL ELECTRICALS INDIA LTD</t>
  </si>
  <si>
    <t>REKVINA LABORATORIES LTD</t>
  </si>
  <si>
    <t>RELAXO FOOTWEARS LTD</t>
  </si>
  <si>
    <t>RELAXO</t>
  </si>
  <si>
    <t>RELIABLE DATA SERVICES LTD</t>
  </si>
  <si>
    <t>RELIABLE</t>
  </si>
  <si>
    <t>RELIABLE VENTURES (INDIA) LTD</t>
  </si>
  <si>
    <t>RELIABLE VENTURES INDIA LTD</t>
  </si>
  <si>
    <t>RELIANCE CAPITAL LTD</t>
  </si>
  <si>
    <t>RELCAPITAL</t>
  </si>
  <si>
    <t>RELIANCE CHEMOTEX INDUSTRIES LTD</t>
  </si>
  <si>
    <t>RELIANCE COMMUNICATIONS LTD</t>
  </si>
  <si>
    <t>RCOM</t>
  </si>
  <si>
    <t>Reliance ETF Bank BeES</t>
  </si>
  <si>
    <t>BANKBEES</t>
  </si>
  <si>
    <t>Reliance ETF Gold BeES</t>
  </si>
  <si>
    <t>GOLDBEES</t>
  </si>
  <si>
    <t>Reliance ETF Hang Seng BeES</t>
  </si>
  <si>
    <t>HNGSNGBEES</t>
  </si>
  <si>
    <t>Reliance ETF Junior BeES</t>
  </si>
  <si>
    <t>JUNIORBEES</t>
  </si>
  <si>
    <t>Reliance ETF Nifty BeES</t>
  </si>
  <si>
    <t>NIFTYBEES</t>
  </si>
  <si>
    <t>Reliance ETF PSU Bank BeES</t>
  </si>
  <si>
    <t>PSUBNKBEES</t>
  </si>
  <si>
    <t>Reliance ETF Shariah BeES</t>
  </si>
  <si>
    <t>SHARIABEES</t>
  </si>
  <si>
    <t>RELIANCE HOME FINANCE LTD</t>
  </si>
  <si>
    <t>RHFL</t>
  </si>
  <si>
    <t>RELIANCE INDUSTRIAL INFRASTRUCTURE LTD</t>
  </si>
  <si>
    <t>RIIL</t>
  </si>
  <si>
    <t>RELIANCE INDUSTRIES LTD</t>
  </si>
  <si>
    <t>RELIANCE</t>
  </si>
  <si>
    <t>RELIANCE INFRASTRUCTURE LTD</t>
  </si>
  <si>
    <t>RELINFRA</t>
  </si>
  <si>
    <t>RELIANCE NAVAL AND ENGINEERING LTD</t>
  </si>
  <si>
    <t>RNAVAL</t>
  </si>
  <si>
    <t>RELIANCE NIPPON LIFE ASSET MANAGEMENT LTD</t>
  </si>
  <si>
    <t>RNAM</t>
  </si>
  <si>
    <t>RELIANCE POWER LTD</t>
  </si>
  <si>
    <t>RPOWER</t>
  </si>
  <si>
    <t>RELIC TECHNOLOGIES LTD</t>
  </si>
  <si>
    <t>RELICAB CABLE MANUFACTURING LTD</t>
  </si>
  <si>
    <t>RELIGARE ENTERPRISES LTD</t>
  </si>
  <si>
    <t>RELIGARE</t>
  </si>
  <si>
    <t>RELSTRUCT BUILDCON LTD</t>
  </si>
  <si>
    <t>REMI EDELSTAHL TUBULARS LTD</t>
  </si>
  <si>
    <t>REMI ELEKTROTECHNIK LTD</t>
  </si>
  <si>
    <t>REMI PROCESS PLANT &amp; MACHINERY LTD</t>
  </si>
  <si>
    <t>REMI SALES &amp; ENGINEERING LTD</t>
  </si>
  <si>
    <t>REMI SECURITIES LTD</t>
  </si>
  <si>
    <t>REMSONS INDUSTRIES LTD.</t>
  </si>
  <si>
    <t>REMSONSIND</t>
  </si>
  <si>
    <t>Renaissance Global LTD</t>
  </si>
  <si>
    <t>RGL</t>
  </si>
  <si>
    <t>RENAISSANCE JEWELLERY LTD</t>
  </si>
  <si>
    <t>RJL</t>
  </si>
  <si>
    <t>REPCO HOME FINANCE LTD</t>
  </si>
  <si>
    <t>REPCOHOME</t>
  </si>
  <si>
    <t>REPRO (INDIA) LTD</t>
  </si>
  <si>
    <t>REPRO</t>
  </si>
  <si>
    <t>REPRO INDIA LTD</t>
  </si>
  <si>
    <t>RESONANCE SPECIALTIES LTD</t>
  </si>
  <si>
    <t>RESPONSIVE INDUSTRIES LTD</t>
  </si>
  <si>
    <t>RESPONIND</t>
  </si>
  <si>
    <t>RESTILE CERAMICS LTD</t>
  </si>
  <si>
    <t>Retro Green Revolution Ltd</t>
  </si>
  <si>
    <t>RGRL</t>
  </si>
  <si>
    <t>Tea &amp;amp; Coffee</t>
  </si>
  <si>
    <t>REVATHI EQUIPMENT LTD</t>
  </si>
  <si>
    <t>REVATHI</t>
  </si>
  <si>
    <t>REXNORD ELECTRONICS &amp; CONTROLS LTD</t>
  </si>
  <si>
    <t>RGF CAPITAL MARKETS LTD</t>
  </si>
  <si>
    <t>RIBA TEXTILES LTD</t>
  </si>
  <si>
    <t>RICH UNIVERSE NETWORK LTD</t>
  </si>
  <si>
    <t>RICHA INDUSTRIES LTD</t>
  </si>
  <si>
    <t>RICHFIELD FINANCIAL SERVICES LTD</t>
  </si>
  <si>
    <t>RICHIRICH INVENTURES LTD</t>
  </si>
  <si>
    <t>RICO AUTO INDUSTRIES LTD</t>
  </si>
  <si>
    <t>RICOAUTO</t>
  </si>
  <si>
    <t>RIDDHI CORPORATE SERVICES LTD</t>
  </si>
  <si>
    <t>RIDDHI SIDDHI GLUCO BIOLS LTD</t>
  </si>
  <si>
    <t>RIDDHI STEEL AND TUBE LTD</t>
  </si>
  <si>
    <t>RIDHI SYNTHETICS LTD</t>
  </si>
  <si>
    <t>RIDINGS CONSULTING ENGINEERS (INDIA) LTD</t>
  </si>
  <si>
    <t>RIDINGS CONSULTING ENGINEERS INDIA LTD</t>
  </si>
  <si>
    <t>RIGA SUGAR COMPANY LTD</t>
  </si>
  <si>
    <t>RISA INTERNATIONAL LTD</t>
  </si>
  <si>
    <t>RISHAB SPECIAL YARNS LTD</t>
  </si>
  <si>
    <t>RISHABH DIGHA STEEL &amp; ALLIED PRODUCTS LTD</t>
  </si>
  <si>
    <t>RISHI LASER LTD</t>
  </si>
  <si>
    <t>RISHI TECHTEX LTD</t>
  </si>
  <si>
    <t>RISHIROOP LTD</t>
  </si>
  <si>
    <t>Ritco Logistics Ltd</t>
  </si>
  <si>
    <t>RITCO</t>
  </si>
  <si>
    <t>RITES LTD</t>
  </si>
  <si>
    <t>RITES</t>
  </si>
  <si>
    <t>RITESH INTERNATIONAL LTD</t>
  </si>
  <si>
    <t>RITESH PROPERTIES &amp; INDUSTRIES LTD</t>
  </si>
  <si>
    <t>RITHWIK FACILITY MANAGEMENT SERVICES LTD</t>
  </si>
  <si>
    <t>RKEC PROJECTS LTD</t>
  </si>
  <si>
    <t>RKEC</t>
  </si>
  <si>
    <t>RLF LTD</t>
  </si>
  <si>
    <t>RMC SWITCHGEARS LTD</t>
  </si>
  <si>
    <t>RMG ALLOY STEEL LTD</t>
  </si>
  <si>
    <t>ROCKON ENTERPRISES LTD</t>
  </si>
  <si>
    <t>RODIUM REALTY LTD</t>
  </si>
  <si>
    <t>ROHIT FERRO-TECH LTD</t>
  </si>
  <si>
    <t>ROHITFERRO</t>
  </si>
  <si>
    <t>ROLCON ENGINEERING CO LTD</t>
  </si>
  <si>
    <t>ROLLATAINERS LTD</t>
  </si>
  <si>
    <t>ROLLT</t>
  </si>
  <si>
    <t>ROLTA (INDIA) LTD</t>
  </si>
  <si>
    <t>ROLTA</t>
  </si>
  <si>
    <t>ROLTA INDIA LTD</t>
  </si>
  <si>
    <t>RONI HOUSEHOLDS LTD</t>
  </si>
  <si>
    <t>ROOPA INDUSTRIES LTD</t>
  </si>
  <si>
    <t>Roopshri Resorts Ltd</t>
  </si>
  <si>
    <t>ROOPSHRI</t>
  </si>
  <si>
    <t>ROSELABS FINANCE LTD</t>
  </si>
  <si>
    <t>ROSSELL (INDIA) LTD</t>
  </si>
  <si>
    <t>ROSSELLIND</t>
  </si>
  <si>
    <t>ROSSELL INDIA LTD</t>
  </si>
  <si>
    <t>ROTO PUMPS LTD</t>
  </si>
  <si>
    <t>ROTOGRAPHICS (INDIA) LTD</t>
  </si>
  <si>
    <t>ROTOGRAPHICS INDIA LTD</t>
  </si>
  <si>
    <t>ROYAL CUSHION VINYL PRODUCTS LTD</t>
  </si>
  <si>
    <t>ROYAL INDIA CORPORATION LTD</t>
  </si>
  <si>
    <t>ROYAL ORCHID HOTELS LTD</t>
  </si>
  <si>
    <t>ROHLTD</t>
  </si>
  <si>
    <t>ROYALE MANOR HOTELS &amp; INDUSTRIES LTD</t>
  </si>
  <si>
    <t>RPG LIFE SCIENCES LTD</t>
  </si>
  <si>
    <t>RPGLIFE</t>
  </si>
  <si>
    <t>RR FINANCIAL CONSULTANTS LTD</t>
  </si>
  <si>
    <t>RSC INTERNATIONAL LTD</t>
  </si>
  <si>
    <t>RSD FINANCE LTD</t>
  </si>
  <si>
    <t>RSWM LTD</t>
  </si>
  <si>
    <t>RSWM</t>
  </si>
  <si>
    <t>RTS POWER CORPORATION LTD</t>
  </si>
  <si>
    <t>RUBFILA INTERNATIONAL LTD</t>
  </si>
  <si>
    <t>RUBRA MEDICAMENTS LTD</t>
  </si>
  <si>
    <t>RUCHI INFRASTRUCTURE LTD</t>
  </si>
  <si>
    <t>RUCHINFRA</t>
  </si>
  <si>
    <t>RUCHI SOYA INDUSTRIES LTD</t>
  </si>
  <si>
    <t>RUCHISOYA</t>
  </si>
  <si>
    <t>RUCHIKA INDUSTRIES (INDIA) LTD</t>
  </si>
  <si>
    <t>RUCHIKA INDUSTRIES INDIA LTD</t>
  </si>
  <si>
    <t>RUCHIRA PAPERS LTD</t>
  </si>
  <si>
    <t>RUCHIRA</t>
  </si>
  <si>
    <t>RUDRA GLOBAL INFRA PRODUCTS LTD</t>
  </si>
  <si>
    <t>RUDRABHISHEK ENTERPRISES LTD</t>
  </si>
  <si>
    <t>REPL</t>
  </si>
  <si>
    <t>RUIA AQUACULTURE FARMS LTD</t>
  </si>
  <si>
    <t>RUNGTA IRRIGATION LTD</t>
  </si>
  <si>
    <t>RUPA &amp; COMPANY LTD</t>
  </si>
  <si>
    <t>RUPA</t>
  </si>
  <si>
    <t>RUSHIL DECOR LTD</t>
  </si>
  <si>
    <t>RUSHIL</t>
  </si>
  <si>
    <t>RUTRON INTERNATIONAL LTD</t>
  </si>
  <si>
    <t>RUTTONSHA INTERNATIONAL RECTIFIER LTD</t>
  </si>
  <si>
    <t>S  M  GOLD LTD</t>
  </si>
  <si>
    <t>S A L STEEL LTD</t>
  </si>
  <si>
    <t>SALSTEEL</t>
  </si>
  <si>
    <t>S CHAND AND COMPANY LTD</t>
  </si>
  <si>
    <t>SCHAND</t>
  </si>
  <si>
    <t>S E POWER LTD</t>
  </si>
  <si>
    <t>SEPOWER</t>
  </si>
  <si>
    <t>S H KELKAR AND COMPANY LTD</t>
  </si>
  <si>
    <t>SHK</t>
  </si>
  <si>
    <t>S KUMARS.COM LTD.</t>
  </si>
  <si>
    <t>SKUMAR</t>
  </si>
  <si>
    <t>Internet Software &amp;amp; Services</t>
  </si>
  <si>
    <t>S P APPARELS LTD</t>
  </si>
  <si>
    <t>SPAL</t>
  </si>
  <si>
    <t>S R G SECURITIES FINANCE LTD</t>
  </si>
  <si>
    <t>S R INDUSTRIES LTD</t>
  </si>
  <si>
    <t>S R K INDUSTRIES LTD</t>
  </si>
  <si>
    <t>S S INFRASTRUCTURE DEVELOPMENT CONSULTANTS LTD</t>
  </si>
  <si>
    <t>SSINFRA</t>
  </si>
  <si>
    <t>S T SERVICES LTD</t>
  </si>
  <si>
    <t>S V GLOBAL MILL LTD</t>
  </si>
  <si>
    <t>S V TRADING &amp; AGENCIES LTD</t>
  </si>
  <si>
    <t>S&amp;T CORPORATION LTD</t>
  </si>
  <si>
    <t>SAB EVENTS &amp; GOVERNANCE NOW MEDIA LTD</t>
  </si>
  <si>
    <t>SABEVENTS</t>
  </si>
  <si>
    <t>SAB INDUSTRIES LTD</t>
  </si>
  <si>
    <t>SABOO BROTHERS LTD</t>
  </si>
  <si>
    <t>SABOO SODIUM CHLORO LTD</t>
  </si>
  <si>
    <t>SABRIMALA INDUSTRIES (INDIA) LTD</t>
  </si>
  <si>
    <t>SABRIMALA INDUSTRIES INDIA LTD</t>
  </si>
  <si>
    <t>SACHETA METALS LTD</t>
  </si>
  <si>
    <t>SADBHAV ENGINEERING LTD</t>
  </si>
  <si>
    <t>SADBHAV</t>
  </si>
  <si>
    <t>SADBHAV INFRASTRUCTURE PROJECT LTD</t>
  </si>
  <si>
    <t>SADBHIN</t>
  </si>
  <si>
    <t>SADHANA NITROCHEM LTD</t>
  </si>
  <si>
    <t>SADHNA BROADCAST LTD</t>
  </si>
  <si>
    <t>SAFAL HERBS LTD</t>
  </si>
  <si>
    <t>SAFAL SECURITIES LTD</t>
  </si>
  <si>
    <t>SAFARI INDUSTRIES (INDIA) LTD</t>
  </si>
  <si>
    <t>SAFARI INDUSTRIES INDIA LTD</t>
  </si>
  <si>
    <t>SAGAR CEMENTS LTD</t>
  </si>
  <si>
    <t>SAGCEM</t>
  </si>
  <si>
    <t>SAGAR DIAMONDS LTD</t>
  </si>
  <si>
    <t>SAGAR PRODUCTIONS LTD</t>
  </si>
  <si>
    <t>SAGAR SOYA PRODUCTS LTD</t>
  </si>
  <si>
    <t>SAGAR SYSTECH LTD</t>
  </si>
  <si>
    <t>SAGAR TOURIST RESORTS LTD</t>
  </si>
  <si>
    <t>SAGARDEEP ALLOYS LTD</t>
  </si>
  <si>
    <t>SAGARDEEP</t>
  </si>
  <si>
    <t>SAGARSOFT (INDIA) LTD</t>
  </si>
  <si>
    <t>SAGARSOFT INDIA LTD</t>
  </si>
  <si>
    <t>SAHARA HOUSINGFINA CORPORATION LTD</t>
  </si>
  <si>
    <t>SAHARA ONE MEDIA &amp; ENTERTAINMENT LTD</t>
  </si>
  <si>
    <t>SAHYADRI INDUSTRIES LTD</t>
  </si>
  <si>
    <t>SAHYOG MULTIBASE LTD</t>
  </si>
  <si>
    <t>SAI BABA INVESTMENT AND COMMERCIAL ENTERPRISES LTD</t>
  </si>
  <si>
    <t>SAI CAPITAL LTD</t>
  </si>
  <si>
    <t>SAI INDUSTRIES LTD</t>
  </si>
  <si>
    <t>SAI MOH AUTO LINKS LTD</t>
  </si>
  <si>
    <t>SAINIK FINANCE &amp; INDUSTRIES LTD</t>
  </si>
  <si>
    <t>SAINT-GOBAIN SEKURIT (INDIA) LTD</t>
  </si>
  <si>
    <t>SAINT-GOBAIN SEKURIT INDIA LTD</t>
  </si>
  <si>
    <t>SAKAR HEALTHCARE LTD</t>
  </si>
  <si>
    <t>SAKAR</t>
  </si>
  <si>
    <t>SAKETH EXIM LTD</t>
  </si>
  <si>
    <t>SAKETH</t>
  </si>
  <si>
    <t>SAKSOFT LTD</t>
  </si>
  <si>
    <t>SAKSOFT</t>
  </si>
  <si>
    <t>SAKTHI FINANCE LTD</t>
  </si>
  <si>
    <t>SAKTHI SUGARS LTD</t>
  </si>
  <si>
    <t>SAKHTISUG</t>
  </si>
  <si>
    <t>SAKUMA EXPORTS LTD</t>
  </si>
  <si>
    <t>SAKUMA</t>
  </si>
  <si>
    <t>SALASAR TECHNO ENGINEERING LTD</t>
  </si>
  <si>
    <t>SALASAR</t>
  </si>
  <si>
    <t>SALEM ERODE INVESTMENTS LTD</t>
  </si>
  <si>
    <t>SALGUTI INDUSTRIES LTD</t>
  </si>
  <si>
    <t>SALONA COTSPIN LTD</t>
  </si>
  <si>
    <t>SALONA</t>
  </si>
  <si>
    <t>SALORA INTERNATIONAL LTD</t>
  </si>
  <si>
    <t>SALORAINTL</t>
  </si>
  <si>
    <t>SALZER ELECTRONICS LTD</t>
  </si>
  <si>
    <t>SALZERELEC</t>
  </si>
  <si>
    <t>SAM INDUSTRIES LTD</t>
  </si>
  <si>
    <t>SAMBANDAM SPINNING MILLS LTD</t>
  </si>
  <si>
    <t>SAMBHAAV MEDIA LTD</t>
  </si>
  <si>
    <t>SAMBHAAV</t>
  </si>
  <si>
    <t>SAMKRG PISTONS &amp; RINGS LTD</t>
  </si>
  <si>
    <t>SAMPRE NUTRITIONS LTD</t>
  </si>
  <si>
    <t>SAMRAT PHARMACHEM LTD</t>
  </si>
  <si>
    <t>SAMTEL (INDIA) LTD</t>
  </si>
  <si>
    <t>SAMTEL INDIA LTD</t>
  </si>
  <si>
    <t>SAMTEX FASHIONS LTD</t>
  </si>
  <si>
    <t>SAMYAK INTERNATIONAL LTD</t>
  </si>
  <si>
    <t>SANASA TECH FEB LTD</t>
  </si>
  <si>
    <t>SANATHNAGAR ENTERPRISES LTD</t>
  </si>
  <si>
    <t>SANBLUE CORPORATION LTD</t>
  </si>
  <si>
    <t>SANCO INDUSTRIES LTD</t>
  </si>
  <si>
    <t>SANCO</t>
  </si>
  <si>
    <t>SANCO TRANS LTD</t>
  </si>
  <si>
    <t>SANDHAR TECHNOLOGIES LTD</t>
  </si>
  <si>
    <t>SANDHAR</t>
  </si>
  <si>
    <t>SANDU PHARMACEUTICALS LTD</t>
  </si>
  <si>
    <t>SANDUR MANGANESE &amp; IRON ORES LTD</t>
  </si>
  <si>
    <t>SANG FROID LABS (INDIA) LTD</t>
  </si>
  <si>
    <t>SANG FROID LABS INDIA LTD</t>
  </si>
  <si>
    <t>SANGAL PAPERS LTD</t>
  </si>
  <si>
    <t>SANGAM (INDIA) LTD</t>
  </si>
  <si>
    <t>SANGAMIND</t>
  </si>
  <si>
    <t>SANGAM INDIA LTD</t>
  </si>
  <si>
    <t>SANGAM RENEWABLES LTD</t>
  </si>
  <si>
    <t>SANGHI CORPORATE SERVICES LTD</t>
  </si>
  <si>
    <t>SANGHI INDUSTRIES LTD</t>
  </si>
  <si>
    <t>SANGHIIND</t>
  </si>
  <si>
    <t>SANGHVI BRANDS LTD</t>
  </si>
  <si>
    <t>SANGHVI FORGING AND ENGINEERING LTD</t>
  </si>
  <si>
    <t>SANGHVIFOR</t>
  </si>
  <si>
    <t>SANGHVI MOVERS LTD</t>
  </si>
  <si>
    <t>SANGHVIMOV</t>
  </si>
  <si>
    <t>SANGINITA CHEMICALS LTD</t>
  </si>
  <si>
    <t>SANGINITA</t>
  </si>
  <si>
    <t>SANGUINE MEDIA LTD</t>
  </si>
  <si>
    <t>SANJIVANI PARANTERAL LTD</t>
  </si>
  <si>
    <t>SANKHYA INFOTECH LTD</t>
  </si>
  <si>
    <t>SANMIT INFRA LTD</t>
  </si>
  <si>
    <t>SANMITRA COMMERCIAL LTD</t>
  </si>
  <si>
    <t>SANOFI (INDIA) LTD</t>
  </si>
  <si>
    <t>SANOFI</t>
  </si>
  <si>
    <t>SANOFI INDIA LTD</t>
  </si>
  <si>
    <t>SANRHEA TECHNICAL TEXTILES LTD</t>
  </si>
  <si>
    <t>SANTOSH FINE-FAB LTD</t>
  </si>
  <si>
    <t>SANTOSH INDUSTRIES LTD</t>
  </si>
  <si>
    <t>SANWARIA CONSUMER LTD</t>
  </si>
  <si>
    <t>SANWARIA</t>
  </si>
  <si>
    <t>SAPTAK CHEM AND BUSINESS LTD</t>
  </si>
  <si>
    <t>SAPTARISHI AGRO INDUSTRIES LTD</t>
  </si>
  <si>
    <t>SAR AUTO PRODUCTS LTD</t>
  </si>
  <si>
    <t>SARASWATI COMMERCIAL (INDIA) LTD</t>
  </si>
  <si>
    <t>SARASWATI COMMERCIAL INDIA LTD</t>
  </si>
  <si>
    <t>SARDA ENERGY &amp; MINERALS LTD</t>
  </si>
  <si>
    <t>SARDAEN</t>
  </si>
  <si>
    <t>SARDA PAPERS LTD</t>
  </si>
  <si>
    <t>SARDA PLYWOOD INDUSTRIES LTD</t>
  </si>
  <si>
    <t>SARDA PROTEINS LTD</t>
  </si>
  <si>
    <t>SAREGAMA (INDIA) LTD</t>
  </si>
  <si>
    <t>SAREGAMA</t>
  </si>
  <si>
    <t>SAREGAMA INDIA LTD</t>
  </si>
  <si>
    <t>SARLA PERFORMANCE FIBERS LTD</t>
  </si>
  <si>
    <t>SARLAPOLY</t>
  </si>
  <si>
    <t>SARTHAK GLOBAL LTD</t>
  </si>
  <si>
    <t>SARTHAK INDUSTRIES LTD</t>
  </si>
  <si>
    <t>SARTHAK METALS LTD</t>
  </si>
  <si>
    <t>SARUP INDUSTRIES LTD</t>
  </si>
  <si>
    <t>SARVAMANGAL MERCANTILE CO LTD</t>
  </si>
  <si>
    <t>SARVESHWAR FOODS LTD</t>
  </si>
  <si>
    <t>SARVESHWAR</t>
  </si>
  <si>
    <t>SARVOTTAM FINVEST LTD</t>
  </si>
  <si>
    <t>SASHWAT TECHNOCRATS LTD</t>
  </si>
  <si>
    <t>SASKEN TECHNOLOGIES LTD</t>
  </si>
  <si>
    <t>SASKEN</t>
  </si>
  <si>
    <t>SASTASUNDAR VENTURES LTD</t>
  </si>
  <si>
    <t>SASTASUNDR</t>
  </si>
  <si>
    <t>SAT INDUSTRIES LTD</t>
  </si>
  <si>
    <t>SATHAVAHANA ISPAT LTD</t>
  </si>
  <si>
    <t>SATHAISPAT</t>
  </si>
  <si>
    <t>SATIA INDUSTRIES LTD</t>
  </si>
  <si>
    <t>SATIN CREDITCARE NETWORK LTD</t>
  </si>
  <si>
    <t>SATIN</t>
  </si>
  <si>
    <t>SATKAR FINLEASE LTD</t>
  </si>
  <si>
    <t>SATRA PROPERTIES (INDIA) LTD.</t>
  </si>
  <si>
    <t>SATRAPROP</t>
  </si>
  <si>
    <t>SATYAM SILK MILLS LTD</t>
  </si>
  <si>
    <t>SAUMYA CONSULTANTS LTD</t>
  </si>
  <si>
    <t>SAURASHTRA CEMENT LTD</t>
  </si>
  <si>
    <t>SAVANI FINANCIALS LTD</t>
  </si>
  <si>
    <t>SAVANT INFOCOMM LTD</t>
  </si>
  <si>
    <t>SAVEN TECHNOLOGIES LTD</t>
  </si>
  <si>
    <t>SAVERA INDUSTRIES LTD</t>
  </si>
  <si>
    <t>SAVITA OIL TECHNOLOGIES LTD</t>
  </si>
  <si>
    <t>SOTL</t>
  </si>
  <si>
    <t>SAWACA BUSINESS MACHINES LTD</t>
  </si>
  <si>
    <t>SAYAJI HOTELS LTD</t>
  </si>
  <si>
    <t>SAYAJI INDUSTRIES LTD</t>
  </si>
  <si>
    <t>SBEC SUGAR LTD</t>
  </si>
  <si>
    <t>SBI LIFE INSURANCE COMPANY LTD</t>
  </si>
  <si>
    <t>SBILIFE</t>
  </si>
  <si>
    <t>SBI MUTUAL FUND - SBI GOLD EXCHANGE TRADED SCHEME - GROWTH OPTION</t>
  </si>
  <si>
    <t>SBIGETS</t>
  </si>
  <si>
    <t>SC Agrotech Ltd</t>
  </si>
  <si>
    <t>SCAGRO</t>
  </si>
  <si>
    <t>SCAN PROJECTS LTD</t>
  </si>
  <si>
    <t>SCAN STEELS LTD</t>
  </si>
  <si>
    <t>Scandent Imaging LTD</t>
  </si>
  <si>
    <t>SCANDENT</t>
  </si>
  <si>
    <t>SCANPOINT GEOMATICS LTD</t>
  </si>
  <si>
    <t>SCHABLONA (INDIA) LTD</t>
  </si>
  <si>
    <t>SCHABLONA INDIA LTD</t>
  </si>
  <si>
    <t>SCHAEFFLER (INDIA) LTD</t>
  </si>
  <si>
    <t>SCHAEFFLER</t>
  </si>
  <si>
    <t>SCHAEFFLER INDIA LTD</t>
  </si>
  <si>
    <t>SCHNEIDER ELECTRIC INFRASTRUCTURE LTD</t>
  </si>
  <si>
    <t>SCHNEIDER</t>
  </si>
  <si>
    <t>SCINTILLA COMMERCIAL &amp; CREDIT LTD</t>
  </si>
  <si>
    <t>SCOOTERS (INDIA) LTD</t>
  </si>
  <si>
    <t>SCOOTERS INDIA LTD</t>
  </si>
  <si>
    <t>SEA GOLD AQUA FARMS LTD</t>
  </si>
  <si>
    <t>SEA TV NETWORK LTD</t>
  </si>
  <si>
    <t>SEAMEC LTD</t>
  </si>
  <si>
    <t>SEAMECLTD</t>
  </si>
  <si>
    <t>SEASONS FURNISHINGS LTD</t>
  </si>
  <si>
    <t>SEASONS TEXTILES LTD</t>
  </si>
  <si>
    <t>SECUR CREDENTIALS LTD</t>
  </si>
  <si>
    <t>SECURCRED</t>
  </si>
  <si>
    <t>SECURITY AND INTELLIGENCE SERVICES (INDIA) LTD</t>
  </si>
  <si>
    <t>SIS</t>
  </si>
  <si>
    <t>SECURITY AND INTELLIGENCE SERVICES INDIA LTD</t>
  </si>
  <si>
    <t>SEL MANUFACTURING COMPANY LTD</t>
  </si>
  <si>
    <t>SELMCL</t>
  </si>
  <si>
    <t>SELAN EXPLORATION TECHNOLOGY LTD</t>
  </si>
  <si>
    <t>SELAN</t>
  </si>
  <si>
    <t>SELLWIN TRADERS LTD</t>
  </si>
  <si>
    <t>SENBO INDUSTRIES LTD</t>
  </si>
  <si>
    <t>SENTHIL INFOTEK LTD</t>
  </si>
  <si>
    <t>SEQUENT SCIENTIFIC LTD</t>
  </si>
  <si>
    <t>SEQUENT</t>
  </si>
  <si>
    <t>SERVOTECH POWER SYSTEMS LTD</t>
  </si>
  <si>
    <t>SERVOTECH</t>
  </si>
  <si>
    <t>SESHASAYEE PAPER AND BOARDS LTD</t>
  </si>
  <si>
    <t>SESHAPAPER</t>
  </si>
  <si>
    <t>SETCO AUTOMOTIVE LTD</t>
  </si>
  <si>
    <t>SETCO</t>
  </si>
  <si>
    <t>SEVEN HILL INDUSTRIES LTD</t>
  </si>
  <si>
    <t>SEYA INDUSTRIES LTD</t>
  </si>
  <si>
    <t>SEZAL GLASS LTD</t>
  </si>
  <si>
    <t>SEZAL</t>
  </si>
  <si>
    <t>SFL INTERNATIONAL LTD</t>
  </si>
  <si>
    <t>SHABA CHEMICALS LTD</t>
  </si>
  <si>
    <t>SHAH ALLOYS LTD</t>
  </si>
  <si>
    <t>SHAHALLOYS</t>
  </si>
  <si>
    <t>SHAH CONSTRUCTION CO LTD</t>
  </si>
  <si>
    <t>SHAH FOODS LTD</t>
  </si>
  <si>
    <t>SHAHI SHIPPING LTD</t>
  </si>
  <si>
    <t>SHAILJA COMMERCIAL TRADE FRENZY LTD</t>
  </si>
  <si>
    <t>SHAILY ENGINEERING PLASTICS LTD</t>
  </si>
  <si>
    <t>SHAIVAL REALITY LTD</t>
  </si>
  <si>
    <t>SHAIVAL</t>
  </si>
  <si>
    <t>SHAKTI PUMPS (INDIA) LTD</t>
  </si>
  <si>
    <t>SHAKTIPUMP</t>
  </si>
  <si>
    <t>SHAKTI PUMPS INDIA LTD</t>
  </si>
  <si>
    <t>SHALBY LTD</t>
  </si>
  <si>
    <t>SHALBY</t>
  </si>
  <si>
    <t>SHALIBHADRA FINANCE LTD</t>
  </si>
  <si>
    <t>SHALIMAR AGENCIES LTD</t>
  </si>
  <si>
    <t>SHALIMAR PAINTS LTD</t>
  </si>
  <si>
    <t>SHALPAINTS</t>
  </si>
  <si>
    <t>SHALIMAR PRODUCTIONS LTD</t>
  </si>
  <si>
    <t>SHALIMAR WIRES INDUSTRIES LTD</t>
  </si>
  <si>
    <t>SHANGAR DECOR LTD</t>
  </si>
  <si>
    <t>Shankar Lal Rampal Dye-Chem Ltd</t>
  </si>
  <si>
    <t>SRD</t>
  </si>
  <si>
    <t>SHANKARA BUILDING PRODUCTS LTD</t>
  </si>
  <si>
    <t>SHANKARA</t>
  </si>
  <si>
    <t>SHANTAI INDUSTRIES LTD</t>
  </si>
  <si>
    <t>SHANTANU SHEOREY AQUAKULT LTD</t>
  </si>
  <si>
    <t>SHANTHI GEARS LTD</t>
  </si>
  <si>
    <t>SHANTIGEAR</t>
  </si>
  <si>
    <t>SHANTI EDUCATIONAL INITIATIVES LTD</t>
  </si>
  <si>
    <t>SHANTI OVERSEAS (INDIA) LTD</t>
  </si>
  <si>
    <t>SHANTI</t>
  </si>
  <si>
    <t>SHANTI OVERSEAS INDIA LTD</t>
  </si>
  <si>
    <t>SHARAD FIBRES &amp; YARN PROCESSORS LTD</t>
  </si>
  <si>
    <t>SHARANAM INFRAPROJECT AND TRADING LTD</t>
  </si>
  <si>
    <t>SHARDA CROPCHEM LTD</t>
  </si>
  <si>
    <t>SHARDACROP</t>
  </si>
  <si>
    <t>SHARDA ISPAT LTD</t>
  </si>
  <si>
    <t>SHARDA MOTOR INDUSTRIES LTD</t>
  </si>
  <si>
    <t>SHARDAMOTR</t>
  </si>
  <si>
    <t>SHARDUL SECURITIES LTD</t>
  </si>
  <si>
    <t>SHARE INDIA SECURITIES LTD</t>
  </si>
  <si>
    <t>SHARIKA ENTERPRISES LTD</t>
  </si>
  <si>
    <t>SHARON BIO-MEDICINE LTD</t>
  </si>
  <si>
    <t>SHARONBIO</t>
  </si>
  <si>
    <t>SHARP (INDIA) LTD</t>
  </si>
  <si>
    <t>SHARP INDIA LTD</t>
  </si>
  <si>
    <t>SHARP INVESTMENTS LTD</t>
  </si>
  <si>
    <t>SHASHANK TRADERS LTD</t>
  </si>
  <si>
    <t>SHASHIJIT INFRAPROJECTS LTD</t>
  </si>
  <si>
    <t>SHEELA FOAM LTD</t>
  </si>
  <si>
    <t>SFL</t>
  </si>
  <si>
    <t>SHEETAL COOL PRODUCTS LTD</t>
  </si>
  <si>
    <t>SHEETAL DIAMONDS LTD</t>
  </si>
  <si>
    <t>SHEKHAWATI POLY-YARN LTD</t>
  </si>
  <si>
    <t>SPYL</t>
  </si>
  <si>
    <t>SHELTER INFRA PROJECTS LTD</t>
  </si>
  <si>
    <t>SHEMAROO ENTERTAINMENT LTD</t>
  </si>
  <si>
    <t>SHEMAROO</t>
  </si>
  <si>
    <t>SHERATON PROPERTIES &amp; FINANCE LTD</t>
  </si>
  <si>
    <t>SHERVANI INDUSTRIAL SYNDICATE LTD</t>
  </si>
  <si>
    <t>SHESHADRI INDUSTRIES LTD</t>
  </si>
  <si>
    <t>SHETRON LTD</t>
  </si>
  <si>
    <t>SHIKHAR LEASING &amp; TRADING LTD</t>
  </si>
  <si>
    <t>SHILCHAR TECHNOLOGIES LTD</t>
  </si>
  <si>
    <t>SHILP GRAVURES LTD</t>
  </si>
  <si>
    <t>SHILPA MEDICARE LTD</t>
  </si>
  <si>
    <t>SHILPAMED</t>
  </si>
  <si>
    <t>SHILPI CABLE TECHNOLOGIES LTD</t>
  </si>
  <si>
    <t>SHILPI</t>
  </si>
  <si>
    <t>SHIPPING CORPORATION OF (INDIA) LTD</t>
  </si>
  <si>
    <t>SCI</t>
  </si>
  <si>
    <t>SHIPPING CORPORATION OF INDIA LTD</t>
  </si>
  <si>
    <t>SHIRPUR GOLD REFINERY LTD</t>
  </si>
  <si>
    <t>SHIRPUR-G</t>
  </si>
  <si>
    <t>SHISH INDUSTRIES LTD</t>
  </si>
  <si>
    <t>SHIVA CEMENT LTD</t>
  </si>
  <si>
    <t>SHIVA GLOBAL AGRO INDUSTRIES LTD</t>
  </si>
  <si>
    <t>SHIVA GRANITO EXPORT LTD</t>
  </si>
  <si>
    <t>SHIVA MEDICARE LTD.</t>
  </si>
  <si>
    <t>SHIVMED</t>
  </si>
  <si>
    <t>SHIVA MILLS LTD</t>
  </si>
  <si>
    <t>SHIVAMILLS</t>
  </si>
  <si>
    <t>SHIVA SUITINGS LTD</t>
  </si>
  <si>
    <t>SHIVA TEXYARN LTD</t>
  </si>
  <si>
    <t>SHIVATEX</t>
  </si>
  <si>
    <t>SHIVAGRICO IMPLEMENTS LTD</t>
  </si>
  <si>
    <t>SHIVALIK BIMETAL CONTROLS LTD</t>
  </si>
  <si>
    <t>SHIVALIK RASAYAN LTD</t>
  </si>
  <si>
    <t>SHIVAM AUTOTECH LTD</t>
  </si>
  <si>
    <t>SHIVAMAUTO</t>
  </si>
  <si>
    <t>SHIVANSH FINSERVE LTD</t>
  </si>
  <si>
    <t>SHIVKAMAL IMPEX LTD</t>
  </si>
  <si>
    <t>SHIVOM INVESTMENT &amp; CONSULTANCY LTD</t>
  </si>
  <si>
    <t>SHOPPERS STOP LTD</t>
  </si>
  <si>
    <t>SHOPERSTOP</t>
  </si>
  <si>
    <t>SHRADHA INFRAPROJECTS NAGPUR LTD</t>
  </si>
  <si>
    <t>SHRADHA</t>
  </si>
  <si>
    <t>SHREE AJIT PULP AND PAPER LTD</t>
  </si>
  <si>
    <t>SHREE BHAVYA FABRICS LTD</t>
  </si>
  <si>
    <t>SHREE BHAWANI PAPER MILLS LTD</t>
  </si>
  <si>
    <t>SHREE CEMENT LTD</t>
  </si>
  <si>
    <t>SHREECEM</t>
  </si>
  <si>
    <t>SHREE DIGVIJAY CEMENT CO LTD</t>
  </si>
  <si>
    <t>SHREE GANESH BIOTECH (INDIA) LTD</t>
  </si>
  <si>
    <t>SHREE GANESH BIOTECH INDIA LTD</t>
  </si>
  <si>
    <t>SHREE GANESH ELASTOPLAST LTD</t>
  </si>
  <si>
    <t>SHREE GANESH FORGINGS LTD</t>
  </si>
  <si>
    <t>SGFL</t>
  </si>
  <si>
    <t>SHREE GANESH REMEDIES LTD</t>
  </si>
  <si>
    <t>SHREE GLOBAL TRADEFIN LTD</t>
  </si>
  <si>
    <t>SHREE HARI CHEMICALS EXPORT LTD</t>
  </si>
  <si>
    <t>SHREE KARTHIK PAPERS LTD</t>
  </si>
  <si>
    <t>SHREE KRISHNA INFRASTRUCTURE LTD</t>
  </si>
  <si>
    <t>SHREE KRISHNA PAPER MILLS &amp; INDUSTRIES LTD</t>
  </si>
  <si>
    <t>SHREE MANUFACTURING CO LTD</t>
  </si>
  <si>
    <t>SHREE METALLOYS LTD</t>
  </si>
  <si>
    <t>SHREE NIDHI TRADING CO  LTD</t>
  </si>
  <si>
    <t>SHREE OM TRADES LTD</t>
  </si>
  <si>
    <t>SHREE PACETRONIX LTD</t>
  </si>
  <si>
    <t>SHREE PRECOATED STEELS LTD</t>
  </si>
  <si>
    <t>SHREE PUSHKAR CHEMICALS &amp; FERTILISERS LTD</t>
  </si>
  <si>
    <t>SHREEPUSHK</t>
  </si>
  <si>
    <t>SHREE RAJASTHAN SYNTEX LTD</t>
  </si>
  <si>
    <t>SHREE RAJESHWARANAND PAPER MILLS LTD</t>
  </si>
  <si>
    <t>SHREE RAM PROTEINS LTD</t>
  </si>
  <si>
    <t>SRPL</t>
  </si>
  <si>
    <t>SHREE RAMA MULTI-TECH LTD</t>
  </si>
  <si>
    <t>SHREERAMA</t>
  </si>
  <si>
    <t>SHREE RAMA NEWSPRINT LTD</t>
  </si>
  <si>
    <t>RAMANEWS</t>
  </si>
  <si>
    <t>SHREE RENUKA SUGARS LTD</t>
  </si>
  <si>
    <t>RENUKA</t>
  </si>
  <si>
    <t>SHREE SALASAR INVESTMENT LTD</t>
  </si>
  <si>
    <t>SHREE SECURITIES LTD</t>
  </si>
  <si>
    <t>SHREE STEEL WIRE ROPES LTD</t>
  </si>
  <si>
    <t>SHREE SURGOVIND TRADELINK LTD</t>
  </si>
  <si>
    <t>SHREE TIRUPATI BALAJEE FIBC LTD</t>
  </si>
  <si>
    <t>TIRUPATI</t>
  </si>
  <si>
    <t>SHREE TULSI ONLINE COM LTD</t>
  </si>
  <si>
    <t>SHREE VASU LOGISTICS LTD</t>
  </si>
  <si>
    <t>SVLL</t>
  </si>
  <si>
    <t>SHREE WORSTEX LTD</t>
  </si>
  <si>
    <t>SHREEJI TRANSLOGISTICS LTD</t>
  </si>
  <si>
    <t>SHREENATH INVESTMENTS CO LTD</t>
  </si>
  <si>
    <t>SHREEOSWAL SEEDS AND CHEMICALS LTD</t>
  </si>
  <si>
    <t>OSWALSEEDS</t>
  </si>
  <si>
    <t>SHREESHAY ENGINEERS LTD</t>
  </si>
  <si>
    <t>SHREEVATSAA FINANCE &amp; LEASING LTD</t>
  </si>
  <si>
    <t>SHRENIK LTD</t>
  </si>
  <si>
    <t>SHRENIK</t>
  </si>
  <si>
    <t>SHREYANS INDUSTRIES LTD</t>
  </si>
  <si>
    <t>SHREYANIND</t>
  </si>
  <si>
    <t>SHREYAS INTERMEDIATES LTD</t>
  </si>
  <si>
    <t>SHREYAS SHIPPING &amp; LOGISTICS LTD</t>
  </si>
  <si>
    <t>SHREYAS</t>
  </si>
  <si>
    <t>SHRI BAJRANG ALLOYS LTD</t>
  </si>
  <si>
    <t>SHRI BHOLANATH CARPETS LTD</t>
  </si>
  <si>
    <t>SHRI DINESH MILLS LTD</t>
  </si>
  <si>
    <t>SHRI JAGDAMBA POLYMERS LTD</t>
  </si>
  <si>
    <t>SHRI KALYAN HOLDINGS LTD</t>
  </si>
  <si>
    <t>SHRI KESHAV CEMENTS AND INFRA LTD</t>
  </si>
  <si>
    <t>SHRI KRISHNA DEVCON LTD</t>
  </si>
  <si>
    <t>SHRI NIWAS LEASING AND FINANCE LTD</t>
  </si>
  <si>
    <t>SHRI RAM SWITCHGEARS LTD</t>
  </si>
  <si>
    <t>SRIRAM</t>
  </si>
  <si>
    <t>SHRICON INDUSTRIES LTD</t>
  </si>
  <si>
    <t>SHRIRAM ASSET MANAGEMENT CO LTD</t>
  </si>
  <si>
    <t>SHRIRAM CITY UNION FINANCE LTD</t>
  </si>
  <si>
    <t>SHRIRAMCIT</t>
  </si>
  <si>
    <t>SHRIRAM EPC LTD</t>
  </si>
  <si>
    <t>SHRIRAMEPC</t>
  </si>
  <si>
    <t>SHRIRAM PISTONS &amp; RINGS LTD</t>
  </si>
  <si>
    <t>SHRIPISTON</t>
  </si>
  <si>
    <t>SHRIRAM TRANSPORT FINANCE COMPANY LTD</t>
  </si>
  <si>
    <t>SRTRANSFIN</t>
  </si>
  <si>
    <t>SHRISTI INFRASTRUCTURE DEVELOPMENT CORPORATION LTD</t>
  </si>
  <si>
    <t>SHUBHAM POLYSPIN LTD</t>
  </si>
  <si>
    <t>SHUBHLAXMI JEWEL ART LTD</t>
  </si>
  <si>
    <t>SHUBHLAXMI</t>
  </si>
  <si>
    <t>SHUKRA BULLIONS LTD.</t>
  </si>
  <si>
    <t>SKRABUL</t>
  </si>
  <si>
    <t>SHUKRA JEWELLERS LTD</t>
  </si>
  <si>
    <t>SHUKRA PHARMACEUTICALS LTD</t>
  </si>
  <si>
    <t>SHYAM CENTURY FERROUS LTD</t>
  </si>
  <si>
    <t>SHYAMCENT</t>
  </si>
  <si>
    <t>SHYAM TELECOM LTD</t>
  </si>
  <si>
    <t>SHYAMTEL</t>
  </si>
  <si>
    <t>SHYAMA INFOSYS LTD</t>
  </si>
  <si>
    <t>SHYAMKAMAL INVESTMENTS LTD</t>
  </si>
  <si>
    <t>SI CAPITAL &amp; FINANCIAL SERVICES LTD</t>
  </si>
  <si>
    <t>SIBAR AUTO PARTS LTD</t>
  </si>
  <si>
    <t>SICAGEN (INDIA) LTD</t>
  </si>
  <si>
    <t>SICAGEN</t>
  </si>
  <si>
    <t>SICAGEN INDIA LTD</t>
  </si>
  <si>
    <t>SICAL LOGISTICS LTD</t>
  </si>
  <si>
    <t>SICAL</t>
  </si>
  <si>
    <t>SIDDHARTH EDUCATION SERVICES LTD</t>
  </si>
  <si>
    <t>SIDH AUTOMOBILES LTD</t>
  </si>
  <si>
    <t>SIEL FINANCIAL SERVICES LTD</t>
  </si>
  <si>
    <t>SIEMENS LTD</t>
  </si>
  <si>
    <t>SIEMENS</t>
  </si>
  <si>
    <t>SIGNET INDUSTRIES LTD</t>
  </si>
  <si>
    <t>SIGIND</t>
  </si>
  <si>
    <t>SIKA INTERPLANT SYSTEMS LTD</t>
  </si>
  <si>
    <t>SIKKO INDUSTRIES LTD</t>
  </si>
  <si>
    <t>SIKKO</t>
  </si>
  <si>
    <t>SIKOZY REALTORS LTD</t>
  </si>
  <si>
    <t>SIL INVESTMENTS LTD</t>
  </si>
  <si>
    <t>SILINV</t>
  </si>
  <si>
    <t>SILGO RETAIL LTD</t>
  </si>
  <si>
    <t>SILGO</t>
  </si>
  <si>
    <t>SILLY MONKS ENTERTAINMENT LTD</t>
  </si>
  <si>
    <t>SILLYMONKS</t>
  </si>
  <si>
    <t>SILVER OAK (INDIA) LTD</t>
  </si>
  <si>
    <t>SILVER OAK COMMERCIAL LTD</t>
  </si>
  <si>
    <t>SILVER OAK INDIA LTD</t>
  </si>
  <si>
    <t>SILVER TOUCH TECHNOLOGIES LTD</t>
  </si>
  <si>
    <t>SILVERTUC</t>
  </si>
  <si>
    <t>SILVERPOINT INFRATECH LTD</t>
  </si>
  <si>
    <t>SIMBHAOLI SUGARS LTD</t>
  </si>
  <si>
    <t>SIMBHALS</t>
  </si>
  <si>
    <t>SIMMONDS MARSHALL LTD</t>
  </si>
  <si>
    <t>SIMPLEX CASTINGS LTD</t>
  </si>
  <si>
    <t>SIMPLEX INFRASTRUCTURES LTD</t>
  </si>
  <si>
    <t>SIMPLEXINF</t>
  </si>
  <si>
    <t>SIMPLEX MILLS COMPANY LTD</t>
  </si>
  <si>
    <t>SIMPLEX PAPERS LTD</t>
  </si>
  <si>
    <t>SIMPLEX REALTY LTD</t>
  </si>
  <si>
    <t>SIMRAN FARMS LTD</t>
  </si>
  <si>
    <t>SINCLAIRS HOTELS LTD</t>
  </si>
  <si>
    <t>SINDHU TRADE LINKS LTD</t>
  </si>
  <si>
    <t>SINDU VALLEY TECHNOLOGIES LTD</t>
  </si>
  <si>
    <t>SINGER (INDIA) LTD</t>
  </si>
  <si>
    <t>SINGER INDIA LTD</t>
  </si>
  <si>
    <t>SINNAR BIDI UDYOG LTD</t>
  </si>
  <si>
    <t>SINNER ENERGY (INDIA) LTD</t>
  </si>
  <si>
    <t>SINNER ENERGY INDIA LTD</t>
  </si>
  <si>
    <t>SINTERCOM (INDIA) LTD</t>
  </si>
  <si>
    <t>SINTERCOM</t>
  </si>
  <si>
    <t>SINTERCOM INDIA LTD</t>
  </si>
  <si>
    <t>SINTEX INDUSTRIES LTD</t>
  </si>
  <si>
    <t>SINTEX</t>
  </si>
  <si>
    <t>SINTEX PLASTICS TECHNOLOGY LTD</t>
  </si>
  <si>
    <t>SPTL</t>
  </si>
  <si>
    <t>SIP INDUSTRIES LTD</t>
  </si>
  <si>
    <t>SIR SHADI LAL ENTERPRISES LTD</t>
  </si>
  <si>
    <t>SIRCA PAINTS (INDIA) LTD</t>
  </si>
  <si>
    <t>SIRCA</t>
  </si>
  <si>
    <t>SIRCA PAINTS INDIA LTD</t>
  </si>
  <si>
    <t>SIROHIA &amp; SONS LTD</t>
  </si>
  <si>
    <t>SITA ENTERPRISES LTD</t>
  </si>
  <si>
    <t>SITA SHREE FOOD PRODUCTS LTD</t>
  </si>
  <si>
    <t>SITASHREE</t>
  </si>
  <si>
    <t>SITI NETWORKS LTD</t>
  </si>
  <si>
    <t>SITINET</t>
  </si>
  <si>
    <t>SIYARAM SILK MILLS LTD</t>
  </si>
  <si>
    <t>SIYSIL</t>
  </si>
  <si>
    <t>SJ CORPORATION LTD</t>
  </si>
  <si>
    <t>SJVN LTD</t>
  </si>
  <si>
    <t>SJVN</t>
  </si>
  <si>
    <t>SKF (INDIA) LTD</t>
  </si>
  <si>
    <t>SKF(INDIA)</t>
  </si>
  <si>
    <t>SKF INDIA LTD</t>
  </si>
  <si>
    <t>SKFINDIA</t>
  </si>
  <si>
    <t>SKIL INFRASTRUCTURE LTD</t>
  </si>
  <si>
    <t>SKIL</t>
  </si>
  <si>
    <t>SKIPPER LTD</t>
  </si>
  <si>
    <t>SKIPPER</t>
  </si>
  <si>
    <t>SKM EGG PRODUCTS EXPORT (INDIA) LTD</t>
  </si>
  <si>
    <t>SKMEGGPROD</t>
  </si>
  <si>
    <t>SKM EGG PRODUCTS EXPORT INDIA LTD</t>
  </si>
  <si>
    <t>SKP SECURITIES LTD</t>
  </si>
  <si>
    <t>SKS TEXTILES LTD</t>
  </si>
  <si>
    <t>SKSTEXTILE</t>
  </si>
  <si>
    <t>SKY GOLD LTD</t>
  </si>
  <si>
    <t>SKY INDUSTRIES LTD</t>
  </si>
  <si>
    <t>SKYLINE MILLARS LTD</t>
  </si>
  <si>
    <t>SKYLINE VENTURES (INDIA) LTD</t>
  </si>
  <si>
    <t>SKYLINE VENTURES INDIA LTD</t>
  </si>
  <si>
    <t>SMART FINSEC LTD</t>
  </si>
  <si>
    <t>SMARTLINK HOLDINGS LTD</t>
  </si>
  <si>
    <t>SMARTLINK</t>
  </si>
  <si>
    <t>SMIFS CAPITAL MARKETS LTD</t>
  </si>
  <si>
    <t>SML ISUZU LTD</t>
  </si>
  <si>
    <t>SMLISUZU</t>
  </si>
  <si>
    <t>SMRUTHI ORGANICS LTD</t>
  </si>
  <si>
    <t>SMS LIFESCIENCES (INDIA) LTD</t>
  </si>
  <si>
    <t>SMSLIFE</t>
  </si>
  <si>
    <t>SMS LIFESCIENCES INDIA LTD</t>
  </si>
  <si>
    <t>SMS PHARMACEUTICALS LTD</t>
  </si>
  <si>
    <t>SMSPHARMA</t>
  </si>
  <si>
    <t>SMVD POLY PACK LTD</t>
  </si>
  <si>
    <t>SMVD</t>
  </si>
  <si>
    <t>SNL BEARINGS LTD</t>
  </si>
  <si>
    <t>SNOWMAN LOGISTICS LTD</t>
  </si>
  <si>
    <t>SNOWMAN</t>
  </si>
  <si>
    <t>SOBHA LTD</t>
  </si>
  <si>
    <t>SOBHA</t>
  </si>
  <si>
    <t>SOBHAGYA MERCHANTILE LTD</t>
  </si>
  <si>
    <t>SOFCOM SYSTEMS LTD</t>
  </si>
  <si>
    <t>SOFTBPO GLOBAL SERVICES LTD</t>
  </si>
  <si>
    <t>SOFTSOL (INDIA) LTD</t>
  </si>
  <si>
    <t>SOFTSOL INDIA LTD</t>
  </si>
  <si>
    <t>SOFTTECH ENGINEERS LTD</t>
  </si>
  <si>
    <t>SOFTTECH</t>
  </si>
  <si>
    <t>SOLAR INDUSTRIES (INDIA) LTD</t>
  </si>
  <si>
    <t>SOLARINDS</t>
  </si>
  <si>
    <t>SOLAR INDUSTRIES INDIA LTD</t>
  </si>
  <si>
    <t>SOLARA ACTIVE PHARMA SCIENCES LTD</t>
  </si>
  <si>
    <t>SOLARA</t>
  </si>
  <si>
    <t>SOLEX ENERGY LTD</t>
  </si>
  <si>
    <t>SOLEX</t>
  </si>
  <si>
    <t>SOLID CARBIDE TOOLS LTD</t>
  </si>
  <si>
    <t>SOLID CONTAINERS LTD</t>
  </si>
  <si>
    <t>SOLID STONE COMPANY LTD</t>
  </si>
  <si>
    <t>SOLIS MARKETING LTD</t>
  </si>
  <si>
    <t>SOLITAIRE MACHINE TOOLS LTD</t>
  </si>
  <si>
    <t>SOM DATT FINANCE CORPORATION LTD</t>
  </si>
  <si>
    <t>SOM DISTILLERIES &amp; BREWERIES LTD</t>
  </si>
  <si>
    <t>SDBL</t>
  </si>
  <si>
    <t>SOMA TEXTILES &amp; INDUSTRIES LTD</t>
  </si>
  <si>
    <t>SOMATEX</t>
  </si>
  <si>
    <t>SOMANY CERAMICS LTD</t>
  </si>
  <si>
    <t>SOMANYCERA</t>
  </si>
  <si>
    <t>SOMI CONVEYOR BELTINGS LTD</t>
  </si>
  <si>
    <t>SOMICONVEY</t>
  </si>
  <si>
    <t>SONAL ADHESIVES LTD</t>
  </si>
  <si>
    <t>SONAL MERCANTILE LTD</t>
  </si>
  <si>
    <t>SONAM CLOCK LTD</t>
  </si>
  <si>
    <t>SONAMCLOCK</t>
  </si>
  <si>
    <t>SONATA SOFTWARE LTD</t>
  </si>
  <si>
    <t>SONATSOFTW</t>
  </si>
  <si>
    <t>SONI MEDICARE LTD</t>
  </si>
  <si>
    <t>SONI SOYA PRODUCTS LTD</t>
  </si>
  <si>
    <t>SONISOYA</t>
  </si>
  <si>
    <t>SOPHIA TRAEXPO LTD</t>
  </si>
  <si>
    <t>SORIL INFRA RESOURCES LTD</t>
  </si>
  <si>
    <t>SORILINFRA</t>
  </si>
  <si>
    <t>SOURCE INDUSTRIES (INDIA) LTD</t>
  </si>
  <si>
    <t>SOURCE INDUSTRIES INDIA LTD</t>
  </si>
  <si>
    <t>SOURCE NATURAL FOODS &amp; HERBAL SUPPL LTD</t>
  </si>
  <si>
    <t>SOUTH ASIAN ENTERPRISES LTD</t>
  </si>
  <si>
    <t>SOUTH INDIA PAPER MILLS LTD</t>
  </si>
  <si>
    <t>SOUTH INDIA PROJECTS LTD</t>
  </si>
  <si>
    <t>SOUTH WEST PINNACLE EXPLORATION LTD</t>
  </si>
  <si>
    <t>SOUTHWEST</t>
  </si>
  <si>
    <t>SOUTHERN GAS LTD</t>
  </si>
  <si>
    <t>SOUTHERN INFOSYS LTD</t>
  </si>
  <si>
    <t>SOUTHERN LATEX LTD</t>
  </si>
  <si>
    <t>SOUTHERN MAGNESIUM &amp; CHEMICALS LTD</t>
  </si>
  <si>
    <t>SOUTHERN ONLINE BIO TECHNOLOGIES LTD</t>
  </si>
  <si>
    <t>SOUTHERN PETROCHEMICALS INDUSTRIES CORPORATION LTD</t>
  </si>
  <si>
    <t>SPIC</t>
  </si>
  <si>
    <t>SOVEREIGN DIAMONDS LTD</t>
  </si>
  <si>
    <t>SOWBHAGYA MEDIA LTD</t>
  </si>
  <si>
    <t>SP CAPITAL FINANCING LTD</t>
  </si>
  <si>
    <t>SPA Capital Services Ltd</t>
  </si>
  <si>
    <t>SPACAPS</t>
  </si>
  <si>
    <t>SPACE INCUBATRICS TECHNOLOGIES LTD</t>
  </si>
  <si>
    <t>SPACEAGE PRODUCTS LTD</t>
  </si>
  <si>
    <t>SPACENET ENTERPRISES (INDIA) LTD</t>
  </si>
  <si>
    <t>SPCENET</t>
  </si>
  <si>
    <t>SPACENET ENTERPRISES INDIA LTD</t>
  </si>
  <si>
    <t>SPAN DIVERGENT LTD</t>
  </si>
  <si>
    <t>SPARC SYSTEMS LTD</t>
  </si>
  <si>
    <t>SPARKLING INDIA FINSHARES LTD</t>
  </si>
  <si>
    <t>SPECIALITY RESTAURANTS LTD</t>
  </si>
  <si>
    <t>SPECIALITY</t>
  </si>
  <si>
    <t>SPECTRA INDUSTRIES LTD</t>
  </si>
  <si>
    <t>SPECTRUM ELECTRICAL INDUSTRIES LTD</t>
  </si>
  <si>
    <t>SPECTRUM</t>
  </si>
  <si>
    <t>SPECTRUM FOODS LTD</t>
  </si>
  <si>
    <t>SPECULAR MARKETING &amp; FINANCING LTD</t>
  </si>
  <si>
    <t>SPEEDAGE COMMERCIALS LTD</t>
  </si>
  <si>
    <t>SPEL SEMICONDUCTOR LTD</t>
  </si>
  <si>
    <t>Spencers Retail Ltd</t>
  </si>
  <si>
    <t>SPENCER</t>
  </si>
  <si>
    <t>Spencer's Retail LTD</t>
  </si>
  <si>
    <t>SPENCERS</t>
  </si>
  <si>
    <t>SPENTA INTERNATIONAL LTD</t>
  </si>
  <si>
    <t>SPENTEX INDUSTRIES LTD</t>
  </si>
  <si>
    <t>SPENTEX</t>
  </si>
  <si>
    <t>SPICE ISLANDS APPARELS LTD</t>
  </si>
  <si>
    <t>SPICE MOBILITY LTD</t>
  </si>
  <si>
    <t>SPICEMOBI</t>
  </si>
  <si>
    <t>SPICEJET LTD</t>
  </si>
  <si>
    <t>SPICY ENTERTAINMENT AND MEDIA LTD</t>
  </si>
  <si>
    <t>SPL INDUSTRIES LTD</t>
  </si>
  <si>
    <t>SPLIL</t>
  </si>
  <si>
    <t>SPLENDID METAL PRODUCTS LTD</t>
  </si>
  <si>
    <t>SMPL</t>
  </si>
  <si>
    <t>SPML INFRA LTD</t>
  </si>
  <si>
    <t>SPMLINFRA</t>
  </si>
  <si>
    <t>SPORTKING (INDIA) LTD</t>
  </si>
  <si>
    <t>SPORTKING INDIA LTD</t>
  </si>
  <si>
    <t>SPRAYKING AGRO EQUIPMENT LTD</t>
  </si>
  <si>
    <t>Spring Fields Infraventure Ltd</t>
  </si>
  <si>
    <t>SFIVL</t>
  </si>
  <si>
    <t>SPS FINQUEST LTD</t>
  </si>
  <si>
    <t>SPS INTERNATIONAL LTD</t>
  </si>
  <si>
    <t>SQS INDIA BFSI LTD</t>
  </si>
  <si>
    <t>SQSBFSI</t>
  </si>
  <si>
    <t>SQUARE FOUR PROJECTS (INDIA) LTD</t>
  </si>
  <si>
    <t>SQUARE FOUR PROJECTS INDIA LTD</t>
  </si>
  <si>
    <t>SREE JAYALAKSHMI AUTOSPIN LTD</t>
  </si>
  <si>
    <t>SREE RAYALASEEMA HI-STRENGTH HYPO LTD</t>
  </si>
  <si>
    <t>SRHHYPOLTD</t>
  </si>
  <si>
    <t>SREECHEM RESINS LTD</t>
  </si>
  <si>
    <t>SREELEATHERS LTD</t>
  </si>
  <si>
    <t>SREEL</t>
  </si>
  <si>
    <t>SREI INFRASTRUCTURE FINANCE LTD</t>
  </si>
  <si>
    <t>SREINFRA</t>
  </si>
  <si>
    <t>SRESTHA FINVEST LTD</t>
  </si>
  <si>
    <t>SRF LTD</t>
  </si>
  <si>
    <t>SRF</t>
  </si>
  <si>
    <t>SRG HOUSING FINANCE LTD</t>
  </si>
  <si>
    <t>SRI ADHIKARI BROTHERS TELEVISION NETWORK LTD</t>
  </si>
  <si>
    <t>SABTN</t>
  </si>
  <si>
    <t>SRI AMARNATH FINANCE LTD</t>
  </si>
  <si>
    <t>SRI HAVISHA HOSPITALITY AND INFRASTRUCTURE LTD</t>
  </si>
  <si>
    <t>HAVISHA</t>
  </si>
  <si>
    <t>SRI KPR INDUSTRIES LTD</t>
  </si>
  <si>
    <t>SRI KRISHNA CONSTRUCTIONS (INDIA) LTD</t>
  </si>
  <si>
    <t>SRI KRISHNA CONSTRUCTIONS INDIA LTD</t>
  </si>
  <si>
    <t>SRI KRISHNA METCOM LTD</t>
  </si>
  <si>
    <t>SKML</t>
  </si>
  <si>
    <t>SRI LAKSHMI SARASWATHI TEXTILES ARNI LTD</t>
  </si>
  <si>
    <t>SRI NACHAMMAI COTTON MILLS LTD</t>
  </si>
  <si>
    <t>SRI RAMAKRISHNA MILLS COIMBATORE LTD</t>
  </si>
  <si>
    <t>SRI VAJRA GRANITES LTD</t>
  </si>
  <si>
    <t>SRIKALAHASTHI PIPES LTD</t>
  </si>
  <si>
    <t>SRIPIPES</t>
  </si>
  <si>
    <t>SRM ENERGY LTD</t>
  </si>
  <si>
    <t>SRS FINANCE LTD</t>
  </si>
  <si>
    <t>SRS LTD</t>
  </si>
  <si>
    <t>SRSLTD</t>
  </si>
  <si>
    <t>SRU STEELS LTD</t>
  </si>
  <si>
    <t>SS ORGANICS LTD</t>
  </si>
  <si>
    <t>SSPDL LTD</t>
  </si>
  <si>
    <t>SSPN FINANCE LTD</t>
  </si>
  <si>
    <t>STAMPEDE CAPITAL LTD</t>
  </si>
  <si>
    <t>STAMPEDE</t>
  </si>
  <si>
    <t>SCAPDVR</t>
  </si>
  <si>
    <t>STANDARD BATTERIES LTD</t>
  </si>
  <si>
    <t>STANDARD CAPITAL MARKETS LTD</t>
  </si>
  <si>
    <t>STANDARD CHARTERED PLC</t>
  </si>
  <si>
    <t>STANDARD INDUSTRIES LTD</t>
  </si>
  <si>
    <t>SIL</t>
  </si>
  <si>
    <t>STANDARD SHOE SOLE AND MOULD (INDIA) LTD</t>
  </si>
  <si>
    <t>STANDARD SHOE SOLE AND MOULD INDIA LTD</t>
  </si>
  <si>
    <t>STANDARD SURFACTANTS LTD</t>
  </si>
  <si>
    <t>STANPACKS (INDIA) LTD</t>
  </si>
  <si>
    <t>STANPACKS INDIA LTD</t>
  </si>
  <si>
    <t>STANROSE MAFATLAL INVESTMENTS AND FINANCE LTD</t>
  </si>
  <si>
    <t>STAR CEMENT LTD</t>
  </si>
  <si>
    <t>STARCEMENT</t>
  </si>
  <si>
    <t>STAR DELTA TRANSFORMERS LTD</t>
  </si>
  <si>
    <t>STAR PAPER MILLS LTD</t>
  </si>
  <si>
    <t>STARPAPER</t>
  </si>
  <si>
    <t>STARCOM INFORMATION TECHNOLOGY LTD</t>
  </si>
  <si>
    <t>STARLIT POWER SYSTEMS LTD</t>
  </si>
  <si>
    <t>STARLITE COMPONENTS LTD</t>
  </si>
  <si>
    <t>STARLOG ENTERPRISES LTD</t>
  </si>
  <si>
    <t>STATE BANK OF INDIA</t>
  </si>
  <si>
    <t>SBIN</t>
  </si>
  <si>
    <t>STEEL AUTHORITY OF (INDIA) LTD</t>
  </si>
  <si>
    <t>SAIL</t>
  </si>
  <si>
    <t>STEEL AUTHORITY OF INDIA LTD</t>
  </si>
  <si>
    <t>STEEL CITY SECURITIES LTD</t>
  </si>
  <si>
    <t>STEELCITY</t>
  </si>
  <si>
    <t>STEEL EXCHANGE (INDIA) LTD</t>
  </si>
  <si>
    <t>STEELXIND</t>
  </si>
  <si>
    <t>STEEL EXCHANGE INDIA LTD</t>
  </si>
  <si>
    <t>STEEL STRIPS INFRASTRUCTURES LTD</t>
  </si>
  <si>
    <t>STEEL STRIPS LTD.</t>
  </si>
  <si>
    <t>STRIPMT</t>
  </si>
  <si>
    <t>STEEL STRIPS WHEELS LTD</t>
  </si>
  <si>
    <t>SSWL</t>
  </si>
  <si>
    <t>STEELCAST LTD</t>
  </si>
  <si>
    <t>STEELCO GUJARAT LTD</t>
  </si>
  <si>
    <t>STEL HOLDINGS LTD</t>
  </si>
  <si>
    <t>STEL</t>
  </si>
  <si>
    <t>STELLANT SECURITIES (INDIA) LTD</t>
  </si>
  <si>
    <t>STELLANT SECURITIES INDIA LTD</t>
  </si>
  <si>
    <t>STELLAR CAPITAL SERVICES LTD</t>
  </si>
  <si>
    <t>STEP TWO CORPORATION LTD</t>
  </si>
  <si>
    <t>STERLING GREEN WOODS LTD</t>
  </si>
  <si>
    <t>STERLING GUARANTY &amp;amp; FINANCE LTD.</t>
  </si>
  <si>
    <t>STRLGUA</t>
  </si>
  <si>
    <t>STERLING SPINNERS LTD</t>
  </si>
  <si>
    <t>STERLING TOOLS LTD</t>
  </si>
  <si>
    <t>STERTOOLS</t>
  </si>
  <si>
    <t>STERLITE TECHNOLOGIES LTD</t>
  </si>
  <si>
    <t>STRTECH</t>
  </si>
  <si>
    <t>STI (INDIA) LTD</t>
  </si>
  <si>
    <t>ST(INDIA)</t>
  </si>
  <si>
    <t>STI INDIA LTD</t>
  </si>
  <si>
    <t>STINDIA</t>
  </si>
  <si>
    <t>STL GLOBAL LTD</t>
  </si>
  <si>
    <t>SGL</t>
  </si>
  <si>
    <t>STOVEC INDUSTRIES LTD</t>
  </si>
  <si>
    <t>STRATMONT INDUSTRIES LTD</t>
  </si>
  <si>
    <t>STRIDES PHARMA SCIENCE LTD</t>
  </si>
  <si>
    <t>STAR</t>
  </si>
  <si>
    <t>STURDY INDUSTRIES LTD</t>
  </si>
  <si>
    <t>STYLAM INDUSTRIES LTD</t>
  </si>
  <si>
    <t>Subex LTD</t>
  </si>
  <si>
    <t>SUBEX</t>
  </si>
  <si>
    <t>SUBEX LTD</t>
  </si>
  <si>
    <t>SUBHASH SILK MILLS LTD</t>
  </si>
  <si>
    <t>SUBROS LTD</t>
  </si>
  <si>
    <t>SUBROS</t>
  </si>
  <si>
    <t>SUBWAY FINANCE &amp; INVESTMENT CO LTD</t>
  </si>
  <si>
    <t>SUCHITRA FINANCE &amp; TRADING COMPANY LTD</t>
  </si>
  <si>
    <t>SUDAL INDUSTRIES LTD</t>
  </si>
  <si>
    <t>SUDARSHAN CHEMICAL INDUSTRIES LTD</t>
  </si>
  <si>
    <t>SUDARSCHEM</t>
  </si>
  <si>
    <t>SUDITI INDUSTRIES LTD</t>
  </si>
  <si>
    <t>SUERYAA KNITWEAR LTD</t>
  </si>
  <si>
    <t>SUGAL &amp; DAMANI SHARE BROKERS LTD</t>
  </si>
  <si>
    <t>Suich Industries Ltd</t>
  </si>
  <si>
    <t>SUICH</t>
  </si>
  <si>
    <t>SUJALA TRADING &amp; HOLDINGS LTD</t>
  </si>
  <si>
    <t>SUJANA UNIVERSAL INDUSTRIES LTD</t>
  </si>
  <si>
    <t>SUJANAUNI</t>
  </si>
  <si>
    <t>SUKHJIT STARCH &amp; CHEMICALS LTD</t>
  </si>
  <si>
    <t>SULABH ENGINEERS &amp; SERVICES LTD</t>
  </si>
  <si>
    <t>SUMEDHA FISCAL SERVICES LTD</t>
  </si>
  <si>
    <t>SUMEET INDUSTRIES LTD</t>
  </si>
  <si>
    <t>SUMEETINDS</t>
  </si>
  <si>
    <t>SUMERU INDUSTRIES LTD</t>
  </si>
  <si>
    <t>SUMIT WOODS LTD</t>
  </si>
  <si>
    <t>SUMIT</t>
  </si>
  <si>
    <t>SUMMIT SECURITIES LTD</t>
  </si>
  <si>
    <t>SUMMITSEC</t>
  </si>
  <si>
    <t>SUN AND SHINE WORLDWIDE LTD</t>
  </si>
  <si>
    <t>SUN PHARMA ADVANCED RESEARCH COMPANY LTD</t>
  </si>
  <si>
    <t>SPARC</t>
  </si>
  <si>
    <t>SUN PHARMACEUTICAL INDUSTRIES LTD</t>
  </si>
  <si>
    <t>SUNPHARMA</t>
  </si>
  <si>
    <t>SUN RETAIL LTD</t>
  </si>
  <si>
    <t>SUN SOURCE (INDIA) LTD</t>
  </si>
  <si>
    <t>SUN SOURCE INDIA LTD</t>
  </si>
  <si>
    <t>SUN TECHNO OVERSEAS LTD</t>
  </si>
  <si>
    <t>SUN TV NETWORK LTD</t>
  </si>
  <si>
    <t>SUNTV</t>
  </si>
  <si>
    <t>SUNCARE TRADERS LTD</t>
  </si>
  <si>
    <t>SUNCITY SYNTHETICS LTD</t>
  </si>
  <si>
    <t>SUNDARAM BRAKE LININGS LTD</t>
  </si>
  <si>
    <t>SUNDRMBRAK</t>
  </si>
  <si>
    <t>SUNDARAM CLAYTON LTD</t>
  </si>
  <si>
    <t>SUNCLAYLTD</t>
  </si>
  <si>
    <t>SUNDARAM FINANCE HOLDINGS LTD</t>
  </si>
  <si>
    <t>SUNDARMHLD</t>
  </si>
  <si>
    <t>SUNDARAM FINANCE LTD</t>
  </si>
  <si>
    <t>SUNDARMFIN</t>
  </si>
  <si>
    <t>SUNDARAM MULTI PAP LTD</t>
  </si>
  <si>
    <t>SUNDARAM</t>
  </si>
  <si>
    <t>SUNDRAM FASTENERS LTD</t>
  </si>
  <si>
    <t>SUNDRMFAST</t>
  </si>
  <si>
    <t>SUNFLAG IRON AND STEEL COMPANY LTD</t>
  </si>
  <si>
    <t>SUNFLAG</t>
  </si>
  <si>
    <t>SUNGOLD CAPITAL LTD</t>
  </si>
  <si>
    <t>SUNGOLD MEDIA AND ENTERTAINMENT LTD</t>
  </si>
  <si>
    <t>SUNIL AGRO FOODS LTD</t>
  </si>
  <si>
    <t>SUNIL HEALTHCARE LTD</t>
  </si>
  <si>
    <t>SUNIL HITECH ENGINEERS LTD</t>
  </si>
  <si>
    <t>SUNILHITEC</t>
  </si>
  <si>
    <t>SUNIL INDUSTRIES LTD</t>
  </si>
  <si>
    <t>SUNRAJ DIAMOND EXPORTS LTD.</t>
  </si>
  <si>
    <t>SUNRAJDI</t>
  </si>
  <si>
    <t>SUNRISE INDUSTRIAL TRADERS LTD</t>
  </si>
  <si>
    <t>SUNSHIELD CHEMICALS LTD</t>
  </si>
  <si>
    <t>SUNSHINE CAPITAL LTD</t>
  </si>
  <si>
    <t>SUNSTAR REALTY DEVELOPMENT LTD</t>
  </si>
  <si>
    <t>SUNTECK REALTY LTD</t>
  </si>
  <si>
    <t>SUNTECK</t>
  </si>
  <si>
    <t>SUPER BAKERS (INDIA) LTD</t>
  </si>
  <si>
    <t>SUPER BAKERS INDIA LTD</t>
  </si>
  <si>
    <t>SUPER CROP SAFE LTD</t>
  </si>
  <si>
    <t>SUPER DOMESTIC MACHINES LTD</t>
  </si>
  <si>
    <t>SUPER FINE KNITTERS LTD</t>
  </si>
  <si>
    <t>SUPER SALES (INDIA) LTD</t>
  </si>
  <si>
    <t>SUPER SALES INDIA LTD</t>
  </si>
  <si>
    <t>SUPER SPINNING MILLS LTD</t>
  </si>
  <si>
    <t>SUPERSPIN</t>
  </si>
  <si>
    <t>SUPER TANNERY LTD</t>
  </si>
  <si>
    <t>SUPERB PAPERS LTD</t>
  </si>
  <si>
    <t>SUPERHOUSE LTD</t>
  </si>
  <si>
    <t>SUPERHOUSE</t>
  </si>
  <si>
    <t>SUPERIOR FINLEASE LTD</t>
  </si>
  <si>
    <t>Superior Industrial Enterprises LTD</t>
  </si>
  <si>
    <t>SIEL</t>
  </si>
  <si>
    <t>SUPERNOVA ADVERTISING LTD</t>
  </si>
  <si>
    <t>SUPERSHAKTI METALIKS LTD</t>
  </si>
  <si>
    <t>SUPERTEX INDUSTRIES LTD</t>
  </si>
  <si>
    <t>SUPRA PACIFIC MANAGEMENT CONSULTANCY LTD</t>
  </si>
  <si>
    <t>SUPRA TRENDS LTD</t>
  </si>
  <si>
    <t>SUPRAJIT ENGINEERING LTD</t>
  </si>
  <si>
    <t>SUPRAJIT</t>
  </si>
  <si>
    <t>SUPREME ENGINEERING LTD</t>
  </si>
  <si>
    <t>SUPREMEENG</t>
  </si>
  <si>
    <t>SUPREME HOLDINGS &amp; HOSPITALITY (INDIA) LTD</t>
  </si>
  <si>
    <t>SUPREME HOLDINGS &amp; HOSPITALITY INDIA LTD</t>
  </si>
  <si>
    <t>SUPREME INDIA IMPEX LTD</t>
  </si>
  <si>
    <t>SIIL</t>
  </si>
  <si>
    <t>SUPREME INDUSTRIES LTD</t>
  </si>
  <si>
    <t>SUPREMEIND</t>
  </si>
  <si>
    <t>SUPREME INFRASTRUCTURE (INDIA) LTD</t>
  </si>
  <si>
    <t>SUPREMEINF</t>
  </si>
  <si>
    <t>SUPREME INFRASTRUCTURE INDIA LTD</t>
  </si>
  <si>
    <t>SUPREME PETROCHEM LTD</t>
  </si>
  <si>
    <t>SUPPETRO</t>
  </si>
  <si>
    <t>SUPREMEX SHINE STEELS LTD</t>
  </si>
  <si>
    <t>SURAJ LTD</t>
  </si>
  <si>
    <t>SURAJ PRODUCTS LTD</t>
  </si>
  <si>
    <t>SURANA SOLAR LTD</t>
  </si>
  <si>
    <t>SURANASOL</t>
  </si>
  <si>
    <t>SURANA TELECOM AND POWER LTD</t>
  </si>
  <si>
    <t>SURANAT&amp;P</t>
  </si>
  <si>
    <t>SURAT TEXTILE MILLS LTD</t>
  </si>
  <si>
    <t>SUREVIN BPO SERVICES LTD</t>
  </si>
  <si>
    <t>SUREVIN</t>
  </si>
  <si>
    <t>SURYA (INDIA) LTD</t>
  </si>
  <si>
    <t>SURYA INDIA LTD</t>
  </si>
  <si>
    <t>SURYA ROSHNI LTD</t>
  </si>
  <si>
    <t>SURYAROSNI</t>
  </si>
  <si>
    <t>SURYAAMBA SPINNING MILLS LTD</t>
  </si>
  <si>
    <t>SURYACHAKRA POWER CORPORATION LTD</t>
  </si>
  <si>
    <t>SURYAKRIPA FINANCE LTD</t>
  </si>
  <si>
    <t>SURYALAKSHMI COTTON MILLS LTD</t>
  </si>
  <si>
    <t>SURYALAXMI</t>
  </si>
  <si>
    <t>SURYALATA SPINNING MILLS LTD</t>
  </si>
  <si>
    <t>SURYAVANSHI SPINNING MILLS LTD</t>
  </si>
  <si>
    <t>SURYO FOODS &amp;amp; INDUSTRIES LTD.</t>
  </si>
  <si>
    <t>SURFI</t>
  </si>
  <si>
    <t>SUTLEJ TEXTILES AND INDUSTRIES LTD</t>
  </si>
  <si>
    <t>SUTLEJTEX</t>
  </si>
  <si>
    <t>SUUMAYA LIFESTYLE LTD</t>
  </si>
  <si>
    <t>SUULD</t>
  </si>
  <si>
    <t>SUVEN LIFE SCIENCES LTD</t>
  </si>
  <si>
    <t>SUVEN</t>
  </si>
  <si>
    <t>SUVIDHA INFRAESTATE CORPORATION LTD</t>
  </si>
  <si>
    <t>SUYOG TELEMATICS LTD</t>
  </si>
  <si>
    <t>SUZLON ENERGY LTD</t>
  </si>
  <si>
    <t>SUZLON</t>
  </si>
  <si>
    <t>SVA (INDIA) LTD</t>
  </si>
  <si>
    <t>SVA INDIA LTD</t>
  </si>
  <si>
    <t>SVAM SOFTWARE LTD</t>
  </si>
  <si>
    <t>SVARAJ TRADING &amp; AGENCIES LTD</t>
  </si>
  <si>
    <t>SVARNIM TRADE UDYOG LTD</t>
  </si>
  <si>
    <t>SVC INDUSTRIES Ltd</t>
  </si>
  <si>
    <t>SVCIND</t>
  </si>
  <si>
    <t>SVC RESOURCES LTD</t>
  </si>
  <si>
    <t>SVP GLOBAL VENTURES LTD</t>
  </si>
  <si>
    <t>SVP HOUSING LTD</t>
  </si>
  <si>
    <t>SW INVESTMENTS LTD</t>
  </si>
  <si>
    <t>SWADESHI INDUSTRIES LEASING CO LTD</t>
  </si>
  <si>
    <t>SWADESHI POLYTEX LTD</t>
  </si>
  <si>
    <t>SWAGRUHA INFRASTRUCTURE LTD</t>
  </si>
  <si>
    <t>SWAGTAM TRADING &amp; SERVICES LTD</t>
  </si>
  <si>
    <t>SWAN ENERGY LTD</t>
  </si>
  <si>
    <t>SWANENERGY</t>
  </si>
  <si>
    <t>SWARAJ AUTOMOTIVES LTD</t>
  </si>
  <si>
    <t>SWARAJ ENGINES LTD</t>
  </si>
  <si>
    <t>SWARAJENG</t>
  </si>
  <si>
    <t>SWARNA SECURITIES LTD</t>
  </si>
  <si>
    <t>SWARNSARITA GEMS LTD</t>
  </si>
  <si>
    <t>SWASTI VINAYAKA ART AND HERITAGE CORPORATION LTD</t>
  </si>
  <si>
    <t>SWASTI VINAYAKA SYNTHETICS LTD</t>
  </si>
  <si>
    <t>SWASTIK SAFE DEPOSIT &amp; INVESTMENTS LTD</t>
  </si>
  <si>
    <t>SWASTIKA INVESTMART LTD</t>
  </si>
  <si>
    <t>SWELECT ENERGY SYSTEMS LTD</t>
  </si>
  <si>
    <t>SWELECTES</t>
  </si>
  <si>
    <t>SWISS GLASCOAT EQUIPMENTS LTD</t>
  </si>
  <si>
    <t>SWITCHING TECHNOLOGIES GUNTHER LTD</t>
  </si>
  <si>
    <t>SWORD &amp; SHIELD PHARMA LTD</t>
  </si>
  <si>
    <t>SWORD-EDGE COMMERCIALS LTD</t>
  </si>
  <si>
    <t>SYBLY INDUSTRIES LTD</t>
  </si>
  <si>
    <t>SYLPH EDUCATION SOLUTIONS LTD</t>
  </si>
  <si>
    <t>SYLPH TECHNOLOGIES LTD</t>
  </si>
  <si>
    <t>SYMBIOX INVESTMENT &amp; TRADING COMPANY LTD</t>
  </si>
  <si>
    <t>SYMPHONY LTD</t>
  </si>
  <si>
    <t>SYMPHONY</t>
  </si>
  <si>
    <t>SYNCOM FORMULATIONS (INDIA) LTD</t>
  </si>
  <si>
    <t>SYNCOM FORMULATIONS INDIA LTD</t>
  </si>
  <si>
    <t>SYNCOM HEALTHCARE LTD</t>
  </si>
  <si>
    <t>SYNCOM</t>
  </si>
  <si>
    <t>SYNDICATE BANK</t>
  </si>
  <si>
    <t>SYNDIBANK</t>
  </si>
  <si>
    <t>SYNERGY GREEN INDUSTRIES LTD</t>
  </si>
  <si>
    <t>SYNGENE INTERNATIONAL LTD</t>
  </si>
  <si>
    <t>SYNGENE</t>
  </si>
  <si>
    <t>SYNTHIKO FOILS LTD</t>
  </si>
  <si>
    <t>SYSCHEM (INDIA) LTD</t>
  </si>
  <si>
    <t>SYSCHEM INDIA LTD</t>
  </si>
  <si>
    <t>SYSCO INDUSTRIES LTD</t>
  </si>
  <si>
    <t>SYSTEMATIX CORPORATE SERVICES LTD</t>
  </si>
  <si>
    <t>SYSTEMATIX SECURITIES LTD</t>
  </si>
  <si>
    <t>T &amp; I GLOBAL LTD</t>
  </si>
  <si>
    <t>T D POWER SYSTEMS LTD</t>
  </si>
  <si>
    <t>T SPIRITUAL WORLD LTD</t>
  </si>
  <si>
    <t>T T LTD</t>
  </si>
  <si>
    <t>TTL</t>
  </si>
  <si>
    <t>TAAL ENTERPRISES LTD</t>
  </si>
  <si>
    <t>TAAZA INTERNATIONAL LTD</t>
  </si>
  <si>
    <t>TAI INDUSTRIES LTD</t>
  </si>
  <si>
    <t>TAINWALA CHEMICAL AND PLASTIC I LTD</t>
  </si>
  <si>
    <t>TAINWALCHM</t>
  </si>
  <si>
    <t>TAJ GVK HOTELS &amp; RESORTS LTD</t>
  </si>
  <si>
    <t>TAJGVK</t>
  </si>
  <si>
    <t>TAKE SOLUTIONS LTD</t>
  </si>
  <si>
    <t>TAKE</t>
  </si>
  <si>
    <t>TALBROS AUTOMOTIVE COMPONENTS LTD</t>
  </si>
  <si>
    <t>TALBROAUTO</t>
  </si>
  <si>
    <t>TALBROS ENGINEERING LTD</t>
  </si>
  <si>
    <t>TALWALKARS BETTER VALUE FITNESS LTD</t>
  </si>
  <si>
    <t>TALWALKARS</t>
  </si>
  <si>
    <t>TALWALKARS LIFESTYLES LTD</t>
  </si>
  <si>
    <t>TALWGYM</t>
  </si>
  <si>
    <t>TAMBOLI CAPITAL LTD</t>
  </si>
  <si>
    <t>TAMIL NADU NEWSPRINT &amp; PAPERS LTD</t>
  </si>
  <si>
    <t>TNPL</t>
  </si>
  <si>
    <t>TAMILNADU JAIBHARAT MILLS LTD</t>
  </si>
  <si>
    <t>TAMILNADU PETROPRODUCTS LTD</t>
  </si>
  <si>
    <t>TNPETRO</t>
  </si>
  <si>
    <t>TAMILNADU STEEL TUBES LTD</t>
  </si>
  <si>
    <t>TAMILNADU TELECOMMUNICATION LTD</t>
  </si>
  <si>
    <t>TNTELE</t>
  </si>
  <si>
    <t>TANEJA AEROSPACE &amp; AVIATION LTD</t>
  </si>
  <si>
    <t>TANFAC INDUSTRIES LTD</t>
  </si>
  <si>
    <t>TANLA SOLUTIONS LTD</t>
  </si>
  <si>
    <t>TANLA</t>
  </si>
  <si>
    <t>TANTIA CONSTRUCTIONS LTD</t>
  </si>
  <si>
    <t>TANTIACONS</t>
  </si>
  <si>
    <t>TANVI FOODS (INDIA) LTD</t>
  </si>
  <si>
    <t>TANVI FOODS INDIA LTD</t>
  </si>
  <si>
    <t>TAPARIA TOOLS LTD</t>
  </si>
  <si>
    <t>TARA CHAND LOGISTIC SOLUTIONS LTD</t>
  </si>
  <si>
    <t>TARACHAND</t>
  </si>
  <si>
    <t>TARA JEWELS LTD</t>
  </si>
  <si>
    <t>TARAJEWELS</t>
  </si>
  <si>
    <t>TARAI FOODS LTD</t>
  </si>
  <si>
    <t>TARAPUR TRANSFORMERS LTD</t>
  </si>
  <si>
    <t>TARAPUR</t>
  </si>
  <si>
    <t>TARINI INTERNATIONAL LTD</t>
  </si>
  <si>
    <t>TARMAT LTD</t>
  </si>
  <si>
    <t>TARMAT</t>
  </si>
  <si>
    <t>TASHI (INDIA) LTD</t>
  </si>
  <si>
    <t>TASHI INDIA LTD</t>
  </si>
  <si>
    <t>TASTY BITE EATABLES LTD</t>
  </si>
  <si>
    <t>TASTYBITE</t>
  </si>
  <si>
    <t>TASTY DAIRY SPECIALITIES LTD</t>
  </si>
  <si>
    <t>TATA CHEMICALS LTD</t>
  </si>
  <si>
    <t>TATACHEM</t>
  </si>
  <si>
    <t>TATA COFFEE LTD</t>
  </si>
  <si>
    <t>TATACOFFEE</t>
  </si>
  <si>
    <t>TATA COMMUNICATIONS LTD</t>
  </si>
  <si>
    <t>TATACOMM</t>
  </si>
  <si>
    <t>Telecom - Alternate Carriers</t>
  </si>
  <si>
    <t>TATA CONSULTANCY SERVICES LTD</t>
  </si>
  <si>
    <t>TCS</t>
  </si>
  <si>
    <t>TATA ELXSI LTD</t>
  </si>
  <si>
    <t>TATAELXSI</t>
  </si>
  <si>
    <t>TATA GLOBAL BEVERAGES LTD</t>
  </si>
  <si>
    <t>TATAGLOBAL</t>
  </si>
  <si>
    <t>TATA INVESTMENT CORPORATION LTD</t>
  </si>
  <si>
    <t>TATAINVEST</t>
  </si>
  <si>
    <t>TATA METALIKS LTD</t>
  </si>
  <si>
    <t>TATAMETALI</t>
  </si>
  <si>
    <t>TATA MOTORS LTD</t>
  </si>
  <si>
    <t>TATAMOTORS</t>
  </si>
  <si>
    <t>TATAMTRDVR</t>
  </si>
  <si>
    <t>TATA POWER COMPANY LTD</t>
  </si>
  <si>
    <t>TATAPOWER</t>
  </si>
  <si>
    <t>TATA SPONGE IRON LTD</t>
  </si>
  <si>
    <t>TATASPONGE</t>
  </si>
  <si>
    <t>Tata Steel Bsl LTD</t>
  </si>
  <si>
    <t>TATASTLBSL</t>
  </si>
  <si>
    <t>TATA STEEL LTD</t>
  </si>
  <si>
    <t>TATASTEEL</t>
  </si>
  <si>
    <t>TATA TELESERVICES MAHARASHTRA LTD</t>
  </si>
  <si>
    <t>TTML</t>
  </si>
  <si>
    <t>TATIA GLOBAL VENNTURE LTD</t>
  </si>
  <si>
    <t>TAVERNIER RESOURCES LTD</t>
  </si>
  <si>
    <t>TAYLORMADE RENEWABLES LTD</t>
  </si>
  <si>
    <t>TAYO ROLLS LTD</t>
  </si>
  <si>
    <t>TCFC FINANCE LTD</t>
  </si>
  <si>
    <t>TCI DEVELOPERS LTD</t>
  </si>
  <si>
    <t>TCIDEVELOP</t>
  </si>
  <si>
    <t>TCI EXPRESS LTD</t>
  </si>
  <si>
    <t>TCIEXP</t>
  </si>
  <si>
    <t>TCI FINANCE LTD</t>
  </si>
  <si>
    <t>TCIFINANCE</t>
  </si>
  <si>
    <t>TCI INDUSTRIES LTD</t>
  </si>
  <si>
    <t>TCM LTD</t>
  </si>
  <si>
    <t>TCNS CLOTHING CO LTD</t>
  </si>
  <si>
    <t>TCNSBRANDS</t>
  </si>
  <si>
    <t>TCPL PACKAGING LTD</t>
  </si>
  <si>
    <t>TCPLPACK</t>
  </si>
  <si>
    <t>TD POWER SYSTEMS LTD</t>
  </si>
  <si>
    <t>TDPOWERSYS</t>
  </si>
  <si>
    <t>TEA TIME LTD</t>
  </si>
  <si>
    <t>TEAMLEASE SERVICES LTD</t>
  </si>
  <si>
    <t>TEAMLEASE</t>
  </si>
  <si>
    <t>TECH MAHINDRA LTD</t>
  </si>
  <si>
    <t>TECHM</t>
  </si>
  <si>
    <t>TECHINDIA NIRMAN LTD</t>
  </si>
  <si>
    <t>TECHIN</t>
  </si>
  <si>
    <t>TECHNO ELECTRIC &amp; ENGINEERING COMPANY LTD</t>
  </si>
  <si>
    <t>TECHNOE</t>
  </si>
  <si>
    <t>TECHNOCRAFT INDUSTRIES (INDIA) LTD</t>
  </si>
  <si>
    <t>TIIL</t>
  </si>
  <si>
    <t>TECHNOCRAFT INDUSTRIES INDIA LTD</t>
  </si>
  <si>
    <t>TECHNOFAB ENGINEERING LTD</t>
  </si>
  <si>
    <t>TECHNOFAB</t>
  </si>
  <si>
    <t>TECHNOJET CONSULTANTS LTD</t>
  </si>
  <si>
    <t>TECHNVISION VENTURES LTD</t>
  </si>
  <si>
    <t>TEESTA AGRO INDUSTRIES LTD</t>
  </si>
  <si>
    <t>TEJAS NETWORKS LTD</t>
  </si>
  <si>
    <t>TEJASNET</t>
  </si>
  <si>
    <t>TEJNAKSH HEALTHCARE LTD</t>
  </si>
  <si>
    <t>TELECANOR GLOBAL LTD</t>
  </si>
  <si>
    <t>TERA SOFTWARE LTD</t>
  </si>
  <si>
    <t>TERASOFT</t>
  </si>
  <si>
    <t>TERAI TEA CO LTD</t>
  </si>
  <si>
    <t>TERRAFORM MAGNUM LTD</t>
  </si>
  <si>
    <t>TERRAFORM REALSTATE LTD</t>
  </si>
  <si>
    <t>TEXMACO INFRASTRUCTURE &amp; HOLDINGS LTD</t>
  </si>
  <si>
    <t>TEXINFRA</t>
  </si>
  <si>
    <t>TEXMACO RAIL &amp; ENGINEERING LTD</t>
  </si>
  <si>
    <t>TEXRAIL</t>
  </si>
  <si>
    <t>TEXMO PIPES AND PRODUCTS LTD</t>
  </si>
  <si>
    <t>TEXMOPIPES</t>
  </si>
  <si>
    <t>TGB BANQUETS AND HOTELS LTD</t>
  </si>
  <si>
    <t>TGBHOTELS</t>
  </si>
  <si>
    <t>TGV SRAAC LTD</t>
  </si>
  <si>
    <t>THACKER &amp; CO LTD</t>
  </si>
  <si>
    <t>THAKKERS DEVELOPERS LTD</t>
  </si>
  <si>
    <t>THAKRAL SERVICES (INDIA) LTD</t>
  </si>
  <si>
    <t>THAKRAL SERVICES INDIA LTD</t>
  </si>
  <si>
    <t>THAMBBI MODERN SPINNING MILLS LTD</t>
  </si>
  <si>
    <t>THANGAMAYIL JEWELLERY LTD</t>
  </si>
  <si>
    <t>THANGAMAYL</t>
  </si>
  <si>
    <t>THE ANDHRA SUGARS LTD</t>
  </si>
  <si>
    <t>ANDHRSUGAR</t>
  </si>
  <si>
    <t>The Anup Engineering Ltd</t>
  </si>
  <si>
    <t>ANUP</t>
  </si>
  <si>
    <t>THE BYKE HOSPITALITY LTD</t>
  </si>
  <si>
    <t>BYKE</t>
  </si>
  <si>
    <t>THE FEDERAL BANK LTD</t>
  </si>
  <si>
    <t>FEDERALBNK</t>
  </si>
  <si>
    <t>THE GREAT EASTERN SHIPPING COMPANY LTD</t>
  </si>
  <si>
    <t>GESHIP</t>
  </si>
  <si>
    <t>THE GROB TEA COMPANY LTD</t>
  </si>
  <si>
    <t>GROBTEA</t>
  </si>
  <si>
    <t>THE HI-TECH GEARS LTD</t>
  </si>
  <si>
    <t>HITECHGEAR</t>
  </si>
  <si>
    <t>THE INDIA CEMENTS LTD</t>
  </si>
  <si>
    <t>INDIACEM</t>
  </si>
  <si>
    <t>THE INDIAN HOTELS COMPANY LTD</t>
  </si>
  <si>
    <t>INDHOTEL</t>
  </si>
  <si>
    <t>THE INDIAN WOOD PRODUCTS COMPANY LTD</t>
  </si>
  <si>
    <t>THE INVESTMENT TRUST OF (INDIA) LTD</t>
  </si>
  <si>
    <t>THEINVEST</t>
  </si>
  <si>
    <t>THE INVESTMENT TRUST OF INDIA LTD</t>
  </si>
  <si>
    <t>THE JAMMU &amp; KASHMIR BANK LTD</t>
  </si>
  <si>
    <t>J&amp;KBANK</t>
  </si>
  <si>
    <t>THE KARNATAKA BANK LTD</t>
  </si>
  <si>
    <t>KTKBANK</t>
  </si>
  <si>
    <t>THE MANDHANA RETAIL VENTURES LTD</t>
  </si>
  <si>
    <t>TMRVL</t>
  </si>
  <si>
    <t>THE MOTOR &amp; GENERAL FINANCE LTD</t>
  </si>
  <si>
    <t>MOTOGENFIN</t>
  </si>
  <si>
    <t>THE NEW INDIA ASSURANCE COMPANY LTD</t>
  </si>
  <si>
    <t>NIACL</t>
  </si>
  <si>
    <t>THE ORISSA MINERALS DEVELOPMENT COMPANY LTD</t>
  </si>
  <si>
    <t>ORISSAMINE</t>
  </si>
  <si>
    <t>THE PERIA KARAMALAI TEA &amp; PRODUCE COMPANY LTD</t>
  </si>
  <si>
    <t>PKTEA</t>
  </si>
  <si>
    <t>THE PHOENIX MILLS LTD</t>
  </si>
  <si>
    <t>PHOENIXLTD</t>
  </si>
  <si>
    <t>THE PHOSPHATE COMPANY LTD</t>
  </si>
  <si>
    <t>THE RAMCO CEMENTS LTD</t>
  </si>
  <si>
    <t>RAMCOCEM</t>
  </si>
  <si>
    <t>THE RUBY MILLS LTD</t>
  </si>
  <si>
    <t>RUBYMILLS</t>
  </si>
  <si>
    <t>THE SANDESH LTD</t>
  </si>
  <si>
    <t>SANDESH</t>
  </si>
  <si>
    <t>THE SOUTH INDIAN BANK LTD</t>
  </si>
  <si>
    <t>SOUTHBANK</t>
  </si>
  <si>
    <t>THE STATE TRADING CORPORATION OF (INDIA) LTD</t>
  </si>
  <si>
    <t>STC(INDIA)</t>
  </si>
  <si>
    <t>THE STATE TRADING CORPORATION OF INDIA LTD</t>
  </si>
  <si>
    <t>STCINDIA</t>
  </si>
  <si>
    <t>THE TINPLATE COMPANY OF (INDIA) LTD</t>
  </si>
  <si>
    <t>TINPLATE</t>
  </si>
  <si>
    <t>THE TINPLATE COMPANY OF INDIA LTD</t>
  </si>
  <si>
    <t>THE UGAR SUGAR WORKS LTD</t>
  </si>
  <si>
    <t>UGARSUGAR</t>
  </si>
  <si>
    <t>THE UNITED NILGIRI TEA ESTATES COMPANY LTD</t>
  </si>
  <si>
    <t>UNITEDTEA</t>
  </si>
  <si>
    <t>THE WESTERN INDIA PLYWOODS LTD</t>
  </si>
  <si>
    <t>WIPL</t>
  </si>
  <si>
    <t>THE YAMUNA SYNDICATE LTD</t>
  </si>
  <si>
    <t>THEJO ENGINEERING LTD</t>
  </si>
  <si>
    <t>THEJO</t>
  </si>
  <si>
    <t>THEMIS MEDICARE LTD</t>
  </si>
  <si>
    <t>THEMISMED</t>
  </si>
  <si>
    <t>THERMAX LTD</t>
  </si>
  <si>
    <t>THERMAX</t>
  </si>
  <si>
    <t>THINK INK STUDIO LTD</t>
  </si>
  <si>
    <t>THIRANI PROJECTS LTD</t>
  </si>
  <si>
    <t>THIRDWAVE FINANCIAL INTERMEDIARIES LTD</t>
  </si>
  <si>
    <t>THIRU AROORAN SUGARS LTD</t>
  </si>
  <si>
    <t>THIRUSUGAR</t>
  </si>
  <si>
    <t>THIRUMALAI CHEMICALS LTD</t>
  </si>
  <si>
    <t>TIRUMALCHM</t>
  </si>
  <si>
    <t>THOMAS COOK (INDIA) LTD</t>
  </si>
  <si>
    <t>THOMASCOOK</t>
  </si>
  <si>
    <t>THOMAS COOK INDIA LTD</t>
  </si>
  <si>
    <t>THOMAS SCOTT (INDIA) LTD</t>
  </si>
  <si>
    <t>THOMASCOTT</t>
  </si>
  <si>
    <t>THOMAS SCOTT INDIA LTD</t>
  </si>
  <si>
    <t>THYROCARE TECHNOLOGIES LTD</t>
  </si>
  <si>
    <t>THYROCARE</t>
  </si>
  <si>
    <t>TI FINANCIAL HOLDINGS LTD</t>
  </si>
  <si>
    <t>TIFIN</t>
  </si>
  <si>
    <t>TIAAN AYURVEDIC &amp; HERBS LTD</t>
  </si>
  <si>
    <t>TIDE WATER OIL COMPANY (INDIA) LTD</t>
  </si>
  <si>
    <t>TIDEWATER</t>
  </si>
  <si>
    <t>TIDE WATER OIL COMPANY INDIA LTD</t>
  </si>
  <si>
    <t>TIGER LOGISTICS (INDIA) LTD</t>
  </si>
  <si>
    <t>TIGER LOGISTICS INDIA LTD</t>
  </si>
  <si>
    <t>TIJARIA POLYPIPES LTD</t>
  </si>
  <si>
    <t>TIJARIA</t>
  </si>
  <si>
    <t>TIL LTD</t>
  </si>
  <si>
    <t>TIL</t>
  </si>
  <si>
    <t>Tilak Ventures Ltd</t>
  </si>
  <si>
    <t>TILAK</t>
  </si>
  <si>
    <t>TILAKNAGAR INDUSTRIES LTD</t>
  </si>
  <si>
    <t>TI</t>
  </si>
  <si>
    <t>TIME TECHNOPLAST LTD</t>
  </si>
  <si>
    <t>TIMETECHNO</t>
  </si>
  <si>
    <t>TIMES GUARANTY LTD</t>
  </si>
  <si>
    <t>TIMESGTY</t>
  </si>
  <si>
    <t>TIMEX GROUP (INDIA) LTD</t>
  </si>
  <si>
    <t>TIMEX GROUP INDIA LTD</t>
  </si>
  <si>
    <t>TIMKEN (INDIA) LTD</t>
  </si>
  <si>
    <t>TIMKEN</t>
  </si>
  <si>
    <t>TIMKEN INDIA LTD</t>
  </si>
  <si>
    <t>TINNA RUBBER AND INFRASTRUCTURE LTD</t>
  </si>
  <si>
    <t>TINNA TRADE LTD</t>
  </si>
  <si>
    <t>TIPS INDUSTRIES LTD</t>
  </si>
  <si>
    <t>TIPSINDLTD</t>
  </si>
  <si>
    <t>TIRUPATI FINLEASE LTD</t>
  </si>
  <si>
    <t>TIRUPATI FOAM LTD</t>
  </si>
  <si>
    <t>TIRUPATI FORGE LTD</t>
  </si>
  <si>
    <t>TIRUPATIFL</t>
  </si>
  <si>
    <t>TIRUPATI INDUSTRIES (INDIA) LTD</t>
  </si>
  <si>
    <t>TIRUPATI INDUSTRIES INDIA LTD</t>
  </si>
  <si>
    <t>TIRUPATI SARJAN LTD</t>
  </si>
  <si>
    <t>TIRUPATI STARCH &amp; CHEMICALS LTD</t>
  </si>
  <si>
    <t>TIRUPATI TYRES LTD</t>
  </si>
  <si>
    <t>TITAANIUM TEN ENTERPRISE LTD</t>
  </si>
  <si>
    <t>TITAGARH WAGONS LTD</t>
  </si>
  <si>
    <t>TWL</t>
  </si>
  <si>
    <t>TITAN BIOTECH LTD</t>
  </si>
  <si>
    <t>TITAN COMPANY LTD</t>
  </si>
  <si>
    <t>TITAN</t>
  </si>
  <si>
    <t>TITAN SECURITIES LTD</t>
  </si>
  <si>
    <t>TIVOLI CONSTRUCTION LTD</t>
  </si>
  <si>
    <t>TODAYS WRITING INSTRUMENTS LTD</t>
  </si>
  <si>
    <t>TODAYS</t>
  </si>
  <si>
    <t>TOKYO FINANCE LTD</t>
  </si>
  <si>
    <t>TOKYO PLAST INTERNATIONAL LTD</t>
  </si>
  <si>
    <t>TOKYOPLAST</t>
  </si>
  <si>
    <t>TORRENT PHARMACEUTICALS LTD</t>
  </si>
  <si>
    <t>TORNTPHARM</t>
  </si>
  <si>
    <t>TORRENT POWER LTD</t>
  </si>
  <si>
    <t>TORNTPOWER</t>
  </si>
  <si>
    <t>TOTAL EXPORTS LTD</t>
  </si>
  <si>
    <t>TOTAL TRANSPORT SYSTEMS LTD</t>
  </si>
  <si>
    <t>TOTAL</t>
  </si>
  <si>
    <t>TOUCHWOOD ENTERTAINMENT LTD</t>
  </si>
  <si>
    <t>TOUCHWOOD</t>
  </si>
  <si>
    <t>TOURISM FINANCE CORPORATION OF (INDIA) LTD</t>
  </si>
  <si>
    <t>TFCILTD</t>
  </si>
  <si>
    <t>TOURISM FINANCE CORPORATION OF INDIA LTD</t>
  </si>
  <si>
    <t>TOWA SOKKI LTD</t>
  </si>
  <si>
    <t>TOYAM INDUSTRIES LTD</t>
  </si>
  <si>
    <t>TPI (INDIA) LTD</t>
  </si>
  <si>
    <t>TPI INDIA LTD</t>
  </si>
  <si>
    <t>TPL PLASTECH LTD</t>
  </si>
  <si>
    <t>TPLPLASTEH</t>
  </si>
  <si>
    <t>TRADE WINGS LTD</t>
  </si>
  <si>
    <t>TRANS ASIA CORPORATION LTD</t>
  </si>
  <si>
    <t>TRANS FINANCIAL RESOURCES LTD.</t>
  </si>
  <si>
    <t>TRANSFIN</t>
  </si>
  <si>
    <t>TRANSCHEM LTD</t>
  </si>
  <si>
    <t>TRANSCORP INTERNATIONAL LTD</t>
  </si>
  <si>
    <t>TRANSFORMERS AND RECTIFIERS (INDIA) LTD</t>
  </si>
  <si>
    <t>TRIL</t>
  </si>
  <si>
    <t>TRANSFORMERS AND RECTIFIERS INDIA LTD</t>
  </si>
  <si>
    <t>TRANS-FREIGHT CONTAINERS LTD</t>
  </si>
  <si>
    <t>TRANSGENE BIOTEK LTD</t>
  </si>
  <si>
    <t>TRANSGLOBE FOODS LTD</t>
  </si>
  <si>
    <t>TRANSOCEANIC PROPERTIES LTD</t>
  </si>
  <si>
    <t>TRANSPEK INDUSTRY LTD</t>
  </si>
  <si>
    <t>TRANSPORT CORPORATION OF (INDIA) LTD</t>
  </si>
  <si>
    <t>TCI</t>
  </si>
  <si>
    <t>TRANSPORT CORPORATION OF INDIA LTD</t>
  </si>
  <si>
    <t>TRANSWARRANTY FINANCE LTD</t>
  </si>
  <si>
    <t>TFL</t>
  </si>
  <si>
    <t>TRANSWIND INFRASTRUCTURES LTD</t>
  </si>
  <si>
    <t>TRANSWIND</t>
  </si>
  <si>
    <t>TREE HOUSE EDUCATION &amp; ACCESSORIES LTD</t>
  </si>
  <si>
    <t>TREEHOUSE</t>
  </si>
  <si>
    <t>Trejhara Solutions Ltd</t>
  </si>
  <si>
    <t>TREJHARA</t>
  </si>
  <si>
    <t>TRENT LTD</t>
  </si>
  <si>
    <t>TRENT</t>
  </si>
  <si>
    <t>TRESCON LTD</t>
  </si>
  <si>
    <t>TRF LTD</t>
  </si>
  <si>
    <t>TRF</t>
  </si>
  <si>
    <t>TRIBHOVANDAS BHIMJI ZAVERI LTD</t>
  </si>
  <si>
    <t>TBZ</t>
  </si>
  <si>
    <t>TRICOM FRUIT PRODUCTS LTD</t>
  </si>
  <si>
    <t>TRIDENT LTD</t>
  </si>
  <si>
    <t>TRIDENT</t>
  </si>
  <si>
    <t>TRIDENT TEXOFAB LTD</t>
  </si>
  <si>
    <t>TRIDENT TOOLS LTD</t>
  </si>
  <si>
    <t>TRIGYN TECHNOLOGIES LTD</t>
  </si>
  <si>
    <t>TRIGYN</t>
  </si>
  <si>
    <t>TRIJAL INDUSTRIES LTD</t>
  </si>
  <si>
    <t>TRIMURTHI LTD</t>
  </si>
  <si>
    <t>Food &amp; Drugs Retailing</t>
  </si>
  <si>
    <t>TRINITY LEAGUE (INDIA) LTD</t>
  </si>
  <si>
    <t>TRINITY LEAGUE INDIA LTD</t>
  </si>
  <si>
    <t>TRIO MERCANTILE &amp;amp; TRADING LTD.</t>
  </si>
  <si>
    <t>TRIOMERC</t>
  </si>
  <si>
    <t>TRIOCHEM PRODUCTS LTD</t>
  </si>
  <si>
    <t>TRISHAKTI ELECTRONICS &amp; INDUSTRIES LTD</t>
  </si>
  <si>
    <t>TRITON CORP LTD</t>
  </si>
  <si>
    <t>TRITON VALVES LTD</t>
  </si>
  <si>
    <t>TRIVENI ENGINEERING &amp; INDUSTRIES LTD</t>
  </si>
  <si>
    <t>TRIVENI</t>
  </si>
  <si>
    <t>Triveni Enterprises Ltd</t>
  </si>
  <si>
    <t>TRIVENIENT</t>
  </si>
  <si>
    <t>TRIVENI GLASS LTD</t>
  </si>
  <si>
    <t>TRIVENI TURBINE LTD</t>
  </si>
  <si>
    <t>TRITURBINE</t>
  </si>
  <si>
    <t>TRIVIKRAMA INDUSTRIES LTD</t>
  </si>
  <si>
    <t>TROMBO EXTRACTIONS LTD</t>
  </si>
  <si>
    <t>TTI ENTERPRISE LTD</t>
  </si>
  <si>
    <t>TTK HEALTHCARE LTD</t>
  </si>
  <si>
    <t>TTKHLTCARE</t>
  </si>
  <si>
    <t>TTK PRESTIGE LTD</t>
  </si>
  <si>
    <t>TTKPRESTIG</t>
  </si>
  <si>
    <t>TTL Enterprises Ltd</t>
  </si>
  <si>
    <t>TTLEL</t>
  </si>
  <si>
    <t>TUBE INVESTMENTS OF (INDIA) LTD</t>
  </si>
  <si>
    <t>TI(INDIA)</t>
  </si>
  <si>
    <t>TUBE INVESTMENTS OF INDIA LTD</t>
  </si>
  <si>
    <t>TIINDIA</t>
  </si>
  <si>
    <t>TULASEE BIO-ETHANOL LTD</t>
  </si>
  <si>
    <t>TULIP STAR HOTELS LTD</t>
  </si>
  <si>
    <t>TULIVE DEVELOPERS LTD</t>
  </si>
  <si>
    <t>TULSI EXTRUSIONS LTD</t>
  </si>
  <si>
    <t>TULSI</t>
  </si>
  <si>
    <t>TUMUS ELECTRIC CORPORATION LTD</t>
  </si>
  <si>
    <t>TUNI TEXTILE MILLS LTD</t>
  </si>
  <si>
    <t>TUTICORIN ALKALI CHEMICALS &amp; FERTILISERS LTD</t>
  </si>
  <si>
    <t>TV TODAY NETWORK LTD</t>
  </si>
  <si>
    <t>TVTODAY</t>
  </si>
  <si>
    <t>TV VISION LTD</t>
  </si>
  <si>
    <t>TVVISION</t>
  </si>
  <si>
    <t>TV18 BROADCAST LTD</t>
  </si>
  <si>
    <t>TV18BRDCST</t>
  </si>
  <si>
    <t>TVS ELECTRONICS LTD</t>
  </si>
  <si>
    <t>TVSELECT</t>
  </si>
  <si>
    <t>TVS MOTOR COMPANY LTD</t>
  </si>
  <si>
    <t>TVSMOTOR</t>
  </si>
  <si>
    <t>TVS SRICHAKRA LTD</t>
  </si>
  <si>
    <t>TVSSRICHAK</t>
  </si>
  <si>
    <t>TWIN ROSES TRADES &amp; AGENCIES LTD</t>
  </si>
  <si>
    <t>TWINSTAR INDUSTRIES LTD</t>
  </si>
  <si>
    <t>TYCHE INDUSTRIES LTD</t>
  </si>
  <si>
    <t>TYPHOON FINANCIAL SERVICES LTD</t>
  </si>
  <si>
    <t>TYPHOON HOLDINGS LTD</t>
  </si>
  <si>
    <t>TYROON TEA CO LTD</t>
  </si>
  <si>
    <t>U  H  ZAVERI LTD</t>
  </si>
  <si>
    <t>UCAL FUEL SYSTEMS LTD</t>
  </si>
  <si>
    <t>UCALFUEL</t>
  </si>
  <si>
    <t>UCO BANK</t>
  </si>
  <si>
    <t>UCOBANK</t>
  </si>
  <si>
    <t>UDAIPUR CEMENT WORKS LTD</t>
  </si>
  <si>
    <t>UDAY JEWELLERY INDUSTRIES LTD</t>
  </si>
  <si>
    <t>UFLEX LTD</t>
  </si>
  <si>
    <t>UFLEX</t>
  </si>
  <si>
    <t>UFO MOVIEZ (INDIA) LTD</t>
  </si>
  <si>
    <t>UFO</t>
  </si>
  <si>
    <t>UFO MOVIEZ INDIA LTD</t>
  </si>
  <si>
    <t>UGRO CAPITAL LTD</t>
  </si>
  <si>
    <t>UJAAS ENERGY LTD</t>
  </si>
  <si>
    <t>UJAAS</t>
  </si>
  <si>
    <t>UJJIVAN FINANCIAL SERVICES LTD</t>
  </si>
  <si>
    <t>UJJIVAN</t>
  </si>
  <si>
    <t>ULTRA WIRING CONNECTIVITY SYSTEM LTD</t>
  </si>
  <si>
    <t>UWCSL</t>
  </si>
  <si>
    <t>ULTRACAB (INDIA) LTD</t>
  </si>
  <si>
    <t>ULTRACAB INDIA LTD</t>
  </si>
  <si>
    <t>ULTRAMARINE &amp; PIGMENTS LTD</t>
  </si>
  <si>
    <t>ULTRATECH CEMENT LTD</t>
  </si>
  <si>
    <t>ULTRACEMCO</t>
  </si>
  <si>
    <t>UMANG DAIRIES LTD</t>
  </si>
  <si>
    <t>UMANGDAIRY</t>
  </si>
  <si>
    <t>UMIYA TUBES LTD</t>
  </si>
  <si>
    <t>UNI ABEX ALLOY PRODUCTS LTD</t>
  </si>
  <si>
    <t>UNICHEM LABORATORIES LTD</t>
  </si>
  <si>
    <t>UNICHEMLAB</t>
  </si>
  <si>
    <t>UNICK FIX-A-FORM AND PRINTERS LTD</t>
  </si>
  <si>
    <t>UNIINFO TELECOM SERVICES LTD</t>
  </si>
  <si>
    <t>UNIINFO</t>
  </si>
  <si>
    <t>UNIJOLLY INVESTMENTS CO LTD</t>
  </si>
  <si>
    <t>UNIMODE OVERSEAS LTD.</t>
  </si>
  <si>
    <t>UNIMOVR</t>
  </si>
  <si>
    <t>UNION BANK OF INDIA</t>
  </si>
  <si>
    <t>UNIONBANK</t>
  </si>
  <si>
    <t>UNION QUALITY PLASTICS LTD</t>
  </si>
  <si>
    <t>UNIPHOS ENTERPRISES LTD</t>
  </si>
  <si>
    <t>UNIENTER</t>
  </si>
  <si>
    <t>UNIPLY DECOR LTD</t>
  </si>
  <si>
    <t>UNIPLY INDUSTRIES LTD</t>
  </si>
  <si>
    <t>UNIPLY</t>
  </si>
  <si>
    <t>UNIQUE ORGANICS LTD</t>
  </si>
  <si>
    <t>UNIROYAL INDUSTRIES LTD</t>
  </si>
  <si>
    <t>UNIROYAL MARINE EXPORTS LTD</t>
  </si>
  <si>
    <t>UNISHIRE URBAN INFRA LTD</t>
  </si>
  <si>
    <t>UNISON METALS LTD</t>
  </si>
  <si>
    <t>UNISTAR MULTIMEDIA LTD</t>
  </si>
  <si>
    <t>UNISYS SOFTWARES &amp; HOLDING INDUSTRIES LTD</t>
  </si>
  <si>
    <t>UNITECH INTERNATIONAL LTD</t>
  </si>
  <si>
    <t>UNITECH LTD</t>
  </si>
  <si>
    <t>UNITECH</t>
  </si>
  <si>
    <t>UNITED BANK OF INDIA</t>
  </si>
  <si>
    <t>UNITEDBNK</t>
  </si>
  <si>
    <t>UNITED BREWERIES LTD</t>
  </si>
  <si>
    <t>UBL</t>
  </si>
  <si>
    <t>UNITED CREDIT LTD</t>
  </si>
  <si>
    <t>UNITED DRILLING TOOLS LTD</t>
  </si>
  <si>
    <t>UNITED INTERACTIVE LTD</t>
  </si>
  <si>
    <t>UNITED LEASING &amp; INDUSTRIES LTD</t>
  </si>
  <si>
    <t>UNITED POLYFAB GUJARAT LTD</t>
  </si>
  <si>
    <t>UNITEDPOLY</t>
  </si>
  <si>
    <t>UNITED SPIRITS LTD</t>
  </si>
  <si>
    <t>MCDOWELL-N</t>
  </si>
  <si>
    <t>UNITED TEXTILES LTD</t>
  </si>
  <si>
    <t>UNITED VAN DER HORST LTD</t>
  </si>
  <si>
    <t>UNITY INFRAPROJECTS LTD</t>
  </si>
  <si>
    <t>UNITY</t>
  </si>
  <si>
    <t>UNIVASTU (INDIA) LTD</t>
  </si>
  <si>
    <t>UNIVASTU</t>
  </si>
  <si>
    <t>UNIVASTU INDIA LTD</t>
  </si>
  <si>
    <t>UNIVERSAL ARTS LTD</t>
  </si>
  <si>
    <t>UNIVERSAL AUTOFOUNDRY LTD</t>
  </si>
  <si>
    <t>UNIVERSAL CABLES LTD</t>
  </si>
  <si>
    <t>UNIVCABLES</t>
  </si>
  <si>
    <t>UNIVERSAL CREDIT &amp; SECURITIES LTD</t>
  </si>
  <si>
    <t>UNIVERSAL OFFICE AUTOMATION LTD</t>
  </si>
  <si>
    <t>UNIVERSAL PRIME ALUMINIUM LTD</t>
  </si>
  <si>
    <t>UNIVERSAL STARCH-CHEM ALLIED LTD</t>
  </si>
  <si>
    <t>UNIWORTH LTD</t>
  </si>
  <si>
    <t>UNIWORTH SECURITIES LTD</t>
  </si>
  <si>
    <t>UNJHA FORMULATIONS LTD</t>
  </si>
  <si>
    <t>UPASANA FINANCE LTD</t>
  </si>
  <si>
    <t>UPL LTD</t>
  </si>
  <si>
    <t>UPL</t>
  </si>
  <si>
    <t>UPSURGE INVESTMENT &amp; FINANCE LTD</t>
  </si>
  <si>
    <t>URAVI T AND WEDGE LAMPS LTD</t>
  </si>
  <si>
    <t>URAVI</t>
  </si>
  <si>
    <t>URJA GLOBAL LTD</t>
  </si>
  <si>
    <t>URJA</t>
  </si>
  <si>
    <t>USG TECH SOLUTIONS LTD</t>
  </si>
  <si>
    <t>USHA MARTIN EDUCATION &amp; SOLUTIONS LTD</t>
  </si>
  <si>
    <t>UMESLTD</t>
  </si>
  <si>
    <t>USHA MARTIN LTD</t>
  </si>
  <si>
    <t>USHAMART</t>
  </si>
  <si>
    <t>USHAKIRAN FINANCE LTD</t>
  </si>
  <si>
    <t>USHANTI COLOUR CHEM LTD</t>
  </si>
  <si>
    <t>UCL</t>
  </si>
  <si>
    <t>USHDEV INTERNATIONAL LTD</t>
  </si>
  <si>
    <t>USHER AGRO LTD</t>
  </si>
  <si>
    <t>USHERAGRO</t>
  </si>
  <si>
    <t>UTI MUTUAL FUND - UTI GOLD EXCHANGE TRADED FUND</t>
  </si>
  <si>
    <t>GOLDSHARE</t>
  </si>
  <si>
    <t>UTL INDUSTRIES LTD</t>
  </si>
  <si>
    <t>UTTAM GALVA STEELS LTD</t>
  </si>
  <si>
    <t>UTTAMSTL</t>
  </si>
  <si>
    <t>UTTAM SUGAR MILLS LTD</t>
  </si>
  <si>
    <t>UTTAMSUGAR</t>
  </si>
  <si>
    <t>UTTAM VALUE STEELS LTD</t>
  </si>
  <si>
    <t>UVSL</t>
  </si>
  <si>
    <t>V B DESAI FINANCIAL SERVICES LTD</t>
  </si>
  <si>
    <t>V B INDUSTRIES LTD</t>
  </si>
  <si>
    <t>V R Films &amp;amp; Studios Ltd</t>
  </si>
  <si>
    <t>VRFILMS</t>
  </si>
  <si>
    <t>V R WOODART LTD</t>
  </si>
  <si>
    <t>V S T TILLERS TRACTORS LTD</t>
  </si>
  <si>
    <t>VSTTILLERS</t>
  </si>
  <si>
    <t>V2 RETAIL LTD</t>
  </si>
  <si>
    <t>V2RETAIL</t>
  </si>
  <si>
    <t>VA TECH WABAG LTD</t>
  </si>
  <si>
    <t>WABAG</t>
  </si>
  <si>
    <t>VAARAD VENTURES LTD</t>
  </si>
  <si>
    <t>VADILAL ENTERPRISES LTD</t>
  </si>
  <si>
    <t>VADILAL INDUSTRIES LTD</t>
  </si>
  <si>
    <t>VADILALIND</t>
  </si>
  <si>
    <t>VADIVARHE SPECIALITY CHEMICALS LTD</t>
  </si>
  <si>
    <t>VSCL</t>
  </si>
  <si>
    <t>VAGHANI TECHNO-BUILD LTD</t>
  </si>
  <si>
    <t>VAIBHAV GLOBAL LTD</t>
  </si>
  <si>
    <t>VAIBHAVGBL</t>
  </si>
  <si>
    <t>VAISHALI PHARMA LTD</t>
  </si>
  <si>
    <t>VAISHALI</t>
  </si>
  <si>
    <t>VAKRANGEE LTD</t>
  </si>
  <si>
    <t>VAKRANGEE</t>
  </si>
  <si>
    <t>VAKSONS AUTOMOBILES LTD</t>
  </si>
  <si>
    <t>VALIANT COMMUNICATIONS LTD</t>
  </si>
  <si>
    <t>VALIANT ORGANICS LTD</t>
  </si>
  <si>
    <t>VALLABH POLY-PLAST INTERNATIONAL LTD</t>
  </si>
  <si>
    <t>VALLABH STEELS LTD</t>
  </si>
  <si>
    <t>VALLEY MAGNESITE COMPANY LTD</t>
  </si>
  <si>
    <t>VALSON INDUSTRIES LTD</t>
  </si>
  <si>
    <t>VAMA INDUSTRIES LTD</t>
  </si>
  <si>
    <t>VAMSHI RUBBER LTD</t>
  </si>
  <si>
    <t>VANDANA KNITWEAR LTD</t>
  </si>
  <si>
    <t>VANI COMMERCIALS LTD</t>
  </si>
  <si>
    <t>VANTA BIOSCIENCE LTD</t>
  </si>
  <si>
    <t>VANTAGE KNOWLEDGE ACADEMY LTD</t>
  </si>
  <si>
    <t>VAPI PAPER MILLS LTD</t>
  </si>
  <si>
    <t>VARDHAMAN LABORATORIES LTD</t>
  </si>
  <si>
    <t>VARDHMAN ACRYLICS LTD</t>
  </si>
  <si>
    <t>VARDHACRLC</t>
  </si>
  <si>
    <t>VARDHMAN CONCRETE LTD</t>
  </si>
  <si>
    <t>VARDHMAN HOLDINGS LTD</t>
  </si>
  <si>
    <t>VHL</t>
  </si>
  <si>
    <t>VARDHMAN INDUSTRIES LTD</t>
  </si>
  <si>
    <t>VARDHMAN POLYTEX LTD</t>
  </si>
  <si>
    <t>VARDMNPOLY</t>
  </si>
  <si>
    <t>VARDHMAN SPECIAL STEELS LTD</t>
  </si>
  <si>
    <t>VSSL</t>
  </si>
  <si>
    <t>VARDHMAN TEXTILES LTD</t>
  </si>
  <si>
    <t>VTL</t>
  </si>
  <si>
    <t>VARROC ENGINEERING LTD</t>
  </si>
  <si>
    <t>VARROC</t>
  </si>
  <si>
    <t>VARUN BEVERAGES LTD</t>
  </si>
  <si>
    <t>VBL</t>
  </si>
  <si>
    <t>VARUN MERCANTILE LTD</t>
  </si>
  <si>
    <t>VAS INFRASTRUCTURE LTD</t>
  </si>
  <si>
    <t>VASA RETAIL AND OVERSEAS LTD</t>
  </si>
  <si>
    <t>VASA</t>
  </si>
  <si>
    <t>VASCON ENGINEERS LTD</t>
  </si>
  <si>
    <t>VASCONEQ</t>
  </si>
  <si>
    <t>VASUNDHARA RASAYANS LTD</t>
  </si>
  <si>
    <t>VASWANI INDUSTRIES LTD</t>
  </si>
  <si>
    <t>VASWANI</t>
  </si>
  <si>
    <t>VAX HOUSING FINANCE CORPORATION LTD</t>
  </si>
  <si>
    <t>VBC FERRO ALLOYS LTD</t>
  </si>
  <si>
    <t>VCK CAPITAL MARKET SERVICES LTD</t>
  </si>
  <si>
    <t>VCU DATA MANAGEMENT LTD</t>
  </si>
  <si>
    <t>VEDANTA LTD</t>
  </si>
  <si>
    <t>VEDL</t>
  </si>
  <si>
    <t>VEDAVAAG SYSTEMS LTD</t>
  </si>
  <si>
    <t>VEEJAY LAKSHMI ENGINEERING WORKS LTD</t>
  </si>
  <si>
    <t>VEER ENERGY &amp; INFRASTRUCTURE LTD</t>
  </si>
  <si>
    <t>VEERAM INFRA ENGINEERING LTD</t>
  </si>
  <si>
    <t>VEERAM ORNAMENTS LTD</t>
  </si>
  <si>
    <t>VEERHEALTH CARE LTD</t>
  </si>
  <si>
    <t>VEGETABLE PRODUCTS LTD</t>
  </si>
  <si>
    <t>VELAN HOTELS LTD</t>
  </si>
  <si>
    <t>VELJAN DENISON LTD</t>
  </si>
  <si>
    <t>VENKY'S (INDIA) LTD</t>
  </si>
  <si>
    <t>VENKEYS</t>
  </si>
  <si>
    <t>VENKY'S INDIA LTD</t>
  </si>
  <si>
    <t>VENLON ENTERPRISES LTD</t>
  </si>
  <si>
    <t>VENTURA GUARANTY LTD.</t>
  </si>
  <si>
    <t>SHYAM</t>
  </si>
  <si>
    <t>VENTURA TEXTILES LTD</t>
  </si>
  <si>
    <t>VENUS REMEDIES LTD</t>
  </si>
  <si>
    <t>VENUSREM</t>
  </si>
  <si>
    <t>VERA SYNTHETIC LTD</t>
  </si>
  <si>
    <t>VERA</t>
  </si>
  <si>
    <t>VERITAS (INDIA) LTD</t>
  </si>
  <si>
    <t>VERITAS INDIA LTD</t>
  </si>
  <si>
    <t>VERONICA PRODUCTION LTD</t>
  </si>
  <si>
    <t>VERTEX SECURITIES LTD</t>
  </si>
  <si>
    <t>VERTICAL INDUSTRIES LTD</t>
  </si>
  <si>
    <t>VERTOZ ADVERTISING LTD</t>
  </si>
  <si>
    <t>VERTOZ</t>
  </si>
  <si>
    <t>VESUVIUS (INDIA) LTD</t>
  </si>
  <si>
    <t>VESUVIUS</t>
  </si>
  <si>
    <t>VESUVIUS INDIA LTD</t>
  </si>
  <si>
    <t>VETO SWITCHGEARS AND CABLES LTD</t>
  </si>
  <si>
    <t>VETO</t>
  </si>
  <si>
    <t>V-GUARD INDUSTRIES LTD</t>
  </si>
  <si>
    <t>VGUARD</t>
  </si>
  <si>
    <t>VIAAN INDUSTRIES LTD</t>
  </si>
  <si>
    <t>VIBRANT GLOBAL CAPITAL LTD</t>
  </si>
  <si>
    <t>VICEROY HOTELS LTD</t>
  </si>
  <si>
    <t>VICEROY</t>
  </si>
  <si>
    <t>VICTORIA MILLS LTD</t>
  </si>
  <si>
    <t>VICTORY PAPER &amp; BOARDS (INDIA) LTD</t>
  </si>
  <si>
    <t>VICTORY PAPER &amp; BOARDS INDIA LTD</t>
  </si>
  <si>
    <t>VIDEOCON INDUSTRIES LTD</t>
  </si>
  <si>
    <t>VIDEOIND</t>
  </si>
  <si>
    <t>VIDHI SPECIALTY FOOD INGREDIENTS LTD</t>
  </si>
  <si>
    <t>VIDHIING</t>
  </si>
  <si>
    <t>VIDLI RESTAURANTS LTD</t>
  </si>
  <si>
    <t>VIJAY SHANTHI BUILDERS LTD</t>
  </si>
  <si>
    <t>VIJSHAN</t>
  </si>
  <si>
    <t>VIJAY SOLVEX LTD</t>
  </si>
  <si>
    <t>VIJAY TEXTILES LTD</t>
  </si>
  <si>
    <t>VIJAYA BANK</t>
  </si>
  <si>
    <t>VIJAYABANK</t>
  </si>
  <si>
    <t>VIJI FINANCE LTD</t>
  </si>
  <si>
    <t>VIJIFIN</t>
  </si>
  <si>
    <t>VIKALP SECURITIES LTD</t>
  </si>
  <si>
    <t>VIKAS ECOTECH LTD</t>
  </si>
  <si>
    <t>VIKASECO</t>
  </si>
  <si>
    <t>Vikas Multicorp Ltd</t>
  </si>
  <si>
    <t>VIKASMCORP</t>
  </si>
  <si>
    <t>VIKAS PROPPANT &amp; GRANITE LTD</t>
  </si>
  <si>
    <t>VIKAS WSP LTD</t>
  </si>
  <si>
    <t>VIKRAM THERMO (INDIA) LTD</t>
  </si>
  <si>
    <t>VIKRAM THERMO INDIA LTD</t>
  </si>
  <si>
    <t>VIKSIT ENGINEERING LTD</t>
  </si>
  <si>
    <t>VIMAL OIL &amp; FOODS LTD</t>
  </si>
  <si>
    <t>VIMALOIL</t>
  </si>
  <si>
    <t>VIMTA LABS LTD</t>
  </si>
  <si>
    <t>VIMTALABS</t>
  </si>
  <si>
    <t>VINADITYA TRADING CO LTD</t>
  </si>
  <si>
    <t>VINATI ORGANICS LTD</t>
  </si>
  <si>
    <t>VINATIORGA</t>
  </si>
  <si>
    <t>VINAYAK POLYCON INTERNATIONAL LTD</t>
  </si>
  <si>
    <t>VINDHYA TELELINKS LTD</t>
  </si>
  <si>
    <t>VINDHYATEL</t>
  </si>
  <si>
    <t>VINNY OVERSEAS LTD</t>
  </si>
  <si>
    <t>VINNY</t>
  </si>
  <si>
    <t>VINTAGE SECURITIES LTD</t>
  </si>
  <si>
    <t>VINYL CHEMICALS (INDIA) LTD</t>
  </si>
  <si>
    <t>VINYL(INDIA)</t>
  </si>
  <si>
    <t>VINYL CHEMICALS INDIA LTD</t>
  </si>
  <si>
    <t>VINYLINDIA</t>
  </si>
  <si>
    <t>VINYOFLEX LTD</t>
  </si>
  <si>
    <t>VIP CLOTHING LTD</t>
  </si>
  <si>
    <t>VIPCLOTHNG</t>
  </si>
  <si>
    <t>VIP INDUSTRIES LTD</t>
  </si>
  <si>
    <t>VIPIND</t>
  </si>
  <si>
    <t>VIPPY SPINPRO LTD</t>
  </si>
  <si>
    <t>VIPUL LTD</t>
  </si>
  <si>
    <t>VIPULLTD</t>
  </si>
  <si>
    <t>VIPUL ORGANICS LTD</t>
  </si>
  <si>
    <t>VIRAT CRANE INDUSTRIES LTD</t>
  </si>
  <si>
    <t>VIRAT INDUSTRIES LTD</t>
  </si>
  <si>
    <t>VIRAT LEASING LTD</t>
  </si>
  <si>
    <t>VIRGO GLOBAL LTD</t>
  </si>
  <si>
    <t>VIRINCHI LTD</t>
  </si>
  <si>
    <t>VIRTUAL GLOBAL EDUCATION LTD</t>
  </si>
  <si>
    <t>VIRTUALSOFT SYSTEMS LTD</t>
  </si>
  <si>
    <t>VISA STEEL LTD</t>
  </si>
  <si>
    <t>VISASTEEL</t>
  </si>
  <si>
    <t>VISAGAR FINANCIAL SERVICES LTD</t>
  </si>
  <si>
    <t>VISAGAR POLYTEX LTD</t>
  </si>
  <si>
    <t>VIVIDHA</t>
  </si>
  <si>
    <t>VISAKA INDUSTRIES LTD</t>
  </si>
  <si>
    <t>VISAKAIND</t>
  </si>
  <si>
    <t>VISCO TRADE ASSOCIATES LTD</t>
  </si>
  <si>
    <t>VISESH INFOTECNICS LTD</t>
  </si>
  <si>
    <t>VISESHINFO</t>
  </si>
  <si>
    <t>VISHAL BEARINGS LTD</t>
  </si>
  <si>
    <t>VISHAL FABRICS LTD</t>
  </si>
  <si>
    <t>VISHNU CHEMICALS LTD</t>
  </si>
  <si>
    <t>VISHNU</t>
  </si>
  <si>
    <t>Vishvprabha Ventures Ltd</t>
  </si>
  <si>
    <t>VISVEN</t>
  </si>
  <si>
    <t>VISION CINEMAS LTD</t>
  </si>
  <si>
    <t>VISION CORPORATION LTD</t>
  </si>
  <si>
    <t>VISTA PHARMACEUTICALS LTD</t>
  </si>
  <si>
    <t>VISTAR AMAR LTD</t>
  </si>
  <si>
    <t>VITESSE AGRO LTD</t>
  </si>
  <si>
    <t>VIVANTA INDUSTRIES LTD</t>
  </si>
  <si>
    <t>VIVANZA BIOSCIENCES LTD</t>
  </si>
  <si>
    <t>VIVID GLOBAL INDUSTRIES LTD</t>
  </si>
  <si>
    <t>VIVIMED LABS LTD</t>
  </si>
  <si>
    <t>VIVIMEDLAB</t>
  </si>
  <si>
    <t>VIVO BIO TECH LTD</t>
  </si>
  <si>
    <t>VJTF EDUSERVICES LTD</t>
  </si>
  <si>
    <t>VKJ INFRADEVELOPERS LTD</t>
  </si>
  <si>
    <t>VLS FINANCE LTD</t>
  </si>
  <si>
    <t>VLSFINANCE</t>
  </si>
  <si>
    <t>V-MART RETAIL LTD</t>
  </si>
  <si>
    <t>VMART</t>
  </si>
  <si>
    <t>VMS INDUSTRIES LTD</t>
  </si>
  <si>
    <t>VMV HOLIDAYS LTD</t>
  </si>
  <si>
    <t>VODAFONE IDEA LTD</t>
  </si>
  <si>
    <t>IDEA</t>
  </si>
  <si>
    <t>VOITH PAPER FABRICS (INDIA) LTD</t>
  </si>
  <si>
    <t>VOITH PAPER FABRICS INDIA LTD</t>
  </si>
  <si>
    <t>VOLTAIRE LEASING &amp; FINANCE LTD</t>
  </si>
  <si>
    <t>VOLTAMP TRANSFORMERS LTD</t>
  </si>
  <si>
    <t>VOLTAMP</t>
  </si>
  <si>
    <t>VOLTAS LTD</t>
  </si>
  <si>
    <t>VOLTAS</t>
  </si>
  <si>
    <t>VORA CONSTRUCTIONS LTD</t>
  </si>
  <si>
    <t>VRL LOGISTICS LTD</t>
  </si>
  <si>
    <t>VRLLOG</t>
  </si>
  <si>
    <t>VSF PROJECTS LTD</t>
  </si>
  <si>
    <t>VST INDUSTRIES LTD</t>
  </si>
  <si>
    <t>VSTIND</t>
  </si>
  <si>
    <t>VTM LTD</t>
  </si>
  <si>
    <t>VXL INSTRUMENTS LTD.</t>
  </si>
  <si>
    <t>VXLINSTR</t>
  </si>
  <si>
    <t>VYAPAR INDUSTRIES LTD</t>
  </si>
  <si>
    <t>W H BRADY &amp; CO LTD</t>
  </si>
  <si>
    <t>W S INDUSTRIES (INDIA) LTD</t>
  </si>
  <si>
    <t>W S INDUSTRIES I LTD</t>
  </si>
  <si>
    <t>WSI</t>
  </si>
  <si>
    <t>W S INDUSTRIES INDIA LTD</t>
  </si>
  <si>
    <t>W W TECHNOLOGY HOLDINGS LTD</t>
  </si>
  <si>
    <t>WAA SOLAR LTD</t>
  </si>
  <si>
    <t>WABCO (INDIA) LTD</t>
  </si>
  <si>
    <t>WABCO(INDIA)</t>
  </si>
  <si>
    <t>WABCO INDIA LTD</t>
  </si>
  <si>
    <t>WABCOINDIA</t>
  </si>
  <si>
    <t>WAGEND INFRA VENTURE LTD</t>
  </si>
  <si>
    <t>WALCHAND PEOPLEFIRST LTD</t>
  </si>
  <si>
    <t>WALCHANDNAGAR INDUSTRIES LTD</t>
  </si>
  <si>
    <t>WALCHANNAG</t>
  </si>
  <si>
    <t>WALL STREET FINANCE LTD</t>
  </si>
  <si>
    <t>WALLFORT FINANCIAL SERVICES LTD</t>
  </si>
  <si>
    <t>WANBURY LTD</t>
  </si>
  <si>
    <t>WANBURY</t>
  </si>
  <si>
    <t>WARNER MULTIMEDIA LTD</t>
  </si>
  <si>
    <t>WARREN TEA LTD</t>
  </si>
  <si>
    <t>WATERBASE LTD</t>
  </si>
  <si>
    <t>WEALTH FIRST PORTFOLIO MANAGERS LTD</t>
  </si>
  <si>
    <t>WEALTH</t>
  </si>
  <si>
    <t>WEB ELEMENT SOLUTIONS LTD</t>
  </si>
  <si>
    <t>WEBSOL ENERGY SYSTEM LTD</t>
  </si>
  <si>
    <t>WEBELSOLAR</t>
  </si>
  <si>
    <t>WEIZMANN FINCORP LTD</t>
  </si>
  <si>
    <t>WEIZMANN FOREX LTD</t>
  </si>
  <si>
    <t>WEIZFOREX</t>
  </si>
  <si>
    <t>WEIZMANN LTD</t>
  </si>
  <si>
    <t>WEIZMANIND</t>
  </si>
  <si>
    <t>WELCAST STEELS LTD</t>
  </si>
  <si>
    <t>WELCURE DRUGS &amp; PHARMACEUTICALS LTD</t>
  </si>
  <si>
    <t>WELLESLEY CORPORATION LTD</t>
  </si>
  <si>
    <t>WELLNESS NONI LTD</t>
  </si>
  <si>
    <t>WELSPUN (INDIA) LTD</t>
  </si>
  <si>
    <t>WELSPUNIND</t>
  </si>
  <si>
    <t>WELSPUN CORP LTD</t>
  </si>
  <si>
    <t>WELCORP</t>
  </si>
  <si>
    <t>WELSPUN ENTERPRISES LTD</t>
  </si>
  <si>
    <t>WELENT</t>
  </si>
  <si>
    <t>WELSPUN INDIA LTD</t>
  </si>
  <si>
    <t>WELSPUN INVESTMENTS AND COMMERCIALS LTD</t>
  </si>
  <si>
    <t>WELINV</t>
  </si>
  <si>
    <t>WELTERMAN INTERNATIONAL LTD</t>
  </si>
  <si>
    <t>WENDT (INDIA) LTD</t>
  </si>
  <si>
    <t>WENDT</t>
  </si>
  <si>
    <t>WENDT INDIA LTD</t>
  </si>
  <si>
    <t>WEP SOLUTIONS LTD</t>
  </si>
  <si>
    <t>WEST COAST PAPER MILLS LTD</t>
  </si>
  <si>
    <t>WSTCSTPAPR</t>
  </si>
  <si>
    <t>WEST LEISURE RESORTS LTD</t>
  </si>
  <si>
    <t>WESTERN MINISTIL LTD</t>
  </si>
  <si>
    <t>WESTLIFE DEVELOPMENT LTD</t>
  </si>
  <si>
    <t>WHEELS (INDIA) LTD</t>
  </si>
  <si>
    <t>WHEELS</t>
  </si>
  <si>
    <t>WHEELS INDIA LTD</t>
  </si>
  <si>
    <t>WHIRLPOOL OF (INDIA) LTD</t>
  </si>
  <si>
    <t>WHIRLPOOL</t>
  </si>
  <si>
    <t>WHIRLPOOL OF INDIA LTD</t>
  </si>
  <si>
    <t>WHITE ORGANIC AGRO LTD</t>
  </si>
  <si>
    <t>White Organic Retail Ltd</t>
  </si>
  <si>
    <t>WORL</t>
  </si>
  <si>
    <t>WILLIAMSON FINANCIAL SERVICES LTD</t>
  </si>
  <si>
    <t>WILLIAMSON MAGOR &amp; COMPANY LTD</t>
  </si>
  <si>
    <t>WILLAMAGOR</t>
  </si>
  <si>
    <t>WIM PLAST LTD</t>
  </si>
  <si>
    <t>WINDSOR MACHINES LTD</t>
  </si>
  <si>
    <t>WINDMACHIN</t>
  </si>
  <si>
    <t>WINRO COMMERCIAL (INDIA) LTD</t>
  </si>
  <si>
    <t>WINRO COMMERCIAL INDIA LTD</t>
  </si>
  <si>
    <t>WINSOME BREWERIES LTD</t>
  </si>
  <si>
    <t>WINSOME TEXTILE INDUSTRIES LTD</t>
  </si>
  <si>
    <t>WINSOME YARNS LTD</t>
  </si>
  <si>
    <t>WINSOME</t>
  </si>
  <si>
    <t>WINTAC LTD</t>
  </si>
  <si>
    <t>WINY COMMERCIAL &amp; FISCAL SERVICES LTD</t>
  </si>
  <si>
    <t>WIPRO LTD</t>
  </si>
  <si>
    <t>WIPRO</t>
  </si>
  <si>
    <t>WIRES &amp; FABRIKS SA LTD</t>
  </si>
  <si>
    <t>WISEC GLOBAL LTD</t>
  </si>
  <si>
    <t>WOCKHARDT LTD</t>
  </si>
  <si>
    <t>WOCKPHARMA</t>
  </si>
  <si>
    <t>WOMEN NETWORKS LTD</t>
  </si>
  <si>
    <t>WOMENS NEXT LOUNGERIES LTD</t>
  </si>
  <si>
    <t>WONDERLA HOLIDAYS LTD</t>
  </si>
  <si>
    <t>WONDERLA</t>
  </si>
  <si>
    <t>WOODSVILLA LTD</t>
  </si>
  <si>
    <t>WORLDWIDE LEATHER EXPORTS LTD</t>
  </si>
  <si>
    <t>WORTH INVESTMENT &amp; TRADING CO LTD</t>
  </si>
  <si>
    <t>WORTH PERIPHERALS LTD</t>
  </si>
  <si>
    <t>WORTH</t>
  </si>
  <si>
    <t>WPIL LTD</t>
  </si>
  <si>
    <t>XCHANGING SOLUTIONS LTD</t>
  </si>
  <si>
    <t>XCHANGING</t>
  </si>
  <si>
    <t>Xelpmoc Design and Tech Ltd</t>
  </si>
  <si>
    <t>XELPMOC</t>
  </si>
  <si>
    <t>XL ENERGY LTD</t>
  </si>
  <si>
    <t>XLENERGY</t>
  </si>
  <si>
    <t>XPRO (INDIA) LTD</t>
  </si>
  <si>
    <t>XPRO(INDIA)</t>
  </si>
  <si>
    <t>XPRO INDIA LTD</t>
  </si>
  <si>
    <t>XPROINDIA</t>
  </si>
  <si>
    <t>YAMINI INVESTMENTS COMPANY LTD</t>
  </si>
  <si>
    <t>YARN SYNDICATE LTD</t>
  </si>
  <si>
    <t>YASH CHEMEX LTD</t>
  </si>
  <si>
    <t>YASH MANAGEMENT &amp; SATELLITE LTD</t>
  </si>
  <si>
    <t>YASH PAPERS LTD</t>
  </si>
  <si>
    <t>YASHO INDUSTRIES LTD</t>
  </si>
  <si>
    <t>YASHRAJ CONTAINEURS LTD</t>
  </si>
  <si>
    <t>YES BANK LTD</t>
  </si>
  <si>
    <t>YESBANK</t>
  </si>
  <si>
    <t>YKM INDUSTRIES LTD</t>
  </si>
  <si>
    <t>YOGI SUNG-WON (INDIA) LTD</t>
  </si>
  <si>
    <t>YOGI SUNG-WON INDIA LTD</t>
  </si>
  <si>
    <t>YOGYA ENTERPRISES LTD</t>
  </si>
  <si>
    <t>YORK EXPORTS LTD</t>
  </si>
  <si>
    <t>YUG DECOR LTD</t>
  </si>
  <si>
    <t>YUKEN (INDIA) LTD</t>
  </si>
  <si>
    <t>YUKEN INDIA LTD</t>
  </si>
  <si>
    <t>YURANUS INFRASTRUCTURE LTD</t>
  </si>
  <si>
    <t>YUVRAAJ HYGIENE PRODUCTS LTD.</t>
  </si>
  <si>
    <t>YUVRAAJHPL</t>
  </si>
  <si>
    <t>Z F STEERING GEAR (INDIA) LTD</t>
  </si>
  <si>
    <t>Z F STEERING GEAR INDIA LTD</t>
  </si>
  <si>
    <t>ZEAL AQUA LTD</t>
  </si>
  <si>
    <t>ZEE ENTERTAINMENT ENTERPRISES LTD</t>
  </si>
  <si>
    <t>ZEEL</t>
  </si>
  <si>
    <t>ZEE LEARN LTD</t>
  </si>
  <si>
    <t>ZEELEARN</t>
  </si>
  <si>
    <t>ZEE MEDIA CORPORATION LTD</t>
  </si>
  <si>
    <t>ZEEMEDIA</t>
  </si>
  <si>
    <t>ZEN TECHNOLOGIES LTD</t>
  </si>
  <si>
    <t>ZENTEC</t>
  </si>
  <si>
    <t>ZENITH BIRLA (INDIA) LTD</t>
  </si>
  <si>
    <t>ZENITHBIR</t>
  </si>
  <si>
    <t>ZENITH BIRLA INDIA LTD</t>
  </si>
  <si>
    <t>ZENITH EXPORTS LTD</t>
  </si>
  <si>
    <t>ZENITHEXPO</t>
  </si>
  <si>
    <t>ZENITH FIBRES LTD</t>
  </si>
  <si>
    <t>ZENITH HEALTH CARE LTD</t>
  </si>
  <si>
    <t>ZENLABS ETHICA LTD</t>
  </si>
  <si>
    <t>ZENOTECH LABORATORIES LTD</t>
  </si>
  <si>
    <t>ZENSAR TECHNOLOGIES LTD</t>
  </si>
  <si>
    <t>ZENSARTECH</t>
  </si>
  <si>
    <t>ZICOM ELECTRONIC SECURITY SYSTEMS LTD</t>
  </si>
  <si>
    <t>ZICOM</t>
  </si>
  <si>
    <t>ZIM LABORATORIES LTD</t>
  </si>
  <si>
    <t>ZODIAC CLOTHING COMPANY LTD</t>
  </si>
  <si>
    <t>ZODIACLOTH</t>
  </si>
  <si>
    <t>ZODIAC ENERGY LTD</t>
  </si>
  <si>
    <t>ZODIAC</t>
  </si>
  <si>
    <t>ZODIAC JRD- MKJ LTD</t>
  </si>
  <si>
    <t>ZODJRDMKJ</t>
  </si>
  <si>
    <t>Zodiac Ventures LTD</t>
  </si>
  <si>
    <t>ZODIACVEN</t>
  </si>
  <si>
    <t>ZOTA HEALTH CARE LTD</t>
  </si>
  <si>
    <t>ZOTA</t>
  </si>
  <si>
    <t>ZUARI AGRO CHEMICALS LTD</t>
  </si>
  <si>
    <t>ZUARI</t>
  </si>
  <si>
    <t>ZUARI GLOBAL LTD</t>
  </si>
  <si>
    <t>ZUARIGLOB</t>
  </si>
  <si>
    <t>ZYDUS WELLNESS LTD</t>
  </si>
  <si>
    <t>ZYDUSWELL</t>
  </si>
  <si>
    <t>ZYLOG SYSTEMS LTD</t>
  </si>
  <si>
    <t>ZYLOG</t>
  </si>
  <si>
    <t>INDIA LEASE DEVELOPMENT Ltd</t>
  </si>
  <si>
    <t>INDLEASE</t>
  </si>
  <si>
    <t>Kore Foods Ltd</t>
  </si>
  <si>
    <t>KORE</t>
  </si>
  <si>
    <t>GOLD ROCK INVESTMENTS Ltd</t>
  </si>
  <si>
    <t>ZGOLDINV</t>
  </si>
  <si>
    <t>KARTIK INVESTMENTS TRUST Ltd</t>
  </si>
  <si>
    <t>KARTKIN</t>
  </si>
  <si>
    <t>JAYABHARAT CREDIT Ltd</t>
  </si>
  <si>
    <t>JAYBHCR</t>
  </si>
  <si>
    <t>AMALGAMATED ELECTRICITY CO.Ltd</t>
  </si>
  <si>
    <t>AMALGAM</t>
  </si>
  <si>
    <t>Diversified Commercial Services</t>
  </si>
  <si>
    <t>GAEKWAR MILLS Ltd</t>
  </si>
  <si>
    <t>ZGAEKWAR</t>
  </si>
  <si>
    <t>K K Fincorp Limited</t>
  </si>
  <si>
    <t>KKFIN</t>
  </si>
  <si>
    <t>RAJASTHAN PETRO SYNTHETICS Ltd</t>
  </si>
  <si>
    <t>RAJSPTR</t>
  </si>
  <si>
    <t>NORTHERN PROJECTS Ltd</t>
  </si>
  <si>
    <t>NORTHPR</t>
  </si>
  <si>
    <t>ID Info Business Services Ltd</t>
  </si>
  <si>
    <t>IDINFO</t>
  </si>
  <si>
    <t>TRC FINANCIAL SERVICES Ltd</t>
  </si>
  <si>
    <t>TRCFIN</t>
  </si>
  <si>
    <t>SPV Global Trading Ltd</t>
  </si>
  <si>
    <t>SPVGLOBAL</t>
  </si>
  <si>
    <t>ARAVALI SECURITIES &amp; FINANCE Ltd</t>
  </si>
  <si>
    <t>ARAVALIS</t>
  </si>
  <si>
    <t>YASH TRADING &amp; FINANCE Ltd</t>
  </si>
  <si>
    <t>YASTF</t>
  </si>
  <si>
    <t>GAYATRI TISSUE &amp; PAPERS Ltd</t>
  </si>
  <si>
    <t>GYTRIPA</t>
  </si>
  <si>
    <t>GRAND FOUNDRY Ltd</t>
  </si>
  <si>
    <t>GRANDFONRY</t>
  </si>
  <si>
    <t>Smiths &amp; Founders (India) Limited</t>
  </si>
  <si>
    <t>SMFIL</t>
  </si>
  <si>
    <t>MODERN INSULATORS Ltd</t>
  </si>
  <si>
    <t>MODINSU</t>
  </si>
  <si>
    <t>S&amp;S POWER SWITCHGEAR Ltd</t>
  </si>
  <si>
    <t>S&amp;SPOWER</t>
  </si>
  <si>
    <t>SBEC SYSTEMS (INDIA) Ltd</t>
  </si>
  <si>
    <t>SBECSYS</t>
  </si>
  <si>
    <t>VINTRON INFORMATICS Ltd</t>
  </si>
  <si>
    <t>VINTRON</t>
  </si>
  <si>
    <t>SHARAT INDUSTRIES Ltd</t>
  </si>
  <si>
    <t>SHINDL</t>
  </si>
  <si>
    <t>BKV INDUSTRIES Ltd</t>
  </si>
  <si>
    <t>BKV</t>
  </si>
  <si>
    <t>TMT (INDIA) Ltd</t>
  </si>
  <si>
    <t>TMTIND-B1</t>
  </si>
  <si>
    <t>PHARMAIDS PHARMACEUTICALS Ltd</t>
  </si>
  <si>
    <t>PHARMAID</t>
  </si>
  <si>
    <t>SURAJ INDUSTRIES Ltd</t>
  </si>
  <si>
    <t>SURJIND</t>
  </si>
  <si>
    <t>TEXEL INDUSTRIES Ltd</t>
  </si>
  <si>
    <t>TEXELIN</t>
  </si>
  <si>
    <t>Paos Industries Ltd</t>
  </si>
  <si>
    <t>PAOS</t>
  </si>
  <si>
    <t>SIDDHA VENTURES Ltd</t>
  </si>
  <si>
    <t>SIDDHA</t>
  </si>
  <si>
    <t>KIRAN SYNTEX Ltd</t>
  </si>
  <si>
    <t>KIRANSY-B</t>
  </si>
  <si>
    <t>KANSAL FIBRES Ltd</t>
  </si>
  <si>
    <t>KANSAFB</t>
  </si>
  <si>
    <t>Xtglobal Infotech Ltd</t>
  </si>
  <si>
    <t>XTGLOBAL</t>
  </si>
  <si>
    <t>Saffron Industries Limited</t>
  </si>
  <si>
    <t>SAFFRON</t>
  </si>
  <si>
    <t>CENTERAC TECHNOLOGIES Ltd</t>
  </si>
  <si>
    <t>CENTERAC</t>
  </si>
  <si>
    <t>Servoteach Industries Ltd</t>
  </si>
  <si>
    <t>SERVOTEACH</t>
  </si>
  <si>
    <t>SMC CREDITS Ltd</t>
  </si>
  <si>
    <t>SMCREDT</t>
  </si>
  <si>
    <t>RAJ OIL MILLS Ltd</t>
  </si>
  <si>
    <t>RAJOIL</t>
  </si>
  <si>
    <t>Axis Mutual Fund - Axis Gold Exchange Traded Fund</t>
  </si>
  <si>
    <t>AXISGOLD</t>
  </si>
  <si>
    <t>IDBI Mutual Fund - IDBI Gold ETF</t>
  </si>
  <si>
    <t>IDBIGOLD</t>
  </si>
  <si>
    <t>SBI Mutual Fund - SBI Sensex ETF</t>
  </si>
  <si>
    <t>SBISENSEX</t>
  </si>
  <si>
    <t>Motilal Oswal Mutual Fund - Motilal Oswal MOSt Shares Midcap 100 ETF- Growth option</t>
  </si>
  <si>
    <t>M100</t>
  </si>
  <si>
    <t>ICICI Prudential Nifty ETF</t>
  </si>
  <si>
    <t>ICICINIFTY</t>
  </si>
  <si>
    <t>ICICI Prudential Nifty 100 ETF</t>
  </si>
  <si>
    <t>ICICINF100</t>
  </si>
  <si>
    <t>NIPPON INDIA ETF NIFTY 100</t>
  </si>
  <si>
    <t>NETFNIF100</t>
  </si>
  <si>
    <t>Kotak Mahindra Mutual Fund - Kotak Nifty ETF</t>
  </si>
  <si>
    <t>KOTAKNIFTY</t>
  </si>
  <si>
    <t>CPSE ETF</t>
  </si>
  <si>
    <t>CPSEETF</t>
  </si>
  <si>
    <t>Response Informatics Ltd</t>
  </si>
  <si>
    <t>RESPONSINF</t>
  </si>
  <si>
    <t>Quasar India Ltd</t>
  </si>
  <si>
    <t>QUASAR</t>
  </si>
  <si>
    <t>ICICI Prudential Growth Fund Series 1 (Regular Dividend Payout)</t>
  </si>
  <si>
    <t>IPRU2401</t>
  </si>
  <si>
    <t>ICICI Prudential Growth Fund Series 1 (Direct Dividend Option)</t>
  </si>
  <si>
    <t>IPRU8601</t>
  </si>
  <si>
    <t>ICICI Prudential Growth Fund Series 2 (Regular Plan - Dividend Payout Option)</t>
  </si>
  <si>
    <t>IPRU2428</t>
  </si>
  <si>
    <t>ICICI Prudential Growth Fund Series 2 (Direct Plan - Dividend Payout Option)</t>
  </si>
  <si>
    <t>IPRU8628</t>
  </si>
  <si>
    <t>QGO Finance Ltd</t>
  </si>
  <si>
    <t>QGO</t>
  </si>
  <si>
    <t>NIPPON INDIA ETF SENSEX</t>
  </si>
  <si>
    <t>NETFSENSEX</t>
  </si>
  <si>
    <t>ICICI Prudential Growth Fund Series 3 (Regular Plan - Dividend Payout Option)</t>
  </si>
  <si>
    <t>IPRU2511</t>
  </si>
  <si>
    <t>ICICI Prudential Growth Fund Series 3 (Direct Plan - Dividend Payout Option)</t>
  </si>
  <si>
    <t>IPRU8711</t>
  </si>
  <si>
    <t>DSP BlackRock 3 Years Close Ended Equity Fund-Regular- Growth</t>
  </si>
  <si>
    <t>D3YRCEERG</t>
  </si>
  <si>
    <t>DSP BlackRock 3 Years Close Ended Equity Fund-Regular- Dividend Payout</t>
  </si>
  <si>
    <t>D3YRCEERDP</t>
  </si>
  <si>
    <t>DSP BlackRock 3 Years Close Ended Equity Fund- Direct Plan - Growth</t>
  </si>
  <si>
    <t>D3YRCEEDG</t>
  </si>
  <si>
    <t>DSP BlackRock 3 Years Close Ended Equity Fund-Direct Plan - Dividend Payout</t>
  </si>
  <si>
    <t>D3YRCEEDDP</t>
  </si>
  <si>
    <t>SBI Mutual Fund - SBI - ETF BSE 100</t>
  </si>
  <si>
    <t>SETFBSE100</t>
  </si>
  <si>
    <t>Rajputana Investment and Finance Ltd</t>
  </si>
  <si>
    <t>RAJPUTANA</t>
  </si>
  <si>
    <t>Edelweiss Mutual Fund - Edelweiss Exchange Traded Scheme - Nifty ( Nifty EES )</t>
  </si>
  <si>
    <t>NIFTYEES</t>
  </si>
  <si>
    <t>Boston Leasing and Finance Ltd</t>
  </si>
  <si>
    <t>BLFL</t>
  </si>
  <si>
    <t>UTI- SENSEX ETF</t>
  </si>
  <si>
    <t>UTISENSETF</t>
  </si>
  <si>
    <t>UTI NIFTY ETF</t>
  </si>
  <si>
    <t>UTINIFTETF</t>
  </si>
  <si>
    <t>LIC MF EXCHANGE TRADED FUND- NIFTY 50</t>
  </si>
  <si>
    <t>LICNETFN50</t>
  </si>
  <si>
    <t>LIC MF EXCHANGE TRADED FUND- SENSEX</t>
  </si>
  <si>
    <t>LICNETFSEN</t>
  </si>
  <si>
    <t>HDFC Nifty ETF</t>
  </si>
  <si>
    <t>HDFCNIFETF</t>
  </si>
  <si>
    <t>HDFC Sensex ETF - Open Ended Traded Fund</t>
  </si>
  <si>
    <t>SXETF</t>
  </si>
  <si>
    <t>Roxy Exports Ltd</t>
  </si>
  <si>
    <t>ROXY</t>
  </si>
  <si>
    <t>LIC MF Exchange Traded Fund- NIFTY 100</t>
  </si>
  <si>
    <t>LICNFNHGP</t>
  </si>
  <si>
    <t>ICICI Prudential NV20 ETF</t>
  </si>
  <si>
    <t>ICICINV20</t>
  </si>
  <si>
    <t>ICICI Prudential Midcap Select ETF</t>
  </si>
  <si>
    <t>ICICIMCAP</t>
  </si>
  <si>
    <t>BIRLA SUN LIFE SENSEX ETF</t>
  </si>
  <si>
    <t>BSLSENETFG</t>
  </si>
  <si>
    <t>IDFC SENSEX ETF</t>
  </si>
  <si>
    <t>IDFSENSEXE</t>
  </si>
  <si>
    <t>Axis Emerging Opportunities Fund-SR 2 (1400 D)-Direct Plan-Dividend Payout</t>
  </si>
  <si>
    <t>AXISE2D1D</t>
  </si>
  <si>
    <t>Axis Emerging Opportunities Fund-SR 2 (1400 D)-Direct Plan-Growth</t>
  </si>
  <si>
    <t>AXISE2DGG</t>
  </si>
  <si>
    <t>Axis Emerging Opportunities Fund-SR 2 (1400 D)-Regular Plan-Dividend Payout</t>
  </si>
  <si>
    <t>AXISE2DPD</t>
  </si>
  <si>
    <t>Axis Emerging Opportunities Fund-SR 2 (1400 D)-Regular Plan-Growth</t>
  </si>
  <si>
    <t>AXISE2GPG</t>
  </si>
  <si>
    <t>ICICI Prudential Value Fund Series 12 - Dividend Payout Option</t>
  </si>
  <si>
    <t>IPRU2933</t>
  </si>
  <si>
    <t>ICICI Prudential Value Fund Series 12 - Direct Plan Dividend Payout Option</t>
  </si>
  <si>
    <t>IPRU9135</t>
  </si>
  <si>
    <t>ICICI Prudential Value Fund- Series 13- Dividend Payout Option</t>
  </si>
  <si>
    <t>IPRU2955</t>
  </si>
  <si>
    <t>ICICI Prudential Value Fund Series- 13- Direct Plan Dividend Payout Option</t>
  </si>
  <si>
    <t>IPRU9157</t>
  </si>
  <si>
    <t>Axis Equity Advantage Fund- Series 1 Direct Plan- Growth</t>
  </si>
  <si>
    <t>AXISAEDGG</t>
  </si>
  <si>
    <t>Axis Equity Advantage Fund- Series 1 Regular Plan- Growth</t>
  </si>
  <si>
    <t>AXISAEGPG</t>
  </si>
  <si>
    <t>ICICI Prudential Value Fund Series 14 - Cumulative</t>
  </si>
  <si>
    <t>IPRU2969</t>
  </si>
  <si>
    <t>ICICI Prudential Value Fund Series 14 - Dividend Payout</t>
  </si>
  <si>
    <t>IPRU2970</t>
  </si>
  <si>
    <t>ICICI Prudential Value Fund Series 14 - Direct Plan Cumulative</t>
  </si>
  <si>
    <t>IPRU9171</t>
  </si>
  <si>
    <t>ICICI Prudential Value Fund Series 14 - Direct Plan Dividend Payout</t>
  </si>
  <si>
    <t>IPRU9172</t>
  </si>
  <si>
    <t>HDFC EOF- II- 1126D May 2017(1)  plan under HDFC Equity Opportunities Fund- Series 2- Direct</t>
  </si>
  <si>
    <t>HEOFDG1126</t>
  </si>
  <si>
    <t>HDFC EOF - II - 1126D May 2017(1)  plan under HDFC Equity Opportunities Fund - Series 2 - Direct</t>
  </si>
  <si>
    <t>HEOFDD1126</t>
  </si>
  <si>
    <t>HDFC EOF- II - 1126D May 2017(1) plan under HDFC Equity Opportunities Fund - Series2 - Regular</t>
  </si>
  <si>
    <t>HEOFRG1126</t>
  </si>
  <si>
    <t>HDFC EOF - II - 1126D May 2017(1)  plan under HDFC Equity Opportunities Fund - Series 2 - Regular</t>
  </si>
  <si>
    <t>HEOFRD1126</t>
  </si>
  <si>
    <t>ICICI Prudential Nifty Low Vol 30 ETF</t>
  </si>
  <si>
    <t>ICICILOVOL</t>
  </si>
  <si>
    <t>Aditya Birla Sun Life RESURGENT INDIA FUND â€“ SERIES 4 REGULAR GROWTH</t>
  </si>
  <si>
    <t>BSLRIFS4RG</t>
  </si>
  <si>
    <t>Aditya Birla Sun Life RESURGENT INDIA FUND â€“ SERIES 4 REGULAR DIVIDEND</t>
  </si>
  <si>
    <t>BSLRIFS4RD</t>
  </si>
  <si>
    <t>Aditya Birla Sun Life RESURGENT INDIA FUND â€“ SERIES 4 DIRECT GROWTH</t>
  </si>
  <si>
    <t>BSLRIFS4DG</t>
  </si>
  <si>
    <t>Aditya Birla Sun Life RESURGENT INDIA FUND â€“ SERIES 4 DIRECT DIVIDEND</t>
  </si>
  <si>
    <t>BSLRIFS4DD</t>
  </si>
  <si>
    <t>ICICI PRUDENTIAL VALUE FUND-SERIES 15-CUMULATIVE</t>
  </si>
  <si>
    <t>IPRU2987</t>
  </si>
  <si>
    <t>ICICI PRUDENTIAL VALUE FUND-SERIES 15-DIVIDEND PAYOUT</t>
  </si>
  <si>
    <t>IPRU2988</t>
  </si>
  <si>
    <t>ICICI PRUDENTIAL VALUE FUND-SERIES 15-DIRECT PLAN CUMULATIVE</t>
  </si>
  <si>
    <t>IPRU9189</t>
  </si>
  <si>
    <t>ICICI PRUDENTIAL VALUE FUND-SERIES 15-DIRECT PLAN DIVIDEND PAYOUT</t>
  </si>
  <si>
    <t>IPRU9190</t>
  </si>
  <si>
    <t>HDFC EQUITY OPPORTUNITIES FUND-II-1100D JUNE 2017(1) SERIES 2-DIRECT OPTION-GROWTH OPTION</t>
  </si>
  <si>
    <t>HEOFDG1100</t>
  </si>
  <si>
    <t>HDFC EQUITY OPPORTUNITIES FUND-II-1100D JUNE 2017(1) SERIES 2-DIRECT OPTION-DIVIDEND PAYOUT OPTION</t>
  </si>
  <si>
    <t>HEOFDD1100</t>
  </si>
  <si>
    <t>HDFC EQUITY OPPORTUNITIES FUND-II-1100D JUNE 2017(1) SERIES 2-REGULAR OPTION-GROWTH OPTION</t>
  </si>
  <si>
    <t>HEOFRG1100</t>
  </si>
  <si>
    <t>HDFC EQUITY OPPORTUNITIES FUND-II-1100D JUNE 2017(1) SERIES 2-REGULAR OPTION-DIVIDEND PAYOUT OPTION</t>
  </si>
  <si>
    <t>HEOFRD1100</t>
  </si>
  <si>
    <t>UTI Nifty Next 50 ETF</t>
  </si>
  <si>
    <t>UTINEXT50</t>
  </si>
  <si>
    <t>Axis Equity Advantage Fund - Series 2 Direct Plan - Growth</t>
  </si>
  <si>
    <t>AXISAHDGG</t>
  </si>
  <si>
    <t>Axis Equity Advantage Fund - Series 2 Regular Plan - Growth</t>
  </si>
  <si>
    <t>AXISAHGPG</t>
  </si>
  <si>
    <t>ICICI Prudential Value Fund - Series 16 - Cumulative Option</t>
  </si>
  <si>
    <t>IPRU2991</t>
  </si>
  <si>
    <t>ICICI Prudential Value Fund - Series 16 - Dividend Payout Option</t>
  </si>
  <si>
    <t>IPRU2992</t>
  </si>
  <si>
    <t>ICICI Prudential Value Fund - Series 16 - Direct Plan Cumulative Option</t>
  </si>
  <si>
    <t>IPRU9193</t>
  </si>
  <si>
    <t>ICICI Prudential Value Fund - Series 16 - Direct Plan Dividend Payout Option</t>
  </si>
  <si>
    <t>IPRU9194</t>
  </si>
  <si>
    <t>ICICI PRUDENTIAL VALUE FUND SERIES 17 - CUMULATIVE OPTION</t>
  </si>
  <si>
    <t>IPRU3003</t>
  </si>
  <si>
    <t>ICICI PRUDENTIAL VALUE FUND SERIES 17 - DIVIDEND OPTION</t>
  </si>
  <si>
    <t>IPRU3004</t>
  </si>
  <si>
    <t>ICICI PRUDENTIAL VALUE FUND SERIES 17 - DIRECT PLAN CUMULATIVE OPTION</t>
  </si>
  <si>
    <t>IPRU9205</t>
  </si>
  <si>
    <t>ICICI PRUDENTIAL VALUE FUND SERIES 17 - DIRECT PLAN DIVIDEND OPTION</t>
  </si>
  <si>
    <t>IPRU9206</t>
  </si>
  <si>
    <t>Aditya Birla Sun Life Resurgent India Fund - Series 5 - Regular Plan Growth</t>
  </si>
  <si>
    <t>ABSLRIF5RG</t>
  </si>
  <si>
    <t>Aditya Birla Sun Life Resurgent India Fund - Series 5 - Regular Plan Dividend Payout</t>
  </si>
  <si>
    <t>ABSLRIF5RD</t>
  </si>
  <si>
    <t>Aditya Birla Sun Life Resurgent India Fund - Series 5 - Direct Plan Growth</t>
  </si>
  <si>
    <t>ABSLRIF5DG</t>
  </si>
  <si>
    <t>Aditya Birla Sun Life Resurgent India Fund - Series 5 - Direct Plan Dividend Payout</t>
  </si>
  <si>
    <t>ABSLRIF5DD</t>
  </si>
  <si>
    <t>ICICI Prudential Value Fund Series 18 - Cumulative Option</t>
  </si>
  <si>
    <t>IPRU3013</t>
  </si>
  <si>
    <t>ICICI Prudential Value Fund Series 18 - Dividend Payout Option</t>
  </si>
  <si>
    <t>IPRU3014</t>
  </si>
  <si>
    <t>ICICI Prudential Value Fund Series 18 - Direct Plan Cumulative Option</t>
  </si>
  <si>
    <t>IPRU9215</t>
  </si>
  <si>
    <t>ICICI Prudential Value Fund Series 18 - Direct Plan Dividend Payout Option</t>
  </si>
  <si>
    <t>IPRU9216</t>
  </si>
  <si>
    <t>NIPPON INDIA MUTUAL FUND  CAPITAL BUILDER FD SR B DR DVP 06JN21</t>
  </si>
  <si>
    <t>NCBFIVBDD</t>
  </si>
  <si>
    <t>NIPPON INDIA MUTUAL FUND  CAPITAL BUILDER FD SR B DR GWTH 06JN21</t>
  </si>
  <si>
    <t>NCBFIVBDG</t>
  </si>
  <si>
    <t>NIPPON INDIA MUTUAL FUND  CAPITAL BUILDER FD SR B RG DVP 06JN21</t>
  </si>
  <si>
    <t>NCBFIVBD</t>
  </si>
  <si>
    <t>NIPPON INDIA MUTUAL FUND  CAPITAL BUILDER FD SR B RG GWTH 06JN21</t>
  </si>
  <si>
    <t>NCBFIVBG</t>
  </si>
  <si>
    <t>BHARAT 22 ETF - ICICI Prudential AMC</t>
  </si>
  <si>
    <t>ICICIB22</t>
  </si>
  <si>
    <t>HDFC HOF-I-1140D November 2017(1) - Direct Option - Growth Option</t>
  </si>
  <si>
    <t>HHOF1140DG</t>
  </si>
  <si>
    <t>HDFC HOF-I-1140D November 2017(1) - Direct Option - Dividend Payout Option</t>
  </si>
  <si>
    <t>HHOF1140DD</t>
  </si>
  <si>
    <t>HDFC HOF-I-1140D November 2017(1) - Regular Option - Growth Option</t>
  </si>
  <si>
    <t>HHOF1140RG</t>
  </si>
  <si>
    <t>HDFC HOF-I-1140D November 2017(1) - Regular  Option - Dividend Payout Option</t>
  </si>
  <si>
    <t>HHOF1140RD</t>
  </si>
  <si>
    <t>DSP BLACKROCK A.C.E. Fund Series 1 - Regular Growth</t>
  </si>
  <si>
    <t>DACEFRG</t>
  </si>
  <si>
    <t>DSP BLACKROCK A.C.E. Fund Series 1 - Regular-Dividend Payout</t>
  </si>
  <si>
    <t>DACEFRDP</t>
  </si>
  <si>
    <t>DSP BLACKROCK A.C.E. Fund Series 1 - Direct Growth</t>
  </si>
  <si>
    <t>DACEFDG</t>
  </si>
  <si>
    <t>DSP BLACKROCK A.C.E. Fund Series 1 - Direct - Dividend Payout</t>
  </si>
  <si>
    <t>DACEFDDP</t>
  </si>
  <si>
    <t>NIPPON INDIA MUTUAL FUND  CAPITAL BUILDER FD IV SR C DR DVP 20MR21</t>
  </si>
  <si>
    <t>NCBFIVBCD</t>
  </si>
  <si>
    <t>NIPPON INDIA MUTUAL FUND  CAPITAL BUILDER FD IV SR C RG GWTH 20MR21</t>
  </si>
  <si>
    <t>NCBFIVCG</t>
  </si>
  <si>
    <t>NIPPON INDIA MUTUAL FUND  CAPITAL BUILDER FD IV SR C DR GWTH 20MR21</t>
  </si>
  <si>
    <t>NCBFIVBCG</t>
  </si>
  <si>
    <t>NIPPON INDIA MUTUAL FUND  CAPITAL BUILDER FD IV SR C RG DVP 20MR21</t>
  </si>
  <si>
    <t>NCBFIVCD</t>
  </si>
  <si>
    <t>ICICI PRUDENTIAL VALUE FUND - SERIES 19 - CUMULATIVE OPTION</t>
  </si>
  <si>
    <t>IPRU3018</t>
  </si>
  <si>
    <t>ICICI PRUDENTIAL VALUE FUND - SERIES 19  - DIVIDEND PAYOUT OPTION</t>
  </si>
  <si>
    <t>IPRU3019</t>
  </si>
  <si>
    <t>ICICI PRUDENTIAL VALUE FUND - SERIES 19  - DIRECT PLAN CUMULATIVE OPTION</t>
  </si>
  <si>
    <t>IPRU9220</t>
  </si>
  <si>
    <t>ICICI PRUDENTIAL VALUE FUND - SERIES 19  -DIRECT PLAN DIVIDEND PAYOUT OPTION</t>
  </si>
  <si>
    <t>IPRU9221</t>
  </si>
  <si>
    <t>NIPPON INDIA MUTUAL FUND  CAPITAL BUILDER FD IV SRD DR DVP 18JN21</t>
  </si>
  <si>
    <t>NCBFIVDDD</t>
  </si>
  <si>
    <t>NIPPON INDIA MUTUAL FUND  CAPITAL BUILDER FD IV SRD RG GWTH 18JN21</t>
  </si>
  <si>
    <t>NCBFIVDG</t>
  </si>
  <si>
    <t>NIPPON INDIA MUTUAL FUND  CAPITAL BUILDER FD IV SRD DR GWTH 18JN21</t>
  </si>
  <si>
    <t>NCBFIVDDG</t>
  </si>
  <si>
    <t>NIPPON INDIA MUTUAL FUND  CAPITAL BUILDER FD IV SRD RG DVP 18JN21</t>
  </si>
  <si>
    <t>NCBFIVDD</t>
  </si>
  <si>
    <t>ICICI Prudential Value Fund - Series 20 - Cumulative Option</t>
  </si>
  <si>
    <t>IPRU3034</t>
  </si>
  <si>
    <t>ICICI Prudential Value Fund - Series 20 - Dividend Option</t>
  </si>
  <si>
    <t>IPRU3035</t>
  </si>
  <si>
    <t>ICICI Prudential Value Fund - Series 20 - Direct Plan Cumulative Option</t>
  </si>
  <si>
    <t>IPRU9236</t>
  </si>
  <si>
    <t>ICICI Prudential Value Fund - Series 20 - Direct Plan Dividend Option</t>
  </si>
  <si>
    <t>IPRU9237</t>
  </si>
  <si>
    <t>Kotak India Growth Fund   Series 4 - Regular Plan Growth Option</t>
  </si>
  <si>
    <t>KTKIND4RG</t>
  </si>
  <si>
    <t>Kotak India Growth Fund   Series 4 - Regular Plan Dividend Option</t>
  </si>
  <si>
    <t>KTKIND4RD</t>
  </si>
  <si>
    <t>KOTAK INDIA GROWTH FUND SERIES 4 DIRECT PLAN DIVIDEND OPTION</t>
  </si>
  <si>
    <t>KTKIND4DD</t>
  </si>
  <si>
    <t>Kotak India Growth Fund   Series 4 - Direct Plan Growth Option</t>
  </si>
  <si>
    <t>KTKIND4DG</t>
  </si>
  <si>
    <t>Axis Capital Builder Fund - Series 1 (1540 Days) - Direct Plan  - Dividend Payout</t>
  </si>
  <si>
    <t>AXISCBD1D</t>
  </si>
  <si>
    <t>Axis Capital Builder Fund - Series 1 (1540 Days) - Direct Plan  - Growth</t>
  </si>
  <si>
    <t>AXISCBDGG</t>
  </si>
  <si>
    <t>Axis Capital Builder Fund - Series 1 (1540 Days) - Regular Plan  - Dividend Payout</t>
  </si>
  <si>
    <t>AXISCBDPD</t>
  </si>
  <si>
    <t>Axis Capital Builder Fund - Series 1 (1540 Days) - Regular Plan  - Growth</t>
  </si>
  <si>
    <t>AXISCBGPG</t>
  </si>
  <si>
    <t>DSP BlackRock A C E Fund - Series 2 - Regular Plan - Growth Option</t>
  </si>
  <si>
    <t>DACE2RG</t>
  </si>
  <si>
    <t>DSP BlackRock A C E Fund - Series 2 - Regular Plan - Dividend Payout Option</t>
  </si>
  <si>
    <t>DACE2RDP</t>
  </si>
  <si>
    <t>DSP BlackRock A C E Fund - Series 2 - Direct Plan - Growth Option</t>
  </si>
  <si>
    <t>DACE2DG</t>
  </si>
  <si>
    <t>DSP BlackRock A C E Fund - Series 2 - Direct Plan - Dividend Payout  Option</t>
  </si>
  <si>
    <t>DACE2DDP</t>
  </si>
  <si>
    <t>ADITYA BIRLA SUN LIFE RESURGENT INDIA FUND - SERIES 6- REGULAR PLAN- GROWTH</t>
  </si>
  <si>
    <t>ABSLRIF6RG</t>
  </si>
  <si>
    <t>ADITYA BIRLA SUN LIFE RESURGENT INDIA FUND - SERIES 6- REGULAR PLAN- DIVIDEND PAYOUT</t>
  </si>
  <si>
    <t>ABSLRIF6RD</t>
  </si>
  <si>
    <t>ADITYA BIRLA SUN LIFE RESURGENT INDIA FUND - SERIES 6- DIRECT PLAN- GROWTH</t>
  </si>
  <si>
    <t>ABSLRIF6DG</t>
  </si>
  <si>
    <t>ADITYA BIRLA SUN LIFE RESURGENT INDIA FUND - SERIES 6- DIRECT PLAN- DIVIDEND PAYOUT</t>
  </si>
  <si>
    <t>ABSLRIF6DD</t>
  </si>
  <si>
    <t>Aditya Birla Sun Life Resurgent India Fund - Series 7 - Regular Plan - Growth Option</t>
  </si>
  <si>
    <t>ABSLRIF7RG</t>
  </si>
  <si>
    <t>Aditya Birla Sun Life Resurgent India Fund - Series 7 - Regular Plan - Dividend Payout</t>
  </si>
  <si>
    <t>ABSLRIF7RD</t>
  </si>
  <si>
    <t>Aditya Birla Sun Life Resurgent India Fund - Series 7 - Direct Plan - Growth Option</t>
  </si>
  <si>
    <t>ABSLRIF7DG</t>
  </si>
  <si>
    <t>Aditya Birla Sun Life Resurgent India Fund - Series 7 - Direct Plan - Dividend Payout</t>
  </si>
  <si>
    <t>ABSLRIF7DD</t>
  </si>
  <si>
    <t>IndInfravit Trust</t>
  </si>
  <si>
    <t>INDINFR</t>
  </si>
  <si>
    <t>ICICI Prudential Bharat Consumption Fund - Series 2 - Cumulative Option</t>
  </si>
  <si>
    <t>IPRU3095</t>
  </si>
  <si>
    <t>ICICI Prudential Bharat Consumption Fund - Series 2 - Dividend Option</t>
  </si>
  <si>
    <t>IPRU3096</t>
  </si>
  <si>
    <t>ICICI Prudential Bharat Consumption Fund - Series 2 - Direct Plan Cumulative Option</t>
  </si>
  <si>
    <t>IPRU9297</t>
  </si>
  <si>
    <t>ICICI Prudential Bharat Consumption Fund - Series 2 - Direct Plan Dividend Option</t>
  </si>
  <si>
    <t>IPRU9298</t>
  </si>
  <si>
    <t>ICICI Prudential S&amp;P BSE 500 ETF</t>
  </si>
  <si>
    <t>ICICI500</t>
  </si>
  <si>
    <t>Kotak India Growth Fund Series 5 - Regular Plan - Growth Option</t>
  </si>
  <si>
    <t>KTKIND5RG</t>
  </si>
  <si>
    <t>Kotak India Growth Fund Series 5 - Regular Plan - Dividend Option</t>
  </si>
  <si>
    <t>KTKIND5RD</t>
  </si>
  <si>
    <t>Kotak India Growth Fund Series 5 - Direct Plan - Growth Option</t>
  </si>
  <si>
    <t>KTKIND5DG</t>
  </si>
  <si>
    <t>Kotak India Growth Fund Series 5 - Direct Plan - Dividend Option</t>
  </si>
  <si>
    <t>KTKIND5DD</t>
  </si>
  <si>
    <t>ICICI Prudential Bharat Consumption Fund  - Series 3 - Cumulative Option</t>
  </si>
  <si>
    <t>IPRU3143</t>
  </si>
  <si>
    <t>ICICI Prudential Bharat Consumption Fund  - Series 3 - Dividend Payout Option</t>
  </si>
  <si>
    <t>IPRU3144</t>
  </si>
  <si>
    <t>ICICI Prudential Bharat Consumption Fund  - Series 3 -  Direct Plan - Cumulative Option</t>
  </si>
  <si>
    <t>IPRU9345</t>
  </si>
  <si>
    <t>ICICI Prudential Bharat Consumption Fund  - Series 3 - Direct Plan - Dividend Payout Option</t>
  </si>
  <si>
    <t>IPRU9346</t>
  </si>
  <si>
    <t>Tata Vaue Fund Series 1 - Regular Plan - Dividend Payout Option</t>
  </si>
  <si>
    <t>TVF1D</t>
  </si>
  <si>
    <t>Tata Vaue Fund Series 1 - Direct Plan - Dividend Payout Option</t>
  </si>
  <si>
    <t>TVF1DZ</t>
  </si>
  <si>
    <t>Tata Vaue Fund Series 1 - Regular Plan - Growth Option</t>
  </si>
  <si>
    <t>TVF1G</t>
  </si>
  <si>
    <t>Tata Vaue Fund Series 1 - Direct Plan - Growth Option</t>
  </si>
  <si>
    <t>TVF1GZ</t>
  </si>
  <si>
    <t>IDFC Equity Opportunity - Series 6 - Regular Plan - Growth Option</t>
  </si>
  <si>
    <t>IDFCEOS6RG</t>
  </si>
  <si>
    <t>IDFC Equity Opportunity - Series 6 - Regular Plan - Dividend Payout  Option</t>
  </si>
  <si>
    <t>IDFCEOS6RD</t>
  </si>
  <si>
    <t>IDFC Equity Opportunity - Series 6 - Direct Plan - Growth Option</t>
  </si>
  <si>
    <t>IDFCEOS6DG</t>
  </si>
  <si>
    <t>IDFC Equity Opportunity - Series 6 - Direct Plan - Dividend Payout Option</t>
  </si>
  <si>
    <t>IDFCEOS6DD</t>
  </si>
  <si>
    <t>TATA Value Fund Series  2 - Regular Plan  - Dividend Payout Option</t>
  </si>
  <si>
    <t>TVF2D</t>
  </si>
  <si>
    <t>TATA Value Fund Series  2 - Direct Plan  - Dividend Payout Option</t>
  </si>
  <si>
    <t>TVF2DZ</t>
  </si>
  <si>
    <t>TATA Value Fund Series  2 - Regular  Plan  - Growth Option</t>
  </si>
  <si>
    <t>TVF2G</t>
  </si>
  <si>
    <t>TATA Value Fund Series  2 - Direct Plan  - Growth Option</t>
  </si>
  <si>
    <t>TVF2GZ</t>
  </si>
  <si>
    <t>ICICI PRU Bharat Consumption Fund - Sr 4 - Cumulative</t>
  </si>
  <si>
    <t>IPRU3168</t>
  </si>
  <si>
    <t>ICICI PRU Bharat Consumption Fund - Sr 4 - Dividend Payout Option</t>
  </si>
  <si>
    <t>IPRU3169</t>
  </si>
  <si>
    <t>ICICI PRU Bharat Consumption Fund - Sr 4 - Direct Plan Cumulative</t>
  </si>
  <si>
    <t>IPRU9370</t>
  </si>
  <si>
    <t>ICICI PRU Bharat Consumption Fund - Sr 4 - Direct Plan Dividend Payout</t>
  </si>
  <si>
    <t>IPRU9371</t>
  </si>
  <si>
    <t>ICICI Prudential Nifty Next 50 ETF</t>
  </si>
  <si>
    <t>ICICINXT50</t>
  </si>
  <si>
    <t>Kotak India Growth Fund Series 7 - Regular Plan - Growth Option</t>
  </si>
  <si>
    <t>KTKIND7RG</t>
  </si>
  <si>
    <t>Kotak India Growth Fund Series 7 - Regular Plan - Dividend Option</t>
  </si>
  <si>
    <t>KTKIND7RD</t>
  </si>
  <si>
    <t>Kotak India Growth Fund Series 7 - Direct Plan - Growth Option</t>
  </si>
  <si>
    <t>KTKIND7DG</t>
  </si>
  <si>
    <t>Kotak India Growth Fund Series 7 - Direct Plan - Dividend Option</t>
  </si>
  <si>
    <t>KTKIND7DD</t>
  </si>
  <si>
    <t>SBI - ETF - SENSEX NEXT 50</t>
  </si>
  <si>
    <t>SETFSN50</t>
  </si>
  <si>
    <t>NIPPON INDIA MUTUAL FUND  INDIA OPPT FD  SR A RG GWTH31JN22</t>
  </si>
  <si>
    <t>NIOSAG</t>
  </si>
  <si>
    <t>NIPPON INDIA MUTUAL FUND  INDIA OPPT FD  SR A RG DVP31JN22</t>
  </si>
  <si>
    <t>NIOSAD</t>
  </si>
  <si>
    <t>NIPPON INDIA MUTUAL FUND  INDIA OPPT FD  SR A DR GWTH31JN22</t>
  </si>
  <si>
    <t>NIOSADG</t>
  </si>
  <si>
    <t>NIPPON INDIA MUTUAL FUND  INDIA OPPT FD  SR A DR DVP31JN22</t>
  </si>
  <si>
    <t>NIOSADD</t>
  </si>
  <si>
    <t>MIRAE ASSET NIFTY 50 ETF (MAN50ETF)</t>
  </si>
  <si>
    <t>MAN50ETF</t>
  </si>
  <si>
    <t>ICICI Prudential Bharat Consumption Fund - Series 5 - Cumulative Option</t>
  </si>
  <si>
    <t>IPRU3218</t>
  </si>
  <si>
    <t>ICICI Prudential Bharat Consumption Fund - Series 5 - Dividend Payout Option</t>
  </si>
  <si>
    <t>IPRU3219</t>
  </si>
  <si>
    <t>ICICI Prudential Bharat Consumption Fund - Series 5 -  Direct Plan - Cumulative Option</t>
  </si>
  <si>
    <t>IPRU9420</t>
  </si>
  <si>
    <t>ICICI Prudential Bharat Consumption Fund - Series 5 -  Direct Plan - Dividend Payout  Option</t>
  </si>
  <si>
    <t>IPRU9421</t>
  </si>
  <si>
    <t>Aditya Birla Sun Life Nifty Next 50 ETF</t>
  </si>
  <si>
    <t>ABSLNN50ET</t>
  </si>
  <si>
    <t>Axis&amp;#160;Capital&amp;#160;Builder&amp;#160;Fund&amp;#160;-&amp;#160;Series&amp;#160;4&amp;#160;(1582&amp;#160;days)&amp;#160;-</t>
  </si>
  <si>
    <t>AXISCCDID</t>
  </si>
  <si>
    <t>Axis&amp;#160;Capital&amp;#160;Builder&amp;#160;Fund&amp;#160;-&amp;#160;Series&amp;#160;4&amp;#160;(1582&amp;#160;days)&amp;#160;-Direct&amp;#160;Plan&amp;#160;-&amp;#160;Growth&amp;#160;Option</t>
  </si>
  <si>
    <t>AXISCCDGG</t>
  </si>
  <si>
    <t>Axis&amp;#160;Capital&amp;#160;Builder&amp;#160;Fund&amp;#160;-&amp;#160;Series&amp;#160;4&amp;#160;(1582&amp;#160;days)&amp;#160;-Regular&amp;#160;Plan&amp;#160;-&amp;#160;Dividend&amp;#160;Payout&amp;#160;Option</t>
  </si>
  <si>
    <t>AXISCCDPD</t>
  </si>
  <si>
    <t>Axis&amp;#160;Capital&amp;#160;Builder&amp;#160;Fund&amp;#160;-&amp;#160;Series&amp;#160;4&amp;#160;(1582&amp;#160;days)&amp;#160;- Regular&amp;#160;Plan&amp;#160;-&amp;#160;Growth&amp;#160;Option</t>
  </si>
  <si>
    <t>AXISCCGPG</t>
  </si>
  <si>
    <t>UTI S&amp;P BSE Sensex Next 50 ETF</t>
  </si>
  <si>
    <t>UTISXN50</t>
  </si>
  <si>
    <t>India Infrastructure Trust</t>
  </si>
  <si>
    <t>INFRATRUST</t>
  </si>
  <si>
    <t>Parshva Enterprises Ltd</t>
  </si>
  <si>
    <t>PARSHVA</t>
  </si>
  <si>
    <t>Anand Rayons Ltd</t>
  </si>
  <si>
    <t>ARL</t>
  </si>
  <si>
    <t>Earum Pharmaceuticals Ltd</t>
  </si>
  <si>
    <t>EARUM</t>
  </si>
  <si>
    <t>SBC Exports Ltd</t>
  </si>
  <si>
    <t>SBC</t>
  </si>
  <si>
    <t>IndiaMART InterMESH Ltd</t>
  </si>
  <si>
    <t>INDIAMART</t>
  </si>
  <si>
    <t>City Pulse Multiplex Ltd</t>
  </si>
  <si>
    <t>CPML</t>
  </si>
  <si>
    <t>SK International Export Ltd</t>
  </si>
  <si>
    <t>SKIEL</t>
  </si>
  <si>
    <t>DCM Nouvelle Ltd</t>
  </si>
  <si>
    <t>DCMNVL</t>
  </si>
  <si>
    <t>ICICI Prudential Bank ETF</t>
  </si>
  <si>
    <t>ICICIBANKN</t>
  </si>
  <si>
    <t>NIPPON INDIA ETF SENSEX NEXT 50</t>
  </si>
  <si>
    <t>NETFSNX150</t>
  </si>
  <si>
    <t>Affle (India) Ltd</t>
  </si>
  <si>
    <t>AFFLE</t>
  </si>
  <si>
    <t>Seacoast Shipping Services Ltd</t>
  </si>
  <si>
    <t>SEACOAST</t>
  </si>
  <si>
    <t>ICICI Prudential Private Banks ETF</t>
  </si>
  <si>
    <t>ICICIBANKP</t>
  </si>
  <si>
    <t>Spandana Sphoorty Financial Ltd</t>
  </si>
  <si>
    <t>SPANDANA</t>
  </si>
  <si>
    <t>Sterling and Wilson Solar Ltd</t>
  </si>
  <si>
    <t>SWSOLAR</t>
  </si>
  <si>
    <t>Transpact Enterprises Ltd</t>
  </si>
  <si>
    <t>TRANSPACT</t>
  </si>
  <si>
    <t>Alphalogic Techsys Ltd</t>
  </si>
  <si>
    <t>ALPHALOGIC</t>
  </si>
  <si>
    <t>Novateor Research Laboratories Ltd</t>
  </si>
  <si>
    <t>NOVATEOR</t>
  </si>
  <si>
    <t>IIFL Wealth Management Ltd</t>
  </si>
  <si>
    <t>IIFLWAM</t>
  </si>
  <si>
    <t>IIFL Securities Ltd</t>
  </si>
  <si>
    <t>IIFLSEC</t>
  </si>
  <si>
    <t>APM Finvest Ltd</t>
  </si>
  <si>
    <t>APMFINVEST</t>
  </si>
  <si>
    <t>Misquita Engineering Ltd</t>
  </si>
  <si>
    <t>MISQUITA</t>
  </si>
  <si>
    <t>Galactico Corporate Services Ltd</t>
  </si>
  <si>
    <t>GALACTICO</t>
  </si>
  <si>
    <t>Ellora Trading Ltd</t>
  </si>
  <si>
    <t>ELLORATRAD</t>
  </si>
  <si>
    <t>NIPPON INDIA EQUITY SAVINGS FUND - SEGREGATED PORTFOLIO 1 - DIVIDEND PLANDIVIDEND PAYOUT</t>
  </si>
  <si>
    <t>NIESSPJ</t>
  </si>
  <si>
    <t>NIPPON INDIA EQUITY SAVINGS FUND - SEGREGATED PORTFOLIO 1 - DIRECT QUARTERLY DIVIDEND PLAN REINVESTMENT</t>
  </si>
  <si>
    <t>NIESSPI</t>
  </si>
  <si>
    <t>NIPPON INDIA EQUITY SAVINGS FUND - SEGREGATED PORTFOLIO 1 - DIRECT BONUS PLAN BONUS</t>
  </si>
  <si>
    <t>NIESSPB</t>
  </si>
  <si>
    <t>NIPPON INDIA EQUITY SAVINGS FUND - SEGREGATED PORTFOLIO 1 - QUARTERLY DIVIDEND PLANDIVIDEND PAYOUT</t>
  </si>
  <si>
    <t>NIESSPO</t>
  </si>
  <si>
    <t>NIPPON INDIA EQUITY SAVINGS FUND - SEGREGATED PORTFOLIO 1 - DIRECT DIVIDEND PLAN DIVIDEND PAYOUT</t>
  </si>
  <si>
    <t>NIESSPC</t>
  </si>
  <si>
    <t>NIPPON INDIA EQUITY SAVINGS FUND - SEGREGATED PORTFOLIO 1 - QUARTERLY DIVIDEND PLAN REINVESTMENT</t>
  </si>
  <si>
    <t>NIESSPP</t>
  </si>
  <si>
    <t>NIPPON INDIA EQUITY SAVINGS FUND - SEGREGATED PORTFOLIO 1 - BONUS PLANBONUS</t>
  </si>
  <si>
    <t>NIESSPA</t>
  </si>
  <si>
    <t>NIPPON INDIA EQUITY SAVINGS FUND - SEGREGATED PORTFOLIO 1 - DIRECT MONTHLY DIVIDEND PLAN REINVESTMENT</t>
  </si>
  <si>
    <t>NIESSPG</t>
  </si>
  <si>
    <t>Gujarat Fluorochemicals Ltd</t>
  </si>
  <si>
    <t>FLUOROCHEM</t>
  </si>
  <si>
    <t>NIPPON INDIA EQUITY HYBRID FUND -&amp;#160;SEGREGATED PORTFOLIO 1- DIRECT DIVIDEND PLAN REINVESTMENT</t>
  </si>
  <si>
    <t>NIEHSPA</t>
  </si>
  <si>
    <t>NIPPON INDIA EQUITY HYBRID FUND -&amp;#160;SEGREGATED PORTFOLIO 1 - DIRECT MONTHLY DIVIDEND PLAN DIVIDEND PAYOUT</t>
  </si>
  <si>
    <t>NIEHSPB</t>
  </si>
  <si>
    <t>NIPPON INDIA EQUITY HYBRID FUND -&amp;#160;SEGREGATED PORTFOLIO 1 - DIRECT MONTHLY DIVIDEND PLAN REINVESTMENT</t>
  </si>
  <si>
    <t>NIEHSPC</t>
  </si>
  <si>
    <t>NIPPON INDIA EQUITY HYBRID FUND -&amp;#160;SEGREGATED PORTFOLIO 1 - QUARTERLY DIVIDEND PLAN REINVESTMENT</t>
  </si>
  <si>
    <t>NIEHSPF</t>
  </si>
  <si>
    <t>NIPPON INDIA EQUITY HYBRID FUND -&amp;#160;SEGREGATED PORTFOLIO 1 - DIRECT QUARTERLY DIVIDEND PLAN DIVIDEND PAYOUT</t>
  </si>
  <si>
    <t>NIEHSPI</t>
  </si>
  <si>
    <t>NIPPON INDIA EQUITY HYBRID FUND -&amp;#160;SEGREGATED PORTFOLIO 1 - DIRECT QUARTERLY DIVIDEND PLAN REINVESTMENT</t>
  </si>
  <si>
    <t>NIEHSPK</t>
  </si>
  <si>
    <t>NIPPON INDIA EQUITY HYBRID FUND -&amp;#160;SEGREGATED PORTFOLIO 1 - DIRECT DIVIDEND PLAN DIVIDEND PAYOUT</t>
  </si>
  <si>
    <t>NIEHSPM</t>
  </si>
  <si>
    <t>NIPPON INDIA EQUITY HYBRID FUND -&amp;#160;SEGREGATED PORTFOLIO 1 - MONTHLY DIVIDEND PLAN REINVESTMENT</t>
  </si>
  <si>
    <t>NIEHSPN</t>
  </si>
  <si>
    <t>Indian Railway Catering and Tourism Corporation Ltd</t>
  </si>
  <si>
    <t>IRCTC</t>
  </si>
  <si>
    <t>NIPPON INDIA EQUITY SAVINGS FUND - SEGREGATED PORTFOLIO 1 - DIRECT DIVIDEND PLAN REINVESTMENT</t>
  </si>
  <si>
    <t>NIESSPD</t>
  </si>
  <si>
    <t>NIPPON INDIA EQUITY SAVINGS FUND - SEGREGATED PORTFOLIO 1 - DIRECT GROWTH PLAN GROWTH</t>
  </si>
  <si>
    <t>NIESSPE</t>
  </si>
  <si>
    <t>NIPPON INDIA EQUITY SAVINGS FUND - SEGREGATED PORTFOLIO 1 - DIRECT MONTHLY DIVIDEND PLAN DIVIDEND PAYOUT</t>
  </si>
  <si>
    <t>NIESSPF</t>
  </si>
  <si>
    <t>NIPPON INDIA EQUITY HYBRID FUND -&amp;#160;SEGREGATED PORTFOLIO 1 - GROWTH PLAN GROWTH</t>
  </si>
  <si>
    <t>NIEHSPD</t>
  </si>
  <si>
    <t>NIPPON INDIA EQUITY SAVINGS FUND - SEGREGATED PORTFOLIO 1 - DIRECT QUARTERLY DIVIDEND PLAN DIVIDEND PAYOUT</t>
  </si>
  <si>
    <t>NIESSPH</t>
  </si>
  <si>
    <t>NIPPON INDIA EQUITY HYBRID FUND -&amp;#160;SEGREGATED PORTFOLIO 1 - QUARTERLY DIVIDEND PLAN DIVIDEND PAYOUT</t>
  </si>
  <si>
    <t>NIEHSPE</t>
  </si>
  <si>
    <t>NIPPON INDIA EQUITY SAVINGS FUND - SEGREGATED PORTFOLIO 1 - DIVIDEND PLAN REINVESTMENT</t>
  </si>
  <si>
    <t>NIESSPK</t>
  </si>
  <si>
    <t>NIPPON INDIA EQUITY HYBRID FUND -&amp;#160;SEGREGATED PORTFOLIO 1 - DIRECT GROWTH PLAN GROWTH</t>
  </si>
  <si>
    <t>NIEHSPG</t>
  </si>
  <si>
    <t>NIPPON INDIA EQUITY HYBRID FUND -&amp;#160;SEGREGATED PORTFOLIO 1 - DIVIDEND PLAN DIVIDEND PAYOUT</t>
  </si>
  <si>
    <t>NIEHSPH</t>
  </si>
  <si>
    <t>NIPPON INDIA EQUITY HYBRID FUND -&amp;#160;SEGREGATED PORTFOLIO 1 - DIVIDEND PLAN REINVESTMENT</t>
  </si>
  <si>
    <t>NIEHSPJ</t>
  </si>
  <si>
    <t>NIPPON INDIA EQUITY HYBRID FUND -&amp;#160;SEGREGATED PORTFOLIO 1 - MONTHLY DIVIDEND PLAN DIVIDEND PAYOUT</t>
  </si>
  <si>
    <t>NIEHSPL</t>
  </si>
  <si>
    <t>NIPPON INDIA EQUITY SAVINGS FUND - SEGREGATED PORTFOLIO 1 - GROWTH PLAN GROWTH</t>
  </si>
  <si>
    <t>NIESSPL</t>
  </si>
  <si>
    <t>NIPPON INDIA EQUITY SAVINGS FUND - SEGREGATED PORTFOLIO 1 - MONTHLY DIVIDEND PLANDIVIDEND PAYOUT</t>
  </si>
  <si>
    <t>NIESSPM</t>
  </si>
  <si>
    <t>NIPPON INDIA EQUITY SAVINGS FUND - SEGREGATED PORTFOLIO 1 - MONTHLY DIVIDEND PLAN REINVESTMENT</t>
  </si>
  <si>
    <t>NIESSPN</t>
  </si>
  <si>
    <t>Goblin India Ltd</t>
  </si>
  <si>
    <t>GOBLIN</t>
  </si>
  <si>
    <t>Gensol Engineering Ltd</t>
  </si>
  <si>
    <t>GENSOL</t>
  </si>
  <si>
    <t>Vishwaraj Sugar Industries Ltd</t>
  </si>
  <si>
    <t>VISHWARAJ</t>
  </si>
  <si>
    <t>Greenpanel Industries Ltd</t>
  </si>
  <si>
    <t>GREENPANEL</t>
  </si>
  <si>
    <t>Shahlon Silk Industries Ltd</t>
  </si>
  <si>
    <t>SHAHLON</t>
  </si>
  <si>
    <t>ADITYA BIRLA SUN LIFE BANKING ETF</t>
  </si>
  <si>
    <t>ABSLBANETF</t>
  </si>
  <si>
    <t>Mount Housing and Infrastructure Ltd</t>
  </si>
  <si>
    <t>MOUNT</t>
  </si>
  <si>
    <t>Anuroop Packaging Ltd</t>
  </si>
  <si>
    <t>ANUROOP</t>
  </si>
  <si>
    <t>JSG Leasing Ltd</t>
  </si>
  <si>
    <t>JSGLEASING</t>
  </si>
  <si>
    <t>CSB Bank Ltd</t>
  </si>
  <si>
    <t>CSBBANK</t>
  </si>
  <si>
    <t>Ujjivan Small Finance Bank Ltd</t>
  </si>
  <si>
    <t>UJJIVANSFB</t>
  </si>
  <si>
    <t>Somany Home Innovation Ltd</t>
  </si>
  <si>
    <t>SHIL</t>
  </si>
  <si>
    <t>Easun Capital Markets Ltd</t>
  </si>
  <si>
    <t>EASUN</t>
  </si>
  <si>
    <t>Prince Pipes and Fittings Ltd</t>
  </si>
  <si>
    <t>PRINCEPIPE</t>
  </si>
  <si>
    <t>Valencia Nutrition Ltd</t>
  </si>
  <si>
    <t>VALENCIA</t>
  </si>
  <si>
    <t>Assam Entrade Ltd</t>
  </si>
  <si>
    <t>ASSAMENT</t>
  </si>
  <si>
    <t>Gian Life Care Ltd</t>
  </si>
  <si>
    <t>GIANLIFE</t>
  </si>
  <si>
    <t>Artemis Medicare Services Ltd</t>
  </si>
  <si>
    <t>ARTEMISMED</t>
  </si>
  <si>
    <t>Sumitomo Chemical India Ltd</t>
  </si>
  <si>
    <t>SUMICHEM</t>
  </si>
  <si>
    <t>ICICI Prudential Midcap 150 ETF</t>
  </si>
  <si>
    <t>ICICIM150</t>
  </si>
  <si>
    <t>Mirae Asset Nifty Next 50 ETF (MANXT50ETF)</t>
  </si>
  <si>
    <t>MANXT50ETF</t>
  </si>
  <si>
    <t>Tranway Technologies Ltd</t>
  </si>
  <si>
    <t>TRANWAY</t>
  </si>
  <si>
    <t>Janus Corporation Ltd</t>
  </si>
  <si>
    <t>JANUSCORP</t>
  </si>
  <si>
    <t>Vardhan Capital &amp; Finance Ltd</t>
  </si>
  <si>
    <t>VARDHANCFL</t>
  </si>
  <si>
    <t>Birla Tyres Ltd</t>
  </si>
  <si>
    <t>BIRLATYRES</t>
  </si>
  <si>
    <t>Universus Photo Imagings Ltd</t>
  </si>
  <si>
    <t>UNIVPHOTO</t>
  </si>
  <si>
    <t>Chandra Bhagat Pharma Ltd</t>
  </si>
  <si>
    <t>CBPL</t>
  </si>
  <si>
    <t>ICL Organic Dairy Products Ltd</t>
  </si>
  <si>
    <t>ICLORGANIC</t>
  </si>
  <si>
    <t>Octavius Plantations Ltd</t>
  </si>
  <si>
    <t>OCTAVIUSPL</t>
  </si>
  <si>
    <t>Suven Pharmaceuticals Ltd</t>
  </si>
  <si>
    <t>SUVENPHAR</t>
  </si>
  <si>
    <t>SM Auto Stamping Ltd</t>
  </si>
  <si>
    <t>SMAUTO</t>
  </si>
  <si>
    <t>SBI Cards and Payment Services Ltd</t>
  </si>
  <si>
    <t>SBICARD</t>
  </si>
  <si>
    <t>NIPPON INDIA EQUITY SAVINGS FUND -  SEGREGATED PORTFOLIO 2 - MONTHLY DIVIDEND PLAN(Issue Price: 0.01)</t>
  </si>
  <si>
    <t>08MPD</t>
  </si>
  <si>
    <t>NIPPON INDIA EQUITY SAVINGS FUND -  SEGREGATED PORTFOLIO 2 - DIRECT DIVIDEND PLAN(Issue Price: 0.01)</t>
  </si>
  <si>
    <t>08ADR</t>
  </si>
  <si>
    <t>08MPR</t>
  </si>
  <si>
    <t>NIPPON INDIA EQUITY SAVINGS FUND -  SEGREGATED PORTFOLIO 2 - DIRECT MONTHLY DIVIDEND PLAN(Issue Price: 0.01)</t>
  </si>
  <si>
    <t>08AMD</t>
  </si>
  <si>
    <t>08AMR</t>
  </si>
  <si>
    <t>NIPPON INDIA EQUITY SAVINGS FUND -  SEGREGATED PORTFOLIO 2 - BONUS PLAN(Issue Price: 0.01)</t>
  </si>
  <si>
    <t>08BPB</t>
  </si>
  <si>
    <t>NIPPON INDIA EQUITY SAVINGS FUND -  SEGREGATED PORTFOLIO 2 - GROWTH PLAN(Issue Price: 0.01)</t>
  </si>
  <si>
    <t>08GPG</t>
  </si>
  <si>
    <t>NIPPON INDIA EQUITY SAVINGS FUND -  SEGREGATED PORTFOLIO 2 - DIRECT BONUS PLAN(Issue Price: 0.01)</t>
  </si>
  <si>
    <t>08ABB</t>
  </si>
  <si>
    <t>NIPPON INDIA EQUITY SAVINGS FUND -  SEGREGATED PORTFOLIO 2 - QUARTERLY DIVIDEND PLAN(Issue Price: 0.01)</t>
  </si>
  <si>
    <t>08QPD</t>
  </si>
  <si>
    <t>NIPPON INDIA EQUITY SAVINGS FUND -  SEGREGATED PORTFOLIO 2 - DIRECT GROWTH PLAN(Issue Price: 0.01)</t>
  </si>
  <si>
    <t>08AGG</t>
  </si>
  <si>
    <t>08QPR</t>
  </si>
  <si>
    <t>NIPPON INDIA EQUITY SAVINGS FUND -  SEGREGATED PORTFOLIO 2 - DIRECT QUARTERLY DIVIDEND PLAN(Issue Price: 0.01)</t>
  </si>
  <si>
    <t>08AQD</t>
  </si>
  <si>
    <t>NIPPON INDIA EQUITY SAVINGS FUND -  SEGREGATED PORTFOLIO 2 - DIVIDEND PLAN(Issue Price: 0.01)</t>
  </si>
  <si>
    <t>08DPD</t>
  </si>
  <si>
    <t>08AQR</t>
  </si>
  <si>
    <t>08DPR</t>
  </si>
  <si>
    <t>08ADD</t>
  </si>
  <si>
    <t>RO Jewels Ltd</t>
  </si>
  <si>
    <t>ROJL</t>
  </si>
  <si>
    <t>Cospower Engineering Ltd</t>
  </si>
  <si>
    <t>COSPOWER</t>
  </si>
  <si>
    <t>NIPPON INDIA EQUITY HYBRID FUND -  SEGREGATED PORTFOLIO 2DIVIDEND PLANDIVIDEND REINVESTMENT</t>
  </si>
  <si>
    <t>11DPR</t>
  </si>
  <si>
    <t>NIPPON INDIA EQUITY HYBRID FUND -  SEGREGATED PORTFOLIO 2GROWTH PLAN GROWTH OPTIONGROWTH</t>
  </si>
  <si>
    <t>11GPG</t>
  </si>
  <si>
    <t>NIPPON INDIA EQUITY HYBRID FUND -  SEGREGATED PORTFOLIO 2MONTHLY DIVIDEND PLANDIVIDEND PAYOUT</t>
  </si>
  <si>
    <t>11MPD</t>
  </si>
  <si>
    <t>NIPPON INDIA EQUITY HYBRID FUND -  SEGREGATED PORTFOLIO 2MONTHLY DIVIDEND PLANREINVESTMENT</t>
  </si>
  <si>
    <t>11MPR</t>
  </si>
  <si>
    <t>NIPPON INDIA EQUITY HYBRID FUND -  SEGREGATED PORTFOLIO 2QUARTERLY DIVIDEND PLANDIVIDEND PAYOUT</t>
  </si>
  <si>
    <t>11QPD</t>
  </si>
  <si>
    <t>NIPPON INDIA EQUITY HYBRID FUND -  SEGREGATED PORTFOLIO 2QUARTERLY DIVIDEND PLANREINVESTMENT</t>
  </si>
  <si>
    <t>11QPR</t>
  </si>
  <si>
    <t>NIPPON INDIA EQUITY HYBRID FUND -  SEGREGATED PORTFOLIO 2DIRECT PLAN DIVIDEND PLANDIVIDEND PAYOUT</t>
  </si>
  <si>
    <t>11ADD</t>
  </si>
  <si>
    <t>NIPPON INDIA EQUITY HYBRID FUND -  SEGREGATED PORTFOLIO 2DIRECT PLAN DIVIDEND PLANDIVIDEND REINVESTMENT</t>
  </si>
  <si>
    <t>11ADR</t>
  </si>
  <si>
    <t>NIPPON INDIA EQUITY HYBRID FUND -  SEGREGATED PORTFOLIO 2DIRECT GROWTH PLAN GROWTH OPTIONGROWTH</t>
  </si>
  <si>
    <t>11AGG</t>
  </si>
  <si>
    <t>NIPPON INDIA EQUITY HYBRID FUND -  SEGREGATED PORTFOLIO 2DIRECT MONTHLY DIVIDEND PLANDIVIDEND PAYOUT</t>
  </si>
  <si>
    <t>11AMD</t>
  </si>
  <si>
    <t>NIPPON INDIA EQUITY HYBRID FUND -  SEGREGATED PORTFOLIO 2DIRECT MONTHLY DIVIDEND PLANREINVESTMENT</t>
  </si>
  <si>
    <t>11AMR</t>
  </si>
  <si>
    <t>NIPPON INDIA EQUITY HYBRID FUND -  SEGREGATED PORTFOLIO 2DIRECT QUARTERLY DIVIDEND PLANDIVIDEND PAYOUT</t>
  </si>
  <si>
    <t>11AQD</t>
  </si>
  <si>
    <t>NIPPON INDIA EQUITY HYBRID FUND -  SEGREGATED PORTFOLIO 2DIRECT QUARTERLY DIVIDEND PLANREINVESTMENT</t>
  </si>
  <si>
    <t>11AQR</t>
  </si>
  <si>
    <t>NIPPON INDIA EQUITY HYBRID FUND -  SEGREGATED PORTFOLIO 2DIVIDEND PLANDIVIDEND PAYOUT</t>
  </si>
  <si>
    <t>11DPD</t>
  </si>
  <si>
    <t>ABB Power Products and Systems India Ltd</t>
  </si>
  <si>
    <t>POWERINDIA</t>
  </si>
  <si>
    <t>DJ Mediaprint &amp; Logistics Ltd</t>
  </si>
  <si>
    <t>DJML</t>
  </si>
  <si>
    <t>Nirmitee Robotics India Ltd</t>
  </si>
  <si>
    <t>NIRMITEE</t>
  </si>
  <si>
    <t>Natural Biocon (India) Ltd</t>
  </si>
  <si>
    <t>NATURAL</t>
  </si>
  <si>
    <t>Bhartia Bachat Ltd</t>
  </si>
  <si>
    <t>BHARTIA</t>
  </si>
  <si>
    <t>Billwin Industries Ltd</t>
  </si>
  <si>
    <t>BILLWIN</t>
  </si>
  <si>
    <t>Aarti Surfactants Ltd</t>
  </si>
  <si>
    <t>AARTISURF</t>
  </si>
  <si>
    <t>Bonlon Industries Ltd</t>
  </si>
  <si>
    <t>BONLON</t>
  </si>
  <si>
    <t>Borosil Ltd</t>
  </si>
  <si>
    <t>BOROLTD</t>
  </si>
  <si>
    <t>Rossari Biotech Ltd</t>
  </si>
  <si>
    <t>ROSSARI</t>
  </si>
  <si>
    <t>NDR Auto Components Ltd</t>
  </si>
  <si>
    <t>NDRAUTO</t>
  </si>
  <si>
    <t>Mindspace Business Parks REIT</t>
  </si>
  <si>
    <t>MINDSPACE</t>
  </si>
  <si>
    <t>Suratwwala Business Group Ltd</t>
  </si>
  <si>
    <t>SBGLP</t>
  </si>
  <si>
    <t>&amp;#160;ICICI Prudential Alpha Low Vol 30 ETF&amp;#160;</t>
  </si>
  <si>
    <t>ICICIALPLV</t>
  </si>
  <si>
    <t>Max Healthcare Institute Ltd</t>
  </si>
  <si>
    <t>MAXHEALTH</t>
  </si>
  <si>
    <t>ICICI Prudential IT ETF</t>
  </si>
  <si>
    <t>ICICITECH</t>
  </si>
  <si>
    <t>Trekkingtoes.com Ltd</t>
  </si>
  <si>
    <t>HIPPOCABS</t>
  </si>
  <si>
    <t>Max India Ltd</t>
  </si>
  <si>
    <t>HDFC Banking ETF</t>
  </si>
  <si>
    <t>HBANKETF</t>
  </si>
  <si>
    <t>Tower Infrastructure Trust</t>
  </si>
  <si>
    <t>TOWERINFRA</t>
  </si>
  <si>
    <t>UTI Bank Exchange Traded Fund (UTI Bank ETF)</t>
  </si>
  <si>
    <t>UTIBANKETF</t>
  </si>
  <si>
    <t>Happiest Minds Technologies Ltd</t>
  </si>
  <si>
    <t>HAPPSTMNDS</t>
  </si>
  <si>
    <t>Route Mobile Ltd</t>
  </si>
  <si>
    <t>ROUTE</t>
  </si>
  <si>
    <t>Advait Infratech Ltd</t>
  </si>
  <si>
    <t>ADVAIT</t>
  </si>
  <si>
    <t>Archidply Decor Ltd</t>
  </si>
  <si>
    <t>ADL</t>
  </si>
  <si>
    <t>Computer Age Management Services Ltd</t>
  </si>
  <si>
    <t>CAMS</t>
  </si>
  <si>
    <t>Chemcon Speciality Chemicals Ltd</t>
  </si>
  <si>
    <t>CHEMCON</t>
  </si>
  <si>
    <t>SecMark Consultancy Ltd</t>
  </si>
  <si>
    <t>SECMARK</t>
  </si>
  <si>
    <t>Angel Broking Ltd</t>
  </si>
  <si>
    <t>ANGELBRKG</t>
  </si>
  <si>
    <t>Atam Valves Ltd</t>
  </si>
  <si>
    <t>ATAM</t>
  </si>
  <si>
    <t>Mazagon Dock Shipbuilders Ltd</t>
  </si>
  <si>
    <t>MAZDOCK</t>
  </si>
  <si>
    <t>UTI Asset Management Company Ltd</t>
  </si>
  <si>
    <t>UTIAMC</t>
  </si>
  <si>
    <t>G M Polyplast Ltd</t>
  </si>
  <si>
    <t>GMPL</t>
  </si>
  <si>
    <t>Likhitha Infrastructure Ltd</t>
  </si>
  <si>
    <t>LIKHITHA</t>
  </si>
  <si>
    <t>Veer Global Infraconstruction Ltd</t>
  </si>
  <si>
    <t>VGIL</t>
  </si>
  <si>
    <t>Hemisphere Properties India Ltd</t>
  </si>
  <si>
    <t>HEMIPROP</t>
  </si>
  <si>
    <t>Equitas Small Finance Bank Ltd</t>
  </si>
  <si>
    <t>EQUITASBNK</t>
  </si>
  <si>
    <t>Shine Fashions (India) Ltd</t>
  </si>
  <si>
    <t>SHINEFASH</t>
  </si>
  <si>
    <t>BARODA RAYON CORPORATION LTD</t>
  </si>
  <si>
    <t>BARODARY</t>
  </si>
  <si>
    <t>Other Textile Products</t>
  </si>
  <si>
    <t>MEDIAONE GLOBAL ENTERTAINMENT LTD</t>
  </si>
  <si>
    <t>MEDIAONE</t>
  </si>
  <si>
    <t>Film Production- Distribution &amp; Exhibition</t>
  </si>
  <si>
    <t>INDIA RADIATORS LTD</t>
  </si>
  <si>
    <t>INRADIA</t>
  </si>
  <si>
    <t>Auto Components &amp; Equipments</t>
  </si>
  <si>
    <t>PB Global Ltd</t>
  </si>
  <si>
    <t>PBGLOBAL</t>
  </si>
  <si>
    <t>Pesticides &amp; Agrochemicals</t>
  </si>
  <si>
    <t>INFOMEDIA PRESS LTD</t>
  </si>
  <si>
    <t>INFOMEDIA</t>
  </si>
  <si>
    <t>Printing &amp; Publication</t>
  </si>
  <si>
    <t>U.P.HOTELS LTD</t>
  </si>
  <si>
    <t>UPHOT</t>
  </si>
  <si>
    <t>Hotels &amp; Resorts</t>
  </si>
  <si>
    <t>PREMIER CAPITAL SERVICES LTD</t>
  </si>
  <si>
    <t>PREMCAP</t>
  </si>
  <si>
    <t>Other Electrical Equipment</t>
  </si>
  <si>
    <t>ICDS LTD</t>
  </si>
  <si>
    <t>ICDSLTD</t>
  </si>
  <si>
    <t>Saianand Commercial Limited</t>
  </si>
  <si>
    <t>SAICOM</t>
  </si>
  <si>
    <t>Trading &amp; Distributors</t>
  </si>
  <si>
    <t>ROSE MERC.LTD</t>
  </si>
  <si>
    <t>ROSEMER</t>
  </si>
  <si>
    <t>SURBHI INDUSTRIES LTD</t>
  </si>
  <si>
    <t>SURBHIN</t>
  </si>
  <si>
    <t>SHRI GANG INDUSTRIES AND ALLIED PRODUCTS LTD</t>
  </si>
  <si>
    <t>SHRIGANG</t>
  </si>
  <si>
    <t>Edible Oil</t>
  </si>
  <si>
    <t>UBE INDUSTRIES LTD</t>
  </si>
  <si>
    <t>UBEINDL</t>
  </si>
  <si>
    <t>PET PLASTICS LTD</t>
  </si>
  <si>
    <t>PETPLST</t>
  </si>
  <si>
    <t>Plastic Products - Industrial</t>
  </si>
  <si>
    <t>PANJON LTD</t>
  </si>
  <si>
    <t>PANJON</t>
  </si>
  <si>
    <t>EURO LEDER FASHION LTD</t>
  </si>
  <si>
    <t>EUROLED</t>
  </si>
  <si>
    <t>Gems- Jewellery And Watches</t>
  </si>
  <si>
    <t>DSJ keep Learning Ltd</t>
  </si>
  <si>
    <t>KEEPLEARN</t>
  </si>
  <si>
    <t>SIDDHESWARI GARMENTS LTD</t>
  </si>
  <si>
    <t>SIDDHEGA</t>
  </si>
  <si>
    <t>AADI INDUSTRIES LTD</t>
  </si>
  <si>
    <t>AADIIND</t>
  </si>
  <si>
    <t>SHAMROCK INDUSTRIAL CO.LTD</t>
  </si>
  <si>
    <t>SHAMROIN</t>
  </si>
  <si>
    <t>G.G.AUTOMOTIVE GEARS LTD</t>
  </si>
  <si>
    <t>GGAUTO</t>
  </si>
  <si>
    <t>SGN TELECOMS LTD</t>
  </si>
  <si>
    <t>SGNTE</t>
  </si>
  <si>
    <t>LCC INFOTECH LTD</t>
  </si>
  <si>
    <t>LCCINFOTEC</t>
  </si>
  <si>
    <t>E-Learning</t>
  </si>
  <si>
    <t>AMBICA AGARBATHIES &amp; AROMA INDUSTRIES LTD</t>
  </si>
  <si>
    <t>AMBICAAGAR</t>
  </si>
  <si>
    <t>Shree Hanuman Sugar &amp; Industries Ltd</t>
  </si>
  <si>
    <t>HANSUGAR</t>
  </si>
  <si>
    <t>Samrat Forgings Ltd</t>
  </si>
  <si>
    <t>SAMRATFORG</t>
  </si>
  <si>
    <t>Castings &amp; Forgings</t>
  </si>
  <si>
    <t>Gland Pharma Ltd</t>
  </si>
  <si>
    <t>GLAND</t>
  </si>
  <si>
    <t>Mirae Asset ESG Sector Leaders ETF</t>
  </si>
  <si>
    <t>MAESGETF</t>
  </si>
  <si>
    <t>Net Pix Shorts Digital Media Ltd</t>
  </si>
  <si>
    <t>NETPIX</t>
  </si>
  <si>
    <t>Restaurant Brands Asia Ltd</t>
  </si>
  <si>
    <t>RBA</t>
  </si>
  <si>
    <t>Tarc Ltd</t>
  </si>
  <si>
    <t>TARC</t>
  </si>
  <si>
    <t>Residential- Commercial Projects</t>
  </si>
  <si>
    <t>Ravinder Heights Ltd</t>
  </si>
  <si>
    <t>RVHL</t>
  </si>
  <si>
    <t>Fairchem Organics Ltd</t>
  </si>
  <si>
    <t>FAIRCHEMOR</t>
  </si>
  <si>
    <t>Mrs. Bectors Food Specialities Ltd</t>
  </si>
  <si>
    <t>BECTORFOOD</t>
  </si>
  <si>
    <t>Antony Waste Handling Cell Ltd</t>
  </si>
  <si>
    <t>AWHCL</t>
  </si>
  <si>
    <t>Waste Management</t>
  </si>
  <si>
    <t>NIPPON INDIA ETF INFRA BeES</t>
  </si>
  <si>
    <t>INFRABEES</t>
  </si>
  <si>
    <t>Rita Finance and Leasing Ltd</t>
  </si>
  <si>
    <t>RFLL</t>
  </si>
  <si>
    <t>Non Banking Financial Company (NBFC)</t>
  </si>
  <si>
    <t>Indian Railway Finance Corporation Ltd</t>
  </si>
  <si>
    <t>IRFC</t>
  </si>
  <si>
    <t>Financial Institution</t>
  </si>
  <si>
    <t>Indigo Paints Ltd</t>
  </si>
  <si>
    <t>INDIGOPNTS</t>
  </si>
  <si>
    <t>Paints</t>
  </si>
  <si>
    <t>Home First Finance Company India Ltd</t>
  </si>
  <si>
    <t>HOMEFIRST</t>
  </si>
  <si>
    <t>Housing Finance Company</t>
  </si>
  <si>
    <t>Stove Kraft Ltd</t>
  </si>
  <si>
    <t>STOVEKRAFT</t>
  </si>
  <si>
    <t>Brookfield India Real Estate Trust REIT</t>
  </si>
  <si>
    <t>BIRET</t>
  </si>
  <si>
    <t>Real Estate Investment Trusts (REITs)</t>
  </si>
  <si>
    <t>MRP Agro Ltd</t>
  </si>
  <si>
    <t>MRP</t>
  </si>
  <si>
    <t>SMC Global Securities Ltd</t>
  </si>
  <si>
    <t>SMCGLOBAL*</t>
  </si>
  <si>
    <t>Stockbroking &amp; Allied</t>
  </si>
  <si>
    <t>Nureca Ltd</t>
  </si>
  <si>
    <t>NURECA</t>
  </si>
  <si>
    <t>Medical Equipment &amp; Supplies</t>
  </si>
  <si>
    <t>RailTel Corporation of India Ltd</t>
  </si>
  <si>
    <t>RAILTEL</t>
  </si>
  <si>
    <t>Heranba Industries Ltd</t>
  </si>
  <si>
    <t>HERANBA</t>
  </si>
  <si>
    <t>Davangere Sugar Company Ltd</t>
  </si>
  <si>
    <t>DAVANGERE</t>
  </si>
  <si>
    <t>Adjia Technologies Ltd</t>
  </si>
  <si>
    <t>ADJIA</t>
  </si>
  <si>
    <t>Computers - Software &amp; Consulting</t>
  </si>
  <si>
    <t>MTAR Technologies Ltd</t>
  </si>
  <si>
    <t>MTARTECH</t>
  </si>
  <si>
    <t>Aerospace &amp; Defense</t>
  </si>
  <si>
    <t>Jubilant Ingrevia Ltd</t>
  </si>
  <si>
    <t>JUBLINGREA</t>
  </si>
  <si>
    <t>Easy Trip Planners Ltd</t>
  </si>
  <si>
    <t>EASEMYTRIP</t>
  </si>
  <si>
    <t>Tour- Travel Related Services</t>
  </si>
  <si>
    <t>Knowledge Marine &amp; Engineering Works Ltd</t>
  </si>
  <si>
    <t>KMEW</t>
  </si>
  <si>
    <t>Suumaya Corporation Ltd</t>
  </si>
  <si>
    <t>SUUMAYA</t>
  </si>
  <si>
    <t>Anupam Rasayan India Ltd</t>
  </si>
  <si>
    <t>ANURAS</t>
  </si>
  <si>
    <t>Craftsman Automation Ltd</t>
  </si>
  <si>
    <t>CRAFTSMAN</t>
  </si>
  <si>
    <t>Laxmi Organic Industries Ltd</t>
  </si>
  <si>
    <t>LXCHEM</t>
  </si>
  <si>
    <t>Kalyan Jewellers India Ltd</t>
  </si>
  <si>
    <t>KALYANKJIL</t>
  </si>
  <si>
    <t>Suryoday Small Finance Bank Ltd</t>
  </si>
  <si>
    <t>SURYODAY</t>
  </si>
  <si>
    <t>Other Bank</t>
  </si>
  <si>
    <t>Nazara Technologies Ltd</t>
  </si>
  <si>
    <t>NAZARA</t>
  </si>
  <si>
    <t>Digital Entertainment</t>
  </si>
  <si>
    <t>Suvidhaa Infoserve Ltd</t>
  </si>
  <si>
    <t>SUVIDHAA</t>
  </si>
  <si>
    <t>Financial Technology (Fintech)</t>
  </si>
  <si>
    <t>Niks Technology Ltd</t>
  </si>
  <si>
    <t>NIKSTECH</t>
  </si>
  <si>
    <t>Barbeque-Nation Hospitality Ltd</t>
  </si>
  <si>
    <t>BARBEQUE</t>
  </si>
  <si>
    <t>EKI Energy Services Ltd</t>
  </si>
  <si>
    <t>EKI</t>
  </si>
  <si>
    <t>Rajeshwari Cans Ltd</t>
  </si>
  <si>
    <t>RCAN</t>
  </si>
  <si>
    <t>Packaging</t>
  </si>
  <si>
    <t>Jetmall Spices and Masala Ltd</t>
  </si>
  <si>
    <t>JETMALL</t>
  </si>
  <si>
    <t>Macrotech Developers Ltd</t>
  </si>
  <si>
    <t>LODHA</t>
  </si>
  <si>
    <t>Deep Industries Ltd</t>
  </si>
  <si>
    <t>Offshore Support Solution Drilling</t>
  </si>
  <si>
    <t>Kuberan Global Edu Solutions Ltd</t>
  </si>
  <si>
    <t>KGES</t>
  </si>
  <si>
    <t>POWERGRID Infrastructure Investment Trust</t>
  </si>
  <si>
    <t>PGINVIT</t>
  </si>
  <si>
    <t>Power - Transmission</t>
  </si>
  <si>
    <t>Mirae Asset NYSE FANG+ ETF</t>
  </si>
  <si>
    <t>MAFANG</t>
  </si>
  <si>
    <t>ICICI Prudential Healthcare ETF</t>
  </si>
  <si>
    <t>ICICIPHARM</t>
  </si>
  <si>
    <t>Inox Wind Energy Ltd</t>
  </si>
  <si>
    <t>IWEL</t>
  </si>
  <si>
    <t>Vineet Laboratories Ltd</t>
  </si>
  <si>
    <t>VINEETLAB</t>
  </si>
  <si>
    <t>Shyam Metalics and Energy Ltd</t>
  </si>
  <si>
    <t>SHYAMMETL</t>
  </si>
  <si>
    <t>Iron &amp; Steel</t>
  </si>
  <si>
    <t>Sona BLW Precision Forgings Ltd</t>
  </si>
  <si>
    <t>SONACOMS</t>
  </si>
  <si>
    <t>Navoday Enterprises Ltd</t>
  </si>
  <si>
    <t>NAVODAYENT</t>
  </si>
  <si>
    <t>Dodla Dairy Ltd</t>
  </si>
  <si>
    <t>DODLA</t>
  </si>
  <si>
    <t>Dairy Products</t>
  </si>
  <si>
    <t>Krishna Institute of Medical Sciences Ltd</t>
  </si>
  <si>
    <t>KIMS</t>
  </si>
  <si>
    <t>Hospital</t>
  </si>
  <si>
    <t>Adeshwar Meditex Ltd</t>
  </si>
  <si>
    <t>ADESHWAR</t>
  </si>
  <si>
    <t>Healthcare Research- Analytics &amp; Technology</t>
  </si>
  <si>
    <t>Times Green Energy (India) Ltd</t>
  </si>
  <si>
    <t>TIMESGREEN</t>
  </si>
  <si>
    <t>India Pesticides Ltd</t>
  </si>
  <si>
    <t>IPL</t>
  </si>
  <si>
    <t>Focus Business Solution Ltd</t>
  </si>
  <si>
    <t>G R Infraprojects Ltd</t>
  </si>
  <si>
    <t>GRINFRA</t>
  </si>
  <si>
    <t>Civil Construction</t>
  </si>
  <si>
    <t>Clean Science and Technology Ltd</t>
  </si>
  <si>
    <t>CLEAN</t>
  </si>
  <si>
    <t>AA Plus Tradelink Ltd</t>
  </si>
  <si>
    <t>AAPLUSTRAD</t>
  </si>
  <si>
    <t>Zomato Ltd</t>
  </si>
  <si>
    <t>ZOMATO</t>
  </si>
  <si>
    <t>E-Retail/ E-Commerce</t>
  </si>
  <si>
    <t>Tatva Chintan Pharma Chem Ltd</t>
  </si>
  <si>
    <t>TATVA</t>
  </si>
  <si>
    <t>Glenmark Life Sciences Ltd</t>
  </si>
  <si>
    <t>GLS</t>
  </si>
  <si>
    <t>Mirae Asset Nifty Financial Services ETF</t>
  </si>
  <si>
    <t>MAFSETF</t>
  </si>
  <si>
    <t>Gretex Corporate Services Ltd</t>
  </si>
  <si>
    <t>GCSL</t>
  </si>
  <si>
    <t>Other Capital Market related Services</t>
  </si>
  <si>
    <t>Rolex Rings Ltd</t>
  </si>
  <si>
    <t>ROLEXRINGS</t>
  </si>
  <si>
    <t>ICICI Prudential FMCG ETF</t>
  </si>
  <si>
    <t>ICICIFMCG</t>
  </si>
  <si>
    <t>Exxaro Tiles Ltd</t>
  </si>
  <si>
    <t>EXXARO</t>
  </si>
  <si>
    <t>Furniture- Home Furnishing- Flooring</t>
  </si>
  <si>
    <t>Krsnaa Diagnostics Ltd</t>
  </si>
  <si>
    <t>KRSNAA</t>
  </si>
  <si>
    <t>Healthcare Service Provider</t>
  </si>
  <si>
    <t>Windlas Biotech Ltd</t>
  </si>
  <si>
    <t>WINDLAS</t>
  </si>
  <si>
    <t>Devyani International Ltd</t>
  </si>
  <si>
    <t>DEVYANI</t>
  </si>
  <si>
    <t>Meghmani Organics Ltd</t>
  </si>
  <si>
    <t>MOL</t>
  </si>
  <si>
    <t>Meghmani Finechem Ltd</t>
  </si>
  <si>
    <t>MFL</t>
  </si>
  <si>
    <t>CarTrade Tech Ltd</t>
  </si>
  <si>
    <t>CARTRADE</t>
  </si>
  <si>
    <t>Nuvoco Vistas Corporation Ltd</t>
  </si>
  <si>
    <t>NUVOCO</t>
  </si>
  <si>
    <t>Aptus Value Housing Finance India Ltd</t>
  </si>
  <si>
    <t>APTUS</t>
  </si>
  <si>
    <t>Chemplast Sanmar Ltd</t>
  </si>
  <si>
    <t>CHEMPLASTS</t>
  </si>
  <si>
    <t>Sharpline Broadcast Ltd</t>
  </si>
  <si>
    <t>SHARPLINE</t>
  </si>
  <si>
    <t>Advertising &amp; Media Agencies</t>
  </si>
  <si>
    <t>Aashka Hospitals Ltd</t>
  </si>
  <si>
    <t>AASHKA</t>
  </si>
  <si>
    <t>AXIS TECHNOLOGY ETF</t>
  </si>
  <si>
    <t>AXISTECETF</t>
  </si>
  <si>
    <t>AXIS HEALTHCARE ETF</t>
  </si>
  <si>
    <t>AXISHETF</t>
  </si>
  <si>
    <t>Ami Organics Ltd</t>
  </si>
  <si>
    <t>AMIORG</t>
  </si>
  <si>
    <t>Vijaya Diagnostic Centre Ltd</t>
  </si>
  <si>
    <t>VIJAYA</t>
  </si>
  <si>
    <t>Naapbooks Ltd</t>
  </si>
  <si>
    <t>NBL</t>
  </si>
  <si>
    <t>PlatinumOne Business Services Ltd</t>
  </si>
  <si>
    <t>POBS</t>
  </si>
  <si>
    <t>Business Process Outsourcing (BPO)/ Knowledge Process Outsourcing (KPO)</t>
  </si>
  <si>
    <t>AXIS CONSUMPTION ETF</t>
  </si>
  <si>
    <t>AXISCETF</t>
  </si>
  <si>
    <t>Sansera Engineering Ltd</t>
  </si>
  <si>
    <t>SANSERA</t>
  </si>
  <si>
    <t>Prevest Denpro Ltd</t>
  </si>
  <si>
    <t>PREVEST</t>
  </si>
  <si>
    <t>Markolines Traffic Controls Ltd</t>
  </si>
  <si>
    <t>MTCL</t>
  </si>
  <si>
    <t>Mirae Asset S&amp;P 500 Top 50 ETF</t>
  </si>
  <si>
    <t>MASPTOP50</t>
  </si>
  <si>
    <t>SBL Infratech Ltd</t>
  </si>
  <si>
    <t>SBLI</t>
  </si>
  <si>
    <t>Paras Defence and Space Technologies Ltd</t>
  </si>
  <si>
    <t>PARAS</t>
  </si>
  <si>
    <t>Getalong Enterprise Ltd</t>
  </si>
  <si>
    <t>GETALONG</t>
  </si>
  <si>
    <t>Trading - Textile Products</t>
  </si>
  <si>
    <t>Shri Venkatesh Refineries Ltd</t>
  </si>
  <si>
    <t>SVRL</t>
  </si>
  <si>
    <t>Aditya Birla Sun Life AMC Ltd</t>
  </si>
  <si>
    <t>ABSLAMC</t>
  </si>
  <si>
    <t>Asset Management Company</t>
  </si>
  <si>
    <t>Promax Power Ltd</t>
  </si>
  <si>
    <t>PROMAX</t>
  </si>
  <si>
    <t>Engineering- Designing &amp; Construction</t>
  </si>
  <si>
    <t>Samor Reality Ltd</t>
  </si>
  <si>
    <t>SAMOR</t>
  </si>
  <si>
    <t>Adishakti Loha and Ispat Ltd</t>
  </si>
  <si>
    <t>ADISHAKTI</t>
  </si>
  <si>
    <t>CWD Ltd</t>
  </si>
  <si>
    <t>CWD</t>
  </si>
  <si>
    <t>ICICI Prudential Consumption ETF</t>
  </si>
  <si>
    <t>ICICICONSU</t>
  </si>
  <si>
    <t>FSN E-Commerce Ventures Ltd</t>
  </si>
  <si>
    <t>NYKAA</t>
  </si>
  <si>
    <t>National Highways Infra Trust</t>
  </si>
  <si>
    <t>NHIT</t>
  </si>
  <si>
    <t>Fino Payments Bank Ltd</t>
  </si>
  <si>
    <t>FINOPB</t>
  </si>
  <si>
    <t>S.J.S. Enterprises Ltd</t>
  </si>
  <si>
    <t>SJS</t>
  </si>
  <si>
    <t>DSP Nifty 50 Equal Weight ETF</t>
  </si>
  <si>
    <t>DSPNEWETF</t>
  </si>
  <si>
    <t>Sigachi Industries Ltd</t>
  </si>
  <si>
    <t>SIGACHI</t>
  </si>
  <si>
    <t>PB Fintech Ltd</t>
  </si>
  <si>
    <t>POLICYBZR</t>
  </si>
  <si>
    <t>Suyog Gurbaxani Funicular Ropeways Ltd</t>
  </si>
  <si>
    <t>SGFRL</t>
  </si>
  <si>
    <t>One 97 Communications Ltd</t>
  </si>
  <si>
    <t>PAYTM</t>
  </si>
  <si>
    <t>Sapphire Foods India Ltd</t>
  </si>
  <si>
    <t>SAPPHIRE</t>
  </si>
  <si>
    <t>Latent View Analytics Ltd</t>
  </si>
  <si>
    <t>LATENTVIEW</t>
  </si>
  <si>
    <t>Tarsons Products Ltd</t>
  </si>
  <si>
    <t>TARSONS</t>
  </si>
  <si>
    <t>Omnipotent Industries Ltd</t>
  </si>
  <si>
    <t>OMNIPOTENT</t>
  </si>
  <si>
    <t>Refineries &amp; Marketing</t>
  </si>
  <si>
    <t>Go Fashion (India) Ltd</t>
  </si>
  <si>
    <t>GOCOLORS</t>
  </si>
  <si>
    <t>Speciality Retail</t>
  </si>
  <si>
    <t>DMR Hydroengineering &amp; Infrastructures Ltd</t>
  </si>
  <si>
    <t>DMR</t>
  </si>
  <si>
    <t>Hi-Tech Pipes Ltd</t>
  </si>
  <si>
    <t>Star Health and Allied Insurance Company Ltd</t>
  </si>
  <si>
    <t>STARHEALTH</t>
  </si>
  <si>
    <t>Tega Industries Ltd</t>
  </si>
  <si>
    <t>TEGA</t>
  </si>
  <si>
    <t>Industrial Equipments</t>
  </si>
  <si>
    <t>Mirae Asset Hang Seng TECH ETF</t>
  </si>
  <si>
    <t>MAHKTECH</t>
  </si>
  <si>
    <t>Anand Rathi Wealth Ltd</t>
  </si>
  <si>
    <t>ANANDRATHI</t>
  </si>
  <si>
    <t>Financial Products Distributor</t>
  </si>
  <si>
    <t>Zodiac Energy Ltd</t>
  </si>
  <si>
    <t>RateGain Travel Technologies Ltd</t>
  </si>
  <si>
    <t>RATEGAIN</t>
  </si>
  <si>
    <t>Shriram Properties Ltd</t>
  </si>
  <si>
    <t>SHRIRAMPPS</t>
  </si>
  <si>
    <t>Jet Freight Logistics Ltd</t>
  </si>
  <si>
    <t>Logistics Solution Provider</t>
  </si>
  <si>
    <t>C.E. Info Systems Ltd</t>
  </si>
  <si>
    <t>MAPMYINDIA</t>
  </si>
  <si>
    <t>Software Products</t>
  </si>
  <si>
    <t>Metro Brands Ltd</t>
  </si>
  <si>
    <t>METROBRAND</t>
  </si>
  <si>
    <t>Medplus Health Services Ltd</t>
  </si>
  <si>
    <t>MEDPLUS</t>
  </si>
  <si>
    <t>Pharmacy Retail</t>
  </si>
  <si>
    <t>Data Patterns (India) Ltd</t>
  </si>
  <si>
    <t>DATAPATTNS</t>
  </si>
  <si>
    <t>HP Adhesives Ltd</t>
  </si>
  <si>
    <t>HPAL</t>
  </si>
  <si>
    <t>Supriya Lifescience Ltd</t>
  </si>
  <si>
    <t>SUPRIYA</t>
  </si>
  <si>
    <t>Clara Industries Ltd</t>
  </si>
  <si>
    <t>CLARA</t>
  </si>
  <si>
    <t>Wherrelz IT Solutions Ltd</t>
  </si>
  <si>
    <t>WITS</t>
  </si>
  <si>
    <t>Motilal Oswal Nasdaq Q 50 ETF</t>
  </si>
  <si>
    <t>MONQ50</t>
  </si>
  <si>
    <t>DSP Nifty Midcap 150 Quality 50 ETF</t>
  </si>
  <si>
    <t>DSPQ50ETF</t>
  </si>
  <si>
    <t>Brandbucket Media &amp; Technology Ltd</t>
  </si>
  <si>
    <t>BRANDBUCKT</t>
  </si>
  <si>
    <t>DSP Nifty 50 ETF</t>
  </si>
  <si>
    <t>DSPN50ETF</t>
  </si>
  <si>
    <t>CMS Info Systems Ltd</t>
  </si>
  <si>
    <t>CMSINFO</t>
  </si>
  <si>
    <t>Brand Concepts Ltd</t>
  </si>
  <si>
    <t>Ascensive Educare Ltd</t>
  </si>
  <si>
    <t>ASCENSIVE</t>
  </si>
  <si>
    <t>Fabino Life Sciences Ltd</t>
  </si>
  <si>
    <t>FABINO</t>
  </si>
  <si>
    <t>Wonder Fibromats Ltd</t>
  </si>
  <si>
    <t>WFL</t>
  </si>
  <si>
    <t>ICICI Prudential Nifty Auto ETF</t>
  </si>
  <si>
    <t>ICICIAUTO</t>
  </si>
  <si>
    <t>AGS Transact Technologies Ltd</t>
  </si>
  <si>
    <t>AGSTRA</t>
  </si>
  <si>
    <t>ICICI Prudential Silver ETF</t>
  </si>
  <si>
    <t>ICICISILVE</t>
  </si>
  <si>
    <t>Alkosign Ltd</t>
  </si>
  <si>
    <t>ALKOSIGN</t>
  </si>
  <si>
    <t>Stationary</t>
  </si>
  <si>
    <t>Mirae Asset Nifty India Manufacturing ETF</t>
  </si>
  <si>
    <t>MAMFGETF</t>
  </si>
  <si>
    <t>Adani Wilmar Ltd</t>
  </si>
  <si>
    <t>AWL</t>
  </si>
  <si>
    <t>Quality RO Industries Ltd</t>
  </si>
  <si>
    <t>QRIL</t>
  </si>
  <si>
    <t>Safa Systems &amp; Technologies Ltd</t>
  </si>
  <si>
    <t>SSTL</t>
  </si>
  <si>
    <t>Dev Information Technology Ltd</t>
  </si>
  <si>
    <t>IT Enabled Services</t>
  </si>
  <si>
    <t>Vedant Fashions Ltd</t>
  </si>
  <si>
    <t>MANYAVAR</t>
  </si>
  <si>
    <t>Maruti Interior Products Ltd</t>
  </si>
  <si>
    <t>MARUTIIPL</t>
  </si>
  <si>
    <t>Motilal Oswal Nifty 200 Momentum 30 ETF</t>
  </si>
  <si>
    <t>MOMOMENTUM</t>
  </si>
  <si>
    <t>Softtech Engineers Ltd</t>
  </si>
  <si>
    <t>Aditya Birla Sun Life Silver ETF</t>
  </si>
  <si>
    <t>SILVER</t>
  </si>
  <si>
    <t>Aditya Birla Sunlife Nifty IT ETF</t>
  </si>
  <si>
    <t>TECH</t>
  </si>
  <si>
    <t>Aditya Birla Sun Life Nifty Healthcare ETF</t>
  </si>
  <si>
    <t>HEALTHY</t>
  </si>
  <si>
    <t>Aditya Birla Sun Life Nifty ETF</t>
  </si>
  <si>
    <t>BSLNIFTY</t>
  </si>
  <si>
    <t>Ekennis Software Service Ltd</t>
  </si>
  <si>
    <t>EKENNIS</t>
  </si>
  <si>
    <t>Mirae Asset Nifty Midcap 150 ETF</t>
  </si>
  <si>
    <t>MAM150ETF</t>
  </si>
  <si>
    <t>Eureka Forbes Ltd</t>
  </si>
  <si>
    <t>EUREKAFORBE</t>
  </si>
  <si>
    <t>Gateway Distriparks Ltd</t>
  </si>
  <si>
    <t>GATEWAY</t>
  </si>
  <si>
    <t>GMR Power and Urban Infra Ltd</t>
  </si>
  <si>
    <t>GMRP&amp;UI</t>
  </si>
  <si>
    <t>Bhatia Colour Chem Ltd</t>
  </si>
  <si>
    <t>BCCL</t>
  </si>
  <si>
    <t>Motherson Sumi Wiring India Ltd</t>
  </si>
  <si>
    <t>MSUMI</t>
  </si>
  <si>
    <t>Achyut Healthcare Ltd</t>
  </si>
  <si>
    <t>ACHYUT</t>
  </si>
  <si>
    <t>Evoq Remedies Ltd</t>
  </si>
  <si>
    <t>EVOQ</t>
  </si>
  <si>
    <t>Motilal Oswal S&amp;P BSE Low Volatility ETF</t>
  </si>
  <si>
    <t>MOLOWVOL</t>
  </si>
  <si>
    <t>Avro India Ltd</t>
  </si>
  <si>
    <t>AVROIND</t>
  </si>
  <si>
    <t>Plastic Products - Consumer</t>
  </si>
  <si>
    <t>Uma Exports Ltd</t>
  </si>
  <si>
    <t>UMAEXPORTS</t>
  </si>
  <si>
    <t>Veranda Learning Solutions Ltd</t>
  </si>
  <si>
    <t>VERANDA</t>
  </si>
  <si>
    <t>Sunrise Efficient Marketing Ltd</t>
  </si>
  <si>
    <t>SEML</t>
  </si>
  <si>
    <t>Dhyaani Tile and Marblez Ltd</t>
  </si>
  <si>
    <t>DHYAANI</t>
  </si>
  <si>
    <t>Hariom Pipe Industries Ltd</t>
  </si>
  <si>
    <t>HARIOMPIPE</t>
  </si>
  <si>
    <t>Eighty Jewellers Ltd</t>
  </si>
  <si>
    <t>EIGHTY</t>
  </si>
  <si>
    <t>Shashwat Furnishing Solutions Ltd</t>
  </si>
  <si>
    <t>SFSL</t>
  </si>
  <si>
    <t>Global Longlife Hospital and Research Ltd</t>
  </si>
  <si>
    <t>GLHRL</t>
  </si>
  <si>
    <t>Fone4 Communications (India) Ltd</t>
  </si>
  <si>
    <t>FONE4</t>
  </si>
  <si>
    <t>Nanavati Ventures Ltd</t>
  </si>
  <si>
    <t>NVENTURES</t>
  </si>
  <si>
    <t>Precious Metals</t>
  </si>
  <si>
    <t>Campus Activewear Ltd</t>
  </si>
  <si>
    <t>CAMPUS</t>
  </si>
  <si>
    <t>Rainbow Children's Medicare Ltd</t>
  </si>
  <si>
    <t>RAINBOW</t>
  </si>
  <si>
    <t>Silver Touch Technologies Ltd</t>
  </si>
  <si>
    <t>Life Insurance Corporation of India</t>
  </si>
  <si>
    <t>LICI</t>
  </si>
  <si>
    <t>Prudent Corporate Advisory Services Ltd</t>
  </si>
  <si>
    <t>PRUDENT</t>
  </si>
  <si>
    <t>Venus Pipes &amp; Tubes Ltd</t>
  </si>
  <si>
    <t>VENUSPIPES</t>
  </si>
  <si>
    <t>Delhivery Ltd</t>
  </si>
  <si>
    <t>DELHIVERY</t>
  </si>
  <si>
    <t>Paradeep Phosphates Ltd</t>
  </si>
  <si>
    <t>PARADEEP</t>
  </si>
  <si>
    <t>Tierra Agrotech Ltd</t>
  </si>
  <si>
    <t>TIERRA</t>
  </si>
  <si>
    <t>Ethos Ltd</t>
  </si>
  <si>
    <t>ETHOSLTD</t>
  </si>
  <si>
    <t>eMudhra Ltd</t>
  </si>
  <si>
    <t>EMUDHRA</t>
  </si>
  <si>
    <t>Aether Industries Ltd</t>
  </si>
  <si>
    <t>AETHER</t>
  </si>
  <si>
    <t>We Win Ltd</t>
  </si>
  <si>
    <t>WEWIN</t>
  </si>
  <si>
    <t>Silver Pearl Hospitality &amp; Luxury Spaces Ltd</t>
  </si>
  <si>
    <t>SILVERPRL</t>
  </si>
  <si>
    <t>Kotak Banking ETF - Dividend Payout Option</t>
  </si>
  <si>
    <t>KOTAKBKETF</t>
  </si>
  <si>
    <t>SBI-ETF NIFTY BANK</t>
  </si>
  <si>
    <t>SETFNIFBK</t>
  </si>
  <si>
    <t>SBI-ETF NIFTY 50</t>
  </si>
  <si>
    <t>SETFNIF50</t>
  </si>
  <si>
    <t xml:space="preserve">   52 Week (High - INR 1542 &amp; Low - 1055)</t>
  </si>
  <si>
    <t xml:space="preserve">Godrej Consumer Products Limited (GCPL) is an Indian Multinational consumer goods company based in Mumbai, India. GCPL's products include soap, hair colorants, toiletries, and liquid detergents. Its brands include 'Cinthol', 'Godrej Fair Glow', 'Godrej No.1' and 'Godrej Shikakai' in soaps, 'Godrej Powder Hair Dye', 'Renew', 'ColourSoft' in hair colourants and 'Ezee' iquid detergent. GCPL operates several manufacturing facilities in India spread over seven locations and grouped into four operating clusters at Malanpur (Madhya Pradesh), Guwahati (Assam), Baddi- Thana (Himachal Pradesh), Baddi- Katha (Himachal Pradesh), Pondicherry, Chennai and Sikkim. </t>
  </si>
  <si>
    <t>Adj Close</t>
  </si>
  <si>
    <t>Sorted Returns</t>
  </si>
  <si>
    <t>Calculation of Value at Risk - Godrej Consumer (Simulation)</t>
  </si>
  <si>
    <t>Historical Approach</t>
  </si>
  <si>
    <t>Monte Carlo Simulation</t>
  </si>
  <si>
    <t xml:space="preserve">  (GODREJCP | BSE Code: 532424)</t>
  </si>
  <si>
    <t>Altman's Z Score Analysis</t>
  </si>
  <si>
    <t>Working Capital / Total Assets</t>
  </si>
  <si>
    <t>Working Capital</t>
  </si>
  <si>
    <t>Working Capital / Total Assets (A)</t>
  </si>
  <si>
    <t>Retained Earnings / Total Assets</t>
  </si>
  <si>
    <t>Retained Earnings / Total Assets (B)</t>
  </si>
  <si>
    <t>EBIT / Total Assets</t>
  </si>
  <si>
    <t>EBIT/Total Assets (C)</t>
  </si>
  <si>
    <t>Market Cap / Long term Liabilities</t>
  </si>
  <si>
    <t>Market Cap</t>
  </si>
  <si>
    <t>Long term Liabilities</t>
  </si>
  <si>
    <t>Market Cap / Long term Liabilities (D)</t>
  </si>
  <si>
    <t>Sales / Total Assets</t>
  </si>
  <si>
    <t>Total Sales</t>
  </si>
  <si>
    <t>Altman's Z Score</t>
  </si>
  <si>
    <t>Final Score</t>
  </si>
  <si>
    <t>Financial Stability</t>
  </si>
  <si>
    <t>Total Sales / Total Assets (E)</t>
  </si>
  <si>
    <t>No. Eq. Shares Cr.</t>
  </si>
  <si>
    <t>Cash End Rs.Cr.</t>
  </si>
  <si>
    <t>Sales Rs.Cr.</t>
  </si>
  <si>
    <t>EV / EBITDA</t>
  </si>
  <si>
    <t>NP 12M Rs.Cr.</t>
  </si>
  <si>
    <t>Yash Optics</t>
  </si>
  <si>
    <t>JHS Sven.Lab.</t>
  </si>
  <si>
    <t>GKB Ophthalmics</t>
  </si>
  <si>
    <t>Paramount Cosmet</t>
  </si>
  <si>
    <t>Novateor Resear.</t>
  </si>
  <si>
    <t>Ador Multi Prod.</t>
  </si>
  <si>
    <t>EV</t>
  </si>
  <si>
    <r>
      <t xml:space="preserve">Tax Rate </t>
    </r>
    <r>
      <rPr>
        <b/>
        <vertAlign val="superscript"/>
        <sz val="11"/>
        <color theme="1"/>
        <rFont val="calibri"/>
        <family val="2"/>
      </rPr>
      <t>1</t>
    </r>
  </si>
  <si>
    <r>
      <t xml:space="preserve">Beta </t>
    </r>
    <r>
      <rPr>
        <b/>
        <vertAlign val="superscript"/>
        <sz val="11"/>
        <color theme="1"/>
        <rFont val="calibri"/>
        <family val="2"/>
      </rPr>
      <t>2</t>
    </r>
  </si>
  <si>
    <r>
      <t xml:space="preserve">Beta </t>
    </r>
    <r>
      <rPr>
        <b/>
        <vertAlign val="superscript"/>
        <sz val="11"/>
        <color theme="1"/>
        <rFont val="calibri"/>
        <family val="2"/>
      </rPr>
      <t>3</t>
    </r>
  </si>
  <si>
    <t>Forecasting - GODREJ CONSUMER PRODUCTS LTD</t>
  </si>
  <si>
    <t>Beta Regression - GODREJ CONSUMER PRODUCTS LTD</t>
  </si>
  <si>
    <t>Weighted Average Cost of Capital- GODREJ CONSUMER PRODUCTS LTD</t>
  </si>
  <si>
    <t>Intrinsic Growth - GODREJ CONSUMER PRODUCTS LTD</t>
  </si>
  <si>
    <t>Discounted Cash Flow - GODREJ CONSUMER PRODUCTS LTD</t>
  </si>
  <si>
    <t>Comparable Company Valuation - GODREJ CONSUMER PRODUCTS LTD</t>
  </si>
  <si>
    <t>Value at Risk - GODREJ CONSUMER PRODUCTS LTD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</si>
</sst>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 #,##0.00_ ;_ * \-#,##0.00_ ;_ * &quot;-&quot;??_ ;_ @_ "/>
    <numFmt numFmtId="164" formatCode="[$-409]mmm\-yy;@"/>
    <numFmt numFmtId="165" formatCode="_(* #,##0.00_);_(* \(#,##0.00\);_(* &quot;-&quot;??_);_(@_)"/>
    <numFmt numFmtId="166" formatCode="&quot;₹&quot;\ #,##0.0;\(&quot;₹&quot;\ #,##0.0\);\-"/>
    <numFmt numFmtId="167" formatCode="&quot;₹&quot;\ #,##0.00"/>
    <numFmt numFmtId="168" formatCode="0.00&quot;x&quot;"/>
    <numFmt numFmtId="169" formatCode="yyyy&quot;A&quot;"/>
    <numFmt numFmtId="170" formatCode="#,##0.0"/>
    <numFmt numFmtId="171" formatCode="yyyy&quot;E&quot;"/>
    <numFmt numFmtId="172" formatCode="#,##0.0;\(#,##0.0\);\-"/>
    <numFmt numFmtId="173" formatCode="0.0"/>
    <numFmt numFmtId="174" formatCode="0.0\x"/>
    <numFmt numFmtId="175" formatCode="0.00\x"/>
  </numFmts>
  <fonts count="38" x14ac:knownFonts="1">
    <font>
      <sz val="11"/>
      <color theme="1"/>
      <name val="calibri"/>
      <family val="2"/>
    </font>
    <font>
      <sz val="11"/>
      <color theme="1"/>
      <name val="Calibri"/>
      <family val="2"/>
      <scheme val="minor"/>
    </font>
    <font>
      <sz val="11"/>
      <color theme="1"/>
      <name val="calibri"/>
      <family val="2"/>
    </font>
    <font>
      <b/>
      <sz val="11"/>
      <color theme="0"/>
      <name val="calibri"/>
      <family val="2"/>
    </font>
    <font>
      <b/>
      <sz val="11"/>
      <color theme="1"/>
      <name val="calibri"/>
      <family val="2"/>
    </font>
    <font>
      <u/>
      <sz val="11"/>
      <color theme="10"/>
      <name val="calibri"/>
      <family val="2"/>
    </font>
    <font>
      <sz val="11"/>
      <color theme="1"/>
      <name val="Calibri"/>
      <family val="2"/>
      <scheme val="minor"/>
    </font>
    <font>
      <b/>
      <sz val="10"/>
      <color theme="1"/>
      <name val="Arial"/>
      <family val="2"/>
    </font>
    <font>
      <u/>
      <sz val="10"/>
      <color theme="10"/>
      <name val="Arial"/>
      <family val="2"/>
    </font>
    <font>
      <sz val="10"/>
      <color theme="1"/>
      <name val="Arial"/>
      <family val="2"/>
    </font>
    <font>
      <sz val="11"/>
      <color theme="0"/>
      <name val="Calibri"/>
      <family val="2"/>
      <scheme val="minor"/>
    </font>
    <font>
      <b/>
      <sz val="10"/>
      <color theme="0"/>
      <name val="Arial"/>
      <family val="2"/>
    </font>
    <font>
      <sz val="10"/>
      <name val="Arial"/>
      <family val="2"/>
    </font>
    <font>
      <sz val="11"/>
      <color theme="1"/>
      <name val="Arial Narrow"/>
      <family val="2"/>
    </font>
    <font>
      <i/>
      <sz val="11"/>
      <color theme="1"/>
      <name val="calibri"/>
      <family val="2"/>
    </font>
    <font>
      <i/>
      <sz val="11"/>
      <color theme="0" tint="-0.499984740745262"/>
      <name val="calibri"/>
      <family val="2"/>
    </font>
    <font>
      <b/>
      <sz val="14"/>
      <color theme="0"/>
      <name val="calibri"/>
      <family val="2"/>
    </font>
    <font>
      <b/>
      <sz val="12"/>
      <color theme="0"/>
      <name val="calibri"/>
      <family val="2"/>
    </font>
    <font>
      <b/>
      <sz val="14"/>
      <color theme="1"/>
      <name val="calibri"/>
      <family val="2"/>
    </font>
    <font>
      <i/>
      <sz val="10"/>
      <color theme="1"/>
      <name val="calibri"/>
      <family val="2"/>
    </font>
    <font>
      <vertAlign val="superscript"/>
      <sz val="11"/>
      <color theme="1"/>
      <name val="Calibri"/>
      <family val="2"/>
    </font>
    <font>
      <sz val="11"/>
      <color rgb="FF3333FF"/>
      <name val="calibri"/>
      <family val="2"/>
    </font>
    <font>
      <i/>
      <sz val="9"/>
      <color theme="1"/>
      <name val="calibri"/>
      <family val="2"/>
    </font>
    <font>
      <sz val="11"/>
      <color theme="0"/>
      <name val="calibri"/>
      <family val="2"/>
    </font>
    <font>
      <sz val="11"/>
      <name val="calibri"/>
      <family val="2"/>
    </font>
    <font>
      <sz val="12"/>
      <color theme="1"/>
      <name val="calibri"/>
      <family val="2"/>
    </font>
    <font>
      <b/>
      <sz val="22"/>
      <color rgb="FFB50C59"/>
      <name val="calibri"/>
      <family val="2"/>
    </font>
    <font>
      <b/>
      <sz val="14"/>
      <color rgb="FFB50C59"/>
      <name val="calibri"/>
      <family val="2"/>
    </font>
    <font>
      <b/>
      <sz val="22"/>
      <color theme="1"/>
      <name val="calibri"/>
      <family val="2"/>
    </font>
    <font>
      <b/>
      <sz val="16"/>
      <color theme="1"/>
      <name val="calibri"/>
      <family val="2"/>
    </font>
    <font>
      <b/>
      <sz val="12"/>
      <color theme="1"/>
      <name val="calibri"/>
      <family val="2"/>
    </font>
    <font>
      <b/>
      <sz val="18"/>
      <color rgb="FFB50C59"/>
      <name val="calibri"/>
      <family val="2"/>
    </font>
    <font>
      <b/>
      <i/>
      <sz val="11"/>
      <color rgb="FFB50C59"/>
      <name val="calibri"/>
      <family val="2"/>
    </font>
    <font>
      <b/>
      <sz val="12"/>
      <color rgb="FFB50C59"/>
      <name val="calibri"/>
      <family val="2"/>
    </font>
    <font>
      <sz val="11"/>
      <color rgb="FFB50C59"/>
      <name val="calibri"/>
      <family val="2"/>
    </font>
    <font>
      <b/>
      <vertAlign val="superscript"/>
      <sz val="11"/>
      <color theme="1"/>
      <name val="calibri"/>
      <family val="2"/>
    </font>
    <font>
      <b/>
      <sz val="20"/>
      <color theme="1"/>
      <name val="calibri"/>
      <family val="2"/>
    </font>
    <font>
      <b/>
      <u/>
      <sz val="16"/>
      <color theme="0"/>
      <name val="calibri"/>
      <family val="2"/>
    </font>
  </fonts>
  <fills count="9">
    <fill>
      <patternFill patternType="none"/>
    </fill>
    <fill>
      <patternFill patternType="gray125"/>
    </fill>
    <fill>
      <patternFill patternType="solid">
        <fgColor theme="9"/>
      </patternFill>
    </fill>
    <fill>
      <patternFill patternType="solid">
        <fgColor rgb="FF0275D8"/>
        <bgColor indexed="64"/>
      </patternFill>
    </fill>
    <fill>
      <patternFill patternType="solid">
        <fgColor rgb="FFB50C59"/>
        <bgColor indexed="64"/>
      </patternFill>
    </fill>
    <fill>
      <patternFill patternType="solid">
        <fgColor rgb="FFF0CEDE"/>
        <bgColor indexed="64"/>
      </patternFill>
    </fill>
    <fill>
      <patternFill patternType="solid">
        <fgColor rgb="FF002060"/>
        <bgColor indexed="64"/>
      </patternFill>
    </fill>
    <fill>
      <patternFill patternType="solid">
        <fgColor theme="0"/>
        <bgColor indexed="64"/>
      </patternFill>
    </fill>
    <fill>
      <patternFill patternType="solid">
        <fgColor rgb="FFEBB7CF"/>
        <bgColor indexed="64"/>
      </patternFill>
    </fill>
  </fills>
  <borders count="33">
    <border>
      <left/>
      <right/>
      <top/>
      <bottom/>
      <diagonal/>
    </border>
    <border>
      <left/>
      <right/>
      <top style="thin">
        <color rgb="FFB50C59"/>
      </top>
      <bottom style="thin">
        <color rgb="FFB50C59"/>
      </bottom>
      <diagonal/>
    </border>
    <border>
      <left/>
      <right style="thin">
        <color rgb="FFB50C59"/>
      </right>
      <top/>
      <bottom/>
      <diagonal/>
    </border>
    <border>
      <left/>
      <right style="thin">
        <color rgb="FFB50C59"/>
      </right>
      <top/>
      <bottom style="hair">
        <color theme="8" tint="-0.499984740745262"/>
      </bottom>
      <diagonal/>
    </border>
    <border>
      <left/>
      <right style="thin">
        <color rgb="FFB50C59"/>
      </right>
      <top style="hair">
        <color theme="8" tint="-0.499984740745262"/>
      </top>
      <bottom/>
      <diagonal/>
    </border>
    <border>
      <left/>
      <right style="thin">
        <color rgb="FFB50C59"/>
      </right>
      <top/>
      <bottom style="hair">
        <color rgb="FFB50C59"/>
      </bottom>
      <diagonal/>
    </border>
    <border>
      <left/>
      <right style="thin">
        <color rgb="FFB50C59"/>
      </right>
      <top style="hair">
        <color rgb="FFB50C59"/>
      </top>
      <bottom/>
      <diagonal/>
    </border>
    <border>
      <left style="thin">
        <color rgb="FFB50C59"/>
      </left>
      <right/>
      <top style="hair">
        <color rgb="FFB50C59"/>
      </top>
      <bottom/>
      <diagonal/>
    </border>
    <border>
      <left/>
      <right/>
      <top style="hair">
        <color rgb="FFB50C59"/>
      </top>
      <bottom/>
      <diagonal/>
    </border>
    <border>
      <left style="thin">
        <color rgb="FFB50C59"/>
      </left>
      <right/>
      <top/>
      <bottom/>
      <diagonal/>
    </border>
    <border>
      <left style="thin">
        <color rgb="FFB50C59"/>
      </left>
      <right/>
      <top/>
      <bottom style="hair">
        <color rgb="FFB50C59"/>
      </bottom>
      <diagonal/>
    </border>
    <border>
      <left/>
      <right/>
      <top/>
      <bottom style="hair">
        <color rgb="FFB50C59"/>
      </bottom>
      <diagonal/>
    </border>
    <border>
      <left/>
      <right/>
      <top/>
      <bottom style="thin">
        <color rgb="FF002060"/>
      </bottom>
      <diagonal/>
    </border>
    <border>
      <left/>
      <right/>
      <top/>
      <bottom style="thin">
        <color rgb="FFB50C59"/>
      </bottom>
      <diagonal/>
    </border>
    <border>
      <left/>
      <right/>
      <top/>
      <bottom style="medium">
        <color indexed="64"/>
      </bottom>
      <diagonal/>
    </border>
    <border>
      <left/>
      <right/>
      <top style="medium">
        <color indexed="64"/>
      </top>
      <bottom style="thin">
        <color indexed="64"/>
      </bottom>
      <diagonal/>
    </border>
    <border>
      <left/>
      <right/>
      <top style="hair">
        <color rgb="FFB50C59"/>
      </top>
      <bottom style="hair">
        <color rgb="FFB50C59"/>
      </bottom>
      <diagonal/>
    </border>
    <border>
      <left/>
      <right/>
      <top style="thin">
        <color rgb="FFB50C59"/>
      </top>
      <bottom style="medium">
        <color rgb="FFB50C59"/>
      </bottom>
      <diagonal/>
    </border>
    <border>
      <left/>
      <right/>
      <top style="thin">
        <color rgb="FF002060"/>
      </top>
      <bottom/>
      <diagonal/>
    </border>
    <border>
      <left/>
      <right/>
      <top style="thin">
        <color auto="1"/>
      </top>
      <bottom/>
      <diagonal/>
    </border>
    <border>
      <left/>
      <right/>
      <top/>
      <bottom style="thin">
        <color auto="1"/>
      </bottom>
      <diagonal/>
    </border>
    <border>
      <left/>
      <right/>
      <top style="hair">
        <color auto="1"/>
      </top>
      <bottom/>
      <diagonal/>
    </border>
    <border>
      <left/>
      <right/>
      <top style="hair">
        <color rgb="FF002060"/>
      </top>
      <bottom style="hair">
        <color rgb="FF002060"/>
      </bottom>
      <diagonal/>
    </border>
    <border>
      <left/>
      <right/>
      <top style="thin">
        <color rgb="FF002060"/>
      </top>
      <bottom style="thin">
        <color rgb="FF002060"/>
      </bottom>
      <diagonal/>
    </border>
    <border>
      <left/>
      <right/>
      <top style="hair">
        <color rgb="FF002060"/>
      </top>
      <bottom/>
      <diagonal/>
    </border>
    <border>
      <left/>
      <right/>
      <top/>
      <bottom style="thin">
        <color theme="0"/>
      </bottom>
      <diagonal/>
    </border>
    <border>
      <left/>
      <right/>
      <top style="thin">
        <color rgb="FFB50C59"/>
      </top>
      <bottom style="hair">
        <color rgb="FFB50C59"/>
      </bottom>
      <diagonal/>
    </border>
    <border>
      <left/>
      <right/>
      <top style="hair">
        <color rgb="FFB50C59"/>
      </top>
      <bottom style="thin">
        <color rgb="FFB50C59"/>
      </bottom>
      <diagonal/>
    </border>
    <border>
      <left/>
      <right/>
      <top style="thin">
        <color rgb="FFB50C59"/>
      </top>
      <bottom/>
      <diagonal/>
    </border>
    <border>
      <left/>
      <right/>
      <top style="thick">
        <color rgb="FFB50C59"/>
      </top>
      <bottom/>
      <diagonal/>
    </border>
    <border>
      <left/>
      <right/>
      <top/>
      <bottom style="thick">
        <color rgb="FFB50C59"/>
      </bottom>
      <diagonal/>
    </border>
    <border>
      <left/>
      <right/>
      <top style="medium">
        <color rgb="FFB50C59"/>
      </top>
      <bottom/>
      <diagonal/>
    </border>
    <border>
      <left/>
      <right/>
      <top/>
      <bottom style="medium">
        <color rgb="FFB50C59"/>
      </bottom>
      <diagonal/>
    </border>
  </borders>
  <cellStyleXfs count="9">
    <xf numFmtId="0" fontId="0" fillId="0" borderId="0"/>
    <xf numFmtId="9" fontId="2" fillId="0" borderId="0" applyFont="0" applyFill="0" applyBorder="0" applyAlignment="0" applyProtection="0"/>
    <xf numFmtId="43" fontId="6" fillId="0" borderId="0" applyFont="0" applyFill="0" applyBorder="0" applyAlignment="0" applyProtection="0"/>
    <xf numFmtId="0" fontId="5" fillId="0" borderId="0" applyNumberFormat="0" applyFill="0" applyBorder="0" applyAlignment="0" applyProtection="0">
      <alignment vertical="top"/>
      <protection locked="0"/>
    </xf>
    <xf numFmtId="0" fontId="10" fillId="2" borderId="0" applyNumberFormat="0" applyBorder="0" applyAlignment="0" applyProtection="0"/>
    <xf numFmtId="0" fontId="6" fillId="0" borderId="0"/>
    <xf numFmtId="9" fontId="6" fillId="0" borderId="0" applyFont="0" applyFill="0" applyBorder="0" applyAlignment="0" applyProtection="0"/>
    <xf numFmtId="0" fontId="13" fillId="0" borderId="0"/>
    <xf numFmtId="0" fontId="1" fillId="0" borderId="0"/>
  </cellStyleXfs>
  <cellXfs count="255">
    <xf numFmtId="0" fontId="0" fillId="0" borderId="0" xfId="0"/>
    <xf numFmtId="43" fontId="7" fillId="0" borderId="0" xfId="2" applyFont="1" applyBorder="1"/>
    <xf numFmtId="43" fontId="9" fillId="0" borderId="0" xfId="2" applyFont="1" applyBorder="1"/>
    <xf numFmtId="0" fontId="9" fillId="0" borderId="0" xfId="5" applyFont="1"/>
    <xf numFmtId="164" fontId="11" fillId="3" borderId="0" xfId="2" applyNumberFormat="1" applyFont="1" applyFill="1" applyBorder="1"/>
    <xf numFmtId="164" fontId="11" fillId="3" borderId="0" xfId="5" applyNumberFormat="1" applyFont="1" applyFill="1" applyAlignment="1">
      <alignment horizontal="center"/>
    </xf>
    <xf numFmtId="164" fontId="12" fillId="0" borderId="0" xfId="2" applyNumberFormat="1" applyFont="1" applyFill="1" applyBorder="1"/>
    <xf numFmtId="0" fontId="6" fillId="0" borderId="0" xfId="5"/>
    <xf numFmtId="9" fontId="9" fillId="0" borderId="0" xfId="6" applyFont="1" applyBorder="1"/>
    <xf numFmtId="0" fontId="13" fillId="0" borderId="0" xfId="7"/>
    <xf numFmtId="165" fontId="9" fillId="0" borderId="0" xfId="2" applyNumberFormat="1" applyFont="1" applyBorder="1"/>
    <xf numFmtId="17" fontId="0" fillId="0" borderId="0" xfId="0" applyNumberFormat="1"/>
    <xf numFmtId="0" fontId="4" fillId="0" borderId="0" xfId="0" applyFont="1"/>
    <xf numFmtId="166" fontId="0" fillId="0" borderId="0" xfId="0" applyNumberFormat="1"/>
    <xf numFmtId="0" fontId="14" fillId="0" borderId="0" xfId="0" applyFont="1"/>
    <xf numFmtId="0" fontId="15" fillId="0" borderId="0" xfId="0" applyFont="1"/>
    <xf numFmtId="0" fontId="15" fillId="0" borderId="0" xfId="0" applyFont="1" applyAlignment="1">
      <alignment horizontal="right"/>
    </xf>
    <xf numFmtId="10" fontId="15" fillId="0" borderId="0" xfId="1" applyNumberFormat="1" applyFont="1"/>
    <xf numFmtId="167" fontId="0" fillId="0" borderId="0" xfId="0" applyNumberFormat="1"/>
    <xf numFmtId="0" fontId="0" fillId="0" borderId="0" xfId="0" applyFill="1"/>
    <xf numFmtId="0" fontId="3" fillId="0" borderId="0" xfId="0" applyFont="1" applyFill="1"/>
    <xf numFmtId="17" fontId="3" fillId="0" borderId="0" xfId="0" applyNumberFormat="1" applyFont="1" applyFill="1"/>
    <xf numFmtId="166" fontId="4" fillId="0" borderId="0" xfId="0" applyNumberFormat="1" applyFont="1"/>
    <xf numFmtId="3" fontId="0" fillId="0" borderId="0" xfId="0" applyNumberFormat="1"/>
    <xf numFmtId="0" fontId="3" fillId="0" borderId="0" xfId="0" applyFont="1" applyFill="1" applyAlignment="1">
      <alignment horizontal="center"/>
    </xf>
    <xf numFmtId="0" fontId="17" fillId="4" borderId="0" xfId="0" applyFont="1" applyFill="1"/>
    <xf numFmtId="17" fontId="17" fillId="4" borderId="0" xfId="0" applyNumberFormat="1" applyFont="1" applyFill="1"/>
    <xf numFmtId="0" fontId="4" fillId="5" borderId="1" xfId="0" applyFont="1" applyFill="1" applyBorder="1"/>
    <xf numFmtId="167" fontId="4" fillId="5" borderId="1" xfId="0" applyNumberFormat="1" applyFont="1" applyFill="1" applyBorder="1"/>
    <xf numFmtId="166" fontId="4" fillId="5" borderId="1" xfId="0" applyNumberFormat="1" applyFont="1" applyFill="1" applyBorder="1"/>
    <xf numFmtId="10" fontId="4" fillId="5" borderId="1" xfId="1" applyNumberFormat="1" applyFont="1" applyFill="1" applyBorder="1"/>
    <xf numFmtId="10" fontId="0" fillId="0" borderId="0" xfId="1" applyNumberFormat="1" applyFont="1" applyBorder="1"/>
    <xf numFmtId="10" fontId="0" fillId="0" borderId="0" xfId="1" applyNumberFormat="1" applyFont="1"/>
    <xf numFmtId="0" fontId="3" fillId="4" borderId="0" xfId="0" applyFont="1" applyFill="1"/>
    <xf numFmtId="17" fontId="3" fillId="4" borderId="0" xfId="0" applyNumberFormat="1" applyFont="1" applyFill="1"/>
    <xf numFmtId="17" fontId="3" fillId="4" borderId="0" xfId="0" applyNumberFormat="1" applyFont="1" applyFill="1" applyAlignment="1">
      <alignment horizontal="center"/>
    </xf>
    <xf numFmtId="17" fontId="3" fillId="4" borderId="0" xfId="0" applyNumberFormat="1" applyFont="1" applyFill="1" applyAlignment="1">
      <alignment horizontal="right"/>
    </xf>
    <xf numFmtId="0" fontId="0" fillId="0" borderId="0" xfId="0" applyBorder="1"/>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applyAlignment="1">
      <alignment horizontal="right"/>
    </xf>
    <xf numFmtId="10" fontId="0" fillId="0" borderId="8" xfId="1" applyNumberFormat="1" applyFont="1" applyBorder="1"/>
    <xf numFmtId="0" fontId="0" fillId="0" borderId="8" xfId="0" applyBorder="1"/>
    <xf numFmtId="0" fontId="0" fillId="0" borderId="9" xfId="0" applyBorder="1" applyAlignment="1">
      <alignment horizontal="right"/>
    </xf>
    <xf numFmtId="0" fontId="0" fillId="0" borderId="10" xfId="0" applyBorder="1" applyAlignment="1">
      <alignment horizontal="right"/>
    </xf>
    <xf numFmtId="10" fontId="0" fillId="0" borderId="11" xfId="1" applyNumberFormat="1" applyFont="1" applyBorder="1"/>
    <xf numFmtId="0" fontId="0" fillId="0" borderId="11" xfId="0" applyBorder="1"/>
    <xf numFmtId="10" fontId="0" fillId="0" borderId="7" xfId="1" applyNumberFormat="1" applyFont="1" applyBorder="1"/>
    <xf numFmtId="10" fontId="0" fillId="0" borderId="9" xfId="1" applyNumberFormat="1" applyFont="1" applyBorder="1"/>
    <xf numFmtId="10" fontId="0" fillId="0" borderId="10" xfId="1" applyNumberFormat="1" applyFont="1" applyBorder="1"/>
    <xf numFmtId="10" fontId="0" fillId="0" borderId="10" xfId="0" applyNumberFormat="1" applyBorder="1"/>
    <xf numFmtId="10" fontId="0" fillId="0" borderId="11" xfId="0" applyNumberFormat="1" applyBorder="1"/>
    <xf numFmtId="168" fontId="0" fillId="0" borderId="10" xfId="0" applyNumberFormat="1" applyBorder="1"/>
    <xf numFmtId="168" fontId="0" fillId="0" borderId="11" xfId="0" applyNumberFormat="1" applyBorder="1"/>
    <xf numFmtId="168" fontId="0" fillId="0" borderId="7" xfId="0" applyNumberFormat="1" applyBorder="1"/>
    <xf numFmtId="168" fontId="0" fillId="0" borderId="8" xfId="0" applyNumberFormat="1" applyBorder="1"/>
    <xf numFmtId="168" fontId="0" fillId="0" borderId="9" xfId="0" applyNumberFormat="1" applyBorder="1"/>
    <xf numFmtId="168" fontId="0" fillId="0" borderId="0" xfId="0" applyNumberFormat="1" applyBorder="1"/>
    <xf numFmtId="1" fontId="0" fillId="0" borderId="7" xfId="0" applyNumberFormat="1" applyBorder="1"/>
    <xf numFmtId="1" fontId="0" fillId="0" borderId="8" xfId="0" applyNumberFormat="1" applyBorder="1"/>
    <xf numFmtId="1" fontId="0" fillId="0" borderId="9" xfId="0" applyNumberFormat="1" applyBorder="1"/>
    <xf numFmtId="1" fontId="0" fillId="0" borderId="0" xfId="0" applyNumberFormat="1" applyBorder="1"/>
    <xf numFmtId="1" fontId="0" fillId="0" borderId="10" xfId="0" applyNumberFormat="1" applyBorder="1"/>
    <xf numFmtId="1" fontId="0" fillId="0" borderId="11" xfId="0" applyNumberFormat="1" applyBorder="1"/>
    <xf numFmtId="43" fontId="4" fillId="0" borderId="0" xfId="0" applyNumberFormat="1" applyFont="1"/>
    <xf numFmtId="10" fontId="4" fillId="0" borderId="0" xfId="1" applyNumberFormat="1" applyFont="1"/>
    <xf numFmtId="43" fontId="0" fillId="0" borderId="0" xfId="0" applyNumberFormat="1"/>
    <xf numFmtId="17" fontId="4" fillId="0" borderId="0" xfId="0" applyNumberFormat="1" applyFont="1"/>
    <xf numFmtId="10" fontId="4" fillId="0" borderId="0" xfId="1" applyNumberFormat="1" applyFont="1" applyBorder="1"/>
    <xf numFmtId="0" fontId="4" fillId="0" borderId="13" xfId="0" applyFont="1" applyBorder="1"/>
    <xf numFmtId="17" fontId="4" fillId="0" borderId="13" xfId="0" applyNumberFormat="1" applyFont="1" applyBorder="1"/>
    <xf numFmtId="0" fontId="3" fillId="6" borderId="0" xfId="0" applyFont="1" applyFill="1"/>
    <xf numFmtId="0" fontId="0" fillId="0" borderId="0" xfId="0" applyAlignment="1">
      <alignment horizontal="left"/>
    </xf>
    <xf numFmtId="169" fontId="0" fillId="0" borderId="0" xfId="0" applyNumberFormat="1" applyAlignment="1">
      <alignment horizontal="right"/>
    </xf>
    <xf numFmtId="170" fontId="0" fillId="0" borderId="0" xfId="0" applyNumberFormat="1"/>
    <xf numFmtId="0" fontId="0" fillId="0" borderId="0" xfId="0" applyAlignment="1">
      <alignment horizontal="right"/>
    </xf>
    <xf numFmtId="4" fontId="0" fillId="0" borderId="0" xfId="0" applyNumberFormat="1"/>
    <xf numFmtId="0" fontId="3" fillId="4" borderId="0" xfId="0" applyFont="1" applyFill="1" applyAlignment="1">
      <alignment horizontal="right"/>
    </xf>
    <xf numFmtId="0" fontId="0" fillId="5" borderId="0" xfId="0" applyFill="1" applyAlignment="1">
      <alignment horizontal="left"/>
    </xf>
    <xf numFmtId="171" fontId="0" fillId="5" borderId="0" xfId="0" applyNumberFormat="1" applyFill="1" applyAlignment="1">
      <alignment horizontal="right"/>
    </xf>
    <xf numFmtId="170" fontId="0" fillId="5" borderId="0" xfId="0" applyNumberFormat="1" applyFill="1"/>
    <xf numFmtId="10" fontId="0" fillId="5" borderId="0" xfId="1" applyNumberFormat="1" applyFont="1" applyFill="1"/>
    <xf numFmtId="4" fontId="0" fillId="5" borderId="0" xfId="0" applyNumberFormat="1" applyFill="1"/>
    <xf numFmtId="10" fontId="0" fillId="0" borderId="0" xfId="1" applyNumberFormat="1" applyFont="1" applyFill="1"/>
    <xf numFmtId="0" fontId="3" fillId="0" borderId="0" xfId="0" applyFont="1" applyFill="1" applyAlignment="1"/>
    <xf numFmtId="0" fontId="4" fillId="0" borderId="13" xfId="0" applyFont="1" applyBorder="1" applyAlignment="1">
      <alignment horizontal="right"/>
    </xf>
    <xf numFmtId="0" fontId="4" fillId="0" borderId="13" xfId="0" applyFont="1" applyBorder="1" applyAlignment="1">
      <alignment horizontal="left"/>
    </xf>
    <xf numFmtId="2" fontId="0" fillId="0" borderId="0" xfId="0" applyNumberFormat="1" applyFill="1"/>
    <xf numFmtId="10" fontId="0" fillId="0" borderId="0" xfId="0" applyNumberFormat="1"/>
    <xf numFmtId="2" fontId="0" fillId="0" borderId="0" xfId="0" applyNumberFormat="1"/>
    <xf numFmtId="0" fontId="0" fillId="0" borderId="0" xfId="0" applyFill="1" applyBorder="1" applyAlignment="1"/>
    <xf numFmtId="0" fontId="0" fillId="0" borderId="14" xfId="0" applyFill="1" applyBorder="1" applyAlignment="1"/>
    <xf numFmtId="0" fontId="14" fillId="0" borderId="15" xfId="0" applyFont="1" applyFill="1" applyBorder="1" applyAlignment="1">
      <alignment horizontal="center"/>
    </xf>
    <xf numFmtId="0" fontId="14" fillId="0" borderId="15" xfId="0" applyFont="1" applyFill="1" applyBorder="1" applyAlignment="1">
      <alignment horizontal="centerContinuous"/>
    </xf>
    <xf numFmtId="9" fontId="0" fillId="0" borderId="0" xfId="0" applyNumberFormat="1"/>
    <xf numFmtId="2" fontId="0" fillId="0" borderId="16" xfId="0" applyNumberFormat="1" applyFill="1" applyBorder="1"/>
    <xf numFmtId="0" fontId="0" fillId="0" borderId="16" xfId="0" applyBorder="1"/>
    <xf numFmtId="10" fontId="0" fillId="0" borderId="16" xfId="0" applyNumberFormat="1" applyBorder="1"/>
    <xf numFmtId="0" fontId="0" fillId="0" borderId="11" xfId="0" applyBorder="1" applyAlignment="1">
      <alignment horizontal="left"/>
    </xf>
    <xf numFmtId="2" fontId="0" fillId="0" borderId="11" xfId="0" applyNumberFormat="1" applyFill="1" applyBorder="1"/>
    <xf numFmtId="0" fontId="4" fillId="5" borderId="17" xfId="0" applyFont="1" applyFill="1" applyBorder="1"/>
    <xf numFmtId="2" fontId="4" fillId="5" borderId="17" xfId="0" applyNumberFormat="1" applyFont="1" applyFill="1" applyBorder="1"/>
    <xf numFmtId="14" fontId="0" fillId="0" borderId="0" xfId="0" applyNumberFormat="1" applyAlignment="1">
      <alignment horizontal="left"/>
    </xf>
    <xf numFmtId="0" fontId="19" fillId="0" borderId="0" xfId="0" applyFont="1"/>
    <xf numFmtId="0" fontId="0" fillId="0" borderId="0" xfId="0" applyAlignment="1">
      <alignment vertical="top"/>
    </xf>
    <xf numFmtId="0" fontId="4" fillId="0" borderId="19" xfId="0" applyFont="1" applyBorder="1"/>
    <xf numFmtId="10" fontId="0" fillId="0" borderId="19" xfId="1" applyNumberFormat="1" applyFont="1" applyBorder="1"/>
    <xf numFmtId="2" fontId="0" fillId="0" borderId="19" xfId="0" applyNumberFormat="1" applyBorder="1"/>
    <xf numFmtId="0" fontId="4" fillId="0" borderId="20" xfId="0" applyFont="1" applyBorder="1"/>
    <xf numFmtId="10" fontId="0" fillId="0" borderId="20" xfId="1" applyNumberFormat="1" applyFont="1" applyBorder="1"/>
    <xf numFmtId="2" fontId="0" fillId="0" borderId="20" xfId="0" applyNumberFormat="1" applyBorder="1"/>
    <xf numFmtId="10" fontId="0" fillId="0" borderId="0" xfId="0" applyNumberFormat="1" applyAlignment="1">
      <alignment horizontal="right"/>
    </xf>
    <xf numFmtId="0" fontId="0" fillId="0" borderId="21" xfId="0" applyBorder="1"/>
    <xf numFmtId="0" fontId="4" fillId="0" borderId="20" xfId="0" applyFont="1" applyBorder="1" applyAlignment="1">
      <alignment horizontal="right"/>
    </xf>
    <xf numFmtId="10" fontId="0" fillId="0" borderId="21" xfId="1" applyNumberFormat="1" applyFont="1" applyBorder="1"/>
    <xf numFmtId="10" fontId="0" fillId="0" borderId="21" xfId="0" applyNumberFormat="1" applyBorder="1"/>
    <xf numFmtId="2" fontId="0" fillId="0" borderId="21" xfId="0" applyNumberFormat="1" applyBorder="1"/>
    <xf numFmtId="0" fontId="22" fillId="0" borderId="0" xfId="0" applyFont="1"/>
    <xf numFmtId="10" fontId="0" fillId="0" borderId="0" xfId="1" applyNumberFormat="1" applyFont="1" applyFill="1" applyBorder="1"/>
    <xf numFmtId="0" fontId="0" fillId="0" borderId="0" xfId="0" applyAlignment="1"/>
    <xf numFmtId="0" fontId="0" fillId="0" borderId="0" xfId="0" applyFont="1" applyBorder="1" applyAlignment="1">
      <alignment horizontal="right"/>
    </xf>
    <xf numFmtId="2" fontId="2" fillId="0" borderId="0" xfId="1" applyNumberFormat="1" applyFont="1" applyFill="1"/>
    <xf numFmtId="17" fontId="3" fillId="6" borderId="0" xfId="0" applyNumberFormat="1" applyFont="1" applyFill="1"/>
    <xf numFmtId="172" fontId="0" fillId="0" borderId="22" xfId="0" applyNumberFormat="1" applyBorder="1"/>
    <xf numFmtId="172" fontId="0" fillId="0" borderId="0" xfId="0" applyNumberFormat="1"/>
    <xf numFmtId="0" fontId="4" fillId="0" borderId="23" xfId="0" applyFont="1" applyBorder="1"/>
    <xf numFmtId="0" fontId="4" fillId="0" borderId="0" xfId="0" applyFont="1" applyBorder="1"/>
    <xf numFmtId="172" fontId="4" fillId="0" borderId="0" xfId="0" applyNumberFormat="1" applyFont="1"/>
    <xf numFmtId="0" fontId="4" fillId="0" borderId="18" xfId="0" applyFont="1" applyBorder="1"/>
    <xf numFmtId="172" fontId="0" fillId="0" borderId="18" xfId="0" applyNumberFormat="1" applyBorder="1"/>
    <xf numFmtId="172" fontId="0" fillId="0" borderId="24" xfId="0" applyNumberFormat="1" applyBorder="1"/>
    <xf numFmtId="172" fontId="4" fillId="0" borderId="23" xfId="0" applyNumberFormat="1" applyFont="1" applyBorder="1"/>
    <xf numFmtId="43" fontId="3" fillId="0" borderId="0" xfId="0" applyNumberFormat="1" applyFont="1" applyAlignment="1">
      <alignment horizontal="left"/>
    </xf>
    <xf numFmtId="10" fontId="4" fillId="0" borderId="0" xfId="0" applyNumberFormat="1" applyFont="1"/>
    <xf numFmtId="10" fontId="4" fillId="0" borderId="0" xfId="0" applyNumberFormat="1" applyFont="1" applyAlignment="1">
      <alignment horizontal="left"/>
    </xf>
    <xf numFmtId="173" fontId="0" fillId="0" borderId="0" xfId="0" applyNumberFormat="1"/>
    <xf numFmtId="170" fontId="4" fillId="0" borderId="0" xfId="0" applyNumberFormat="1" applyFont="1"/>
    <xf numFmtId="0" fontId="0" fillId="0" borderId="0" xfId="0" applyAlignment="1">
      <alignment wrapText="1"/>
    </xf>
    <xf numFmtId="0" fontId="1" fillId="0" borderId="0" xfId="8"/>
    <xf numFmtId="0" fontId="0" fillId="4" borderId="0" xfId="0" applyFill="1"/>
    <xf numFmtId="43" fontId="26" fillId="0" borderId="0" xfId="0" applyNumberFormat="1" applyFont="1" applyAlignment="1">
      <alignment horizontal="left"/>
    </xf>
    <xf numFmtId="0" fontId="27" fillId="0" borderId="0" xfId="0" applyFont="1" applyAlignment="1">
      <alignment horizontal="left"/>
    </xf>
    <xf numFmtId="0" fontId="27" fillId="0" borderId="0" xfId="0" applyFont="1"/>
    <xf numFmtId="0" fontId="4" fillId="5" borderId="0" xfId="0" applyFont="1" applyFill="1"/>
    <xf numFmtId="10" fontId="4" fillId="5" borderId="0" xfId="1" applyNumberFormat="1" applyFont="1" applyFill="1"/>
    <xf numFmtId="174" fontId="4" fillId="5" borderId="0" xfId="1" applyNumberFormat="1" applyFont="1" applyFill="1"/>
    <xf numFmtId="175" fontId="4" fillId="5" borderId="0" xfId="1" applyNumberFormat="1" applyFont="1" applyFill="1"/>
    <xf numFmtId="0" fontId="3" fillId="7" borderId="0" xfId="0" applyFont="1" applyFill="1" applyAlignment="1">
      <alignment horizontal="center"/>
    </xf>
    <xf numFmtId="0" fontId="4" fillId="0" borderId="1" xfId="0" applyFont="1" applyBorder="1"/>
    <xf numFmtId="0" fontId="0" fillId="0" borderId="1" xfId="0" applyBorder="1"/>
    <xf numFmtId="0" fontId="0" fillId="0" borderId="26" xfId="0" applyBorder="1"/>
    <xf numFmtId="10" fontId="0" fillId="0" borderId="26" xfId="1" applyNumberFormat="1" applyFont="1" applyBorder="1"/>
    <xf numFmtId="10" fontId="0" fillId="0" borderId="16" xfId="1" applyNumberFormat="1" applyFont="1" applyBorder="1"/>
    <xf numFmtId="10" fontId="0" fillId="0" borderId="26" xfId="0" applyNumberFormat="1" applyBorder="1" applyAlignment="1">
      <alignment horizontal="left"/>
    </xf>
    <xf numFmtId="10" fontId="0" fillId="0" borderId="26" xfId="0" applyNumberFormat="1" applyBorder="1" applyAlignment="1">
      <alignment horizontal="right"/>
    </xf>
    <xf numFmtId="10" fontId="0" fillId="0" borderId="26" xfId="1" applyNumberFormat="1" applyFont="1" applyBorder="1" applyAlignment="1">
      <alignment horizontal="right"/>
    </xf>
    <xf numFmtId="2" fontId="0" fillId="0" borderId="26" xfId="0" applyNumberFormat="1" applyBorder="1" applyAlignment="1">
      <alignment horizontal="right"/>
    </xf>
    <xf numFmtId="10" fontId="0" fillId="0" borderId="16" xfId="0" applyNumberFormat="1" applyBorder="1" applyAlignment="1">
      <alignment horizontal="left"/>
    </xf>
    <xf numFmtId="10" fontId="0" fillId="0" borderId="16" xfId="0" applyNumberFormat="1" applyBorder="1" applyAlignment="1">
      <alignment horizontal="right"/>
    </xf>
    <xf numFmtId="10" fontId="0" fillId="0" borderId="16" xfId="1" applyNumberFormat="1" applyFont="1" applyBorder="1" applyAlignment="1">
      <alignment horizontal="right"/>
    </xf>
    <xf numFmtId="2" fontId="0" fillId="0" borderId="16" xfId="0" applyNumberFormat="1" applyBorder="1" applyAlignment="1">
      <alignment horizontal="right"/>
    </xf>
    <xf numFmtId="0" fontId="4" fillId="0" borderId="1" xfId="0" applyFont="1" applyBorder="1" applyAlignment="1">
      <alignment horizontal="left"/>
    </xf>
    <xf numFmtId="0" fontId="4" fillId="0" borderId="1" xfId="0" applyFont="1" applyBorder="1" applyAlignment="1">
      <alignment horizontal="right"/>
    </xf>
    <xf numFmtId="0" fontId="23" fillId="4" borderId="0" xfId="0" applyFont="1" applyFill="1"/>
    <xf numFmtId="172" fontId="4" fillId="0" borderId="0" xfId="0" applyNumberFormat="1" applyFont="1" applyBorder="1"/>
    <xf numFmtId="172" fontId="0" fillId="0" borderId="16" xfId="0" applyNumberFormat="1" applyBorder="1"/>
    <xf numFmtId="0" fontId="0" fillId="0" borderId="27" xfId="0" applyBorder="1"/>
    <xf numFmtId="172" fontId="0" fillId="0" borderId="27" xfId="0" applyNumberFormat="1" applyBorder="1"/>
    <xf numFmtId="0" fontId="4" fillId="0" borderId="17" xfId="0" applyFont="1" applyBorder="1"/>
    <xf numFmtId="172" fontId="4" fillId="0" borderId="17" xfId="0" applyNumberFormat="1" applyFont="1" applyBorder="1"/>
    <xf numFmtId="0" fontId="4" fillId="0" borderId="11" xfId="0" applyFont="1" applyBorder="1"/>
    <xf numFmtId="172" fontId="0" fillId="0" borderId="11" xfId="0" applyNumberFormat="1" applyBorder="1"/>
    <xf numFmtId="172" fontId="0" fillId="0" borderId="0" xfId="0" applyNumberFormat="1" applyBorder="1"/>
    <xf numFmtId="0" fontId="4" fillId="0" borderId="28" xfId="0" applyFont="1" applyBorder="1"/>
    <xf numFmtId="0" fontId="0" fillId="0" borderId="28" xfId="0" applyBorder="1"/>
    <xf numFmtId="172" fontId="4" fillId="0" borderId="28" xfId="0" applyNumberFormat="1" applyFont="1" applyBorder="1"/>
    <xf numFmtId="0" fontId="0" fillId="0" borderId="13" xfId="0" applyBorder="1"/>
    <xf numFmtId="172" fontId="0" fillId="0" borderId="13" xfId="0" applyNumberFormat="1" applyBorder="1"/>
    <xf numFmtId="0" fontId="0" fillId="0" borderId="17" xfId="0" applyBorder="1"/>
    <xf numFmtId="10" fontId="4" fillId="0" borderId="17" xfId="1" applyNumberFormat="1" applyFont="1" applyBorder="1"/>
    <xf numFmtId="10" fontId="21" fillId="0" borderId="16" xfId="0" applyNumberFormat="1" applyFont="1" applyBorder="1"/>
    <xf numFmtId="172" fontId="24" fillId="0" borderId="16" xfId="0" applyNumberFormat="1" applyFont="1" applyBorder="1"/>
    <xf numFmtId="3" fontId="0" fillId="0" borderId="27" xfId="0" applyNumberFormat="1" applyBorder="1"/>
    <xf numFmtId="10" fontId="4" fillId="0" borderId="17" xfId="0" applyNumberFormat="1" applyFont="1" applyBorder="1"/>
    <xf numFmtId="10" fontId="4" fillId="5" borderId="0" xfId="0" applyNumberFormat="1" applyFont="1" applyFill="1"/>
    <xf numFmtId="43" fontId="4" fillId="0" borderId="17" xfId="0" applyNumberFormat="1" applyFont="1" applyBorder="1"/>
    <xf numFmtId="2" fontId="4" fillId="0" borderId="17" xfId="0" applyNumberFormat="1" applyFont="1" applyBorder="1"/>
    <xf numFmtId="0" fontId="0" fillId="5" borderId="0" xfId="0" applyFill="1"/>
    <xf numFmtId="10" fontId="0" fillId="5" borderId="0" xfId="0" applyNumberFormat="1" applyFill="1"/>
    <xf numFmtId="0" fontId="3" fillId="4" borderId="0" xfId="0" applyFont="1" applyFill="1" applyAlignment="1">
      <alignment horizontal="center"/>
    </xf>
    <xf numFmtId="0" fontId="0" fillId="8" borderId="29" xfId="0" applyFill="1" applyBorder="1"/>
    <xf numFmtId="0" fontId="0" fillId="8" borderId="30" xfId="0" applyFill="1" applyBorder="1"/>
    <xf numFmtId="0" fontId="0" fillId="7" borderId="0" xfId="0" applyFill="1" applyBorder="1"/>
    <xf numFmtId="173" fontId="32" fillId="0" borderId="0" xfId="0" applyNumberFormat="1" applyFont="1" applyAlignment="1">
      <alignment horizontal="right"/>
    </xf>
    <xf numFmtId="173" fontId="4" fillId="5" borderId="0" xfId="0" applyNumberFormat="1" applyFont="1" applyFill="1"/>
    <xf numFmtId="0" fontId="17" fillId="7" borderId="0" xfId="0" applyFont="1" applyFill="1" applyAlignment="1">
      <alignment horizontal="center"/>
    </xf>
    <xf numFmtId="0" fontId="0" fillId="7" borderId="0" xfId="0" applyFill="1"/>
    <xf numFmtId="2" fontId="0" fillId="0" borderId="0" xfId="0" applyNumberFormat="1" applyAlignment="1">
      <alignment horizontal="right"/>
    </xf>
    <xf numFmtId="0" fontId="3" fillId="4" borderId="0" xfId="0" applyFont="1" applyFill="1" applyAlignment="1">
      <alignment horizontal="left"/>
    </xf>
    <xf numFmtId="0" fontId="3" fillId="4" borderId="0" xfId="0" applyFont="1" applyFill="1" applyAlignment="1">
      <alignment horizontal="right" wrapText="1"/>
    </xf>
    <xf numFmtId="170" fontId="4" fillId="5" borderId="1" xfId="0" applyNumberFormat="1" applyFont="1" applyFill="1" applyBorder="1"/>
    <xf numFmtId="3" fontId="0" fillId="0" borderId="16" xfId="0" applyNumberFormat="1" applyBorder="1"/>
    <xf numFmtId="2" fontId="0" fillId="0" borderId="16" xfId="0" applyNumberFormat="1" applyBorder="1"/>
    <xf numFmtId="0" fontId="0" fillId="5" borderId="16" xfId="0" applyFill="1" applyBorder="1"/>
    <xf numFmtId="174" fontId="0" fillId="5" borderId="16" xfId="0" applyNumberFormat="1" applyFill="1" applyBorder="1"/>
    <xf numFmtId="0" fontId="4" fillId="5" borderId="16" xfId="0" applyFont="1" applyFill="1" applyBorder="1"/>
    <xf numFmtId="174" fontId="4" fillId="5" borderId="16" xfId="0" applyNumberFormat="1" applyFont="1" applyFill="1" applyBorder="1"/>
    <xf numFmtId="0" fontId="0" fillId="0" borderId="16" xfId="0" applyBorder="1" applyAlignment="1">
      <alignment horizontal="left"/>
    </xf>
    <xf numFmtId="3" fontId="0" fillId="0" borderId="16" xfId="0" applyNumberFormat="1" applyBorder="1" applyAlignment="1">
      <alignment horizontal="right"/>
    </xf>
    <xf numFmtId="0" fontId="0" fillId="0" borderId="16" xfId="0" applyBorder="1" applyAlignment="1">
      <alignment horizontal="right"/>
    </xf>
    <xf numFmtId="174" fontId="24" fillId="0" borderId="16" xfId="0" applyNumberFormat="1" applyFont="1" applyBorder="1" applyAlignment="1">
      <alignment horizontal="right"/>
    </xf>
    <xf numFmtId="0" fontId="18" fillId="7" borderId="0" xfId="0" applyFont="1" applyFill="1" applyBorder="1" applyAlignment="1">
      <alignment horizontal="left"/>
    </xf>
    <xf numFmtId="0" fontId="3" fillId="4" borderId="13" xfId="0" applyFont="1" applyFill="1" applyBorder="1"/>
    <xf numFmtId="2" fontId="0" fillId="5" borderId="0" xfId="0" applyNumberFormat="1" applyFill="1" applyAlignment="1">
      <alignment horizontal="right"/>
    </xf>
    <xf numFmtId="10" fontId="0" fillId="5" borderId="21" xfId="0" applyNumberFormat="1" applyFill="1" applyBorder="1"/>
    <xf numFmtId="10" fontId="0" fillId="5" borderId="21" xfId="1" applyNumberFormat="1" applyFont="1" applyFill="1" applyBorder="1"/>
    <xf numFmtId="10" fontId="0" fillId="5" borderId="0" xfId="1" applyNumberFormat="1" applyFont="1" applyFill="1" applyAlignment="1"/>
    <xf numFmtId="2" fontId="0" fillId="5" borderId="0" xfId="0" applyNumberFormat="1" applyFill="1"/>
    <xf numFmtId="0" fontId="4" fillId="0" borderId="18" xfId="0" applyFont="1" applyBorder="1" applyAlignment="1">
      <alignment horizontal="right"/>
    </xf>
    <xf numFmtId="0" fontId="4" fillId="0" borderId="12" xfId="0" applyFont="1" applyBorder="1" applyAlignment="1">
      <alignment vertical="top"/>
    </xf>
    <xf numFmtId="0" fontId="4" fillId="0" borderId="12" xfId="0" applyFont="1" applyBorder="1" applyAlignment="1">
      <alignment horizontal="right" vertical="top"/>
    </xf>
    <xf numFmtId="170" fontId="34" fillId="0" borderId="0" xfId="0" applyNumberFormat="1" applyFont="1"/>
    <xf numFmtId="0" fontId="34" fillId="0" borderId="0" xfId="0" applyFont="1"/>
    <xf numFmtId="10" fontId="34" fillId="0" borderId="0" xfId="0" applyNumberFormat="1" applyFont="1" applyAlignment="1">
      <alignment vertical="top"/>
    </xf>
    <xf numFmtId="2" fontId="34" fillId="0" borderId="0" xfId="0" applyNumberFormat="1" applyFont="1"/>
    <xf numFmtId="10" fontId="34" fillId="0" borderId="0" xfId="1" applyNumberFormat="1" applyFont="1"/>
    <xf numFmtId="10" fontId="34" fillId="0" borderId="0" xfId="0" applyNumberFormat="1" applyFont="1" applyAlignment="1">
      <alignment horizontal="right"/>
    </xf>
    <xf numFmtId="10" fontId="34" fillId="0" borderId="0" xfId="0" applyNumberFormat="1" applyFont="1"/>
    <xf numFmtId="0" fontId="37" fillId="7" borderId="0" xfId="0" applyFont="1" applyFill="1" applyAlignment="1"/>
    <xf numFmtId="17" fontId="3" fillId="4" borderId="13" xfId="0" applyNumberFormat="1" applyFont="1" applyFill="1" applyBorder="1"/>
    <xf numFmtId="0" fontId="30" fillId="7" borderId="0" xfId="0" applyFont="1" applyFill="1" applyBorder="1" applyAlignment="1">
      <alignment horizontal="left"/>
    </xf>
    <xf numFmtId="0" fontId="23" fillId="0" borderId="0" xfId="0" applyFont="1"/>
    <xf numFmtId="0" fontId="0" fillId="0" borderId="32" xfId="0" applyBorder="1"/>
    <xf numFmtId="0" fontId="37" fillId="4" borderId="0" xfId="0" applyFont="1" applyFill="1" applyAlignment="1">
      <alignment horizontal="center"/>
    </xf>
    <xf numFmtId="0" fontId="16" fillId="4" borderId="0" xfId="0" applyFont="1" applyFill="1" applyAlignment="1">
      <alignment horizontal="center"/>
    </xf>
    <xf numFmtId="43" fontId="28" fillId="8" borderId="29" xfId="0" applyNumberFormat="1" applyFont="1" applyFill="1" applyBorder="1" applyAlignment="1">
      <alignment horizontal="left"/>
    </xf>
    <xf numFmtId="0" fontId="18" fillId="8" borderId="30" xfId="0" applyFont="1" applyFill="1" applyBorder="1" applyAlignment="1">
      <alignment horizontal="left"/>
    </xf>
    <xf numFmtId="0" fontId="3" fillId="4" borderId="0" xfId="0" applyFont="1" applyFill="1" applyAlignment="1">
      <alignment horizontal="center"/>
    </xf>
    <xf numFmtId="0" fontId="4" fillId="0" borderId="0" xfId="0" applyFont="1" applyAlignment="1">
      <alignment horizontal="center"/>
    </xf>
    <xf numFmtId="43" fontId="36" fillId="8" borderId="29" xfId="0" applyNumberFormat="1" applyFont="1" applyFill="1" applyBorder="1" applyAlignment="1">
      <alignment horizontal="left"/>
    </xf>
    <xf numFmtId="0" fontId="33" fillId="0" borderId="20" xfId="0" applyFont="1" applyBorder="1" applyAlignment="1">
      <alignment horizontal="center"/>
    </xf>
    <xf numFmtId="0" fontId="27" fillId="0" borderId="12" xfId="0" applyFont="1" applyBorder="1" applyAlignment="1">
      <alignment horizontal="center"/>
    </xf>
    <xf numFmtId="0" fontId="4" fillId="5" borderId="0" xfId="0" applyFont="1" applyFill="1" applyAlignment="1">
      <alignment horizontal="center"/>
    </xf>
    <xf numFmtId="43" fontId="29" fillId="8" borderId="29" xfId="0" applyNumberFormat="1" applyFont="1" applyFill="1" applyBorder="1" applyAlignment="1">
      <alignment horizontal="left"/>
    </xf>
    <xf numFmtId="0" fontId="30" fillId="8" borderId="30" xfId="0" applyFont="1" applyFill="1" applyBorder="1" applyAlignment="1">
      <alignment horizontal="left"/>
    </xf>
    <xf numFmtId="0" fontId="3" fillId="4" borderId="25" xfId="0" applyFont="1" applyFill="1" applyBorder="1" applyAlignment="1">
      <alignment horizontal="center"/>
    </xf>
    <xf numFmtId="0" fontId="25" fillId="0" borderId="0" xfId="0" applyFont="1" applyAlignment="1">
      <alignment horizontal="left" vertical="center" wrapText="1"/>
    </xf>
    <xf numFmtId="0" fontId="17" fillId="4" borderId="0" xfId="0" applyFont="1" applyFill="1" applyAlignment="1">
      <alignment horizontal="center"/>
    </xf>
    <xf numFmtId="0" fontId="31" fillId="0" borderId="31" xfId="0" applyFont="1" applyBorder="1" applyAlignment="1">
      <alignment horizontal="center" vertical="center"/>
    </xf>
    <xf numFmtId="0" fontId="27" fillId="0" borderId="31" xfId="0" applyFont="1" applyBorder="1" applyAlignment="1">
      <alignment horizontal="center" vertical="center"/>
    </xf>
    <xf numFmtId="43" fontId="8" fillId="0" borderId="0" xfId="3" applyNumberFormat="1" applyFont="1" applyBorder="1" applyAlignment="1" applyProtection="1">
      <alignment horizontal="center"/>
    </xf>
    <xf numFmtId="43" fontId="11" fillId="2" borderId="0" xfId="4" applyNumberFormat="1" applyFont="1" applyBorder="1" applyAlignment="1">
      <alignment horizontal="center"/>
    </xf>
  </cellXfs>
  <cellStyles count="9">
    <cellStyle name="Accent6 2" xfId="4" xr:uid="{BBDB2BF0-232B-4C01-AC19-E13AE7790424}"/>
    <cellStyle name="Comma 2" xfId="2" xr:uid="{177753BF-8FC0-47C2-A09D-659D00B32ED6}"/>
    <cellStyle name="Hyperlink 2" xfId="3" xr:uid="{7C8B96FE-EF46-46CA-837F-CBE11AA9368D}"/>
    <cellStyle name="Normal" xfId="0" builtinId="0"/>
    <cellStyle name="Normal 2" xfId="7" xr:uid="{2080FAEF-89A5-4CB3-B948-0E63B4C07C78}"/>
    <cellStyle name="Normal 3" xfId="5" xr:uid="{D9D406C4-520E-4DB0-A06B-D346019C8727}"/>
    <cellStyle name="Normal 3 2" xfId="8" xr:uid="{CB3FE123-2FCA-4BD1-B231-FEC9B8D49682}"/>
    <cellStyle name="Percent" xfId="1" builtinId="5"/>
    <cellStyle name="Percent 3" xfId="6" xr:uid="{7B1B12B2-B1C6-4898-946F-9C0F047CCCB8}"/>
  </cellStyles>
  <dxfs count="1">
    <dxf>
      <font>
        <b/>
        <i val="0"/>
        <color theme="0"/>
      </font>
      <fill>
        <patternFill>
          <bgColor theme="5"/>
        </patternFill>
      </fill>
    </dxf>
  </dxfs>
  <tableStyles count="0" defaultTableStyle="TableStyleMedium2" defaultPivotStyle="PivotStyleLight16"/>
  <colors>
    <mruColors>
      <color rgb="FFB50C59"/>
      <color rgb="FFF0CEDE"/>
      <color rgb="FFEBB7CF"/>
      <color rgb="FFCF588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externalLink" Target="externalLinks/externalLink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2.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Sales</a:t>
            </a:r>
            <a:r>
              <a:rPr lang="en-IN" sz="1100" b="1" baseline="0"/>
              <a:t> Forecasting</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EBB7CF"/>
            </a:solidFill>
            <a:ln>
              <a:noFill/>
            </a:ln>
            <a:effectLst/>
          </c:spPr>
          <c:invertIfNegative val="0"/>
          <c:dPt>
            <c:idx val="10"/>
            <c:invertIfNegative val="0"/>
            <c:bubble3D val="0"/>
            <c:spPr>
              <a:solidFill>
                <a:srgbClr val="B50C59"/>
              </a:solidFill>
              <a:ln>
                <a:noFill/>
              </a:ln>
              <a:effectLst/>
            </c:spPr>
            <c:extLst>
              <c:ext xmlns:c16="http://schemas.microsoft.com/office/drawing/2014/chart" uri="{C3380CC4-5D6E-409C-BE32-E72D297353CC}">
                <c16:uniqueId val="{00000002-2E32-4926-B6D2-324602C7926B}"/>
              </c:ext>
            </c:extLst>
          </c:dPt>
          <c:dPt>
            <c:idx val="11"/>
            <c:invertIfNegative val="0"/>
            <c:bubble3D val="0"/>
            <c:spPr>
              <a:solidFill>
                <a:srgbClr val="B50C59"/>
              </a:solidFill>
              <a:ln>
                <a:noFill/>
              </a:ln>
              <a:effectLst/>
            </c:spPr>
            <c:extLst>
              <c:ext xmlns:c16="http://schemas.microsoft.com/office/drawing/2014/chart" uri="{C3380CC4-5D6E-409C-BE32-E72D297353CC}">
                <c16:uniqueId val="{00000003-2E32-4926-B6D2-324602C7926B}"/>
              </c:ext>
            </c:extLst>
          </c:dPt>
          <c:dPt>
            <c:idx val="12"/>
            <c:invertIfNegative val="0"/>
            <c:bubble3D val="0"/>
            <c:spPr>
              <a:solidFill>
                <a:srgbClr val="B50C59"/>
              </a:solidFill>
              <a:ln>
                <a:noFill/>
              </a:ln>
              <a:effectLst/>
            </c:spPr>
            <c:extLst>
              <c:ext xmlns:c16="http://schemas.microsoft.com/office/drawing/2014/chart" uri="{C3380CC4-5D6E-409C-BE32-E72D297353CC}">
                <c16:uniqueId val="{00000004-2E32-4926-B6D2-324602C7926B}"/>
              </c:ext>
            </c:extLst>
          </c:dPt>
          <c:dPt>
            <c:idx val="13"/>
            <c:invertIfNegative val="0"/>
            <c:bubble3D val="0"/>
            <c:spPr>
              <a:solidFill>
                <a:srgbClr val="B50C59"/>
              </a:solidFill>
              <a:ln>
                <a:noFill/>
              </a:ln>
              <a:effectLst/>
            </c:spPr>
            <c:extLst>
              <c:ext xmlns:c16="http://schemas.microsoft.com/office/drawing/2014/chart" uri="{C3380CC4-5D6E-409C-BE32-E72D297353CC}">
                <c16:uniqueId val="{00000005-2E32-4926-B6D2-324602C7926B}"/>
              </c:ext>
            </c:extLst>
          </c:dPt>
          <c:dPt>
            <c:idx val="14"/>
            <c:invertIfNegative val="0"/>
            <c:bubble3D val="0"/>
            <c:spPr>
              <a:solidFill>
                <a:srgbClr val="B50C59"/>
              </a:solidFill>
              <a:ln>
                <a:noFill/>
              </a:ln>
              <a:effectLst/>
            </c:spPr>
            <c:extLst>
              <c:ext xmlns:c16="http://schemas.microsoft.com/office/drawing/2014/chart" uri="{C3380CC4-5D6E-409C-BE32-E72D297353CC}">
                <c16:uniqueId val="{00000006-2E32-4926-B6D2-324602C7926B}"/>
              </c:ext>
            </c:extLst>
          </c:dPt>
          <c:dPt>
            <c:idx val="15"/>
            <c:invertIfNegative val="0"/>
            <c:bubble3D val="0"/>
            <c:spPr>
              <a:solidFill>
                <a:srgbClr val="B50C59"/>
              </a:solidFill>
              <a:ln>
                <a:noFill/>
              </a:ln>
              <a:effectLst/>
            </c:spPr>
            <c:extLst>
              <c:ext xmlns:c16="http://schemas.microsoft.com/office/drawing/2014/chart" uri="{C3380CC4-5D6E-409C-BE32-E72D297353CC}">
                <c16:uniqueId val="{00000007-2E32-4926-B6D2-324602C7926B}"/>
              </c:ext>
            </c:extLst>
          </c:dPt>
          <c:cat>
            <c:numRef>
              <c:f>Forcasting!$C$9:$C$24</c:f>
              <c:numCache>
                <c:formatCode>yyyy"A"</c:formatCode>
                <c:ptCount val="16"/>
                <c:pt idx="0">
                  <c:v>42094</c:v>
                </c:pt>
                <c:pt idx="1">
                  <c:v>42459</c:v>
                </c:pt>
                <c:pt idx="2">
                  <c:v>42824</c:v>
                </c:pt>
                <c:pt idx="3">
                  <c:v>43189</c:v>
                </c:pt>
                <c:pt idx="4">
                  <c:v>43554</c:v>
                </c:pt>
                <c:pt idx="5">
                  <c:v>43919</c:v>
                </c:pt>
                <c:pt idx="6">
                  <c:v>44284</c:v>
                </c:pt>
                <c:pt idx="7">
                  <c:v>44649</c:v>
                </c:pt>
                <c:pt idx="8">
                  <c:v>45014</c:v>
                </c:pt>
                <c:pt idx="9">
                  <c:v>45379</c:v>
                </c:pt>
                <c:pt idx="10" formatCode="yyyy&quot;E&quot;">
                  <c:v>45744</c:v>
                </c:pt>
                <c:pt idx="11" formatCode="yyyy&quot;E&quot;">
                  <c:v>46109</c:v>
                </c:pt>
                <c:pt idx="12" formatCode="yyyy&quot;E&quot;">
                  <c:v>46474</c:v>
                </c:pt>
                <c:pt idx="13" formatCode="yyyy&quot;E&quot;">
                  <c:v>46839</c:v>
                </c:pt>
                <c:pt idx="14" formatCode="yyyy&quot;E&quot;">
                  <c:v>47204</c:v>
                </c:pt>
                <c:pt idx="15" formatCode="yyyy&quot;E&quot;">
                  <c:v>47569</c:v>
                </c:pt>
              </c:numCache>
            </c:numRef>
          </c:cat>
          <c:val>
            <c:numRef>
              <c:f>Forcasting!$D$9:$D$24</c:f>
              <c:numCache>
                <c:formatCode>#,##0.0</c:formatCode>
                <c:ptCount val="16"/>
                <c:pt idx="0">
                  <c:v>8273.15</c:v>
                </c:pt>
                <c:pt idx="1">
                  <c:v>8423.8799999999992</c:v>
                </c:pt>
                <c:pt idx="2">
                  <c:v>9267.91</c:v>
                </c:pt>
                <c:pt idx="3">
                  <c:v>9847.43</c:v>
                </c:pt>
                <c:pt idx="4">
                  <c:v>10314.34</c:v>
                </c:pt>
                <c:pt idx="5">
                  <c:v>9910.7999999999993</c:v>
                </c:pt>
                <c:pt idx="6">
                  <c:v>11028.62</c:v>
                </c:pt>
                <c:pt idx="7">
                  <c:v>12276.5</c:v>
                </c:pt>
                <c:pt idx="8">
                  <c:v>13315.97</c:v>
                </c:pt>
                <c:pt idx="9">
                  <c:v>14096.11</c:v>
                </c:pt>
                <c:pt idx="10">
                  <c:v>14169.946</c:v>
                </c:pt>
                <c:pt idx="11">
                  <c:v>14927.117066666669</c:v>
                </c:pt>
                <c:pt idx="12">
                  <c:v>15634.231493333336</c:v>
                </c:pt>
                <c:pt idx="13">
                  <c:v>16415.717219555558</c:v>
                </c:pt>
                <c:pt idx="14">
                  <c:v>17239.914470044445</c:v>
                </c:pt>
                <c:pt idx="15">
                  <c:v>18080.414139425186</c:v>
                </c:pt>
              </c:numCache>
            </c:numRef>
          </c:val>
          <c:extLst>
            <c:ext xmlns:c16="http://schemas.microsoft.com/office/drawing/2014/chart" uri="{C3380CC4-5D6E-409C-BE32-E72D297353CC}">
              <c16:uniqueId val="{00000000-2E32-4926-B6D2-324602C7926B}"/>
            </c:ext>
          </c:extLst>
        </c:ser>
        <c:dLbls>
          <c:showLegendKey val="0"/>
          <c:showVal val="0"/>
          <c:showCatName val="0"/>
          <c:showSerName val="0"/>
          <c:showPercent val="0"/>
          <c:showBubbleSize val="0"/>
        </c:dLbls>
        <c:gapWidth val="219"/>
        <c:overlap val="-27"/>
        <c:axId val="1239266720"/>
        <c:axId val="1239267552"/>
      </c:barChart>
      <c:dateAx>
        <c:axId val="12392667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267552"/>
        <c:crosses val="autoZero"/>
        <c:auto val="1"/>
        <c:lblOffset val="100"/>
        <c:baseTimeUnit val="years"/>
      </c:dateAx>
      <c:valAx>
        <c:axId val="123926755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2667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baseline="0"/>
              <a:t>EBITDA Forecasting</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EBB7CF"/>
            </a:solidFill>
            <a:ln>
              <a:noFill/>
            </a:ln>
            <a:effectLst/>
          </c:spPr>
          <c:invertIfNegative val="0"/>
          <c:dPt>
            <c:idx val="10"/>
            <c:invertIfNegative val="0"/>
            <c:bubble3D val="0"/>
            <c:spPr>
              <a:solidFill>
                <a:srgbClr val="B50C59"/>
              </a:solidFill>
              <a:ln>
                <a:noFill/>
              </a:ln>
              <a:effectLst/>
            </c:spPr>
            <c:extLst>
              <c:ext xmlns:c16="http://schemas.microsoft.com/office/drawing/2014/chart" uri="{C3380CC4-5D6E-409C-BE32-E72D297353CC}">
                <c16:uniqueId val="{00000001-4D72-4155-B85B-E96692F5334F}"/>
              </c:ext>
            </c:extLst>
          </c:dPt>
          <c:dPt>
            <c:idx val="11"/>
            <c:invertIfNegative val="0"/>
            <c:bubble3D val="0"/>
            <c:spPr>
              <a:solidFill>
                <a:srgbClr val="B50C59"/>
              </a:solidFill>
              <a:ln>
                <a:noFill/>
              </a:ln>
              <a:effectLst/>
            </c:spPr>
            <c:extLst>
              <c:ext xmlns:c16="http://schemas.microsoft.com/office/drawing/2014/chart" uri="{C3380CC4-5D6E-409C-BE32-E72D297353CC}">
                <c16:uniqueId val="{00000003-4D72-4155-B85B-E96692F5334F}"/>
              </c:ext>
            </c:extLst>
          </c:dPt>
          <c:dPt>
            <c:idx val="12"/>
            <c:invertIfNegative val="0"/>
            <c:bubble3D val="0"/>
            <c:spPr>
              <a:solidFill>
                <a:srgbClr val="B50C59"/>
              </a:solidFill>
              <a:ln>
                <a:noFill/>
              </a:ln>
              <a:effectLst/>
            </c:spPr>
            <c:extLst>
              <c:ext xmlns:c16="http://schemas.microsoft.com/office/drawing/2014/chart" uri="{C3380CC4-5D6E-409C-BE32-E72D297353CC}">
                <c16:uniqueId val="{00000005-4D72-4155-B85B-E96692F5334F}"/>
              </c:ext>
            </c:extLst>
          </c:dPt>
          <c:dPt>
            <c:idx val="13"/>
            <c:invertIfNegative val="0"/>
            <c:bubble3D val="0"/>
            <c:spPr>
              <a:solidFill>
                <a:srgbClr val="B50C59"/>
              </a:solidFill>
              <a:ln>
                <a:noFill/>
              </a:ln>
              <a:effectLst/>
            </c:spPr>
            <c:extLst>
              <c:ext xmlns:c16="http://schemas.microsoft.com/office/drawing/2014/chart" uri="{C3380CC4-5D6E-409C-BE32-E72D297353CC}">
                <c16:uniqueId val="{00000007-4D72-4155-B85B-E96692F5334F}"/>
              </c:ext>
            </c:extLst>
          </c:dPt>
          <c:dPt>
            <c:idx val="14"/>
            <c:invertIfNegative val="0"/>
            <c:bubble3D val="0"/>
            <c:spPr>
              <a:solidFill>
                <a:srgbClr val="B50C59"/>
              </a:solidFill>
              <a:ln>
                <a:noFill/>
              </a:ln>
              <a:effectLst/>
            </c:spPr>
            <c:extLst>
              <c:ext xmlns:c16="http://schemas.microsoft.com/office/drawing/2014/chart" uri="{C3380CC4-5D6E-409C-BE32-E72D297353CC}">
                <c16:uniqueId val="{00000009-4D72-4155-B85B-E96692F5334F}"/>
              </c:ext>
            </c:extLst>
          </c:dPt>
          <c:dPt>
            <c:idx val="15"/>
            <c:invertIfNegative val="0"/>
            <c:bubble3D val="0"/>
            <c:spPr>
              <a:solidFill>
                <a:srgbClr val="B50C59"/>
              </a:solidFill>
              <a:ln>
                <a:noFill/>
              </a:ln>
              <a:effectLst/>
            </c:spPr>
            <c:extLst>
              <c:ext xmlns:c16="http://schemas.microsoft.com/office/drawing/2014/chart" uri="{C3380CC4-5D6E-409C-BE32-E72D297353CC}">
                <c16:uniqueId val="{0000000B-4D72-4155-B85B-E96692F5334F}"/>
              </c:ext>
            </c:extLst>
          </c:dPt>
          <c:cat>
            <c:numRef>
              <c:f>Forcasting!$C$9:$C$24</c:f>
              <c:numCache>
                <c:formatCode>yyyy"A"</c:formatCode>
                <c:ptCount val="16"/>
                <c:pt idx="0">
                  <c:v>42094</c:v>
                </c:pt>
                <c:pt idx="1">
                  <c:v>42459</c:v>
                </c:pt>
                <c:pt idx="2">
                  <c:v>42824</c:v>
                </c:pt>
                <c:pt idx="3">
                  <c:v>43189</c:v>
                </c:pt>
                <c:pt idx="4">
                  <c:v>43554</c:v>
                </c:pt>
                <c:pt idx="5">
                  <c:v>43919</c:v>
                </c:pt>
                <c:pt idx="6">
                  <c:v>44284</c:v>
                </c:pt>
                <c:pt idx="7">
                  <c:v>44649</c:v>
                </c:pt>
                <c:pt idx="8">
                  <c:v>45014</c:v>
                </c:pt>
                <c:pt idx="9">
                  <c:v>45379</c:v>
                </c:pt>
                <c:pt idx="10" formatCode="yyyy&quot;E&quot;">
                  <c:v>45744</c:v>
                </c:pt>
                <c:pt idx="11" formatCode="yyyy&quot;E&quot;">
                  <c:v>46109</c:v>
                </c:pt>
                <c:pt idx="12" formatCode="yyyy&quot;E&quot;">
                  <c:v>46474</c:v>
                </c:pt>
                <c:pt idx="13" formatCode="yyyy&quot;E&quot;">
                  <c:v>46839</c:v>
                </c:pt>
                <c:pt idx="14" formatCode="yyyy&quot;E&quot;">
                  <c:v>47204</c:v>
                </c:pt>
                <c:pt idx="15" formatCode="yyyy&quot;E&quot;">
                  <c:v>47569</c:v>
                </c:pt>
              </c:numCache>
            </c:numRef>
          </c:cat>
          <c:val>
            <c:numRef>
              <c:f>Forcasting!$I$9:$I$24</c:f>
              <c:numCache>
                <c:formatCode>#,##0.0</c:formatCode>
                <c:ptCount val="16"/>
                <c:pt idx="0">
                  <c:v>1378.95</c:v>
                </c:pt>
                <c:pt idx="1">
                  <c:v>1657.379999999999</c:v>
                </c:pt>
                <c:pt idx="2">
                  <c:v>1906.7099999999984</c:v>
                </c:pt>
                <c:pt idx="3">
                  <c:v>2084.400000000001</c:v>
                </c:pt>
                <c:pt idx="4">
                  <c:v>2131.5700000000002</c:v>
                </c:pt>
                <c:pt idx="5">
                  <c:v>2153.7499999999995</c:v>
                </c:pt>
                <c:pt idx="6">
                  <c:v>2399.2600000000011</c:v>
                </c:pt>
                <c:pt idx="7">
                  <c:v>2409.1799999999994</c:v>
                </c:pt>
                <c:pt idx="8">
                  <c:v>2443.199999999998</c:v>
                </c:pt>
                <c:pt idx="9">
                  <c:v>2957.3199999999997</c:v>
                </c:pt>
                <c:pt idx="10">
                  <c:v>2925.0113333333329</c:v>
                </c:pt>
                <c:pt idx="11">
                  <c:v>3027.9545333333326</c:v>
                </c:pt>
                <c:pt idx="12">
                  <c:v>3143.2522577777772</c:v>
                </c:pt>
                <c:pt idx="13">
                  <c:v>3279.7854364444433</c:v>
                </c:pt>
                <c:pt idx="14">
                  <c:v>3435.879736059258</c:v>
                </c:pt>
                <c:pt idx="15">
                  <c:v>3587.2980597570358</c:v>
                </c:pt>
              </c:numCache>
            </c:numRef>
          </c:val>
          <c:extLst>
            <c:ext xmlns:c16="http://schemas.microsoft.com/office/drawing/2014/chart" uri="{C3380CC4-5D6E-409C-BE32-E72D297353CC}">
              <c16:uniqueId val="{0000000C-4D72-4155-B85B-E96692F5334F}"/>
            </c:ext>
          </c:extLst>
        </c:ser>
        <c:dLbls>
          <c:showLegendKey val="0"/>
          <c:showVal val="0"/>
          <c:showCatName val="0"/>
          <c:showSerName val="0"/>
          <c:showPercent val="0"/>
          <c:showBubbleSize val="0"/>
        </c:dLbls>
        <c:gapWidth val="219"/>
        <c:overlap val="-27"/>
        <c:axId val="1239266720"/>
        <c:axId val="1239267552"/>
      </c:barChart>
      <c:dateAx>
        <c:axId val="12392667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267552"/>
        <c:crosses val="autoZero"/>
        <c:auto val="1"/>
        <c:lblOffset val="100"/>
        <c:baseTimeUnit val="years"/>
      </c:dateAx>
      <c:valAx>
        <c:axId val="123926755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2667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baseline="0"/>
              <a:t>EPS Forecasting</a:t>
            </a:r>
            <a:endParaRPr lang="en-IN" sz="1100" b="1"/>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EBB7CF"/>
            </a:solidFill>
            <a:ln>
              <a:noFill/>
            </a:ln>
            <a:effectLst/>
          </c:spPr>
          <c:invertIfNegative val="0"/>
          <c:dPt>
            <c:idx val="10"/>
            <c:invertIfNegative val="0"/>
            <c:bubble3D val="0"/>
            <c:spPr>
              <a:solidFill>
                <a:srgbClr val="B50C59"/>
              </a:solidFill>
              <a:ln>
                <a:noFill/>
              </a:ln>
              <a:effectLst/>
            </c:spPr>
            <c:extLst>
              <c:ext xmlns:c16="http://schemas.microsoft.com/office/drawing/2014/chart" uri="{C3380CC4-5D6E-409C-BE32-E72D297353CC}">
                <c16:uniqueId val="{00000001-B1C6-47FF-B909-B4DAF4B47B17}"/>
              </c:ext>
            </c:extLst>
          </c:dPt>
          <c:dPt>
            <c:idx val="11"/>
            <c:invertIfNegative val="0"/>
            <c:bubble3D val="0"/>
            <c:spPr>
              <a:solidFill>
                <a:srgbClr val="B50C59"/>
              </a:solidFill>
              <a:ln>
                <a:noFill/>
              </a:ln>
              <a:effectLst/>
            </c:spPr>
            <c:extLst>
              <c:ext xmlns:c16="http://schemas.microsoft.com/office/drawing/2014/chart" uri="{C3380CC4-5D6E-409C-BE32-E72D297353CC}">
                <c16:uniqueId val="{00000003-B1C6-47FF-B909-B4DAF4B47B17}"/>
              </c:ext>
            </c:extLst>
          </c:dPt>
          <c:dPt>
            <c:idx val="12"/>
            <c:invertIfNegative val="0"/>
            <c:bubble3D val="0"/>
            <c:spPr>
              <a:solidFill>
                <a:srgbClr val="B50C59"/>
              </a:solidFill>
              <a:ln>
                <a:noFill/>
              </a:ln>
              <a:effectLst/>
            </c:spPr>
            <c:extLst>
              <c:ext xmlns:c16="http://schemas.microsoft.com/office/drawing/2014/chart" uri="{C3380CC4-5D6E-409C-BE32-E72D297353CC}">
                <c16:uniqueId val="{00000005-B1C6-47FF-B909-B4DAF4B47B17}"/>
              </c:ext>
            </c:extLst>
          </c:dPt>
          <c:dPt>
            <c:idx val="13"/>
            <c:invertIfNegative val="0"/>
            <c:bubble3D val="0"/>
            <c:spPr>
              <a:solidFill>
                <a:srgbClr val="B50C59"/>
              </a:solidFill>
              <a:ln>
                <a:noFill/>
              </a:ln>
              <a:effectLst/>
            </c:spPr>
            <c:extLst>
              <c:ext xmlns:c16="http://schemas.microsoft.com/office/drawing/2014/chart" uri="{C3380CC4-5D6E-409C-BE32-E72D297353CC}">
                <c16:uniqueId val="{00000007-B1C6-47FF-B909-B4DAF4B47B17}"/>
              </c:ext>
            </c:extLst>
          </c:dPt>
          <c:dPt>
            <c:idx val="14"/>
            <c:invertIfNegative val="0"/>
            <c:bubble3D val="0"/>
            <c:spPr>
              <a:solidFill>
                <a:srgbClr val="B50C59"/>
              </a:solidFill>
              <a:ln>
                <a:noFill/>
              </a:ln>
              <a:effectLst/>
            </c:spPr>
            <c:extLst>
              <c:ext xmlns:c16="http://schemas.microsoft.com/office/drawing/2014/chart" uri="{C3380CC4-5D6E-409C-BE32-E72D297353CC}">
                <c16:uniqueId val="{00000009-B1C6-47FF-B909-B4DAF4B47B17}"/>
              </c:ext>
            </c:extLst>
          </c:dPt>
          <c:dPt>
            <c:idx val="15"/>
            <c:invertIfNegative val="0"/>
            <c:bubble3D val="0"/>
            <c:spPr>
              <a:solidFill>
                <a:srgbClr val="B50C59"/>
              </a:solidFill>
              <a:ln>
                <a:noFill/>
              </a:ln>
              <a:effectLst/>
            </c:spPr>
            <c:extLst>
              <c:ext xmlns:c16="http://schemas.microsoft.com/office/drawing/2014/chart" uri="{C3380CC4-5D6E-409C-BE32-E72D297353CC}">
                <c16:uniqueId val="{0000000B-B1C6-47FF-B909-B4DAF4B47B17}"/>
              </c:ext>
            </c:extLst>
          </c:dPt>
          <c:cat>
            <c:numRef>
              <c:f>Forcasting!$C$9:$C$24</c:f>
              <c:numCache>
                <c:formatCode>yyyy"A"</c:formatCode>
                <c:ptCount val="16"/>
                <c:pt idx="0">
                  <c:v>42094</c:v>
                </c:pt>
                <c:pt idx="1">
                  <c:v>42459</c:v>
                </c:pt>
                <c:pt idx="2">
                  <c:v>42824</c:v>
                </c:pt>
                <c:pt idx="3">
                  <c:v>43189</c:v>
                </c:pt>
                <c:pt idx="4">
                  <c:v>43554</c:v>
                </c:pt>
                <c:pt idx="5">
                  <c:v>43919</c:v>
                </c:pt>
                <c:pt idx="6">
                  <c:v>44284</c:v>
                </c:pt>
                <c:pt idx="7">
                  <c:v>44649</c:v>
                </c:pt>
                <c:pt idx="8">
                  <c:v>45014</c:v>
                </c:pt>
                <c:pt idx="9">
                  <c:v>45379</c:v>
                </c:pt>
                <c:pt idx="10" formatCode="yyyy&quot;E&quot;">
                  <c:v>45744</c:v>
                </c:pt>
                <c:pt idx="11" formatCode="yyyy&quot;E&quot;">
                  <c:v>46109</c:v>
                </c:pt>
                <c:pt idx="12" formatCode="yyyy&quot;E&quot;">
                  <c:v>46474</c:v>
                </c:pt>
                <c:pt idx="13" formatCode="yyyy&quot;E&quot;">
                  <c:v>46839</c:v>
                </c:pt>
                <c:pt idx="14" formatCode="yyyy&quot;E&quot;">
                  <c:v>47204</c:v>
                </c:pt>
                <c:pt idx="15" formatCode="yyyy&quot;E&quot;">
                  <c:v>47569</c:v>
                </c:pt>
              </c:numCache>
            </c:numRef>
          </c:cat>
          <c:val>
            <c:numRef>
              <c:f>Forcasting!$N$9:$N$24</c:f>
              <c:numCache>
                <c:formatCode>#,##0.00</c:formatCode>
                <c:ptCount val="16"/>
                <c:pt idx="0">
                  <c:v>8.8449187389857062</c:v>
                </c:pt>
                <c:pt idx="1">
                  <c:v>10.695575567736874</c:v>
                </c:pt>
                <c:pt idx="2">
                  <c:v>12.055098845175165</c:v>
                </c:pt>
                <c:pt idx="3">
                  <c:v>13.218199608610577</c:v>
                </c:pt>
                <c:pt idx="4">
                  <c:v>19.365877519076502</c:v>
                </c:pt>
                <c:pt idx="5">
                  <c:v>14.325736085297855</c:v>
                </c:pt>
                <c:pt idx="6">
                  <c:v>16.608508557457224</c:v>
                </c:pt>
                <c:pt idx="7">
                  <c:v>16.674359475845876</c:v>
                </c:pt>
                <c:pt idx="8">
                  <c:v>15.529089664613259</c:v>
                </c:pt>
                <c:pt idx="9">
                  <c:v>16.112729761439187</c:v>
                </c:pt>
                <c:pt idx="10">
                  <c:v>18.592075597301523</c:v>
                </c:pt>
                <c:pt idx="11">
                  <c:v>18.825544578335766</c:v>
                </c:pt>
                <c:pt idx="12">
                  <c:v>18.996099182229642</c:v>
                </c:pt>
                <c:pt idx="13">
                  <c:v>19.055417234291344</c:v>
                </c:pt>
                <c:pt idx="14">
                  <c:v>18.985889354956875</c:v>
                </c:pt>
                <c:pt idx="15">
                  <c:v>20.138783258300812</c:v>
                </c:pt>
              </c:numCache>
            </c:numRef>
          </c:val>
          <c:extLst>
            <c:ext xmlns:c16="http://schemas.microsoft.com/office/drawing/2014/chart" uri="{C3380CC4-5D6E-409C-BE32-E72D297353CC}">
              <c16:uniqueId val="{0000000C-B1C6-47FF-B909-B4DAF4B47B17}"/>
            </c:ext>
          </c:extLst>
        </c:ser>
        <c:dLbls>
          <c:showLegendKey val="0"/>
          <c:showVal val="0"/>
          <c:showCatName val="0"/>
          <c:showSerName val="0"/>
          <c:showPercent val="0"/>
          <c:showBubbleSize val="0"/>
        </c:dLbls>
        <c:gapWidth val="219"/>
        <c:overlap val="-27"/>
        <c:axId val="1239266720"/>
        <c:axId val="1239267552"/>
      </c:barChart>
      <c:dateAx>
        <c:axId val="1239266720"/>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267552"/>
        <c:crosses val="autoZero"/>
        <c:auto val="1"/>
        <c:lblOffset val="100"/>
        <c:baseTimeUnit val="years"/>
      </c:dateAx>
      <c:valAx>
        <c:axId val="1239267552"/>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9266720"/>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BC24-4C67-A194-E5349A6C808F}"/>
              </c:ext>
            </c:extLst>
          </c:dPt>
          <c:dPt>
            <c:idx val="1"/>
            <c:invertIfNegative val="0"/>
            <c:bubble3D val="0"/>
            <c:spPr>
              <a:solidFill>
                <a:srgbClr val="EBB7CF"/>
              </a:solidFill>
              <a:ln>
                <a:noFill/>
              </a:ln>
              <a:effectLst/>
            </c:spPr>
            <c:extLst>
              <c:ext xmlns:c16="http://schemas.microsoft.com/office/drawing/2014/chart" uri="{C3380CC4-5D6E-409C-BE32-E72D297353CC}">
                <c16:uniqueId val="{00000003-BC24-4C67-A194-E5349A6C808F}"/>
              </c:ext>
            </c:extLst>
          </c:dPt>
          <c:dPt>
            <c:idx val="2"/>
            <c:invertIfNegative val="0"/>
            <c:bubble3D val="0"/>
            <c:spPr>
              <a:solidFill>
                <a:srgbClr val="CF588F"/>
              </a:solidFill>
              <a:ln>
                <a:noFill/>
              </a:ln>
              <a:effectLst/>
            </c:spPr>
            <c:extLst>
              <c:ext xmlns:c16="http://schemas.microsoft.com/office/drawing/2014/chart" uri="{C3380CC4-5D6E-409C-BE32-E72D297353CC}">
                <c16:uniqueId val="{00000005-BC24-4C67-A194-E5349A6C808F}"/>
              </c:ext>
            </c:extLst>
          </c:dPt>
          <c:dPt>
            <c:idx val="3"/>
            <c:invertIfNegative val="0"/>
            <c:bubble3D val="0"/>
            <c:spPr>
              <a:solidFill>
                <a:srgbClr val="B50C59"/>
              </a:solidFill>
              <a:ln>
                <a:noFill/>
              </a:ln>
              <a:effectLst/>
            </c:spPr>
            <c:extLst>
              <c:ext xmlns:c16="http://schemas.microsoft.com/office/drawing/2014/chart" uri="{C3380CC4-5D6E-409C-BE32-E72D297353CC}">
                <c16:uniqueId val="{00000008-BC24-4C67-A194-E5349A6C808F}"/>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44286</c:v>
                </c:pt>
                <c:pt idx="1">
                  <c:v>44651</c:v>
                </c:pt>
                <c:pt idx="2">
                  <c:v>45016</c:v>
                </c:pt>
                <c:pt idx="3">
                  <c:v>45382</c:v>
                </c:pt>
              </c:numCache>
            </c:numRef>
          </c:cat>
          <c:val>
            <c:numRef>
              <c:f>'Dupont Analysis'!$F$69:$I$69</c:f>
              <c:numCache>
                <c:formatCode>#,##0.0</c:formatCode>
                <c:ptCount val="4"/>
                <c:pt idx="0">
                  <c:v>11028.62</c:v>
                </c:pt>
                <c:pt idx="1">
                  <c:v>12276.5</c:v>
                </c:pt>
                <c:pt idx="2">
                  <c:v>13315.97</c:v>
                </c:pt>
                <c:pt idx="3">
                  <c:v>14096.11</c:v>
                </c:pt>
              </c:numCache>
            </c:numRef>
          </c:val>
          <c:extLst>
            <c:ext xmlns:c16="http://schemas.microsoft.com/office/drawing/2014/chart" uri="{C3380CC4-5D6E-409C-BE32-E72D297353CC}">
              <c16:uniqueId val="{00000006-BC24-4C67-A194-E5349A6C808F}"/>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028655"/>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D148-4585-8CD0-05E23C681577}"/>
              </c:ext>
            </c:extLst>
          </c:dPt>
          <c:dPt>
            <c:idx val="1"/>
            <c:invertIfNegative val="0"/>
            <c:bubble3D val="0"/>
            <c:spPr>
              <a:solidFill>
                <a:srgbClr val="EBB7CF"/>
              </a:solidFill>
              <a:ln>
                <a:noFill/>
              </a:ln>
              <a:effectLst/>
            </c:spPr>
            <c:extLst>
              <c:ext xmlns:c16="http://schemas.microsoft.com/office/drawing/2014/chart" uri="{C3380CC4-5D6E-409C-BE32-E72D297353CC}">
                <c16:uniqueId val="{00000003-D148-4585-8CD0-05E23C681577}"/>
              </c:ext>
            </c:extLst>
          </c:dPt>
          <c:dPt>
            <c:idx val="2"/>
            <c:invertIfNegative val="0"/>
            <c:bubble3D val="0"/>
            <c:spPr>
              <a:solidFill>
                <a:srgbClr val="CF588F"/>
              </a:solidFill>
              <a:ln>
                <a:noFill/>
              </a:ln>
              <a:effectLst/>
            </c:spPr>
            <c:extLst>
              <c:ext xmlns:c16="http://schemas.microsoft.com/office/drawing/2014/chart" uri="{C3380CC4-5D6E-409C-BE32-E72D297353CC}">
                <c16:uniqueId val="{00000005-D148-4585-8CD0-05E23C681577}"/>
              </c:ext>
            </c:extLst>
          </c:dPt>
          <c:dPt>
            <c:idx val="3"/>
            <c:invertIfNegative val="0"/>
            <c:bubble3D val="0"/>
            <c:spPr>
              <a:solidFill>
                <a:srgbClr val="B50C59"/>
              </a:solidFill>
              <a:ln>
                <a:noFill/>
              </a:ln>
              <a:effectLst/>
            </c:spPr>
            <c:extLst>
              <c:ext xmlns:c16="http://schemas.microsoft.com/office/drawing/2014/chart" uri="{C3380CC4-5D6E-409C-BE32-E72D297353CC}">
                <c16:uniqueId val="{00000008-D148-4585-8CD0-05E23C681577}"/>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44286</c:v>
                </c:pt>
                <c:pt idx="1">
                  <c:v>44651</c:v>
                </c:pt>
                <c:pt idx="2">
                  <c:v>45016</c:v>
                </c:pt>
                <c:pt idx="3">
                  <c:v>45382</c:v>
                </c:pt>
              </c:numCache>
            </c:numRef>
          </c:cat>
          <c:val>
            <c:numRef>
              <c:f>'Dupont Analysis'!$F$68:$I$68</c:f>
              <c:numCache>
                <c:formatCode>#,##0.0</c:formatCode>
                <c:ptCount val="4"/>
                <c:pt idx="0">
                  <c:v>1720.82</c:v>
                </c:pt>
                <c:pt idx="1">
                  <c:v>1783.39</c:v>
                </c:pt>
                <c:pt idx="2">
                  <c:v>1702.46</c:v>
                </c:pt>
                <c:pt idx="3">
                  <c:v>-560.54999999999995</c:v>
                </c:pt>
              </c:numCache>
            </c:numRef>
          </c:val>
          <c:extLst>
            <c:ext xmlns:c16="http://schemas.microsoft.com/office/drawing/2014/chart" uri="{C3380CC4-5D6E-409C-BE32-E72D297353CC}">
              <c16:uniqueId val="{00000006-D148-4585-8CD0-05E23C681577}"/>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C4C1-4D3D-B420-095BEA75D509}"/>
              </c:ext>
            </c:extLst>
          </c:dPt>
          <c:dPt>
            <c:idx val="1"/>
            <c:invertIfNegative val="0"/>
            <c:bubble3D val="0"/>
            <c:spPr>
              <a:solidFill>
                <a:srgbClr val="EBB7CF"/>
              </a:solidFill>
              <a:ln>
                <a:noFill/>
              </a:ln>
              <a:effectLst/>
            </c:spPr>
            <c:extLst>
              <c:ext xmlns:c16="http://schemas.microsoft.com/office/drawing/2014/chart" uri="{C3380CC4-5D6E-409C-BE32-E72D297353CC}">
                <c16:uniqueId val="{00000003-C4C1-4D3D-B420-095BEA75D509}"/>
              </c:ext>
            </c:extLst>
          </c:dPt>
          <c:dPt>
            <c:idx val="2"/>
            <c:invertIfNegative val="0"/>
            <c:bubble3D val="0"/>
            <c:spPr>
              <a:solidFill>
                <a:srgbClr val="CF588F"/>
              </a:solidFill>
              <a:ln>
                <a:noFill/>
              </a:ln>
              <a:effectLst/>
            </c:spPr>
            <c:extLst>
              <c:ext xmlns:c16="http://schemas.microsoft.com/office/drawing/2014/chart" uri="{C3380CC4-5D6E-409C-BE32-E72D297353CC}">
                <c16:uniqueId val="{00000005-C4C1-4D3D-B420-095BEA75D509}"/>
              </c:ext>
            </c:extLst>
          </c:dPt>
          <c:dPt>
            <c:idx val="3"/>
            <c:invertIfNegative val="0"/>
            <c:bubble3D val="0"/>
            <c:spPr>
              <a:solidFill>
                <a:srgbClr val="B50C59"/>
              </a:solidFill>
              <a:ln>
                <a:noFill/>
              </a:ln>
              <a:effectLst/>
            </c:spPr>
            <c:extLst>
              <c:ext xmlns:c16="http://schemas.microsoft.com/office/drawing/2014/chart" uri="{C3380CC4-5D6E-409C-BE32-E72D297353CC}">
                <c16:uniqueId val="{00000007-C4C1-4D3D-B420-095BEA75D509}"/>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44286</c:v>
                </c:pt>
                <c:pt idx="1">
                  <c:v>44651</c:v>
                </c:pt>
                <c:pt idx="2">
                  <c:v>45016</c:v>
                </c:pt>
                <c:pt idx="3">
                  <c:v>45382</c:v>
                </c:pt>
              </c:numCache>
            </c:numRef>
          </c:cat>
          <c:val>
            <c:numRef>
              <c:f>'Dupont Analysis'!$F$73:$I$73</c:f>
              <c:numCache>
                <c:formatCode>#,##0.0</c:formatCode>
                <c:ptCount val="4"/>
                <c:pt idx="0">
                  <c:v>14562.035</c:v>
                </c:pt>
                <c:pt idx="1">
                  <c:v>15162.955000000002</c:v>
                </c:pt>
                <c:pt idx="2">
                  <c:v>16759.689999999999</c:v>
                </c:pt>
                <c:pt idx="3">
                  <c:v>17914.669999999998</c:v>
                </c:pt>
              </c:numCache>
            </c:numRef>
          </c:val>
          <c:extLst>
            <c:ext xmlns:c16="http://schemas.microsoft.com/office/drawing/2014/chart" uri="{C3380CC4-5D6E-409C-BE32-E72D297353CC}">
              <c16:uniqueId val="{00000008-C4C1-4D3D-B420-095BEA75D509}"/>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B57C-4D2D-94D6-50489F639550}"/>
              </c:ext>
            </c:extLst>
          </c:dPt>
          <c:dPt>
            <c:idx val="1"/>
            <c:invertIfNegative val="0"/>
            <c:bubble3D val="0"/>
            <c:spPr>
              <a:solidFill>
                <a:srgbClr val="EBB7CF"/>
              </a:solidFill>
              <a:ln>
                <a:noFill/>
              </a:ln>
              <a:effectLst/>
            </c:spPr>
            <c:extLst>
              <c:ext xmlns:c16="http://schemas.microsoft.com/office/drawing/2014/chart" uri="{C3380CC4-5D6E-409C-BE32-E72D297353CC}">
                <c16:uniqueId val="{00000003-B57C-4D2D-94D6-50489F639550}"/>
              </c:ext>
            </c:extLst>
          </c:dPt>
          <c:dPt>
            <c:idx val="2"/>
            <c:invertIfNegative val="0"/>
            <c:bubble3D val="0"/>
            <c:spPr>
              <a:solidFill>
                <a:srgbClr val="CF588F"/>
              </a:solidFill>
              <a:ln>
                <a:noFill/>
              </a:ln>
              <a:effectLst/>
            </c:spPr>
            <c:extLst>
              <c:ext xmlns:c16="http://schemas.microsoft.com/office/drawing/2014/chart" uri="{C3380CC4-5D6E-409C-BE32-E72D297353CC}">
                <c16:uniqueId val="{00000005-B57C-4D2D-94D6-50489F639550}"/>
              </c:ext>
            </c:extLst>
          </c:dPt>
          <c:dPt>
            <c:idx val="3"/>
            <c:invertIfNegative val="0"/>
            <c:bubble3D val="0"/>
            <c:spPr>
              <a:solidFill>
                <a:srgbClr val="B50C59"/>
              </a:solidFill>
              <a:ln>
                <a:noFill/>
              </a:ln>
              <a:effectLst/>
            </c:spPr>
            <c:extLst>
              <c:ext xmlns:c16="http://schemas.microsoft.com/office/drawing/2014/chart" uri="{C3380CC4-5D6E-409C-BE32-E72D297353CC}">
                <c16:uniqueId val="{00000007-B57C-4D2D-94D6-50489F63955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44286</c:v>
                </c:pt>
                <c:pt idx="1">
                  <c:v>44651</c:v>
                </c:pt>
                <c:pt idx="2">
                  <c:v>45016</c:v>
                </c:pt>
                <c:pt idx="3">
                  <c:v>45382</c:v>
                </c:pt>
              </c:numCache>
            </c:numRef>
          </c:cat>
          <c:val>
            <c:numRef>
              <c:f>'Dupont Analysis'!$F$80:$I$80</c:f>
              <c:numCache>
                <c:formatCode>0.00%</c:formatCode>
                <c:ptCount val="4"/>
                <c:pt idx="0">
                  <c:v>0.19851118342806187</c:v>
                </c:pt>
                <c:pt idx="1">
                  <c:v>0.16988849159531183</c:v>
                </c:pt>
                <c:pt idx="2">
                  <c:v>0.13431552305784261</c:v>
                </c:pt>
                <c:pt idx="3">
                  <c:v>-4.247749386196234E-2</c:v>
                </c:pt>
              </c:numCache>
            </c:numRef>
          </c:val>
          <c:extLst>
            <c:ext xmlns:c16="http://schemas.microsoft.com/office/drawing/2014/chart" uri="{C3380CC4-5D6E-409C-BE32-E72D297353CC}">
              <c16:uniqueId val="{00000008-B57C-4D2D-94D6-50489F639550}"/>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6317939691025812E-2"/>
          <c:y val="5.9379011756910745E-2"/>
          <c:w val="0.86736412061794843"/>
          <c:h val="0.81338024876399484"/>
        </c:manualLayout>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DBD9-4010-B8C3-D5298C03C9F0}"/>
              </c:ext>
            </c:extLst>
          </c:dPt>
          <c:dPt>
            <c:idx val="1"/>
            <c:invertIfNegative val="0"/>
            <c:bubble3D val="0"/>
            <c:spPr>
              <a:solidFill>
                <a:srgbClr val="EBB7CF"/>
              </a:solidFill>
              <a:ln>
                <a:noFill/>
              </a:ln>
              <a:effectLst/>
            </c:spPr>
            <c:extLst>
              <c:ext xmlns:c16="http://schemas.microsoft.com/office/drawing/2014/chart" uri="{C3380CC4-5D6E-409C-BE32-E72D297353CC}">
                <c16:uniqueId val="{00000003-DBD9-4010-B8C3-D5298C03C9F0}"/>
              </c:ext>
            </c:extLst>
          </c:dPt>
          <c:dPt>
            <c:idx val="2"/>
            <c:invertIfNegative val="0"/>
            <c:bubble3D val="0"/>
            <c:spPr>
              <a:solidFill>
                <a:srgbClr val="CF588F"/>
              </a:solidFill>
              <a:ln>
                <a:noFill/>
              </a:ln>
              <a:effectLst/>
            </c:spPr>
            <c:extLst>
              <c:ext xmlns:c16="http://schemas.microsoft.com/office/drawing/2014/chart" uri="{C3380CC4-5D6E-409C-BE32-E72D297353CC}">
                <c16:uniqueId val="{00000005-DBD9-4010-B8C3-D5298C03C9F0}"/>
              </c:ext>
            </c:extLst>
          </c:dPt>
          <c:dPt>
            <c:idx val="3"/>
            <c:invertIfNegative val="0"/>
            <c:bubble3D val="0"/>
            <c:spPr>
              <a:solidFill>
                <a:srgbClr val="B50C59"/>
              </a:solidFill>
              <a:ln>
                <a:solidFill>
                  <a:srgbClr val="028655"/>
                </a:solidFill>
              </a:ln>
              <a:effectLst/>
            </c:spPr>
            <c:extLst>
              <c:ext xmlns:c16="http://schemas.microsoft.com/office/drawing/2014/chart" uri="{C3380CC4-5D6E-409C-BE32-E72D297353CC}">
                <c16:uniqueId val="{00000007-DBD9-4010-B8C3-D5298C03C9F0}"/>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Analysis'!$F$83:$I$83</c:f>
              <c:numCache>
                <c:formatCode>mmm\-yy</c:formatCode>
                <c:ptCount val="4"/>
                <c:pt idx="0">
                  <c:v>44286</c:v>
                </c:pt>
                <c:pt idx="1">
                  <c:v>44651</c:v>
                </c:pt>
                <c:pt idx="2">
                  <c:v>45016</c:v>
                </c:pt>
                <c:pt idx="3">
                  <c:v>45382</c:v>
                </c:pt>
              </c:numCache>
            </c:numRef>
          </c:cat>
          <c:val>
            <c:numRef>
              <c:f>'Dupont Analysis'!$F$86:$I$86</c:f>
              <c:numCache>
                <c:formatCode>0.00%</c:formatCode>
                <c:ptCount val="4"/>
                <c:pt idx="0">
                  <c:v>0.11817167037436732</c:v>
                </c:pt>
                <c:pt idx="1">
                  <c:v>0.11761493719397043</c:v>
                </c:pt>
                <c:pt idx="2">
                  <c:v>0.10158063782802666</c:v>
                </c:pt>
                <c:pt idx="3">
                  <c:v>-3.1289998643569766E-2</c:v>
                </c:pt>
              </c:numCache>
            </c:numRef>
          </c:val>
          <c:extLst>
            <c:ext xmlns:c16="http://schemas.microsoft.com/office/drawing/2014/chart" uri="{C3380CC4-5D6E-409C-BE32-E72D297353CC}">
              <c16:uniqueId val="{00000008-DBD9-4010-B8C3-D5298C03C9F0}"/>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273C-428F-B96D-50EEFB5CCB87}"/>
              </c:ext>
            </c:extLst>
          </c:dPt>
          <c:dPt>
            <c:idx val="1"/>
            <c:invertIfNegative val="0"/>
            <c:bubble3D val="0"/>
            <c:spPr>
              <a:solidFill>
                <a:srgbClr val="EBB7CF"/>
              </a:solidFill>
              <a:ln>
                <a:noFill/>
              </a:ln>
              <a:effectLst/>
            </c:spPr>
            <c:extLst>
              <c:ext xmlns:c16="http://schemas.microsoft.com/office/drawing/2014/chart" uri="{C3380CC4-5D6E-409C-BE32-E72D297353CC}">
                <c16:uniqueId val="{00000003-273C-428F-B96D-50EEFB5CCB87}"/>
              </c:ext>
            </c:extLst>
          </c:dPt>
          <c:dPt>
            <c:idx val="2"/>
            <c:invertIfNegative val="0"/>
            <c:bubble3D val="0"/>
            <c:spPr>
              <a:solidFill>
                <a:srgbClr val="CF588F"/>
              </a:solidFill>
              <a:ln>
                <a:noFill/>
              </a:ln>
              <a:effectLst/>
            </c:spPr>
            <c:extLst>
              <c:ext xmlns:c16="http://schemas.microsoft.com/office/drawing/2014/chart" uri="{C3380CC4-5D6E-409C-BE32-E72D297353CC}">
                <c16:uniqueId val="{00000005-273C-428F-B96D-50EEFB5CCB87}"/>
              </c:ext>
            </c:extLst>
          </c:dPt>
          <c:dPt>
            <c:idx val="3"/>
            <c:invertIfNegative val="0"/>
            <c:bubble3D val="0"/>
            <c:spPr>
              <a:solidFill>
                <a:srgbClr val="B50C59"/>
              </a:solidFill>
              <a:ln>
                <a:solidFill>
                  <a:srgbClr val="028655"/>
                </a:solidFill>
              </a:ln>
              <a:effectLst/>
            </c:spPr>
            <c:extLst>
              <c:ext xmlns:c16="http://schemas.microsoft.com/office/drawing/2014/chart" uri="{C3380CC4-5D6E-409C-BE32-E72D297353CC}">
                <c16:uniqueId val="{00000007-273C-428F-B96D-50EEFB5CCB87}"/>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'Dupont Analysis'!$F$67:$I$67</c:f>
              <c:numCache>
                <c:formatCode>mmm\-yy</c:formatCode>
                <c:ptCount val="4"/>
                <c:pt idx="0">
                  <c:v>44286</c:v>
                </c:pt>
                <c:pt idx="1">
                  <c:v>44651</c:v>
                </c:pt>
                <c:pt idx="2">
                  <c:v>45016</c:v>
                </c:pt>
                <c:pt idx="3">
                  <c:v>45382</c:v>
                </c:pt>
              </c:numCache>
            </c:numRef>
          </c:cat>
          <c:val>
            <c:numRef>
              <c:f>'Dupont Analysis'!$F$78:$I$78</c:f>
              <c:numCache>
                <c:formatCode>0.00\x</c:formatCode>
                <c:ptCount val="4"/>
                <c:pt idx="0">
                  <c:v>1.6798542560935235</c:v>
                </c:pt>
                <c:pt idx="1">
                  <c:v>1.4444465613677273</c:v>
                </c:pt>
                <c:pt idx="2">
                  <c:v>1.3222551652533947</c:v>
                </c:pt>
                <c:pt idx="3">
                  <c:v>1.3575422084811006</c:v>
                </c:pt>
              </c:numCache>
            </c:numRef>
          </c:val>
          <c:extLst>
            <c:ext xmlns:c16="http://schemas.microsoft.com/office/drawing/2014/chart" uri="{C3380CC4-5D6E-409C-BE32-E72D297353CC}">
              <c16:uniqueId val="{00000008-273C-428F-B96D-50EEFB5CCB87}"/>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x"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592C-4DF8-A8DE-807366AF3292}"/>
              </c:ext>
            </c:extLst>
          </c:dPt>
          <c:dPt>
            <c:idx val="1"/>
            <c:invertIfNegative val="0"/>
            <c:bubble3D val="0"/>
            <c:spPr>
              <a:solidFill>
                <a:srgbClr val="EBB7CF"/>
              </a:solidFill>
              <a:ln>
                <a:noFill/>
              </a:ln>
              <a:effectLst/>
            </c:spPr>
            <c:extLst>
              <c:ext xmlns:c16="http://schemas.microsoft.com/office/drawing/2014/chart" uri="{C3380CC4-5D6E-409C-BE32-E72D297353CC}">
                <c16:uniqueId val="{00000003-592C-4DF8-A8DE-807366AF3292}"/>
              </c:ext>
            </c:extLst>
          </c:dPt>
          <c:dPt>
            <c:idx val="2"/>
            <c:invertIfNegative val="0"/>
            <c:bubble3D val="0"/>
            <c:spPr>
              <a:solidFill>
                <a:srgbClr val="CF588F"/>
              </a:solidFill>
              <a:ln>
                <a:noFill/>
              </a:ln>
              <a:effectLst/>
            </c:spPr>
            <c:extLst>
              <c:ext xmlns:c16="http://schemas.microsoft.com/office/drawing/2014/chart" uri="{C3380CC4-5D6E-409C-BE32-E72D297353CC}">
                <c16:uniqueId val="{00000005-592C-4DF8-A8DE-807366AF3292}"/>
              </c:ext>
            </c:extLst>
          </c:dPt>
          <c:dPt>
            <c:idx val="3"/>
            <c:invertIfNegative val="0"/>
            <c:bubble3D val="0"/>
            <c:spPr>
              <a:solidFill>
                <a:srgbClr val="B50C59"/>
              </a:solidFill>
              <a:ln>
                <a:noFill/>
              </a:ln>
              <a:effectLst/>
            </c:spPr>
            <c:extLst>
              <c:ext xmlns:c16="http://schemas.microsoft.com/office/drawing/2014/chart" uri="{C3380CC4-5D6E-409C-BE32-E72D297353CC}">
                <c16:uniqueId val="{00000008-592C-4DF8-A8DE-807366AF329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Score'!$F$67:$I$67</c:f>
              <c:numCache>
                <c:formatCode>mmm\-yy</c:formatCode>
                <c:ptCount val="4"/>
                <c:pt idx="0">
                  <c:v>44286</c:v>
                </c:pt>
                <c:pt idx="1">
                  <c:v>44651</c:v>
                </c:pt>
                <c:pt idx="2">
                  <c:v>45016</c:v>
                </c:pt>
                <c:pt idx="3">
                  <c:v>45382</c:v>
                </c:pt>
              </c:numCache>
            </c:numRef>
          </c:cat>
          <c:val>
            <c:numRef>
              <c:f>'Altman Z Score'!$F$70:$I$70</c:f>
              <c:numCache>
                <c:formatCode>0.00%</c:formatCode>
                <c:ptCount val="4"/>
                <c:pt idx="0">
                  <c:v>0.11922529045991279</c:v>
                </c:pt>
                <c:pt idx="1">
                  <c:v>0.10602582246619222</c:v>
                </c:pt>
                <c:pt idx="2">
                  <c:v>9.1078529539617925E-2</c:v>
                </c:pt>
                <c:pt idx="3">
                  <c:v>8.9604329689736001E-2</c:v>
                </c:pt>
              </c:numCache>
            </c:numRef>
          </c:val>
          <c:extLst>
            <c:ext xmlns:c16="http://schemas.microsoft.com/office/drawing/2014/chart" uri="{C3380CC4-5D6E-409C-BE32-E72D297353CC}">
              <c16:uniqueId val="{00000006-592C-4DF8-A8DE-807366AF3292}"/>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8C77-475A-AD43-25E5ED4CC1EE}"/>
              </c:ext>
            </c:extLst>
          </c:dPt>
          <c:dPt>
            <c:idx val="1"/>
            <c:invertIfNegative val="0"/>
            <c:bubble3D val="0"/>
            <c:spPr>
              <a:solidFill>
                <a:srgbClr val="EBB7CF"/>
              </a:solidFill>
              <a:ln>
                <a:noFill/>
              </a:ln>
              <a:effectLst/>
            </c:spPr>
            <c:extLst>
              <c:ext xmlns:c16="http://schemas.microsoft.com/office/drawing/2014/chart" uri="{C3380CC4-5D6E-409C-BE32-E72D297353CC}">
                <c16:uniqueId val="{00000003-8C77-475A-AD43-25E5ED4CC1EE}"/>
              </c:ext>
            </c:extLst>
          </c:dPt>
          <c:dPt>
            <c:idx val="2"/>
            <c:invertIfNegative val="0"/>
            <c:bubble3D val="0"/>
            <c:spPr>
              <a:solidFill>
                <a:srgbClr val="CF588F"/>
              </a:solidFill>
              <a:ln>
                <a:noFill/>
              </a:ln>
              <a:effectLst/>
            </c:spPr>
            <c:extLst>
              <c:ext xmlns:c16="http://schemas.microsoft.com/office/drawing/2014/chart" uri="{C3380CC4-5D6E-409C-BE32-E72D297353CC}">
                <c16:uniqueId val="{00000005-8C77-475A-AD43-25E5ED4CC1EE}"/>
              </c:ext>
            </c:extLst>
          </c:dPt>
          <c:dPt>
            <c:idx val="3"/>
            <c:invertIfNegative val="0"/>
            <c:bubble3D val="0"/>
            <c:spPr>
              <a:solidFill>
                <a:srgbClr val="B50C59"/>
              </a:solidFill>
              <a:ln>
                <a:noFill/>
              </a:ln>
              <a:effectLst/>
            </c:spPr>
            <c:extLst>
              <c:ext xmlns:c16="http://schemas.microsoft.com/office/drawing/2014/chart" uri="{C3380CC4-5D6E-409C-BE32-E72D297353CC}">
                <c16:uniqueId val="{00000007-8C77-475A-AD43-25E5ED4CC1E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Score'!$F$67:$I$67</c:f>
              <c:numCache>
                <c:formatCode>mmm\-yy</c:formatCode>
                <c:ptCount val="4"/>
                <c:pt idx="0">
                  <c:v>44286</c:v>
                </c:pt>
                <c:pt idx="1">
                  <c:v>44651</c:v>
                </c:pt>
                <c:pt idx="2">
                  <c:v>45016</c:v>
                </c:pt>
                <c:pt idx="3">
                  <c:v>45382</c:v>
                </c:pt>
              </c:numCache>
            </c:numRef>
          </c:cat>
          <c:val>
            <c:numRef>
              <c:f>'Altman Z Score'!$F$76:$I$76</c:f>
              <c:numCache>
                <c:formatCode>0.00%</c:formatCode>
                <c:ptCount val="4"/>
                <c:pt idx="0">
                  <c:v>0.15413102832883671</c:v>
                </c:pt>
                <c:pt idx="1">
                  <c:v>0.13675124921341214</c:v>
                </c:pt>
                <c:pt idx="2">
                  <c:v>0.1265628888942413</c:v>
                </c:pt>
                <c:pt idx="3">
                  <c:v>0.14769183257141116</c:v>
                </c:pt>
              </c:numCache>
            </c:numRef>
          </c:val>
          <c:extLst>
            <c:ext xmlns:c16="http://schemas.microsoft.com/office/drawing/2014/chart" uri="{C3380CC4-5D6E-409C-BE32-E72D297353CC}">
              <c16:uniqueId val="{00000008-8C77-475A-AD43-25E5ED4CC1EE}"/>
            </c:ext>
          </c:extLst>
        </c:ser>
        <c:dLbls>
          <c:dLblPos val="outEnd"/>
          <c:showLegendKey val="0"/>
          <c:showVal val="1"/>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rgbClr val="F0CEDE"/>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FCE9-4B15-89D1-4DF7CA72DF4B}"/>
              </c:ext>
            </c:extLst>
          </c:dPt>
          <c:dPt>
            <c:idx val="1"/>
            <c:invertIfNegative val="0"/>
            <c:bubble3D val="0"/>
            <c:spPr>
              <a:solidFill>
                <a:srgbClr val="EBB7CF"/>
              </a:solidFill>
              <a:ln>
                <a:noFill/>
              </a:ln>
              <a:effectLst/>
            </c:spPr>
            <c:extLst>
              <c:ext xmlns:c16="http://schemas.microsoft.com/office/drawing/2014/chart" uri="{C3380CC4-5D6E-409C-BE32-E72D297353CC}">
                <c16:uniqueId val="{00000003-FCE9-4B15-89D1-4DF7CA72DF4B}"/>
              </c:ext>
            </c:extLst>
          </c:dPt>
          <c:dPt>
            <c:idx val="2"/>
            <c:invertIfNegative val="0"/>
            <c:bubble3D val="0"/>
            <c:spPr>
              <a:solidFill>
                <a:srgbClr val="CF588F"/>
              </a:solidFill>
              <a:ln>
                <a:noFill/>
              </a:ln>
              <a:effectLst/>
            </c:spPr>
            <c:extLst>
              <c:ext xmlns:c16="http://schemas.microsoft.com/office/drawing/2014/chart" uri="{C3380CC4-5D6E-409C-BE32-E72D297353CC}">
                <c16:uniqueId val="{00000005-FCE9-4B15-89D1-4DF7CA72DF4B}"/>
              </c:ext>
            </c:extLst>
          </c:dPt>
          <c:dPt>
            <c:idx val="3"/>
            <c:invertIfNegative val="0"/>
            <c:bubble3D val="0"/>
            <c:spPr>
              <a:solidFill>
                <a:srgbClr val="B50C59"/>
              </a:solidFill>
              <a:ln>
                <a:solidFill>
                  <a:srgbClr val="028655"/>
                </a:solidFill>
              </a:ln>
              <a:effectLst/>
            </c:spPr>
            <c:extLst>
              <c:ext xmlns:c16="http://schemas.microsoft.com/office/drawing/2014/chart" uri="{C3380CC4-5D6E-409C-BE32-E72D297353CC}">
                <c16:uniqueId val="{00000007-FCE9-4B15-89D1-4DF7CA72DF4B}"/>
              </c:ext>
            </c:extLst>
          </c:dPt>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Score'!$F$85:$I$85</c:f>
              <c:numCache>
                <c:formatCode>mmm\-yy</c:formatCode>
                <c:ptCount val="4"/>
                <c:pt idx="0">
                  <c:v>44286</c:v>
                </c:pt>
                <c:pt idx="1">
                  <c:v>44651</c:v>
                </c:pt>
                <c:pt idx="2">
                  <c:v>45016</c:v>
                </c:pt>
                <c:pt idx="3">
                  <c:v>45382</c:v>
                </c:pt>
              </c:numCache>
            </c:numRef>
          </c:cat>
          <c:val>
            <c:numRef>
              <c:f>'Altman Z Score'!$F$88:$I$88</c:f>
              <c:numCache>
                <c:formatCode>0.00%</c:formatCode>
                <c:ptCount val="4"/>
                <c:pt idx="0">
                  <c:v>0.77427566679935611</c:v>
                </c:pt>
                <c:pt idx="1">
                  <c:v>0.7633632879247263</c:v>
                </c:pt>
                <c:pt idx="2">
                  <c:v>0.76365036708748968</c:v>
                </c:pt>
                <c:pt idx="3">
                  <c:v>0.76642282982675147</c:v>
                </c:pt>
              </c:numCache>
            </c:numRef>
          </c:val>
          <c:extLst>
            <c:ext xmlns:c16="http://schemas.microsoft.com/office/drawing/2014/chart" uri="{C3380CC4-5D6E-409C-BE32-E72D297353CC}">
              <c16:uniqueId val="{00000008-FCE9-4B15-89D1-4DF7CA72DF4B}"/>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67EC-4CA5-9330-35A29C8345A3}"/>
              </c:ext>
            </c:extLst>
          </c:dPt>
          <c:dPt>
            <c:idx val="1"/>
            <c:invertIfNegative val="0"/>
            <c:bubble3D val="0"/>
            <c:spPr>
              <a:solidFill>
                <a:srgbClr val="EBB7CF"/>
              </a:solidFill>
              <a:ln>
                <a:noFill/>
              </a:ln>
              <a:effectLst/>
            </c:spPr>
            <c:extLst>
              <c:ext xmlns:c16="http://schemas.microsoft.com/office/drawing/2014/chart" uri="{C3380CC4-5D6E-409C-BE32-E72D297353CC}">
                <c16:uniqueId val="{00000003-67EC-4CA5-9330-35A29C8345A3}"/>
              </c:ext>
            </c:extLst>
          </c:dPt>
          <c:dPt>
            <c:idx val="2"/>
            <c:invertIfNegative val="0"/>
            <c:bubble3D val="0"/>
            <c:spPr>
              <a:solidFill>
                <a:srgbClr val="CF588F"/>
              </a:solidFill>
              <a:ln>
                <a:noFill/>
              </a:ln>
              <a:effectLst/>
            </c:spPr>
            <c:extLst>
              <c:ext xmlns:c16="http://schemas.microsoft.com/office/drawing/2014/chart" uri="{C3380CC4-5D6E-409C-BE32-E72D297353CC}">
                <c16:uniqueId val="{00000005-67EC-4CA5-9330-35A29C8345A3}"/>
              </c:ext>
            </c:extLst>
          </c:dPt>
          <c:dPt>
            <c:idx val="3"/>
            <c:invertIfNegative val="0"/>
            <c:bubble3D val="0"/>
            <c:spPr>
              <a:solidFill>
                <a:srgbClr val="B50C59"/>
              </a:solidFill>
              <a:ln>
                <a:solidFill>
                  <a:srgbClr val="028655"/>
                </a:solidFill>
              </a:ln>
              <a:effectLst/>
            </c:spPr>
            <c:extLst>
              <c:ext xmlns:c16="http://schemas.microsoft.com/office/drawing/2014/chart" uri="{C3380CC4-5D6E-409C-BE32-E72D297353CC}">
                <c16:uniqueId val="{00000007-67EC-4CA5-9330-35A29C8345A3}"/>
              </c:ext>
            </c:extLst>
          </c:dPt>
          <c:dLbls>
            <c:spPr>
              <a:noFill/>
              <a:ln>
                <a:noFill/>
              </a:ln>
              <a:effectLst/>
            </c:spPr>
            <c:txPr>
              <a:bodyPr rot="0" spcFirstLastPara="1" vertOverflow="ellipsis" vert="horz" wrap="square" lIns="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numRef>
              <c:f>'Altman Z Score'!$F$67:$I$67</c:f>
              <c:numCache>
                <c:formatCode>mmm\-yy</c:formatCode>
                <c:ptCount val="4"/>
                <c:pt idx="0">
                  <c:v>44286</c:v>
                </c:pt>
                <c:pt idx="1">
                  <c:v>44651</c:v>
                </c:pt>
                <c:pt idx="2">
                  <c:v>45016</c:v>
                </c:pt>
                <c:pt idx="3">
                  <c:v>45382</c:v>
                </c:pt>
              </c:numCache>
            </c:numRef>
          </c:cat>
          <c:val>
            <c:numRef>
              <c:f>'Altman Z Score'!$F$82:$I$82</c:f>
              <c:numCache>
                <c:formatCode>0.00%</c:formatCode>
                <c:ptCount val="4"/>
                <c:pt idx="0">
                  <c:v>40.025167201964088</c:v>
                </c:pt>
                <c:pt idx="1">
                  <c:v>44.836994985548657</c:v>
                </c:pt>
                <c:pt idx="2">
                  <c:v>87.654037086501177</c:v>
                </c:pt>
                <c:pt idx="3">
                  <c:v>39.735785731556085</c:v>
                </c:pt>
              </c:numCache>
            </c:numRef>
          </c:val>
          <c:extLst>
            <c:ext xmlns:c16="http://schemas.microsoft.com/office/drawing/2014/chart" uri="{C3380CC4-5D6E-409C-BE32-E72D297353CC}">
              <c16:uniqueId val="{00000008-67EC-4CA5-9330-35A29C8345A3}"/>
            </c:ext>
          </c:extLst>
        </c:ser>
        <c:dLbls>
          <c:showLegendKey val="0"/>
          <c:showVal val="0"/>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718B-4E6A-8FA7-2DFC15DAADD7}"/>
              </c:ext>
            </c:extLst>
          </c:dPt>
          <c:dPt>
            <c:idx val="1"/>
            <c:invertIfNegative val="0"/>
            <c:bubble3D val="0"/>
            <c:spPr>
              <a:solidFill>
                <a:srgbClr val="EBB7CF"/>
              </a:solidFill>
              <a:ln>
                <a:noFill/>
              </a:ln>
              <a:effectLst/>
            </c:spPr>
            <c:extLst>
              <c:ext xmlns:c16="http://schemas.microsoft.com/office/drawing/2014/chart" uri="{C3380CC4-5D6E-409C-BE32-E72D297353CC}">
                <c16:uniqueId val="{00000003-718B-4E6A-8FA7-2DFC15DAADD7}"/>
              </c:ext>
            </c:extLst>
          </c:dPt>
          <c:dPt>
            <c:idx val="2"/>
            <c:invertIfNegative val="0"/>
            <c:bubble3D val="0"/>
            <c:spPr>
              <a:solidFill>
                <a:srgbClr val="CF588F"/>
              </a:solidFill>
              <a:ln>
                <a:noFill/>
              </a:ln>
              <a:effectLst/>
            </c:spPr>
            <c:extLst>
              <c:ext xmlns:c16="http://schemas.microsoft.com/office/drawing/2014/chart" uri="{C3380CC4-5D6E-409C-BE32-E72D297353CC}">
                <c16:uniqueId val="{00000005-718B-4E6A-8FA7-2DFC15DAADD7}"/>
              </c:ext>
            </c:extLst>
          </c:dPt>
          <c:dPt>
            <c:idx val="3"/>
            <c:invertIfNegative val="0"/>
            <c:bubble3D val="0"/>
            <c:spPr>
              <a:solidFill>
                <a:srgbClr val="B50C59"/>
              </a:solidFill>
              <a:ln>
                <a:noFill/>
              </a:ln>
              <a:effectLst/>
            </c:spPr>
            <c:extLst>
              <c:ext xmlns:c16="http://schemas.microsoft.com/office/drawing/2014/chart" uri="{C3380CC4-5D6E-409C-BE32-E72D297353CC}">
                <c16:uniqueId val="{00000007-718B-4E6A-8FA7-2DFC15DAADD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Score'!$F$85:$I$85</c:f>
              <c:numCache>
                <c:formatCode>mmm\-yy</c:formatCode>
                <c:ptCount val="4"/>
                <c:pt idx="0">
                  <c:v>44286</c:v>
                </c:pt>
                <c:pt idx="1">
                  <c:v>44651</c:v>
                </c:pt>
                <c:pt idx="2">
                  <c:v>45016</c:v>
                </c:pt>
                <c:pt idx="3">
                  <c:v>45382</c:v>
                </c:pt>
              </c:numCache>
            </c:numRef>
          </c:cat>
          <c:val>
            <c:numRef>
              <c:f>'Altman Z Score'!$F$64:$I$64</c:f>
              <c:numCache>
                <c:formatCode>0.00%</c:formatCode>
                <c:ptCount val="4"/>
                <c:pt idx="0">
                  <c:v>0.11665223932675219</c:v>
                </c:pt>
                <c:pt idx="1">
                  <c:v>0.18089033037932808</c:v>
                </c:pt>
                <c:pt idx="2">
                  <c:v>0.10986531140787029</c:v>
                </c:pt>
                <c:pt idx="3">
                  <c:v>9.7514799848630512E-2</c:v>
                </c:pt>
              </c:numCache>
            </c:numRef>
          </c:val>
          <c:extLst>
            <c:ext xmlns:c16="http://schemas.microsoft.com/office/drawing/2014/chart" uri="{C3380CC4-5D6E-409C-BE32-E72D297353CC}">
              <c16:uniqueId val="{00000008-718B-4E6A-8FA7-2DFC15DAADD7}"/>
            </c:ext>
          </c:extLst>
        </c:ser>
        <c:dLbls>
          <c:dLblPos val="outEnd"/>
          <c:showLegendKey val="0"/>
          <c:showVal val="1"/>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solidFill>
                <a:srgbClr val="F0CEDE"/>
              </a:solidFill>
              <a:ln>
                <a:noFill/>
              </a:ln>
              <a:effectLst/>
            </c:spPr>
            <c:extLst>
              <c:ext xmlns:c16="http://schemas.microsoft.com/office/drawing/2014/chart" uri="{C3380CC4-5D6E-409C-BE32-E72D297353CC}">
                <c16:uniqueId val="{00000001-A704-4F73-A99F-B34BD3946A8A}"/>
              </c:ext>
            </c:extLst>
          </c:dPt>
          <c:dPt>
            <c:idx val="1"/>
            <c:invertIfNegative val="0"/>
            <c:bubble3D val="0"/>
            <c:spPr>
              <a:solidFill>
                <a:srgbClr val="EBB7CF"/>
              </a:solidFill>
              <a:ln>
                <a:noFill/>
              </a:ln>
              <a:effectLst/>
            </c:spPr>
            <c:extLst>
              <c:ext xmlns:c16="http://schemas.microsoft.com/office/drawing/2014/chart" uri="{C3380CC4-5D6E-409C-BE32-E72D297353CC}">
                <c16:uniqueId val="{00000003-A704-4F73-A99F-B34BD3946A8A}"/>
              </c:ext>
            </c:extLst>
          </c:dPt>
          <c:dPt>
            <c:idx val="2"/>
            <c:invertIfNegative val="0"/>
            <c:bubble3D val="0"/>
            <c:spPr>
              <a:solidFill>
                <a:srgbClr val="CF588F"/>
              </a:solidFill>
              <a:ln>
                <a:noFill/>
              </a:ln>
              <a:effectLst/>
            </c:spPr>
            <c:extLst>
              <c:ext xmlns:c16="http://schemas.microsoft.com/office/drawing/2014/chart" uri="{C3380CC4-5D6E-409C-BE32-E72D297353CC}">
                <c16:uniqueId val="{00000005-A704-4F73-A99F-B34BD3946A8A}"/>
              </c:ext>
            </c:extLst>
          </c:dPt>
          <c:dPt>
            <c:idx val="3"/>
            <c:invertIfNegative val="0"/>
            <c:bubble3D val="0"/>
            <c:spPr>
              <a:solidFill>
                <a:srgbClr val="B50C59"/>
              </a:solidFill>
              <a:ln>
                <a:noFill/>
              </a:ln>
              <a:effectLst/>
            </c:spPr>
            <c:extLst>
              <c:ext xmlns:c16="http://schemas.microsoft.com/office/drawing/2014/chart" uri="{C3380CC4-5D6E-409C-BE32-E72D297353CC}">
                <c16:uniqueId val="{00000007-A704-4F73-A99F-B34BD3946A8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'Altman Z Score'!$F$85:$I$85</c:f>
              <c:numCache>
                <c:formatCode>mmm\-yy</c:formatCode>
                <c:ptCount val="4"/>
                <c:pt idx="0">
                  <c:v>44286</c:v>
                </c:pt>
                <c:pt idx="1">
                  <c:v>44651</c:v>
                </c:pt>
                <c:pt idx="2">
                  <c:v>45016</c:v>
                </c:pt>
                <c:pt idx="3">
                  <c:v>45382</c:v>
                </c:pt>
              </c:numCache>
            </c:numRef>
          </c:cat>
          <c:val>
            <c:numRef>
              <c:f>'Altman Z Score'!$F$92:$I$92</c:f>
              <c:numCache>
                <c:formatCode>0.0</c:formatCode>
                <c:ptCount val="4"/>
                <c:pt idx="0">
                  <c:v>19.409838301755016</c:v>
                </c:pt>
                <c:pt idx="1">
                  <c:v>21.352933218011856</c:v>
                </c:pt>
                <c:pt idx="2">
                  <c:v>40.839228407080142</c:v>
                </c:pt>
                <c:pt idx="3">
                  <c:v>19.002494876330843</c:v>
                </c:pt>
              </c:numCache>
            </c:numRef>
          </c:val>
          <c:extLst>
            <c:ext xmlns:c16="http://schemas.microsoft.com/office/drawing/2014/chart" uri="{C3380CC4-5D6E-409C-BE32-E72D297353CC}">
              <c16:uniqueId val="{00000008-A704-4F73-A99F-B34BD3946A8A}"/>
            </c:ext>
          </c:extLst>
        </c:ser>
        <c:dLbls>
          <c:dLblPos val="outEnd"/>
          <c:showLegendKey val="0"/>
          <c:showVal val="1"/>
          <c:showCatName val="0"/>
          <c:showSerName val="0"/>
          <c:showPercent val="0"/>
          <c:showBubbleSize val="0"/>
        </c:dLbls>
        <c:gapWidth val="219"/>
        <c:overlap val="-27"/>
        <c:axId val="884029512"/>
        <c:axId val="884030232"/>
      </c:barChart>
      <c:catAx>
        <c:axId val="884029512"/>
        <c:scaling>
          <c:orientation val="minMax"/>
        </c:scaling>
        <c:delete val="0"/>
        <c:axPos val="b"/>
        <c:numFmt formatCode="yy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884030232"/>
        <c:crosses val="autoZero"/>
        <c:auto val="0"/>
        <c:lblAlgn val="ctr"/>
        <c:lblOffset val="100"/>
        <c:noMultiLvlLbl val="0"/>
      </c:catAx>
      <c:valAx>
        <c:axId val="884030232"/>
        <c:scaling>
          <c:orientation val="minMax"/>
        </c:scaling>
        <c:delete val="1"/>
        <c:axPos val="l"/>
        <c:numFmt formatCode="0.0" sourceLinked="1"/>
        <c:majorTickMark val="none"/>
        <c:minorTickMark val="none"/>
        <c:tickLblPos val="nextTo"/>
        <c:crossAx val="88402951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txData>
          <cx:v>Daily Return Distribution</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Daily Return Distribution</a:t>
          </a:r>
        </a:p>
      </cx:txPr>
    </cx:title>
    <cx:plotArea>
      <cx:plotAreaRegion>
        <cx:series layoutId="clusteredColumn" uniqueId="{861FDEDE-F6CA-4AD5-8E78-3D72739A32C9}">
          <cx:spPr>
            <a:solidFill>
              <a:srgbClr val="B50C59"/>
            </a:solidFill>
          </cx:spPr>
          <cx:dataId val="0"/>
          <cx:layoutPr>
            <cx:binning intervalClosed="r"/>
          </cx:layoutPr>
        </cx:series>
      </cx:plotAreaRegion>
      <cx:axis id="0">
        <cx:catScaling gapWidth="0"/>
        <cx:tickLabels/>
      </cx:axis>
      <cx:axis id="1">
        <cx:valScaling/>
        <cx:majorGridlines>
          <cx:spPr>
            <a:ln>
              <a:noFill/>
            </a:ln>
          </cx:spPr>
        </cx:majorGridlines>
        <cx:tickLabels/>
        <cx:spPr>
          <a:ln>
            <a:noFill/>
          </a:ln>
        </cx:spPr>
      </cx:axis>
    </cx:plotArea>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1.png"/><Relationship Id="rId1" Type="http://schemas.microsoft.com/office/2014/relationships/chartEx" Target="../charts/chartEx1.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6.xml"/><Relationship Id="rId7" Type="http://schemas.openxmlformats.org/officeDocument/2006/relationships/image" Target="../media/image2.pn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12.xml"/><Relationship Id="rId7" Type="http://schemas.openxmlformats.org/officeDocument/2006/relationships/chart" Target="../charts/chart15.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4.xml"/><Relationship Id="rId5" Type="http://schemas.openxmlformats.org/officeDocument/2006/relationships/image" Target="../media/image2.png"/><Relationship Id="rId4"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8</xdr:col>
      <xdr:colOff>806302</xdr:colOff>
      <xdr:row>1</xdr:row>
      <xdr:rowOff>62023</xdr:rowOff>
    </xdr:from>
    <xdr:to>
      <xdr:col>11</xdr:col>
      <xdr:colOff>824023</xdr:colOff>
      <xdr:row>2</xdr:row>
      <xdr:rowOff>141493</xdr:rowOff>
    </xdr:to>
    <xdr:pic>
      <xdr:nvPicPr>
        <xdr:cNvPr id="4" name="Picture 3">
          <a:extLst>
            <a:ext uri="{FF2B5EF4-FFF2-40B4-BE49-F238E27FC236}">
              <a16:creationId xmlns:a16="http://schemas.microsoft.com/office/drawing/2014/main" id="{ED6139E0-4771-4431-AC69-EF7490F1B5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57953" y="256953"/>
          <a:ext cx="2702442" cy="45161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181752</xdr:colOff>
      <xdr:row>1</xdr:row>
      <xdr:rowOff>81314</xdr:rowOff>
    </xdr:from>
    <xdr:to>
      <xdr:col>14</xdr:col>
      <xdr:colOff>516329</xdr:colOff>
      <xdr:row>2</xdr:row>
      <xdr:rowOff>168404</xdr:rowOff>
    </xdr:to>
    <xdr:pic>
      <xdr:nvPicPr>
        <xdr:cNvPr id="2" name="Picture 1">
          <a:extLst>
            <a:ext uri="{FF2B5EF4-FFF2-40B4-BE49-F238E27FC236}">
              <a16:creationId xmlns:a16="http://schemas.microsoft.com/office/drawing/2014/main" id="{5A7E1FED-04E7-4C23-BF98-14C1C4F9FC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869271" y="274225"/>
          <a:ext cx="2697742" cy="45362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742802</xdr:colOff>
      <xdr:row>1</xdr:row>
      <xdr:rowOff>87423</xdr:rowOff>
    </xdr:from>
    <xdr:to>
      <xdr:col>11</xdr:col>
      <xdr:colOff>806243</xdr:colOff>
      <xdr:row>2</xdr:row>
      <xdr:rowOff>166893</xdr:rowOff>
    </xdr:to>
    <xdr:pic>
      <xdr:nvPicPr>
        <xdr:cNvPr id="2" name="Picture 1">
          <a:extLst>
            <a:ext uri="{FF2B5EF4-FFF2-40B4-BE49-F238E27FC236}">
              <a16:creationId xmlns:a16="http://schemas.microsoft.com/office/drawing/2014/main" id="{44477624-8899-4269-B457-F5AF02EF1E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38902" y="277923"/>
          <a:ext cx="2692341" cy="4477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128642</xdr:colOff>
      <xdr:row>24</xdr:row>
      <xdr:rowOff>152625</xdr:rowOff>
    </xdr:from>
    <xdr:to>
      <xdr:col>5</xdr:col>
      <xdr:colOff>17929</xdr:colOff>
      <xdr:row>39</xdr:row>
      <xdr:rowOff>80683</xdr:rowOff>
    </xdr:to>
    <xdr:graphicFrame macro="">
      <xdr:nvGraphicFramePr>
        <xdr:cNvPr id="2" name="Chart 1">
          <a:extLst>
            <a:ext uri="{FF2B5EF4-FFF2-40B4-BE49-F238E27FC236}">
              <a16:creationId xmlns:a16="http://schemas.microsoft.com/office/drawing/2014/main" id="{CF15212E-11A6-4B03-A5E0-55B9B0930B4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25</xdr:row>
      <xdr:rowOff>4011</xdr:rowOff>
    </xdr:from>
    <xdr:to>
      <xdr:col>9</xdr:col>
      <xdr:colOff>986590</xdr:colOff>
      <xdr:row>39</xdr:row>
      <xdr:rowOff>116553</xdr:rowOff>
    </xdr:to>
    <xdr:graphicFrame macro="">
      <xdr:nvGraphicFramePr>
        <xdr:cNvPr id="3" name="Chart 2">
          <a:extLst>
            <a:ext uri="{FF2B5EF4-FFF2-40B4-BE49-F238E27FC236}">
              <a16:creationId xmlns:a16="http://schemas.microsoft.com/office/drawing/2014/main" id="{4D1658FC-2033-4EBF-9922-C3392517DB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609600</xdr:colOff>
      <xdr:row>24</xdr:row>
      <xdr:rowOff>184484</xdr:rowOff>
    </xdr:from>
    <xdr:to>
      <xdr:col>15</xdr:col>
      <xdr:colOff>21634</xdr:colOff>
      <xdr:row>39</xdr:row>
      <xdr:rowOff>112542</xdr:rowOff>
    </xdr:to>
    <xdr:graphicFrame macro="">
      <xdr:nvGraphicFramePr>
        <xdr:cNvPr id="4" name="Chart 3">
          <a:extLst>
            <a:ext uri="{FF2B5EF4-FFF2-40B4-BE49-F238E27FC236}">
              <a16:creationId xmlns:a16="http://schemas.microsoft.com/office/drawing/2014/main" id="{F0C3EAE1-F80D-4659-861C-E4C3198FB3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11</xdr:col>
      <xdr:colOff>569465</xdr:colOff>
      <xdr:row>1</xdr:row>
      <xdr:rowOff>103212</xdr:rowOff>
    </xdr:from>
    <xdr:to>
      <xdr:col>14</xdr:col>
      <xdr:colOff>877363</xdr:colOff>
      <xdr:row>2</xdr:row>
      <xdr:rowOff>190302</xdr:rowOff>
    </xdr:to>
    <xdr:pic>
      <xdr:nvPicPr>
        <xdr:cNvPr id="5" name="Picture 4">
          <a:extLst>
            <a:ext uri="{FF2B5EF4-FFF2-40B4-BE49-F238E27FC236}">
              <a16:creationId xmlns:a16="http://schemas.microsoft.com/office/drawing/2014/main" id="{C86DD287-CD73-4473-AE15-D6687E9C15B0}"/>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817600" y="298861"/>
          <a:ext cx="2686574" cy="457792"/>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445918</xdr:colOff>
      <xdr:row>1</xdr:row>
      <xdr:rowOff>97319</xdr:rowOff>
    </xdr:from>
    <xdr:to>
      <xdr:col>10</xdr:col>
      <xdr:colOff>536178</xdr:colOff>
      <xdr:row>2</xdr:row>
      <xdr:rowOff>176789</xdr:rowOff>
    </xdr:to>
    <xdr:pic>
      <xdr:nvPicPr>
        <xdr:cNvPr id="2" name="Picture 1">
          <a:extLst>
            <a:ext uri="{FF2B5EF4-FFF2-40B4-BE49-F238E27FC236}">
              <a16:creationId xmlns:a16="http://schemas.microsoft.com/office/drawing/2014/main" id="{6D38B1E7-2F3E-4DCF-B207-343490E1AC0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75217" y="285345"/>
          <a:ext cx="2702831" cy="45552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101204</xdr:colOff>
      <xdr:row>1</xdr:row>
      <xdr:rowOff>106390</xdr:rowOff>
    </xdr:from>
    <xdr:to>
      <xdr:col>9</xdr:col>
      <xdr:colOff>562428</xdr:colOff>
      <xdr:row>2</xdr:row>
      <xdr:rowOff>171100</xdr:rowOff>
    </xdr:to>
    <xdr:pic>
      <xdr:nvPicPr>
        <xdr:cNvPr id="2" name="Picture 1">
          <a:extLst>
            <a:ext uri="{FF2B5EF4-FFF2-40B4-BE49-F238E27FC236}">
              <a16:creationId xmlns:a16="http://schemas.microsoft.com/office/drawing/2014/main" id="{B6E164CB-553E-4A77-BD44-6F599C619F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446418" y="296890"/>
          <a:ext cx="2284581" cy="42756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294287</xdr:colOff>
      <xdr:row>1</xdr:row>
      <xdr:rowOff>96283</xdr:rowOff>
    </xdr:from>
    <xdr:to>
      <xdr:col>10</xdr:col>
      <xdr:colOff>549999</xdr:colOff>
      <xdr:row>2</xdr:row>
      <xdr:rowOff>190993</xdr:rowOff>
    </xdr:to>
    <xdr:pic>
      <xdr:nvPicPr>
        <xdr:cNvPr id="2" name="Picture 1">
          <a:extLst>
            <a:ext uri="{FF2B5EF4-FFF2-40B4-BE49-F238E27FC236}">
              <a16:creationId xmlns:a16="http://schemas.microsoft.com/office/drawing/2014/main" id="{F293C069-2F46-4928-96A3-73B089EC8C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84054" y="291213"/>
          <a:ext cx="2701201" cy="449129"/>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294287</xdr:colOff>
      <xdr:row>1</xdr:row>
      <xdr:rowOff>96283</xdr:rowOff>
    </xdr:from>
    <xdr:to>
      <xdr:col>10</xdr:col>
      <xdr:colOff>442843</xdr:colOff>
      <xdr:row>2</xdr:row>
      <xdr:rowOff>175753</xdr:rowOff>
    </xdr:to>
    <xdr:pic>
      <xdr:nvPicPr>
        <xdr:cNvPr id="3" name="Picture 2">
          <a:extLst>
            <a:ext uri="{FF2B5EF4-FFF2-40B4-BE49-F238E27FC236}">
              <a16:creationId xmlns:a16="http://schemas.microsoft.com/office/drawing/2014/main" id="{30A99497-14DD-4B75-9613-A42CB5D1CA7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471827" y="286783"/>
          <a:ext cx="2694112" cy="4528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12</xdr:col>
      <xdr:colOff>827314</xdr:colOff>
      <xdr:row>1</xdr:row>
      <xdr:rowOff>42252</xdr:rowOff>
    </xdr:from>
    <xdr:to>
      <xdr:col>16</xdr:col>
      <xdr:colOff>480060</xdr:colOff>
      <xdr:row>2</xdr:row>
      <xdr:rowOff>228877</xdr:rowOff>
    </xdr:to>
    <xdr:pic>
      <xdr:nvPicPr>
        <xdr:cNvPr id="2" name="Picture 1">
          <a:extLst>
            <a:ext uri="{FF2B5EF4-FFF2-40B4-BE49-F238E27FC236}">
              <a16:creationId xmlns:a16="http://schemas.microsoft.com/office/drawing/2014/main" id="{2B89A576-CE84-452D-B91B-03D1A5F50E3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33657" y="238195"/>
          <a:ext cx="2613660" cy="55673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8</xdr:col>
      <xdr:colOff>236219</xdr:colOff>
      <xdr:row>33</xdr:row>
      <xdr:rowOff>121920</xdr:rowOff>
    </xdr:from>
    <xdr:to>
      <xdr:col>14</xdr:col>
      <xdr:colOff>9524</xdr:colOff>
      <xdr:row>46</xdr:row>
      <xdr:rowOff>85725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537A1926-EB18-4AFD-B435-A499EF1C69D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570219" y="6294120"/>
              <a:ext cx="3575685" cy="234124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9</xdr:col>
      <xdr:colOff>751027</xdr:colOff>
      <xdr:row>1</xdr:row>
      <xdr:rowOff>123708</xdr:rowOff>
    </xdr:from>
    <xdr:to>
      <xdr:col>13</xdr:col>
      <xdr:colOff>583933</xdr:colOff>
      <xdr:row>2</xdr:row>
      <xdr:rowOff>210798</xdr:rowOff>
    </xdr:to>
    <xdr:pic>
      <xdr:nvPicPr>
        <xdr:cNvPr id="4" name="Picture 3">
          <a:extLst>
            <a:ext uri="{FF2B5EF4-FFF2-40B4-BE49-F238E27FC236}">
              <a16:creationId xmlns:a16="http://schemas.microsoft.com/office/drawing/2014/main" id="{D20BB689-0BAC-4368-AAC7-1A2A7FB3785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351122" y="317232"/>
          <a:ext cx="2687382" cy="449947"/>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3661</xdr:colOff>
      <xdr:row>16</xdr:row>
      <xdr:rowOff>117625</xdr:rowOff>
    </xdr:from>
    <xdr:to>
      <xdr:col>1</xdr:col>
      <xdr:colOff>1934883</xdr:colOff>
      <xdr:row>24</xdr:row>
      <xdr:rowOff>147938</xdr:rowOff>
    </xdr:to>
    <xdr:graphicFrame macro="">
      <xdr:nvGraphicFramePr>
        <xdr:cNvPr id="3" name="Chart 2">
          <a:extLst>
            <a:ext uri="{FF2B5EF4-FFF2-40B4-BE49-F238E27FC236}">
              <a16:creationId xmlns:a16="http://schemas.microsoft.com/office/drawing/2014/main" id="{3D68C469-3E49-4EAA-8495-DB34EC53A4D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193754</xdr:colOff>
      <xdr:row>15</xdr:row>
      <xdr:rowOff>54408</xdr:rowOff>
    </xdr:from>
    <xdr:to>
      <xdr:col>1</xdr:col>
      <xdr:colOff>1602107</xdr:colOff>
      <xdr:row>16</xdr:row>
      <xdr:rowOff>63600</xdr:rowOff>
    </xdr:to>
    <xdr:sp macro="" textlink="">
      <xdr:nvSpPr>
        <xdr:cNvPr id="4" name="TextBox 3">
          <a:extLst>
            <a:ext uri="{FF2B5EF4-FFF2-40B4-BE49-F238E27FC236}">
              <a16:creationId xmlns:a16="http://schemas.microsoft.com/office/drawing/2014/main" id="{824214BF-3F01-427E-B555-CBD55E6248A4}"/>
            </a:ext>
          </a:extLst>
        </xdr:cNvPr>
        <xdr:cNvSpPr txBox="1"/>
      </xdr:nvSpPr>
      <xdr:spPr>
        <a:xfrm>
          <a:off x="323294" y="3262428"/>
          <a:ext cx="1408353" cy="1920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B50C59"/>
              </a:solidFill>
              <a:latin typeface="+mn-lt"/>
            </a:rPr>
            <a:t>Revenues (INR</a:t>
          </a:r>
          <a:r>
            <a:rPr lang="en-IN" sz="1050" b="1" baseline="0">
              <a:solidFill>
                <a:srgbClr val="B50C59"/>
              </a:solidFill>
              <a:latin typeface="+mn-lt"/>
            </a:rPr>
            <a:t> Crs.)</a:t>
          </a:r>
          <a:endParaRPr lang="en-IN" sz="1050" b="1">
            <a:solidFill>
              <a:srgbClr val="B50C59"/>
            </a:solidFill>
            <a:latin typeface="+mn-lt"/>
          </a:endParaRPr>
        </a:p>
      </xdr:txBody>
    </xdr:sp>
    <xdr:clientData/>
  </xdr:twoCellAnchor>
  <xdr:twoCellAnchor>
    <xdr:from>
      <xdr:col>1</xdr:col>
      <xdr:colOff>46580</xdr:colOff>
      <xdr:row>15</xdr:row>
      <xdr:rowOff>67734</xdr:rowOff>
    </xdr:from>
    <xdr:to>
      <xdr:col>1</xdr:col>
      <xdr:colOff>1701800</xdr:colOff>
      <xdr:row>15</xdr:row>
      <xdr:rowOff>72950</xdr:rowOff>
    </xdr:to>
    <xdr:cxnSp macro="">
      <xdr:nvCxnSpPr>
        <xdr:cNvPr id="5" name="Straight Connector 4">
          <a:extLst>
            <a:ext uri="{FF2B5EF4-FFF2-40B4-BE49-F238E27FC236}">
              <a16:creationId xmlns:a16="http://schemas.microsoft.com/office/drawing/2014/main" id="{05278F04-B866-4B7F-BBD8-28A150383D1A}"/>
            </a:ext>
          </a:extLst>
        </xdr:cNvPr>
        <xdr:cNvCxnSpPr/>
      </xdr:nvCxnSpPr>
      <xdr:spPr>
        <a:xfrm flipV="1">
          <a:off x="176120" y="3275754"/>
          <a:ext cx="1655220" cy="52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218220</xdr:colOff>
      <xdr:row>15</xdr:row>
      <xdr:rowOff>41371</xdr:rowOff>
    </xdr:from>
    <xdr:to>
      <xdr:col>4</xdr:col>
      <xdr:colOff>334012</xdr:colOff>
      <xdr:row>16</xdr:row>
      <xdr:rowOff>54373</xdr:rowOff>
    </xdr:to>
    <xdr:sp macro="" textlink="">
      <xdr:nvSpPr>
        <xdr:cNvPr id="6" name="TextBox 5">
          <a:extLst>
            <a:ext uri="{FF2B5EF4-FFF2-40B4-BE49-F238E27FC236}">
              <a16:creationId xmlns:a16="http://schemas.microsoft.com/office/drawing/2014/main" id="{1DC54C14-B565-4E38-B77E-595D157489CD}"/>
            </a:ext>
          </a:extLst>
        </xdr:cNvPr>
        <xdr:cNvSpPr txBox="1"/>
      </xdr:nvSpPr>
      <xdr:spPr>
        <a:xfrm>
          <a:off x="2793780" y="3249391"/>
          <a:ext cx="1411192" cy="1958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B50C59"/>
              </a:solidFill>
              <a:latin typeface="+mn-lt"/>
            </a:rPr>
            <a:t>Net Profit (INR</a:t>
          </a:r>
          <a:r>
            <a:rPr lang="en-IN" sz="1050" b="1" baseline="0">
              <a:solidFill>
                <a:srgbClr val="B50C59"/>
              </a:solidFill>
              <a:latin typeface="+mn-lt"/>
            </a:rPr>
            <a:t> Crs.)</a:t>
          </a:r>
          <a:endParaRPr lang="en-IN" sz="1050" b="1">
            <a:solidFill>
              <a:srgbClr val="B50C59"/>
            </a:solidFill>
            <a:latin typeface="+mn-lt"/>
          </a:endParaRPr>
        </a:p>
      </xdr:txBody>
    </xdr:sp>
    <xdr:clientData/>
  </xdr:twoCellAnchor>
  <xdr:twoCellAnchor>
    <xdr:from>
      <xdr:col>5</xdr:col>
      <xdr:colOff>459268</xdr:colOff>
      <xdr:row>15</xdr:row>
      <xdr:rowOff>51507</xdr:rowOff>
    </xdr:from>
    <xdr:to>
      <xdr:col>8</xdr:col>
      <xdr:colOff>574885</xdr:colOff>
      <xdr:row>16</xdr:row>
      <xdr:rowOff>77258</xdr:rowOff>
    </xdr:to>
    <xdr:sp macro="" textlink="">
      <xdr:nvSpPr>
        <xdr:cNvPr id="7" name="TextBox 6">
          <a:extLst>
            <a:ext uri="{FF2B5EF4-FFF2-40B4-BE49-F238E27FC236}">
              <a16:creationId xmlns:a16="http://schemas.microsoft.com/office/drawing/2014/main" id="{B91D4FCD-0471-4C2C-A4AA-2326D19A8CAD}"/>
            </a:ext>
          </a:extLst>
        </xdr:cNvPr>
        <xdr:cNvSpPr txBox="1"/>
      </xdr:nvSpPr>
      <xdr:spPr>
        <a:xfrm>
          <a:off x="4939828" y="3259527"/>
          <a:ext cx="1944417" cy="2086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B50C59"/>
              </a:solidFill>
              <a:latin typeface="+mn-lt"/>
            </a:rPr>
            <a:t>Average Total Assets (INR</a:t>
          </a:r>
          <a:r>
            <a:rPr lang="en-IN" sz="1050" b="1" baseline="0">
              <a:solidFill>
                <a:srgbClr val="B50C59"/>
              </a:solidFill>
              <a:latin typeface="+mn-lt"/>
            </a:rPr>
            <a:t> Crs.)</a:t>
          </a:r>
          <a:endParaRPr lang="en-IN" sz="1050" b="1">
            <a:solidFill>
              <a:srgbClr val="B50C59"/>
            </a:solidFill>
            <a:latin typeface="+mn-lt"/>
          </a:endParaRPr>
        </a:p>
      </xdr:txBody>
    </xdr:sp>
    <xdr:clientData/>
  </xdr:twoCellAnchor>
  <xdr:twoCellAnchor>
    <xdr:from>
      <xdr:col>1</xdr:col>
      <xdr:colOff>2211794</xdr:colOff>
      <xdr:row>16</xdr:row>
      <xdr:rowOff>129140</xdr:rowOff>
    </xdr:from>
    <xdr:to>
      <xdr:col>4</xdr:col>
      <xdr:colOff>587688</xdr:colOff>
      <xdr:row>24</xdr:row>
      <xdr:rowOff>163263</xdr:rowOff>
    </xdr:to>
    <xdr:graphicFrame macro="">
      <xdr:nvGraphicFramePr>
        <xdr:cNvPr id="8" name="Chart 7">
          <a:extLst>
            <a:ext uri="{FF2B5EF4-FFF2-40B4-BE49-F238E27FC236}">
              <a16:creationId xmlns:a16="http://schemas.microsoft.com/office/drawing/2014/main" id="{B020F0FC-EC7C-4CF9-BB77-3C63355B2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302136</xdr:colOff>
      <xdr:row>16</xdr:row>
      <xdr:rowOff>109157</xdr:rowOff>
    </xdr:from>
    <xdr:to>
      <xdr:col>8</xdr:col>
      <xdr:colOff>515944</xdr:colOff>
      <xdr:row>24</xdr:row>
      <xdr:rowOff>145185</xdr:rowOff>
    </xdr:to>
    <xdr:graphicFrame macro="">
      <xdr:nvGraphicFramePr>
        <xdr:cNvPr id="9" name="Chart 8">
          <a:extLst>
            <a:ext uri="{FF2B5EF4-FFF2-40B4-BE49-F238E27FC236}">
              <a16:creationId xmlns:a16="http://schemas.microsoft.com/office/drawing/2014/main" id="{16027717-435F-4B47-8EA6-FD4597E55F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16933</xdr:colOff>
      <xdr:row>28</xdr:row>
      <xdr:rowOff>51237</xdr:rowOff>
    </xdr:from>
    <xdr:to>
      <xdr:col>1</xdr:col>
      <xdr:colOff>1951965</xdr:colOff>
      <xdr:row>36</xdr:row>
      <xdr:rowOff>83454</xdr:rowOff>
    </xdr:to>
    <xdr:graphicFrame macro="">
      <xdr:nvGraphicFramePr>
        <xdr:cNvPr id="10" name="Chart 9">
          <a:extLst>
            <a:ext uri="{FF2B5EF4-FFF2-40B4-BE49-F238E27FC236}">
              <a16:creationId xmlns:a16="http://schemas.microsoft.com/office/drawing/2014/main" id="{F7D973FD-548D-4F84-BC84-B7897178C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219304</xdr:colOff>
      <xdr:row>26</xdr:row>
      <xdr:rowOff>180847</xdr:rowOff>
    </xdr:from>
    <xdr:to>
      <xdr:col>1</xdr:col>
      <xdr:colOff>1627657</xdr:colOff>
      <xdr:row>27</xdr:row>
      <xdr:rowOff>188135</xdr:rowOff>
    </xdr:to>
    <xdr:sp macro="" textlink="">
      <xdr:nvSpPr>
        <xdr:cNvPr id="11" name="TextBox 10">
          <a:extLst>
            <a:ext uri="{FF2B5EF4-FFF2-40B4-BE49-F238E27FC236}">
              <a16:creationId xmlns:a16="http://schemas.microsoft.com/office/drawing/2014/main" id="{50AA0D78-FDAB-48FB-B00C-9B3689DCF040}"/>
            </a:ext>
          </a:extLst>
        </xdr:cNvPr>
        <xdr:cNvSpPr txBox="1"/>
      </xdr:nvSpPr>
      <xdr:spPr>
        <a:xfrm>
          <a:off x="348844" y="5400547"/>
          <a:ext cx="1408353" cy="182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B50C59"/>
              </a:solidFill>
              <a:latin typeface="+mn-lt"/>
            </a:rPr>
            <a:t>Return on Equity (%)</a:t>
          </a:r>
        </a:p>
      </xdr:txBody>
    </xdr:sp>
    <xdr:clientData/>
  </xdr:twoCellAnchor>
  <xdr:twoCellAnchor>
    <xdr:from>
      <xdr:col>2</xdr:col>
      <xdr:colOff>249271</xdr:colOff>
      <xdr:row>26</xdr:row>
      <xdr:rowOff>155944</xdr:rowOff>
    </xdr:from>
    <xdr:to>
      <xdr:col>4</xdr:col>
      <xdr:colOff>363158</xdr:colOff>
      <xdr:row>27</xdr:row>
      <xdr:rowOff>180377</xdr:rowOff>
    </xdr:to>
    <xdr:sp macro="" textlink="">
      <xdr:nvSpPr>
        <xdr:cNvPr id="12" name="TextBox 11">
          <a:extLst>
            <a:ext uri="{FF2B5EF4-FFF2-40B4-BE49-F238E27FC236}">
              <a16:creationId xmlns:a16="http://schemas.microsoft.com/office/drawing/2014/main" id="{DB0FAE17-7D18-40E5-83D2-86567E01BE09}"/>
            </a:ext>
          </a:extLst>
        </xdr:cNvPr>
        <xdr:cNvSpPr txBox="1"/>
      </xdr:nvSpPr>
      <xdr:spPr>
        <a:xfrm>
          <a:off x="2824831" y="5375644"/>
          <a:ext cx="1409287" cy="2073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B50C59"/>
              </a:solidFill>
              <a:latin typeface="+mn-lt"/>
            </a:rPr>
            <a:t>Return</a:t>
          </a:r>
          <a:r>
            <a:rPr lang="en-IN" sz="1050" b="1" baseline="0">
              <a:solidFill>
                <a:srgbClr val="B50C59"/>
              </a:solidFill>
              <a:latin typeface="+mn-lt"/>
            </a:rPr>
            <a:t> on Asset (%)</a:t>
          </a:r>
          <a:endParaRPr lang="en-IN" sz="1050" b="1">
            <a:solidFill>
              <a:srgbClr val="B50C59"/>
            </a:solidFill>
            <a:latin typeface="+mn-lt"/>
          </a:endParaRPr>
        </a:p>
      </xdr:txBody>
    </xdr:sp>
    <xdr:clientData/>
  </xdr:twoCellAnchor>
  <xdr:twoCellAnchor>
    <xdr:from>
      <xdr:col>1</xdr:col>
      <xdr:colOff>2224219</xdr:colOff>
      <xdr:row>28</xdr:row>
      <xdr:rowOff>60411</xdr:rowOff>
    </xdr:from>
    <xdr:to>
      <xdr:col>4</xdr:col>
      <xdr:colOff>586778</xdr:colOff>
      <xdr:row>36</xdr:row>
      <xdr:rowOff>94533</xdr:rowOff>
    </xdr:to>
    <xdr:graphicFrame macro="">
      <xdr:nvGraphicFramePr>
        <xdr:cNvPr id="13" name="Chart 12">
          <a:extLst>
            <a:ext uri="{FF2B5EF4-FFF2-40B4-BE49-F238E27FC236}">
              <a16:creationId xmlns:a16="http://schemas.microsoft.com/office/drawing/2014/main" id="{70628346-B23A-4ED8-9C74-3D79981C5A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134310</xdr:colOff>
      <xdr:row>26</xdr:row>
      <xdr:rowOff>146136</xdr:rowOff>
    </xdr:from>
    <xdr:to>
      <xdr:col>8</xdr:col>
      <xdr:colOff>315084</xdr:colOff>
      <xdr:row>27</xdr:row>
      <xdr:rowOff>149614</xdr:rowOff>
    </xdr:to>
    <xdr:sp macro="" textlink="">
      <xdr:nvSpPr>
        <xdr:cNvPr id="14" name="TextBox 13">
          <a:extLst>
            <a:ext uri="{FF2B5EF4-FFF2-40B4-BE49-F238E27FC236}">
              <a16:creationId xmlns:a16="http://schemas.microsoft.com/office/drawing/2014/main" id="{226F87DB-6940-42BD-92C4-00D7F483BBF5}"/>
            </a:ext>
          </a:extLst>
        </xdr:cNvPr>
        <xdr:cNvSpPr txBox="1"/>
      </xdr:nvSpPr>
      <xdr:spPr>
        <a:xfrm>
          <a:off x="5224470" y="5365836"/>
          <a:ext cx="1399974" cy="18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B50C59"/>
              </a:solidFill>
              <a:latin typeface="+mn-lt"/>
            </a:rPr>
            <a:t>Financial Leverage</a:t>
          </a:r>
        </a:p>
      </xdr:txBody>
    </xdr:sp>
    <xdr:clientData/>
  </xdr:twoCellAnchor>
  <xdr:twoCellAnchor>
    <xdr:from>
      <xdr:col>5</xdr:col>
      <xdr:colOff>302048</xdr:colOff>
      <xdr:row>28</xdr:row>
      <xdr:rowOff>63513</xdr:rowOff>
    </xdr:from>
    <xdr:to>
      <xdr:col>8</xdr:col>
      <xdr:colOff>511399</xdr:colOff>
      <xdr:row>36</xdr:row>
      <xdr:rowOff>101445</xdr:rowOff>
    </xdr:to>
    <xdr:graphicFrame macro="">
      <xdr:nvGraphicFramePr>
        <xdr:cNvPr id="15" name="Chart 14">
          <a:extLst>
            <a:ext uri="{FF2B5EF4-FFF2-40B4-BE49-F238E27FC236}">
              <a16:creationId xmlns:a16="http://schemas.microsoft.com/office/drawing/2014/main" id="{883A050D-969E-497E-95B0-115F8AC169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109222</xdr:colOff>
      <xdr:row>37</xdr:row>
      <xdr:rowOff>119026</xdr:rowOff>
    </xdr:from>
    <xdr:to>
      <xdr:col>9</xdr:col>
      <xdr:colOff>102660</xdr:colOff>
      <xdr:row>52</xdr:row>
      <xdr:rowOff>237349</xdr:rowOff>
    </xdr:to>
    <xdr:sp macro="" textlink="">
      <xdr:nvSpPr>
        <xdr:cNvPr id="16" name="TextBox 15">
          <a:extLst>
            <a:ext uri="{FF2B5EF4-FFF2-40B4-BE49-F238E27FC236}">
              <a16:creationId xmlns:a16="http://schemas.microsoft.com/office/drawing/2014/main" id="{4EB8FFBA-E411-40AD-A2D6-3F2B4F6F6549}"/>
            </a:ext>
          </a:extLst>
        </xdr:cNvPr>
        <xdr:cNvSpPr txBox="1"/>
      </xdr:nvSpPr>
      <xdr:spPr>
        <a:xfrm>
          <a:off x="109222" y="7350406"/>
          <a:ext cx="6912398" cy="2861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B50C59"/>
              </a:solidFill>
              <a:effectLst/>
              <a:latin typeface="+mn-lt"/>
              <a:ea typeface="+mn-ea"/>
              <a:cs typeface="+mn-cs"/>
            </a:rPr>
            <a:t>Recent Updates</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Net profit rises 8% YoY to Rs 505 crore; misses street</a:t>
          </a:r>
          <a:r>
            <a:rPr lang="en-IN" sz="1200" b="0" i="0" baseline="0">
              <a:solidFill>
                <a:schemeClr val="dk1"/>
              </a:solidFill>
              <a:effectLst/>
              <a:latin typeface="+mn-lt"/>
              <a:ea typeface="+mn-ea"/>
              <a:cs typeface="+mn-cs"/>
            </a:rPr>
            <a:t> </a:t>
          </a:r>
          <a:r>
            <a:rPr lang="en-IN" sz="1200" b="0" i="0">
              <a:solidFill>
                <a:schemeClr val="dk1"/>
              </a:solidFill>
              <a:effectLst/>
              <a:latin typeface="+mn-lt"/>
              <a:ea typeface="+mn-ea"/>
              <a:cs typeface="+mn-cs"/>
            </a:rPr>
            <a:t>estimates.</a:t>
          </a:r>
        </a:p>
        <a:p>
          <a:pPr marL="171450" indent="-171450">
            <a:buFont typeface="Arial" panose="020B0604020202020204" pitchFamily="34" charset="0"/>
            <a:buChar char="•"/>
          </a:pPr>
          <a:r>
            <a:rPr lang="en-IN" sz="1200" b="0" i="0">
              <a:solidFill>
                <a:schemeClr val="dk1"/>
              </a:solidFill>
              <a:effectLst/>
              <a:latin typeface="+mn-lt"/>
              <a:ea typeface="+mn-ea"/>
              <a:cs typeface="+mn-cs"/>
            </a:rPr>
            <a:t>DMart's margins decreased to 7.6% vs 8.6% on a YoY basis while EBITDA was up 5.5% at Rs 783 crore. </a:t>
          </a:r>
        </a:p>
        <a:p>
          <a:pPr marL="171450" indent="-171450">
            <a:buFont typeface="Arial" panose="020B0604020202020204" pitchFamily="34" charset="0"/>
            <a:buChar char="•"/>
          </a:pPr>
          <a:r>
            <a:rPr lang="en-IN" sz="1200" b="0" i="0">
              <a:solidFill>
                <a:schemeClr val="dk1"/>
              </a:solidFill>
              <a:effectLst/>
              <a:latin typeface="+mn-lt"/>
              <a:ea typeface="+mn-ea"/>
              <a:cs typeface="+mn-cs"/>
            </a:rPr>
            <a:t>The retailer's earnings per share or EPS rose to 7.2% from 7.8% in the corresponding quarter of the previous year.</a:t>
          </a:r>
        </a:p>
        <a:p>
          <a:pPr marL="171450" indent="-171450">
            <a:buFont typeface="Arial" panose="020B0604020202020204" pitchFamily="34" charset="0"/>
            <a:buChar char="•"/>
          </a:pPr>
          <a:r>
            <a:rPr lang="en-IN" sz="1200" b="0" i="0">
              <a:solidFill>
                <a:schemeClr val="dk1"/>
              </a:solidFill>
              <a:effectLst/>
              <a:latin typeface="+mn-lt"/>
              <a:ea typeface="+mn-ea"/>
              <a:cs typeface="+mn-cs"/>
            </a:rPr>
            <a:t>These same stores grew at 11.0% in the second half of FY 2023 vis-a-vis second half of FY 2022. </a:t>
          </a:r>
        </a:p>
        <a:p>
          <a:pPr marL="171450" indent="-171450">
            <a:buFont typeface="Arial" panose="020B0604020202020204" pitchFamily="34" charset="0"/>
            <a:buChar char="•"/>
          </a:pPr>
          <a:r>
            <a:rPr lang="en-IN" sz="1200" b="0" i="0">
              <a:solidFill>
                <a:schemeClr val="dk1"/>
              </a:solidFill>
              <a:effectLst/>
              <a:latin typeface="+mn-lt"/>
              <a:ea typeface="+mn-ea"/>
              <a:cs typeface="+mn-cs"/>
            </a:rPr>
            <a:t>In FY23, over 56% of its revenue came from the foods division, 21% from FMCG and around 23% from general merchandise and apparel.</a:t>
          </a:r>
        </a:p>
        <a:p>
          <a:pPr marL="171450" indent="-171450">
            <a:buFont typeface="Arial" panose="020B0604020202020204" pitchFamily="34" charset="0"/>
            <a:buChar char="•"/>
          </a:pPr>
          <a:r>
            <a:rPr lang="en-IN" sz="1200" b="0" i="0">
              <a:solidFill>
                <a:schemeClr val="dk1"/>
              </a:solidFill>
              <a:effectLst/>
              <a:latin typeface="+mn-lt"/>
              <a:ea typeface="+mn-ea"/>
              <a:cs typeface="+mn-cs"/>
            </a:rPr>
            <a:t> With the discretionary product mix being impacted, gross margins for the quarter came in below our estimate at 14.0%.</a:t>
          </a:r>
        </a:p>
        <a:p>
          <a:pPr marL="171450" indent="-171450">
            <a:buFont typeface="Arial" panose="020B0604020202020204" pitchFamily="34" charset="0"/>
            <a:buChar char="•"/>
          </a:pPr>
          <a:r>
            <a:rPr lang="en-IN" sz="1200" b="0" i="0">
              <a:solidFill>
                <a:schemeClr val="dk1"/>
              </a:solidFill>
              <a:effectLst/>
              <a:latin typeface="+mn-lt"/>
              <a:ea typeface="+mn-ea"/>
              <a:cs typeface="+mn-cs"/>
            </a:rPr>
            <a:t>Opex too grew at a faster clip (~25%) than the revenue growth (21%). Subsequently EBITDA margins declined by 110 bps YoY to 7.3% </a:t>
          </a:r>
        </a:p>
        <a:p>
          <a:pPr marL="171450" indent="-171450">
            <a:buFont typeface="Arial" panose="020B0604020202020204" pitchFamily="34" charset="0"/>
            <a:buChar char="•"/>
          </a:pPr>
          <a:r>
            <a:rPr lang="en-IN" sz="1200" b="0" i="0">
              <a:solidFill>
                <a:schemeClr val="dk1"/>
              </a:solidFill>
              <a:effectLst/>
              <a:latin typeface="+mn-lt"/>
              <a:ea typeface="+mn-ea"/>
              <a:cs typeface="+mn-cs"/>
            </a:rPr>
            <a:t>Higher depreciation expenses (up 12% YoY) further impacted profitability. Ensuing PBT stood at Rs 624.9 crore (I-direct estimate: Rs 659.1 crore, up 3% YoY). Lower tax rate 26% vs 30% in Q4FY22 enabled the company to report a PAT of  Rs 460 crore during the quarter</a:t>
          </a:r>
          <a:br>
            <a:rPr lang="en-IN" sz="1200"/>
          </a:br>
          <a:br>
            <a:rPr lang="en-IN" sz="1200"/>
          </a:br>
          <a:br>
            <a:rPr lang="en-IN" sz="1200"/>
          </a:br>
          <a:endParaRPr lang="en-IN" sz="1200" b="0"/>
        </a:p>
      </xdr:txBody>
    </xdr:sp>
    <xdr:clientData/>
  </xdr:twoCellAnchor>
  <xdr:twoCellAnchor>
    <xdr:from>
      <xdr:col>2</xdr:col>
      <xdr:colOff>17371</xdr:colOff>
      <xdr:row>15</xdr:row>
      <xdr:rowOff>61172</xdr:rowOff>
    </xdr:from>
    <xdr:to>
      <xdr:col>4</xdr:col>
      <xdr:colOff>401744</xdr:colOff>
      <xdr:row>15</xdr:row>
      <xdr:rowOff>64483</xdr:rowOff>
    </xdr:to>
    <xdr:cxnSp macro="">
      <xdr:nvCxnSpPr>
        <xdr:cNvPr id="17" name="Straight Connector 16">
          <a:extLst>
            <a:ext uri="{FF2B5EF4-FFF2-40B4-BE49-F238E27FC236}">
              <a16:creationId xmlns:a16="http://schemas.microsoft.com/office/drawing/2014/main" id="{3BFD204B-1DF2-4D1C-B777-64C6FE396022}"/>
            </a:ext>
          </a:extLst>
        </xdr:cNvPr>
        <xdr:cNvCxnSpPr/>
      </xdr:nvCxnSpPr>
      <xdr:spPr>
        <a:xfrm flipV="1">
          <a:off x="2592931" y="3269192"/>
          <a:ext cx="1679773" cy="331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15</xdr:row>
      <xdr:rowOff>63077</xdr:rowOff>
    </xdr:from>
    <xdr:to>
      <xdr:col>8</xdr:col>
      <xdr:colOff>359410</xdr:colOff>
      <xdr:row>15</xdr:row>
      <xdr:rowOff>64483</xdr:rowOff>
    </xdr:to>
    <xdr:cxnSp macro="">
      <xdr:nvCxnSpPr>
        <xdr:cNvPr id="18" name="Straight Connector 17">
          <a:extLst>
            <a:ext uri="{FF2B5EF4-FFF2-40B4-BE49-F238E27FC236}">
              <a16:creationId xmlns:a16="http://schemas.microsoft.com/office/drawing/2014/main" id="{C5C8A784-C4AB-4927-9037-6D439F858168}"/>
            </a:ext>
          </a:extLst>
        </xdr:cNvPr>
        <xdr:cNvCxnSpPr/>
      </xdr:nvCxnSpPr>
      <xdr:spPr>
        <a:xfrm flipV="1">
          <a:off x="5004025" y="3271097"/>
          <a:ext cx="166474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26</xdr:row>
      <xdr:rowOff>181609</xdr:rowOff>
    </xdr:from>
    <xdr:to>
      <xdr:col>1</xdr:col>
      <xdr:colOff>1760221</xdr:colOff>
      <xdr:row>26</xdr:row>
      <xdr:rowOff>183015</xdr:rowOff>
    </xdr:to>
    <xdr:cxnSp macro="">
      <xdr:nvCxnSpPr>
        <xdr:cNvPr id="19" name="Straight Connector 18">
          <a:extLst>
            <a:ext uri="{FF2B5EF4-FFF2-40B4-BE49-F238E27FC236}">
              <a16:creationId xmlns:a16="http://schemas.microsoft.com/office/drawing/2014/main" id="{7FDD387A-560F-47B9-8E5E-F87107E4F886}"/>
            </a:ext>
          </a:extLst>
        </xdr:cNvPr>
        <xdr:cNvCxnSpPr/>
      </xdr:nvCxnSpPr>
      <xdr:spPr>
        <a:xfrm flipV="1">
          <a:off x="221206" y="5401309"/>
          <a:ext cx="166855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26</xdr:row>
      <xdr:rowOff>190076</xdr:rowOff>
    </xdr:from>
    <xdr:to>
      <xdr:col>4</xdr:col>
      <xdr:colOff>415080</xdr:colOff>
      <xdr:row>26</xdr:row>
      <xdr:rowOff>190076</xdr:rowOff>
    </xdr:to>
    <xdr:cxnSp macro="">
      <xdr:nvCxnSpPr>
        <xdr:cNvPr id="20" name="Straight Connector 19">
          <a:extLst>
            <a:ext uri="{FF2B5EF4-FFF2-40B4-BE49-F238E27FC236}">
              <a16:creationId xmlns:a16="http://schemas.microsoft.com/office/drawing/2014/main" id="{7F25C0DC-879B-431A-8692-A5AFB78DB003}"/>
            </a:ext>
          </a:extLst>
        </xdr:cNvPr>
        <xdr:cNvCxnSpPr/>
      </xdr:nvCxnSpPr>
      <xdr:spPr>
        <a:xfrm flipV="1">
          <a:off x="2587217" y="5402156"/>
          <a:ext cx="1698823"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26</xdr:row>
      <xdr:rowOff>154304</xdr:rowOff>
    </xdr:from>
    <xdr:to>
      <xdr:col>8</xdr:col>
      <xdr:colOff>351156</xdr:colOff>
      <xdr:row>26</xdr:row>
      <xdr:rowOff>154304</xdr:rowOff>
    </xdr:to>
    <xdr:cxnSp macro="">
      <xdr:nvCxnSpPr>
        <xdr:cNvPr id="21" name="Straight Connector 20">
          <a:extLst>
            <a:ext uri="{FF2B5EF4-FFF2-40B4-BE49-F238E27FC236}">
              <a16:creationId xmlns:a16="http://schemas.microsoft.com/office/drawing/2014/main" id="{0669BB8A-0131-4C7C-B100-DD51CD4999FE}"/>
            </a:ext>
          </a:extLst>
        </xdr:cNvPr>
        <xdr:cNvCxnSpPr/>
      </xdr:nvCxnSpPr>
      <xdr:spPr>
        <a:xfrm flipV="1">
          <a:off x="4980531" y="5374004"/>
          <a:ext cx="16799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56</xdr:row>
      <xdr:rowOff>97820</xdr:rowOff>
    </xdr:from>
    <xdr:to>
      <xdr:col>9</xdr:col>
      <xdr:colOff>60990</xdr:colOff>
      <xdr:row>58</xdr:row>
      <xdr:rowOff>33306</xdr:rowOff>
    </xdr:to>
    <xdr:sp macro="" textlink="">
      <xdr:nvSpPr>
        <xdr:cNvPr id="22" name="TextBox 21">
          <a:extLst>
            <a:ext uri="{FF2B5EF4-FFF2-40B4-BE49-F238E27FC236}">
              <a16:creationId xmlns:a16="http://schemas.microsoft.com/office/drawing/2014/main" id="{0C5EE992-740B-4822-B814-8F4B624AA016}"/>
            </a:ext>
          </a:extLst>
        </xdr:cNvPr>
        <xdr:cNvSpPr txBox="1"/>
      </xdr:nvSpPr>
      <xdr:spPr>
        <a:xfrm>
          <a:off x="61837" y="10720100"/>
          <a:ext cx="6918113" cy="301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B50C59"/>
              </a:solidFill>
              <a:effectLst/>
              <a:latin typeface="+mn-lt"/>
              <a:ea typeface="+mn-ea"/>
              <a:cs typeface="+mn-cs"/>
            </a:rPr>
            <a:t>Dupont Analysis - Return on Equity &amp; Return</a:t>
          </a:r>
          <a:r>
            <a:rPr lang="en-IN" sz="1800" b="1" i="0" baseline="0">
              <a:solidFill>
                <a:srgbClr val="B50C59"/>
              </a:solidFill>
              <a:effectLst/>
              <a:latin typeface="+mn-lt"/>
              <a:ea typeface="+mn-ea"/>
              <a:cs typeface="+mn-cs"/>
            </a:rPr>
            <a:t> on Asset</a:t>
          </a:r>
          <a:endParaRPr lang="en-IN" sz="1800" b="1" i="0">
            <a:solidFill>
              <a:srgbClr val="B50C59"/>
            </a:solidFill>
            <a:effectLst/>
            <a:latin typeface="+mn-lt"/>
            <a:ea typeface="+mn-ea"/>
            <a:cs typeface="+mn-cs"/>
          </a:endParaRPr>
        </a:p>
      </xdr:txBody>
    </xdr:sp>
    <xdr:clientData/>
  </xdr:twoCellAnchor>
  <xdr:twoCellAnchor>
    <xdr:from>
      <xdr:col>0</xdr:col>
      <xdr:colOff>73662</xdr:colOff>
      <xdr:row>98</xdr:row>
      <xdr:rowOff>103534</xdr:rowOff>
    </xdr:from>
    <xdr:to>
      <xdr:col>9</xdr:col>
      <xdr:colOff>76625</xdr:colOff>
      <xdr:row>109</xdr:row>
      <xdr:rowOff>17123</xdr:rowOff>
    </xdr:to>
    <xdr:sp macro="" textlink="">
      <xdr:nvSpPr>
        <xdr:cNvPr id="23" name="TextBox 22">
          <a:extLst>
            <a:ext uri="{FF2B5EF4-FFF2-40B4-BE49-F238E27FC236}">
              <a16:creationId xmlns:a16="http://schemas.microsoft.com/office/drawing/2014/main" id="{B505ECC9-9A8E-42DB-B205-C16AFA884577}"/>
            </a:ext>
          </a:extLst>
        </xdr:cNvPr>
        <xdr:cNvSpPr txBox="1"/>
      </xdr:nvSpPr>
      <xdr:spPr>
        <a:xfrm>
          <a:off x="73662" y="18467734"/>
          <a:ext cx="6921923" cy="192526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B50C59"/>
              </a:solidFill>
              <a:effectLst/>
              <a:latin typeface="+mn-lt"/>
              <a:ea typeface="+mn-ea"/>
              <a:cs typeface="+mn-cs"/>
            </a:rPr>
            <a:t>Dupont Summary</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ROE of Avenue Supermart has been decreased to</a:t>
          </a:r>
          <a:r>
            <a:rPr lang="en-IN" sz="1200" b="0" i="0" baseline="0">
              <a:solidFill>
                <a:schemeClr val="dk1"/>
              </a:solidFill>
              <a:effectLst/>
              <a:latin typeface="+mn-lt"/>
              <a:ea typeface="+mn-ea"/>
              <a:cs typeface="+mn-cs"/>
            </a:rPr>
            <a:t> 15.61% during COVID and made a low of 9.45% in FY2021 which now has rose to precovid levels and currently at 15.99% as of 31 March 2023.</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baseline="0">
              <a:solidFill>
                <a:schemeClr val="dk1"/>
              </a:solidFill>
              <a:effectLst/>
              <a:latin typeface="+mn-lt"/>
              <a:ea typeface="+mn-ea"/>
              <a:cs typeface="+mn-cs"/>
            </a:rPr>
            <a:t>ROE has been decreased significantly in past 7 years from 17.86% to 15.99%. While the company was able to increase the net margins from 4.02% in FY2017 to 5.55% in FY23. Asset efficiency of the company is constantly maintained throughout the period, the reason for fall in ROE is reduction of financial leverage in the company from 1.66x in FY2017 to 1.13x in FY2023.</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ROA of Avenue Supermart has been increased from 10.73% in FY2017 to 14.17% in FY2023. While the asset efficiency remains constant, the reason for increase in ROA is increased net margin of the company.</a:t>
          </a:r>
        </a:p>
      </xdr:txBody>
    </xdr:sp>
    <xdr:clientData/>
  </xdr:twoCellAnchor>
  <xdr:twoCellAnchor>
    <xdr:from>
      <xdr:col>1</xdr:col>
      <xdr:colOff>41319</xdr:colOff>
      <xdr:row>109</xdr:row>
      <xdr:rowOff>64535</xdr:rowOff>
    </xdr:from>
    <xdr:to>
      <xdr:col>9</xdr:col>
      <xdr:colOff>226416</xdr:colOff>
      <xdr:row>114</xdr:row>
      <xdr:rowOff>109399</xdr:rowOff>
    </xdr:to>
    <xdr:sp macro="" textlink="">
      <xdr:nvSpPr>
        <xdr:cNvPr id="24" name="TextBox 23">
          <a:extLst>
            <a:ext uri="{FF2B5EF4-FFF2-40B4-BE49-F238E27FC236}">
              <a16:creationId xmlns:a16="http://schemas.microsoft.com/office/drawing/2014/main" id="{08B13CA2-73AD-4D83-826F-A469EBB2C027}"/>
            </a:ext>
          </a:extLst>
        </xdr:cNvPr>
        <xdr:cNvSpPr txBox="1"/>
      </xdr:nvSpPr>
      <xdr:spPr>
        <a:xfrm>
          <a:off x="170859" y="20440415"/>
          <a:ext cx="6974517" cy="9135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B50C59"/>
              </a:solidFill>
              <a:effectLst/>
              <a:latin typeface="+mn-lt"/>
              <a:ea typeface="+mn-ea"/>
              <a:cs typeface="+mn-cs"/>
            </a:rPr>
            <a:t>Disclaimer</a:t>
          </a:r>
          <a:r>
            <a:rPr lang="en-IN" sz="900" b="0" i="1">
              <a:solidFill>
                <a:srgbClr val="028655"/>
              </a:solidFill>
              <a:effectLst/>
              <a:latin typeface="+mn-lt"/>
              <a:ea typeface="+mn-ea"/>
              <a:cs typeface="+mn-cs"/>
            </a:rPr>
            <a:t>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twoCellAnchor editAs="oneCell">
    <xdr:from>
      <xdr:col>6</xdr:col>
      <xdr:colOff>231168</xdr:colOff>
      <xdr:row>1</xdr:row>
      <xdr:rowOff>68494</xdr:rowOff>
    </xdr:from>
    <xdr:to>
      <xdr:col>8</xdr:col>
      <xdr:colOff>562273</xdr:colOff>
      <xdr:row>4</xdr:row>
      <xdr:rowOff>119865</xdr:rowOff>
    </xdr:to>
    <xdr:pic>
      <xdr:nvPicPr>
        <xdr:cNvPr id="31" name="Picture 30">
          <a:extLst>
            <a:ext uri="{FF2B5EF4-FFF2-40B4-BE49-F238E27FC236}">
              <a16:creationId xmlns:a16="http://schemas.microsoft.com/office/drawing/2014/main" id="{32B724EE-58AC-41E7-BD10-AE066CE3A88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5316876" y="196921"/>
          <a:ext cx="1546880" cy="73631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70186</xdr:colOff>
      <xdr:row>15</xdr:row>
      <xdr:rowOff>61273</xdr:rowOff>
    </xdr:from>
    <xdr:to>
      <xdr:col>1</xdr:col>
      <xdr:colOff>1929027</xdr:colOff>
      <xdr:row>16</xdr:row>
      <xdr:rowOff>157892</xdr:rowOff>
    </xdr:to>
    <xdr:sp macro="" textlink="">
      <xdr:nvSpPr>
        <xdr:cNvPr id="4" name="TextBox 3">
          <a:extLst>
            <a:ext uri="{FF2B5EF4-FFF2-40B4-BE49-F238E27FC236}">
              <a16:creationId xmlns:a16="http://schemas.microsoft.com/office/drawing/2014/main" id="{F0E4A264-3BCC-496C-A5F2-14177FF32813}"/>
            </a:ext>
          </a:extLst>
        </xdr:cNvPr>
        <xdr:cNvSpPr txBox="1"/>
      </xdr:nvSpPr>
      <xdr:spPr>
        <a:xfrm>
          <a:off x="70186" y="3425057"/>
          <a:ext cx="1989273" cy="281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rgbClr val="B50C59"/>
              </a:solidFill>
              <a:effectLst/>
              <a:latin typeface="+mn-lt"/>
              <a:ea typeface="+mn-ea"/>
              <a:cs typeface="+mn-cs"/>
            </a:rPr>
            <a:t>Working Capital / Total Assets (A)</a:t>
          </a:r>
          <a:r>
            <a:rPr lang="en-IN" sz="1000">
              <a:solidFill>
                <a:srgbClr val="B50C59"/>
              </a:solidFill>
            </a:rPr>
            <a:t> </a:t>
          </a:r>
          <a:endParaRPr lang="en-IN" sz="1000" b="1">
            <a:solidFill>
              <a:srgbClr val="B50C59"/>
            </a:solidFill>
            <a:latin typeface="+mn-lt"/>
          </a:endParaRPr>
        </a:p>
      </xdr:txBody>
    </xdr:sp>
    <xdr:clientData/>
  </xdr:twoCellAnchor>
  <xdr:twoCellAnchor>
    <xdr:from>
      <xdr:col>1</xdr:col>
      <xdr:colOff>46580</xdr:colOff>
      <xdr:row>15</xdr:row>
      <xdr:rowOff>67734</xdr:rowOff>
    </xdr:from>
    <xdr:to>
      <xdr:col>1</xdr:col>
      <xdr:colOff>1701800</xdr:colOff>
      <xdr:row>15</xdr:row>
      <xdr:rowOff>72950</xdr:rowOff>
    </xdr:to>
    <xdr:cxnSp macro="">
      <xdr:nvCxnSpPr>
        <xdr:cNvPr id="5" name="Straight Connector 4">
          <a:extLst>
            <a:ext uri="{FF2B5EF4-FFF2-40B4-BE49-F238E27FC236}">
              <a16:creationId xmlns:a16="http://schemas.microsoft.com/office/drawing/2014/main" id="{2BD4D933-4603-473B-8C68-085414AFF2D2}"/>
            </a:ext>
          </a:extLst>
        </xdr:cNvPr>
        <xdr:cNvCxnSpPr/>
      </xdr:nvCxnSpPr>
      <xdr:spPr>
        <a:xfrm flipV="1">
          <a:off x="176120" y="3412914"/>
          <a:ext cx="1655220" cy="521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122889</xdr:colOff>
      <xdr:row>15</xdr:row>
      <xdr:rowOff>24047</xdr:rowOff>
    </xdr:from>
    <xdr:to>
      <xdr:col>9</xdr:col>
      <xdr:colOff>238507</xdr:colOff>
      <xdr:row>16</xdr:row>
      <xdr:rowOff>49798</xdr:rowOff>
    </xdr:to>
    <xdr:sp macro="" textlink="">
      <xdr:nvSpPr>
        <xdr:cNvPr id="7" name="TextBox 6">
          <a:extLst>
            <a:ext uri="{FF2B5EF4-FFF2-40B4-BE49-F238E27FC236}">
              <a16:creationId xmlns:a16="http://schemas.microsoft.com/office/drawing/2014/main" id="{86B75600-2434-4798-9614-D132ED1E5D64}"/>
            </a:ext>
          </a:extLst>
        </xdr:cNvPr>
        <xdr:cNvSpPr txBox="1"/>
      </xdr:nvSpPr>
      <xdr:spPr>
        <a:xfrm>
          <a:off x="5504943" y="3387831"/>
          <a:ext cx="2278050" cy="2111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rgbClr val="B50C59"/>
              </a:solidFill>
              <a:effectLst/>
              <a:latin typeface="+mn-lt"/>
              <a:ea typeface="+mn-ea"/>
              <a:cs typeface="+mn-cs"/>
            </a:rPr>
            <a:t>EBIT/Total Assets (C)</a:t>
          </a:r>
          <a:r>
            <a:rPr lang="en-IN" sz="1000">
              <a:solidFill>
                <a:srgbClr val="B50C59"/>
              </a:solidFill>
            </a:rPr>
            <a:t> </a:t>
          </a:r>
          <a:endParaRPr lang="en-IN" sz="1000" b="1">
            <a:solidFill>
              <a:srgbClr val="B50C59"/>
            </a:solidFill>
            <a:latin typeface="+mn-lt"/>
          </a:endParaRPr>
        </a:p>
      </xdr:txBody>
    </xdr:sp>
    <xdr:clientData/>
  </xdr:twoCellAnchor>
  <xdr:twoCellAnchor>
    <xdr:from>
      <xdr:col>1</xdr:col>
      <xdr:colOff>2211794</xdr:colOff>
      <xdr:row>16</xdr:row>
      <xdr:rowOff>129140</xdr:rowOff>
    </xdr:from>
    <xdr:to>
      <xdr:col>4</xdr:col>
      <xdr:colOff>587688</xdr:colOff>
      <xdr:row>24</xdr:row>
      <xdr:rowOff>163263</xdr:rowOff>
    </xdr:to>
    <xdr:graphicFrame macro="">
      <xdr:nvGraphicFramePr>
        <xdr:cNvPr id="8" name="Chart 7">
          <a:extLst>
            <a:ext uri="{FF2B5EF4-FFF2-40B4-BE49-F238E27FC236}">
              <a16:creationId xmlns:a16="http://schemas.microsoft.com/office/drawing/2014/main" id="{5828E10F-807C-4911-97A3-6252058810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302136</xdr:colOff>
      <xdr:row>16</xdr:row>
      <xdr:rowOff>109157</xdr:rowOff>
    </xdr:from>
    <xdr:to>
      <xdr:col>8</xdr:col>
      <xdr:colOff>515944</xdr:colOff>
      <xdr:row>24</xdr:row>
      <xdr:rowOff>145185</xdr:rowOff>
    </xdr:to>
    <xdr:graphicFrame macro="">
      <xdr:nvGraphicFramePr>
        <xdr:cNvPr id="9" name="Chart 8">
          <a:extLst>
            <a:ext uri="{FF2B5EF4-FFF2-40B4-BE49-F238E27FC236}">
              <a16:creationId xmlns:a16="http://schemas.microsoft.com/office/drawing/2014/main" id="{A4D8624A-87F5-42ED-AEF1-371834FFE6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26</xdr:row>
      <xdr:rowOff>169360</xdr:rowOff>
    </xdr:from>
    <xdr:to>
      <xdr:col>1</xdr:col>
      <xdr:colOff>2108988</xdr:colOff>
      <xdr:row>27</xdr:row>
      <xdr:rowOff>169028</xdr:rowOff>
    </xdr:to>
    <xdr:sp macro="" textlink="">
      <xdr:nvSpPr>
        <xdr:cNvPr id="11" name="TextBox 10">
          <a:extLst>
            <a:ext uri="{FF2B5EF4-FFF2-40B4-BE49-F238E27FC236}">
              <a16:creationId xmlns:a16="http://schemas.microsoft.com/office/drawing/2014/main" id="{6B847F6B-0490-4741-ABDC-2568A8E88806}"/>
            </a:ext>
          </a:extLst>
        </xdr:cNvPr>
        <xdr:cNvSpPr txBox="1"/>
      </xdr:nvSpPr>
      <xdr:spPr>
        <a:xfrm>
          <a:off x="0" y="5549310"/>
          <a:ext cx="2239179" cy="1834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rgbClr val="B50C59"/>
              </a:solidFill>
              <a:effectLst/>
              <a:latin typeface="+mn-lt"/>
              <a:ea typeface="+mn-ea"/>
              <a:cs typeface="+mn-cs"/>
            </a:rPr>
            <a:t>Market Cap / Long term Liabilities (D)</a:t>
          </a:r>
          <a:r>
            <a:rPr lang="en-IN" sz="1000">
              <a:solidFill>
                <a:srgbClr val="B50C59"/>
              </a:solidFill>
            </a:rPr>
            <a:t> </a:t>
          </a:r>
          <a:endParaRPr lang="en-IN" sz="1000" b="1">
            <a:solidFill>
              <a:srgbClr val="B50C59"/>
            </a:solidFill>
            <a:latin typeface="+mn-lt"/>
          </a:endParaRPr>
        </a:p>
      </xdr:txBody>
    </xdr:sp>
    <xdr:clientData/>
  </xdr:twoCellAnchor>
  <xdr:twoCellAnchor>
    <xdr:from>
      <xdr:col>2</xdr:col>
      <xdr:colOff>155</xdr:colOff>
      <xdr:row>26</xdr:row>
      <xdr:rowOff>131521</xdr:rowOff>
    </xdr:from>
    <xdr:to>
      <xdr:col>4</xdr:col>
      <xdr:colOff>483576</xdr:colOff>
      <xdr:row>27</xdr:row>
      <xdr:rowOff>155954</xdr:rowOff>
    </xdr:to>
    <xdr:sp macro="" textlink="">
      <xdr:nvSpPr>
        <xdr:cNvPr id="12" name="TextBox 11">
          <a:extLst>
            <a:ext uri="{FF2B5EF4-FFF2-40B4-BE49-F238E27FC236}">
              <a16:creationId xmlns:a16="http://schemas.microsoft.com/office/drawing/2014/main" id="{6C6E87F6-C411-47CC-8B11-7790B0A3F001}"/>
            </a:ext>
          </a:extLst>
        </xdr:cNvPr>
        <xdr:cNvSpPr txBox="1"/>
      </xdr:nvSpPr>
      <xdr:spPr>
        <a:xfrm>
          <a:off x="2579232" y="5587636"/>
          <a:ext cx="1855998" cy="205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baseline="0">
              <a:solidFill>
                <a:srgbClr val="B50C59"/>
              </a:solidFill>
              <a:latin typeface="+mn-lt"/>
            </a:rPr>
            <a:t>Total Sales / Total Assets (E)</a:t>
          </a:r>
          <a:endParaRPr lang="en-IN" sz="1050" b="1">
            <a:solidFill>
              <a:srgbClr val="B50C59"/>
            </a:solidFill>
            <a:latin typeface="+mn-lt"/>
          </a:endParaRPr>
        </a:p>
      </xdr:txBody>
    </xdr:sp>
    <xdr:clientData/>
  </xdr:twoCellAnchor>
  <xdr:twoCellAnchor>
    <xdr:from>
      <xdr:col>1</xdr:col>
      <xdr:colOff>2224219</xdr:colOff>
      <xdr:row>28</xdr:row>
      <xdr:rowOff>60411</xdr:rowOff>
    </xdr:from>
    <xdr:to>
      <xdr:col>4</xdr:col>
      <xdr:colOff>586778</xdr:colOff>
      <xdr:row>36</xdr:row>
      <xdr:rowOff>94533</xdr:rowOff>
    </xdr:to>
    <xdr:graphicFrame macro="">
      <xdr:nvGraphicFramePr>
        <xdr:cNvPr id="13" name="Chart 12">
          <a:extLst>
            <a:ext uri="{FF2B5EF4-FFF2-40B4-BE49-F238E27FC236}">
              <a16:creationId xmlns:a16="http://schemas.microsoft.com/office/drawing/2014/main" id="{628002E4-8217-4FC5-A940-D21D72BA29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134310</xdr:colOff>
      <xdr:row>26</xdr:row>
      <xdr:rowOff>146136</xdr:rowOff>
    </xdr:from>
    <xdr:to>
      <xdr:col>8</xdr:col>
      <xdr:colOff>315084</xdr:colOff>
      <xdr:row>27</xdr:row>
      <xdr:rowOff>149614</xdr:rowOff>
    </xdr:to>
    <xdr:sp macro="" textlink="">
      <xdr:nvSpPr>
        <xdr:cNvPr id="14" name="TextBox 13">
          <a:extLst>
            <a:ext uri="{FF2B5EF4-FFF2-40B4-BE49-F238E27FC236}">
              <a16:creationId xmlns:a16="http://schemas.microsoft.com/office/drawing/2014/main" id="{43E3F1FA-E534-488F-B7A4-7947E51CC891}"/>
            </a:ext>
          </a:extLst>
        </xdr:cNvPr>
        <xdr:cNvSpPr txBox="1"/>
      </xdr:nvSpPr>
      <xdr:spPr>
        <a:xfrm>
          <a:off x="5529270" y="5502996"/>
          <a:ext cx="1628574" cy="186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50" b="1">
              <a:solidFill>
                <a:srgbClr val="B50C59"/>
              </a:solidFill>
              <a:latin typeface="+mn-lt"/>
            </a:rPr>
            <a:t>Altman's</a:t>
          </a:r>
          <a:r>
            <a:rPr lang="en-IN" sz="1050" b="1" baseline="0">
              <a:solidFill>
                <a:srgbClr val="B50C59"/>
              </a:solidFill>
              <a:latin typeface="+mn-lt"/>
            </a:rPr>
            <a:t> Z Score</a:t>
          </a:r>
          <a:endParaRPr lang="en-IN" sz="1050" b="1">
            <a:solidFill>
              <a:srgbClr val="B50C59"/>
            </a:solidFill>
            <a:latin typeface="+mn-lt"/>
          </a:endParaRPr>
        </a:p>
      </xdr:txBody>
    </xdr:sp>
    <xdr:clientData/>
  </xdr:twoCellAnchor>
  <xdr:twoCellAnchor>
    <xdr:from>
      <xdr:col>0</xdr:col>
      <xdr:colOff>0</xdr:colOff>
      <xdr:row>28</xdr:row>
      <xdr:rowOff>63513</xdr:rowOff>
    </xdr:from>
    <xdr:to>
      <xdr:col>1</xdr:col>
      <xdr:colOff>2264183</xdr:colOff>
      <xdr:row>36</xdr:row>
      <xdr:rowOff>101445</xdr:rowOff>
    </xdr:to>
    <xdr:graphicFrame macro="">
      <xdr:nvGraphicFramePr>
        <xdr:cNvPr id="15" name="Chart 14">
          <a:extLst>
            <a:ext uri="{FF2B5EF4-FFF2-40B4-BE49-F238E27FC236}">
              <a16:creationId xmlns:a16="http://schemas.microsoft.com/office/drawing/2014/main" id="{C1B692A6-E675-44C0-9D6D-C1E77E2AB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109222</xdr:colOff>
      <xdr:row>37</xdr:row>
      <xdr:rowOff>119026</xdr:rowOff>
    </xdr:from>
    <xdr:to>
      <xdr:col>9</xdr:col>
      <xdr:colOff>102660</xdr:colOff>
      <xdr:row>52</xdr:row>
      <xdr:rowOff>237349</xdr:rowOff>
    </xdr:to>
    <xdr:sp macro="" textlink="">
      <xdr:nvSpPr>
        <xdr:cNvPr id="16" name="TextBox 15">
          <a:extLst>
            <a:ext uri="{FF2B5EF4-FFF2-40B4-BE49-F238E27FC236}">
              <a16:creationId xmlns:a16="http://schemas.microsoft.com/office/drawing/2014/main" id="{B5789599-0BB6-431D-8486-D66DAAC8B2A1}"/>
            </a:ext>
          </a:extLst>
        </xdr:cNvPr>
        <xdr:cNvSpPr txBox="1"/>
      </xdr:nvSpPr>
      <xdr:spPr>
        <a:xfrm>
          <a:off x="109222" y="7487566"/>
          <a:ext cx="7560098" cy="28615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400" b="1" i="0">
              <a:solidFill>
                <a:srgbClr val="B50C59"/>
              </a:solidFill>
              <a:effectLst/>
              <a:latin typeface="+mn-lt"/>
              <a:ea typeface="+mn-ea"/>
              <a:cs typeface="+mn-cs"/>
            </a:rPr>
            <a:t>Recent Updates</a:t>
          </a:r>
        </a:p>
        <a:p>
          <a:pPr marL="171450" marR="0" lvl="0" indent="-171450" defTabSz="914400" rtl="0" eaLnBrk="1" fontAlgn="auto" latinLnBrk="0" hangingPunct="1">
            <a:lnSpc>
              <a:spcPct val="100000"/>
            </a:lnSpc>
            <a:spcBef>
              <a:spcPts val="0"/>
            </a:spcBef>
            <a:spcAft>
              <a:spcPts val="0"/>
            </a:spcAft>
            <a:buClrTx/>
            <a:buSzTx/>
            <a:buFont typeface="Arial" panose="020B0604020202020204" pitchFamily="34" charset="0"/>
            <a:buChar char="•"/>
            <a:tabLst/>
            <a:defRPr/>
          </a:pPr>
          <a:r>
            <a:rPr lang="en-IN" sz="1200" b="0" i="0">
              <a:solidFill>
                <a:schemeClr val="dk1"/>
              </a:solidFill>
              <a:effectLst/>
              <a:latin typeface="+mn-lt"/>
              <a:ea typeface="+mn-ea"/>
              <a:cs typeface="+mn-cs"/>
            </a:rPr>
            <a:t>Net profit rises 8% YoY to Rs 505 crore; misses street</a:t>
          </a:r>
          <a:r>
            <a:rPr lang="en-IN" sz="1200" b="0" i="0" baseline="0">
              <a:solidFill>
                <a:schemeClr val="dk1"/>
              </a:solidFill>
              <a:effectLst/>
              <a:latin typeface="+mn-lt"/>
              <a:ea typeface="+mn-ea"/>
              <a:cs typeface="+mn-cs"/>
            </a:rPr>
            <a:t> </a:t>
          </a:r>
          <a:r>
            <a:rPr lang="en-IN" sz="1200" b="0" i="0">
              <a:solidFill>
                <a:schemeClr val="dk1"/>
              </a:solidFill>
              <a:effectLst/>
              <a:latin typeface="+mn-lt"/>
              <a:ea typeface="+mn-ea"/>
              <a:cs typeface="+mn-cs"/>
            </a:rPr>
            <a:t>estimates.</a:t>
          </a:r>
        </a:p>
        <a:p>
          <a:pPr marL="171450" indent="-171450">
            <a:buFont typeface="Arial" panose="020B0604020202020204" pitchFamily="34" charset="0"/>
            <a:buChar char="•"/>
          </a:pPr>
          <a:r>
            <a:rPr lang="en-IN" sz="1200" b="0" i="0">
              <a:solidFill>
                <a:schemeClr val="dk1"/>
              </a:solidFill>
              <a:effectLst/>
              <a:latin typeface="+mn-lt"/>
              <a:ea typeface="+mn-ea"/>
              <a:cs typeface="+mn-cs"/>
            </a:rPr>
            <a:t>DMart's margins decreased to 7.6% vs 8.6% on a YoY basis while EBITDA was up 5.5% at Rs 783 crore. </a:t>
          </a:r>
        </a:p>
        <a:p>
          <a:pPr marL="171450" indent="-171450">
            <a:buFont typeface="Arial" panose="020B0604020202020204" pitchFamily="34" charset="0"/>
            <a:buChar char="•"/>
          </a:pPr>
          <a:r>
            <a:rPr lang="en-IN" sz="1200" b="0" i="0">
              <a:solidFill>
                <a:schemeClr val="dk1"/>
              </a:solidFill>
              <a:effectLst/>
              <a:latin typeface="+mn-lt"/>
              <a:ea typeface="+mn-ea"/>
              <a:cs typeface="+mn-cs"/>
            </a:rPr>
            <a:t>The retailer's earnings per share or EPS rose to 7.2% from 7.8% in the corresponding quarter of the previous year.</a:t>
          </a:r>
        </a:p>
        <a:p>
          <a:pPr marL="171450" indent="-171450">
            <a:buFont typeface="Arial" panose="020B0604020202020204" pitchFamily="34" charset="0"/>
            <a:buChar char="•"/>
          </a:pPr>
          <a:r>
            <a:rPr lang="en-IN" sz="1200" b="0" i="0">
              <a:solidFill>
                <a:schemeClr val="dk1"/>
              </a:solidFill>
              <a:effectLst/>
              <a:latin typeface="+mn-lt"/>
              <a:ea typeface="+mn-ea"/>
              <a:cs typeface="+mn-cs"/>
            </a:rPr>
            <a:t>These same stores grew at 11.0% in the second half of FY 2023 vis-a-vis second half of FY 2022. </a:t>
          </a:r>
        </a:p>
        <a:p>
          <a:pPr marL="171450" indent="-171450">
            <a:buFont typeface="Arial" panose="020B0604020202020204" pitchFamily="34" charset="0"/>
            <a:buChar char="•"/>
          </a:pPr>
          <a:r>
            <a:rPr lang="en-IN" sz="1200" b="0" i="0">
              <a:solidFill>
                <a:schemeClr val="dk1"/>
              </a:solidFill>
              <a:effectLst/>
              <a:latin typeface="+mn-lt"/>
              <a:ea typeface="+mn-ea"/>
              <a:cs typeface="+mn-cs"/>
            </a:rPr>
            <a:t>In FY23, over 56% of its revenue came from the foods division, 21% from FMCG and around 23% from general merchandise and apparel.</a:t>
          </a:r>
        </a:p>
        <a:p>
          <a:pPr marL="171450" indent="-171450">
            <a:buFont typeface="Arial" panose="020B0604020202020204" pitchFamily="34" charset="0"/>
            <a:buChar char="•"/>
          </a:pPr>
          <a:r>
            <a:rPr lang="en-IN" sz="1200" b="0" i="0">
              <a:solidFill>
                <a:schemeClr val="dk1"/>
              </a:solidFill>
              <a:effectLst/>
              <a:latin typeface="+mn-lt"/>
              <a:ea typeface="+mn-ea"/>
              <a:cs typeface="+mn-cs"/>
            </a:rPr>
            <a:t> With the discretionary product mix being impacted, gross margins for the quarter came in below our estimate at 14.0%.</a:t>
          </a:r>
        </a:p>
        <a:p>
          <a:pPr marL="171450" indent="-171450">
            <a:buFont typeface="Arial" panose="020B0604020202020204" pitchFamily="34" charset="0"/>
            <a:buChar char="•"/>
          </a:pPr>
          <a:r>
            <a:rPr lang="en-IN" sz="1200" b="0" i="0">
              <a:solidFill>
                <a:schemeClr val="dk1"/>
              </a:solidFill>
              <a:effectLst/>
              <a:latin typeface="+mn-lt"/>
              <a:ea typeface="+mn-ea"/>
              <a:cs typeface="+mn-cs"/>
            </a:rPr>
            <a:t>Opex too grew at a faster clip (~25%) than the revenue growth (21%). Subsequently EBITDA margins declined by 110 bps YoY to 7.3% </a:t>
          </a:r>
        </a:p>
        <a:p>
          <a:pPr marL="171450" indent="-171450">
            <a:buFont typeface="Arial" panose="020B0604020202020204" pitchFamily="34" charset="0"/>
            <a:buChar char="•"/>
          </a:pPr>
          <a:r>
            <a:rPr lang="en-IN" sz="1200" b="0" i="0">
              <a:solidFill>
                <a:schemeClr val="dk1"/>
              </a:solidFill>
              <a:effectLst/>
              <a:latin typeface="+mn-lt"/>
              <a:ea typeface="+mn-ea"/>
              <a:cs typeface="+mn-cs"/>
            </a:rPr>
            <a:t>Higher depreciation expenses (up 12% YoY) further impacted profitability. Ensuing PBT stood at Rs 624.9 crore (I-direct estimate: Rs 659.1 crore, up 3% YoY). Lower tax rate 26% vs 30% in Q4FY22 enabled the company to report a PAT of  Rs 460 crore during the quarter</a:t>
          </a:r>
          <a:br>
            <a:rPr lang="en-IN" sz="1200"/>
          </a:br>
          <a:br>
            <a:rPr lang="en-IN" sz="1200"/>
          </a:br>
          <a:br>
            <a:rPr lang="en-IN" sz="1200"/>
          </a:br>
          <a:endParaRPr lang="en-IN" sz="1200" b="0"/>
        </a:p>
      </xdr:txBody>
    </xdr:sp>
    <xdr:clientData/>
  </xdr:twoCellAnchor>
  <xdr:twoCellAnchor>
    <xdr:from>
      <xdr:col>2</xdr:col>
      <xdr:colOff>17371</xdr:colOff>
      <xdr:row>15</xdr:row>
      <xdr:rowOff>61172</xdr:rowOff>
    </xdr:from>
    <xdr:to>
      <xdr:col>4</xdr:col>
      <xdr:colOff>401744</xdr:colOff>
      <xdr:row>15</xdr:row>
      <xdr:rowOff>64483</xdr:rowOff>
    </xdr:to>
    <xdr:cxnSp macro="">
      <xdr:nvCxnSpPr>
        <xdr:cNvPr id="17" name="Straight Connector 16">
          <a:extLst>
            <a:ext uri="{FF2B5EF4-FFF2-40B4-BE49-F238E27FC236}">
              <a16:creationId xmlns:a16="http://schemas.microsoft.com/office/drawing/2014/main" id="{8A147127-56FF-4454-821B-1AFCE2D1A76F}"/>
            </a:ext>
          </a:extLst>
        </xdr:cNvPr>
        <xdr:cNvCxnSpPr/>
      </xdr:nvCxnSpPr>
      <xdr:spPr>
        <a:xfrm flipV="1">
          <a:off x="2592931" y="3406352"/>
          <a:ext cx="1755973" cy="3311"/>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523465</xdr:colOff>
      <xdr:row>15</xdr:row>
      <xdr:rowOff>63077</xdr:rowOff>
    </xdr:from>
    <xdr:to>
      <xdr:col>8</xdr:col>
      <xdr:colOff>359410</xdr:colOff>
      <xdr:row>15</xdr:row>
      <xdr:rowOff>64483</xdr:rowOff>
    </xdr:to>
    <xdr:cxnSp macro="">
      <xdr:nvCxnSpPr>
        <xdr:cNvPr id="18" name="Straight Connector 17">
          <a:extLst>
            <a:ext uri="{FF2B5EF4-FFF2-40B4-BE49-F238E27FC236}">
              <a16:creationId xmlns:a16="http://schemas.microsoft.com/office/drawing/2014/main" id="{55BD9802-731E-488B-9AB2-7570D6225708}"/>
            </a:ext>
          </a:extLst>
        </xdr:cNvPr>
        <xdr:cNvCxnSpPr/>
      </xdr:nvCxnSpPr>
      <xdr:spPr>
        <a:xfrm flipV="1">
          <a:off x="5194525" y="3408257"/>
          <a:ext cx="200764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91666</xdr:colOff>
      <xdr:row>26</xdr:row>
      <xdr:rowOff>181609</xdr:rowOff>
    </xdr:from>
    <xdr:to>
      <xdr:col>1</xdr:col>
      <xdr:colOff>1760221</xdr:colOff>
      <xdr:row>26</xdr:row>
      <xdr:rowOff>183015</xdr:rowOff>
    </xdr:to>
    <xdr:cxnSp macro="">
      <xdr:nvCxnSpPr>
        <xdr:cNvPr id="19" name="Straight Connector 18">
          <a:extLst>
            <a:ext uri="{FF2B5EF4-FFF2-40B4-BE49-F238E27FC236}">
              <a16:creationId xmlns:a16="http://schemas.microsoft.com/office/drawing/2014/main" id="{016EDD71-E740-445A-A3F2-031ADED8D9A9}"/>
            </a:ext>
          </a:extLst>
        </xdr:cNvPr>
        <xdr:cNvCxnSpPr/>
      </xdr:nvCxnSpPr>
      <xdr:spPr>
        <a:xfrm flipV="1">
          <a:off x="221206" y="5538469"/>
          <a:ext cx="1668555" cy="1406"/>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11657</xdr:colOff>
      <xdr:row>26</xdr:row>
      <xdr:rowOff>190076</xdr:rowOff>
    </xdr:from>
    <xdr:to>
      <xdr:col>4</xdr:col>
      <xdr:colOff>415080</xdr:colOff>
      <xdr:row>26</xdr:row>
      <xdr:rowOff>190076</xdr:rowOff>
    </xdr:to>
    <xdr:cxnSp macro="">
      <xdr:nvCxnSpPr>
        <xdr:cNvPr id="20" name="Straight Connector 19">
          <a:extLst>
            <a:ext uri="{FF2B5EF4-FFF2-40B4-BE49-F238E27FC236}">
              <a16:creationId xmlns:a16="http://schemas.microsoft.com/office/drawing/2014/main" id="{6F9A96D9-7761-4CAE-97F8-5A3B062474A9}"/>
            </a:ext>
          </a:extLst>
        </xdr:cNvPr>
        <xdr:cNvCxnSpPr/>
      </xdr:nvCxnSpPr>
      <xdr:spPr>
        <a:xfrm flipV="1">
          <a:off x="2587217" y="5539316"/>
          <a:ext cx="1775023"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499971</xdr:colOff>
      <xdr:row>26</xdr:row>
      <xdr:rowOff>154304</xdr:rowOff>
    </xdr:from>
    <xdr:to>
      <xdr:col>8</xdr:col>
      <xdr:colOff>351156</xdr:colOff>
      <xdr:row>26</xdr:row>
      <xdr:rowOff>154304</xdr:rowOff>
    </xdr:to>
    <xdr:cxnSp macro="">
      <xdr:nvCxnSpPr>
        <xdr:cNvPr id="21" name="Straight Connector 20">
          <a:extLst>
            <a:ext uri="{FF2B5EF4-FFF2-40B4-BE49-F238E27FC236}">
              <a16:creationId xmlns:a16="http://schemas.microsoft.com/office/drawing/2014/main" id="{D79B03B5-0E6F-420E-A400-F67F17E8B0D4}"/>
            </a:ext>
          </a:extLst>
        </xdr:cNvPr>
        <xdr:cNvCxnSpPr/>
      </xdr:nvCxnSpPr>
      <xdr:spPr>
        <a:xfrm flipV="1">
          <a:off x="5171031" y="5511164"/>
          <a:ext cx="2022885" cy="0"/>
        </a:xfrm>
        <a:prstGeom prst="line">
          <a:avLst/>
        </a:prstGeom>
        <a:ln w="127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61837</xdr:colOff>
      <xdr:row>56</xdr:row>
      <xdr:rowOff>97820</xdr:rowOff>
    </xdr:from>
    <xdr:to>
      <xdr:col>9</xdr:col>
      <xdr:colOff>60990</xdr:colOff>
      <xdr:row>58</xdr:row>
      <xdr:rowOff>33306</xdr:rowOff>
    </xdr:to>
    <xdr:sp macro="" textlink="">
      <xdr:nvSpPr>
        <xdr:cNvPr id="22" name="TextBox 21">
          <a:extLst>
            <a:ext uri="{FF2B5EF4-FFF2-40B4-BE49-F238E27FC236}">
              <a16:creationId xmlns:a16="http://schemas.microsoft.com/office/drawing/2014/main" id="{2E8B5640-1BF5-491C-A65B-CABA0760AFF3}"/>
            </a:ext>
          </a:extLst>
        </xdr:cNvPr>
        <xdr:cNvSpPr txBox="1"/>
      </xdr:nvSpPr>
      <xdr:spPr>
        <a:xfrm>
          <a:off x="61837" y="10857260"/>
          <a:ext cx="7565813" cy="3012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1800" b="1" i="0">
              <a:solidFill>
                <a:srgbClr val="B50C59"/>
              </a:solidFill>
              <a:effectLst/>
              <a:latin typeface="+mn-lt"/>
              <a:ea typeface="+mn-ea"/>
              <a:cs typeface="+mn-cs"/>
            </a:rPr>
            <a:t>Altman's Z Score Analysis Calculation</a:t>
          </a:r>
        </a:p>
      </xdr:txBody>
    </xdr:sp>
    <xdr:clientData/>
  </xdr:twoCellAnchor>
  <xdr:twoCellAnchor>
    <xdr:from>
      <xdr:col>0</xdr:col>
      <xdr:colOff>41319</xdr:colOff>
      <xdr:row>93</xdr:row>
      <xdr:rowOff>21726</xdr:rowOff>
    </xdr:from>
    <xdr:to>
      <xdr:col>9</xdr:col>
      <xdr:colOff>97989</xdr:colOff>
      <xdr:row>98</xdr:row>
      <xdr:rowOff>66590</xdr:rowOff>
    </xdr:to>
    <xdr:sp macro="" textlink="">
      <xdr:nvSpPr>
        <xdr:cNvPr id="23" name="TextBox 22">
          <a:extLst>
            <a:ext uri="{FF2B5EF4-FFF2-40B4-BE49-F238E27FC236}">
              <a16:creationId xmlns:a16="http://schemas.microsoft.com/office/drawing/2014/main" id="{0CBA4A01-2D43-4028-AA15-00730293D8AC}"/>
            </a:ext>
          </a:extLst>
        </xdr:cNvPr>
        <xdr:cNvSpPr txBox="1"/>
      </xdr:nvSpPr>
      <xdr:spPr>
        <a:xfrm>
          <a:off x="41319" y="17042580"/>
          <a:ext cx="7650985" cy="9010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rtl="0" eaLnBrk="1" fontAlgn="auto" latinLnBrk="0" hangingPunct="1">
            <a:lnSpc>
              <a:spcPct val="100000"/>
            </a:lnSpc>
            <a:spcBef>
              <a:spcPts val="0"/>
            </a:spcBef>
            <a:spcAft>
              <a:spcPts val="0"/>
            </a:spcAft>
            <a:buClrTx/>
            <a:buSzTx/>
            <a:buFont typeface="Arial" panose="020B0604020202020204" pitchFamily="34" charset="0"/>
            <a:buNone/>
            <a:tabLst/>
            <a:defRPr/>
          </a:pPr>
          <a:r>
            <a:rPr lang="en-IN" sz="900" b="0" i="1">
              <a:solidFill>
                <a:srgbClr val="B50C59"/>
              </a:solidFill>
              <a:effectLst/>
              <a:latin typeface="+mn-lt"/>
              <a:ea typeface="+mn-ea"/>
              <a:cs typeface="+mn-cs"/>
            </a:rPr>
            <a:t>Disclaimer</a:t>
          </a:r>
          <a:r>
            <a:rPr lang="en-IN" sz="900" b="0" i="1">
              <a:solidFill>
                <a:srgbClr val="028655"/>
              </a:solidFill>
              <a:effectLst/>
              <a:latin typeface="+mn-lt"/>
              <a:ea typeface="+mn-ea"/>
              <a:cs typeface="+mn-cs"/>
            </a:rPr>
            <a:t> : </a:t>
          </a:r>
          <a:r>
            <a:rPr lang="en-IN" sz="900" b="0" i="1">
              <a:solidFill>
                <a:sysClr val="windowText" lastClr="000000"/>
              </a:solidFill>
              <a:effectLst/>
              <a:latin typeface="+mn-lt"/>
              <a:ea typeface="+mn-ea"/>
              <a:cs typeface="+mn-cs"/>
            </a:rPr>
            <a:t>This report is made as part</a:t>
          </a:r>
          <a:r>
            <a:rPr lang="en-IN" sz="900" b="0" i="1" baseline="0">
              <a:solidFill>
                <a:sysClr val="windowText" lastClr="000000"/>
              </a:solidFill>
              <a:effectLst/>
              <a:latin typeface="+mn-lt"/>
              <a:ea typeface="+mn-ea"/>
              <a:cs typeface="+mn-cs"/>
            </a:rPr>
            <a:t> of educational assignment and is meant for educational purpose only. The author of the report is not liable for any losses due to actions taken basis this report. It is advisable to consult SEBI registered reasearch analyst before making any investments</a:t>
          </a:r>
          <a:endParaRPr lang="en-IN" sz="900" b="0" i="1">
            <a:solidFill>
              <a:sysClr val="windowText" lastClr="000000"/>
            </a:solidFill>
            <a:effectLst/>
            <a:latin typeface="+mn-lt"/>
            <a:ea typeface="+mn-ea"/>
            <a:cs typeface="+mn-cs"/>
          </a:endParaRPr>
        </a:p>
      </xdr:txBody>
    </xdr:sp>
    <xdr:clientData/>
  </xdr:twoCellAnchor>
  <xdr:twoCellAnchor editAs="oneCell">
    <xdr:from>
      <xdr:col>6</xdr:col>
      <xdr:colOff>573640</xdr:colOff>
      <xdr:row>1</xdr:row>
      <xdr:rowOff>94179</xdr:rowOff>
    </xdr:from>
    <xdr:to>
      <xdr:col>8</xdr:col>
      <xdr:colOff>668439</xdr:colOff>
      <xdr:row>4</xdr:row>
      <xdr:rowOff>146406</xdr:rowOff>
    </xdr:to>
    <xdr:pic>
      <xdr:nvPicPr>
        <xdr:cNvPr id="24" name="Picture 23">
          <a:extLst>
            <a:ext uri="{FF2B5EF4-FFF2-40B4-BE49-F238E27FC236}">
              <a16:creationId xmlns:a16="http://schemas.microsoft.com/office/drawing/2014/main" id="{5C0D8B2D-A013-4256-A9D2-8EEA483A5EE4}"/>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984696" y="222606"/>
          <a:ext cx="1550305" cy="737171"/>
        </a:xfrm>
        <a:prstGeom prst="rect">
          <a:avLst/>
        </a:prstGeom>
      </xdr:spPr>
    </xdr:pic>
    <xdr:clientData/>
  </xdr:twoCellAnchor>
  <xdr:twoCellAnchor>
    <xdr:from>
      <xdr:col>0</xdr:col>
      <xdr:colOff>0</xdr:colOff>
      <xdr:row>16</xdr:row>
      <xdr:rowOff>119865</xdr:rowOff>
    </xdr:from>
    <xdr:to>
      <xdr:col>1</xdr:col>
      <xdr:colOff>2061256</xdr:colOff>
      <xdr:row>24</xdr:row>
      <xdr:rowOff>153987</xdr:rowOff>
    </xdr:to>
    <xdr:graphicFrame macro="">
      <xdr:nvGraphicFramePr>
        <xdr:cNvPr id="25" name="Chart 24">
          <a:extLst>
            <a:ext uri="{FF2B5EF4-FFF2-40B4-BE49-F238E27FC236}">
              <a16:creationId xmlns:a16="http://schemas.microsoft.com/office/drawing/2014/main" id="{8584B92A-4FAA-407F-A642-E13F58357B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196922</xdr:colOff>
      <xdr:row>28</xdr:row>
      <xdr:rowOff>51371</xdr:rowOff>
    </xdr:from>
    <xdr:to>
      <xdr:col>8</xdr:col>
      <xdr:colOff>203346</xdr:colOff>
      <xdr:row>36</xdr:row>
      <xdr:rowOff>85493</xdr:rowOff>
    </xdr:to>
    <xdr:graphicFrame macro="">
      <xdr:nvGraphicFramePr>
        <xdr:cNvPr id="26" name="Chart 25">
          <a:extLst>
            <a:ext uri="{FF2B5EF4-FFF2-40B4-BE49-F238E27FC236}">
              <a16:creationId xmlns:a16="http://schemas.microsoft.com/office/drawing/2014/main" id="{3961FC02-23FB-490E-A07F-35B5F3410A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2364424</xdr:colOff>
      <xdr:row>15</xdr:row>
      <xdr:rowOff>55781</xdr:rowOff>
    </xdr:from>
    <xdr:to>
      <xdr:col>4</xdr:col>
      <xdr:colOff>659027</xdr:colOff>
      <xdr:row>16</xdr:row>
      <xdr:rowOff>152400</xdr:rowOff>
    </xdr:to>
    <xdr:sp macro="" textlink="">
      <xdr:nvSpPr>
        <xdr:cNvPr id="27" name="TextBox 26">
          <a:extLst>
            <a:ext uri="{FF2B5EF4-FFF2-40B4-BE49-F238E27FC236}">
              <a16:creationId xmlns:a16="http://schemas.microsoft.com/office/drawing/2014/main" id="{A7F36C23-55CE-42DC-AC01-E6B23E59433C}"/>
            </a:ext>
          </a:extLst>
        </xdr:cNvPr>
        <xdr:cNvSpPr txBox="1"/>
      </xdr:nvSpPr>
      <xdr:spPr>
        <a:xfrm>
          <a:off x="2494856" y="3419565"/>
          <a:ext cx="2104603" cy="2819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b="1" i="0" u="none" strike="noStrike">
              <a:solidFill>
                <a:srgbClr val="B50C59"/>
              </a:solidFill>
              <a:effectLst/>
              <a:latin typeface="+mn-lt"/>
              <a:ea typeface="+mn-ea"/>
              <a:cs typeface="+mn-cs"/>
            </a:rPr>
            <a:t>Retained Earnings / Total Assets (B)</a:t>
          </a:r>
          <a:r>
            <a:rPr lang="en-IN" sz="1000">
              <a:solidFill>
                <a:srgbClr val="B50C59"/>
              </a:solidFill>
            </a:rPr>
            <a:t> </a:t>
          </a:r>
          <a:endParaRPr lang="en-IN" sz="1000" b="1">
            <a:solidFill>
              <a:srgbClr val="B50C59"/>
            </a:solidFill>
            <a:latin typeface="+mn-lt"/>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pc/Downloads/ITC%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odrej%20Consumer%20(1).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upont%20Analysis%20Mode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One Pager Summarised"/>
      <sheetName val="Key Highlights for Social Media"/>
      <sheetName val="Blog"/>
      <sheetName val="About the Company"/>
      <sheetName val="Commentaries"/>
      <sheetName val="Whatif Analysis"/>
      <sheetName val="Entended Analysis"/>
      <sheetName val="Charts"/>
      <sheetName val="Discounted Cash Flow"/>
      <sheetName val="TECHNICAL ANALYSIS"/>
      <sheetName val="About the Report"/>
      <sheetName val="Profit &amp; Loss"/>
      <sheetName val="Quarters"/>
      <sheetName val="Balance Sheet"/>
      <sheetName val="Cash Flow"/>
      <sheetName val="Customization"/>
      <sheetName val="Data Sheet"/>
      <sheetName val="List of Stoc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E1" t="str">
            <v/>
          </cell>
        </row>
      </sheetData>
      <sheetData sheetId="1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inancials&gt;"/>
      <sheetName val="HistoricalFS"/>
      <sheetName val="Ratio Analysis"/>
      <sheetName val="Common Size Statement"/>
      <sheetName val="Peer Analysis"/>
      <sheetName val="Data&gt;"/>
      <sheetName val="Data Sheet"/>
    </sheetNames>
    <sheetDataSet>
      <sheetData sheetId="0"/>
      <sheetData sheetId="1"/>
      <sheetData sheetId="2"/>
      <sheetData sheetId="3"/>
      <sheetData sheetId="4"/>
      <sheetData sheetId="5"/>
      <sheetData sheetId="6">
        <row r="1">
          <cell r="B1" t="str">
            <v>GODREJ CONSUMER PRODUCTS LTD</v>
          </cell>
        </row>
        <row r="16">
          <cell r="B16">
            <v>42094</v>
          </cell>
          <cell r="C16">
            <v>42460</v>
          </cell>
          <cell r="D16">
            <v>42825</v>
          </cell>
          <cell r="E16">
            <v>43190</v>
          </cell>
          <cell r="F16">
            <v>43555</v>
          </cell>
          <cell r="G16">
            <v>43921</v>
          </cell>
          <cell r="H16">
            <v>44286</v>
          </cell>
          <cell r="I16">
            <v>44651</v>
          </cell>
          <cell r="J16">
            <v>45016</v>
          </cell>
          <cell r="K16">
            <v>45382</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CF&gt;"/>
      <sheetName val="WACC"/>
      <sheetName val="Data&gt;"/>
      <sheetName val="Beta - Regression"/>
      <sheetName val="Beta - Comps"/>
      <sheetName val="Rm"/>
      <sheetName val="Intrisic Growth"/>
      <sheetName val="DCF"/>
      <sheetName val="Comps_Val"/>
      <sheetName val="Football Field"/>
      <sheetName val="Relative Data"/>
      <sheetName val="HistoricalFS"/>
      <sheetName val="Dupont Analysis"/>
      <sheetName val="Data Room&gt;"/>
      <sheetName val="List of Stocks"/>
      <sheetName val="Data Sheet"/>
      <sheetName val="Raw F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2">
          <cell r="A2" t="str">
            <v>COMPANY_NAME</v>
          </cell>
          <cell r="B2" t="str">
            <v>BSE</v>
          </cell>
          <cell r="C2" t="str">
            <v>NSE</v>
          </cell>
        </row>
        <row r="3">
          <cell r="A3" t="str">
            <v>20 MICRONS LTD</v>
          </cell>
          <cell r="B3">
            <v>533022</v>
          </cell>
          <cell r="C3" t="str">
            <v>20MICRONS</v>
          </cell>
        </row>
        <row r="4">
          <cell r="A4" t="str">
            <v>21ST CENTURY MANAGEMENT SERVICES LTD</v>
          </cell>
          <cell r="B4">
            <v>526921</v>
          </cell>
          <cell r="C4" t="str">
            <v>21STCENMGM</v>
          </cell>
        </row>
        <row r="5">
          <cell r="A5" t="str">
            <v>3I INFOTECH LTD</v>
          </cell>
          <cell r="B5">
            <v>532628</v>
          </cell>
          <cell r="C5" t="str">
            <v>3IINFOTECH</v>
          </cell>
        </row>
        <row r="6">
          <cell r="A6" t="str">
            <v>3M (INDIA) LTD</v>
          </cell>
          <cell r="B6">
            <v>523395</v>
          </cell>
          <cell r="C6" t="str">
            <v>3M(INDIA)</v>
          </cell>
        </row>
        <row r="7">
          <cell r="A7" t="str">
            <v>3M INDIA LTD</v>
          </cell>
          <cell r="B7">
            <v>523395</v>
          </cell>
          <cell r="C7" t="str">
            <v>3MINDIA</v>
          </cell>
        </row>
        <row r="8">
          <cell r="A8" t="str">
            <v>3P LAND HOLDINGS LTD</v>
          </cell>
          <cell r="B8">
            <v>516092</v>
          </cell>
          <cell r="C8" t="str">
            <v>3PLAND</v>
          </cell>
        </row>
        <row r="9">
          <cell r="A9" t="str">
            <v>5PAISA CAPITAL LTD</v>
          </cell>
          <cell r="B9">
            <v>540776</v>
          </cell>
          <cell r="C9" t="str">
            <v>5PAISA</v>
          </cell>
        </row>
        <row r="10">
          <cell r="A10" t="str">
            <v>63 MOONS TECHNOLOGIES LTD</v>
          </cell>
          <cell r="B10">
            <v>526881</v>
          </cell>
          <cell r="C10" t="str">
            <v>63MOONS</v>
          </cell>
        </row>
        <row r="11">
          <cell r="A11" t="str">
            <v>7NR RETAIL LTD</v>
          </cell>
          <cell r="B11">
            <v>540615</v>
          </cell>
          <cell r="C11" t="str">
            <v>Not Listed</v>
          </cell>
        </row>
        <row r="12">
          <cell r="A12" t="str">
            <v>7SEAS ENTERTAINMENT LTD</v>
          </cell>
          <cell r="B12">
            <v>540874</v>
          </cell>
          <cell r="C12" t="str">
            <v>Not Listed</v>
          </cell>
        </row>
        <row r="13">
          <cell r="A13" t="str">
            <v>8K MILES SOFTWARE SERVICES LTD</v>
          </cell>
          <cell r="B13">
            <v>512161</v>
          </cell>
          <cell r="C13" t="str">
            <v>8KMILES</v>
          </cell>
        </row>
        <row r="14">
          <cell r="A14" t="str">
            <v>A &amp; M FEBCON LTD</v>
          </cell>
          <cell r="B14">
            <v>540697</v>
          </cell>
          <cell r="C14" t="str">
            <v>Not Listed</v>
          </cell>
        </row>
        <row r="15">
          <cell r="A15" t="str">
            <v>A AND M JUMBO BAGS LTD</v>
          </cell>
          <cell r="B15" t="str">
            <v>Not Listed</v>
          </cell>
          <cell r="C15" t="str">
            <v>AMJUMBO</v>
          </cell>
        </row>
        <row r="16">
          <cell r="A16" t="str">
            <v>A INFRASTRUCTURE LTD</v>
          </cell>
          <cell r="B16">
            <v>539620</v>
          </cell>
          <cell r="C16" t="str">
            <v>Not Listed</v>
          </cell>
        </row>
        <row r="17">
          <cell r="A17" t="str">
            <v>A K  SPINTEX LTD</v>
          </cell>
          <cell r="B17">
            <v>539300</v>
          </cell>
          <cell r="C17" t="str">
            <v>Not Listed</v>
          </cell>
        </row>
        <row r="18">
          <cell r="A18" t="str">
            <v>A K CAPITAL SERVICES LTD</v>
          </cell>
          <cell r="B18">
            <v>530499</v>
          </cell>
          <cell r="C18" t="str">
            <v>Not Listed</v>
          </cell>
        </row>
        <row r="19">
          <cell r="A19" t="str">
            <v>A.F. Enterprises Ltd</v>
          </cell>
          <cell r="B19">
            <v>538351</v>
          </cell>
          <cell r="C19" t="str">
            <v>AFEL</v>
          </cell>
        </row>
        <row r="20">
          <cell r="A20" t="str">
            <v>A-1 ACID LTD</v>
          </cell>
          <cell r="B20">
            <v>542012</v>
          </cell>
          <cell r="C20" t="str">
            <v>Not Listed</v>
          </cell>
        </row>
        <row r="21">
          <cell r="A21" t="str">
            <v>A2Z INFRA ENGINEERING LTD</v>
          </cell>
          <cell r="B21">
            <v>533292</v>
          </cell>
          <cell r="C21" t="str">
            <v>A2ZINFRA</v>
          </cell>
        </row>
        <row r="22">
          <cell r="A22" t="str">
            <v>AADHAAR VENTURES (INDIA) LTD</v>
          </cell>
          <cell r="B22">
            <v>531611</v>
          </cell>
          <cell r="C22" t="str">
            <v>Not Listed</v>
          </cell>
        </row>
        <row r="23">
          <cell r="A23" t="str">
            <v>AADHAAR VENTURES INDIA LTD</v>
          </cell>
          <cell r="B23">
            <v>531611</v>
          </cell>
          <cell r="C23" t="str">
            <v>Not Listed</v>
          </cell>
        </row>
        <row r="24">
          <cell r="A24" t="str">
            <v>AAKASH EXPLORATION SERVICES LTD</v>
          </cell>
          <cell r="B24" t="str">
            <v>Not Listed</v>
          </cell>
          <cell r="C24" t="str">
            <v>AAKASH</v>
          </cell>
        </row>
        <row r="25">
          <cell r="A25" t="str">
            <v>AANANDA LAKSHMI SPINNING MILLS LTD</v>
          </cell>
          <cell r="B25">
            <v>539096</v>
          </cell>
          <cell r="C25" t="str">
            <v>Not Listed</v>
          </cell>
        </row>
        <row r="26">
          <cell r="A26" t="str">
            <v>AANCHAL ISPAT LTD</v>
          </cell>
          <cell r="B26">
            <v>538812</v>
          </cell>
          <cell r="C26" t="str">
            <v>Not Listed</v>
          </cell>
        </row>
        <row r="27">
          <cell r="A27" t="str">
            <v>AAR COMMERCIAL COMPANY LTD</v>
          </cell>
          <cell r="B27">
            <v>539632</v>
          </cell>
          <cell r="C27" t="str">
            <v>Not Listed</v>
          </cell>
        </row>
        <row r="28">
          <cell r="A28" t="str">
            <v>Aar Shyam India Investment Company Ltd</v>
          </cell>
          <cell r="B28">
            <v>542377</v>
          </cell>
          <cell r="C28" t="str">
            <v>AARSHYAM</v>
          </cell>
        </row>
        <row r="29">
          <cell r="A29" t="str">
            <v>AAREY DRUGS &amp; PHARMACEUTICALS LTD</v>
          </cell>
          <cell r="B29">
            <v>524412</v>
          </cell>
          <cell r="C29" t="str">
            <v>Not Listed</v>
          </cell>
        </row>
        <row r="30">
          <cell r="A30" t="str">
            <v>AARON INDUSTRIES LTD</v>
          </cell>
          <cell r="B30" t="str">
            <v>Not Listed</v>
          </cell>
          <cell r="C30" t="str">
            <v>AARON</v>
          </cell>
        </row>
        <row r="31">
          <cell r="A31" t="str">
            <v>Aartech Solonics Ltd</v>
          </cell>
          <cell r="B31">
            <v>542580</v>
          </cell>
          <cell r="C31" t="str">
            <v>AARTECH</v>
          </cell>
        </row>
        <row r="32">
          <cell r="A32" t="str">
            <v>AARTI DRUGS LTD</v>
          </cell>
          <cell r="B32">
            <v>524348</v>
          </cell>
          <cell r="C32" t="str">
            <v>AARTIDRUGS</v>
          </cell>
        </row>
        <row r="33">
          <cell r="A33" t="str">
            <v>AARTI INDUSTRIES LTD</v>
          </cell>
          <cell r="B33">
            <v>524208</v>
          </cell>
          <cell r="C33" t="str">
            <v>AARTIIND</v>
          </cell>
        </row>
        <row r="34">
          <cell r="A34" t="str">
            <v>AARV INFRATEL LTD</v>
          </cell>
          <cell r="B34">
            <v>526488</v>
          </cell>
          <cell r="C34" t="str">
            <v>Not Listed</v>
          </cell>
        </row>
        <row r="35">
          <cell r="A35" t="str">
            <v>AARVEE DENIMS &amp; EXPORTS LTD</v>
          </cell>
          <cell r="B35">
            <v>514274</v>
          </cell>
          <cell r="C35" t="str">
            <v>AARVEEDEN</v>
          </cell>
        </row>
        <row r="36">
          <cell r="A36" t="str">
            <v>AARVI ENCON LTD</v>
          </cell>
          <cell r="B36" t="str">
            <v>Not Listed</v>
          </cell>
          <cell r="C36" t="str">
            <v>AARVI</v>
          </cell>
        </row>
        <row r="37">
          <cell r="A37" t="str">
            <v>AASHEE INFOTECH LTD</v>
          </cell>
          <cell r="B37">
            <v>519319</v>
          </cell>
          <cell r="C37" t="str">
            <v>Not Listed</v>
          </cell>
        </row>
        <row r="38">
          <cell r="A38" t="str">
            <v>AASWA TRADING &amp; EXPORTS LTD</v>
          </cell>
          <cell r="B38">
            <v>512038</v>
          </cell>
          <cell r="C38" t="str">
            <v>Not Listed</v>
          </cell>
        </row>
        <row r="39">
          <cell r="A39" t="str">
            <v>AAVAS FINANCIERS LTD</v>
          </cell>
          <cell r="B39">
            <v>541988</v>
          </cell>
          <cell r="C39" t="str">
            <v>AAVAS</v>
          </cell>
        </row>
        <row r="40">
          <cell r="A40" t="str">
            <v>AAYUSH FOOD AND HERBS LTD</v>
          </cell>
          <cell r="B40">
            <v>539528</v>
          </cell>
          <cell r="C40" t="str">
            <v>Not Listed</v>
          </cell>
        </row>
        <row r="41">
          <cell r="A41" t="str">
            <v>ABAN OFFSHORE LTD</v>
          </cell>
          <cell r="B41">
            <v>523204</v>
          </cell>
          <cell r="C41" t="str">
            <v>ABAN</v>
          </cell>
        </row>
        <row r="42">
          <cell r="A42" t="str">
            <v>ABANS ENTERPRISES LTD</v>
          </cell>
          <cell r="B42">
            <v>512165</v>
          </cell>
          <cell r="C42" t="str">
            <v>Not Listed</v>
          </cell>
        </row>
        <row r="43">
          <cell r="A43" t="str">
            <v>ABB INDIA LTD</v>
          </cell>
          <cell r="B43">
            <v>500002</v>
          </cell>
          <cell r="C43" t="str">
            <v>ABB</v>
          </cell>
        </row>
        <row r="44">
          <cell r="A44" t="str">
            <v>ABBOTT (INDIA) LTD</v>
          </cell>
          <cell r="B44">
            <v>500488</v>
          </cell>
          <cell r="C44" t="str">
            <v>ABBOT(INDIA)</v>
          </cell>
        </row>
        <row r="45">
          <cell r="A45" t="str">
            <v>ABBOTT INDIA LTD</v>
          </cell>
          <cell r="B45">
            <v>500488</v>
          </cell>
          <cell r="C45" t="str">
            <v>ABBOTINDIA</v>
          </cell>
        </row>
        <row r="46">
          <cell r="A46" t="str">
            <v>ABC (INDIA) LTD</v>
          </cell>
          <cell r="B46">
            <v>520123</v>
          </cell>
          <cell r="C46" t="str">
            <v>Not Listed</v>
          </cell>
        </row>
        <row r="47">
          <cell r="A47" t="str">
            <v>ABC GAS INTERNATIONAL LTD</v>
          </cell>
          <cell r="B47">
            <v>513119</v>
          </cell>
          <cell r="C47" t="str">
            <v>Not Listed</v>
          </cell>
        </row>
        <row r="48">
          <cell r="A48" t="str">
            <v>ABC INDIA LTD</v>
          </cell>
          <cell r="B48">
            <v>520123</v>
          </cell>
          <cell r="C48" t="str">
            <v>Not Listed</v>
          </cell>
        </row>
        <row r="49">
          <cell r="A49" t="str">
            <v>ABG SHIPYARD LTD</v>
          </cell>
          <cell r="B49">
            <v>532682</v>
          </cell>
          <cell r="C49" t="str">
            <v>ABGSHIP</v>
          </cell>
        </row>
        <row r="50">
          <cell r="A50" t="str">
            <v>ABHIJIT TRADING COMPANY LTD</v>
          </cell>
          <cell r="B50">
            <v>539560</v>
          </cell>
          <cell r="C50" t="str">
            <v>Not Listed</v>
          </cell>
        </row>
        <row r="51">
          <cell r="A51" t="str">
            <v>ABHINAV CAPITAL SERVICES LTD</v>
          </cell>
          <cell r="B51">
            <v>532057</v>
          </cell>
          <cell r="C51" t="str">
            <v>Not Listed</v>
          </cell>
        </row>
        <row r="52">
          <cell r="A52" t="str">
            <v>ABHINAV LEASING &amp; FINANCE LTD</v>
          </cell>
          <cell r="B52">
            <v>538952</v>
          </cell>
          <cell r="C52" t="str">
            <v>Not Listed</v>
          </cell>
        </row>
        <row r="53">
          <cell r="A53" t="str">
            <v>ABHISHEK FINLEASE LTD</v>
          </cell>
          <cell r="B53">
            <v>538935</v>
          </cell>
          <cell r="C53" t="str">
            <v>Not Listed</v>
          </cell>
        </row>
        <row r="54">
          <cell r="A54" t="str">
            <v>ABHISHEK INFRAVENTURES LTD</v>
          </cell>
          <cell r="B54">
            <v>539544</v>
          </cell>
          <cell r="C54" t="str">
            <v>Not Listed</v>
          </cell>
        </row>
        <row r="55">
          <cell r="A55" t="str">
            <v>ABIRAMI FINANCIAL SERVICES (INDIA) LTD</v>
          </cell>
          <cell r="B55">
            <v>511756</v>
          </cell>
          <cell r="C55" t="str">
            <v>Not Listed</v>
          </cell>
        </row>
        <row r="56">
          <cell r="A56" t="str">
            <v>ABIRAMI FINANCIAL SERVICES INDIA LTD</v>
          </cell>
          <cell r="B56">
            <v>511756</v>
          </cell>
          <cell r="C56" t="str">
            <v>Not Listed</v>
          </cell>
        </row>
        <row r="57">
          <cell r="A57" t="str">
            <v>ABM INTERNATIONAL LTD</v>
          </cell>
          <cell r="B57" t="str">
            <v>Not Listed</v>
          </cell>
          <cell r="C57" t="str">
            <v>ABMINTLTD</v>
          </cell>
        </row>
        <row r="58">
          <cell r="A58" t="str">
            <v>ABM KNOWLEDGEWARE LTD</v>
          </cell>
          <cell r="B58">
            <v>531161</v>
          </cell>
          <cell r="C58" t="str">
            <v>Not Listed</v>
          </cell>
        </row>
        <row r="59">
          <cell r="A59" t="str">
            <v>ACC LTD</v>
          </cell>
          <cell r="B59">
            <v>500410</v>
          </cell>
          <cell r="C59" t="str">
            <v>ACC</v>
          </cell>
        </row>
        <row r="60">
          <cell r="A60" t="str">
            <v>ACCEL LTD</v>
          </cell>
          <cell r="B60">
            <v>517494</v>
          </cell>
          <cell r="C60" t="str">
            <v>Not Listed</v>
          </cell>
        </row>
        <row r="61">
          <cell r="A61" t="str">
            <v>ACCELYA KALE SOLUTIONS LTD</v>
          </cell>
          <cell r="B61">
            <v>532268</v>
          </cell>
          <cell r="C61" t="str">
            <v>ACCELYA</v>
          </cell>
        </row>
        <row r="62">
          <cell r="A62" t="str">
            <v>ACCORD SYNERGY LTD</v>
          </cell>
          <cell r="B62" t="str">
            <v>Not Listed</v>
          </cell>
          <cell r="C62" t="str">
            <v>ACCORD</v>
          </cell>
        </row>
        <row r="63">
          <cell r="A63" t="str">
            <v>ACCURACY SHIPPING LTD</v>
          </cell>
          <cell r="B63" t="str">
            <v>Not Listed</v>
          </cell>
          <cell r="C63" t="str">
            <v>ACCURACY</v>
          </cell>
        </row>
        <row r="64">
          <cell r="A64" t="str">
            <v>ACE EDUTREND LTD</v>
          </cell>
          <cell r="B64">
            <v>530093</v>
          </cell>
          <cell r="C64" t="str">
            <v>Not Listed</v>
          </cell>
        </row>
        <row r="65">
          <cell r="A65" t="str">
            <v>ACE INTEGRATED SOLUTIONS LTD</v>
          </cell>
          <cell r="B65" t="str">
            <v>Not Listed</v>
          </cell>
          <cell r="C65" t="str">
            <v>ACEINTEG</v>
          </cell>
        </row>
        <row r="66">
          <cell r="A66" t="str">
            <v>ACE MEN ENGG WORKS LTD</v>
          </cell>
          <cell r="B66">
            <v>539661</v>
          </cell>
          <cell r="C66" t="str">
            <v>Not Listed</v>
          </cell>
        </row>
        <row r="67">
          <cell r="A67" t="str">
            <v>ACE SOFTWARE EXPORTS LTD</v>
          </cell>
          <cell r="B67">
            <v>531525</v>
          </cell>
          <cell r="C67" t="str">
            <v>Not Listed</v>
          </cell>
        </row>
        <row r="68">
          <cell r="A68" t="str">
            <v>Achal Investments Ltd</v>
          </cell>
          <cell r="B68">
            <v>538570</v>
          </cell>
          <cell r="C68" t="str">
            <v>ACHAL</v>
          </cell>
        </row>
        <row r="69">
          <cell r="A69" t="str">
            <v>ACI INFOCOM LTD</v>
          </cell>
          <cell r="B69">
            <v>517356</v>
          </cell>
          <cell r="C69" t="str">
            <v>Not Listed</v>
          </cell>
        </row>
        <row r="70">
          <cell r="A70" t="str">
            <v>ACKNIT INDUSTRIES LTD</v>
          </cell>
          <cell r="B70">
            <v>530043</v>
          </cell>
          <cell r="C70" t="str">
            <v>Not Listed</v>
          </cell>
        </row>
        <row r="71">
          <cell r="A71" t="str">
            <v>ACME RESOURCES LTD</v>
          </cell>
          <cell r="B71">
            <v>539391</v>
          </cell>
          <cell r="C71" t="str">
            <v>Not Listed</v>
          </cell>
        </row>
        <row r="72">
          <cell r="A72" t="str">
            <v>ACROW INDIA LTD.</v>
          </cell>
          <cell r="B72">
            <v>513149</v>
          </cell>
          <cell r="C72" t="str">
            <v>ACROW</v>
          </cell>
        </row>
        <row r="73">
          <cell r="A73" t="str">
            <v>ACRYSIL LTD</v>
          </cell>
          <cell r="B73">
            <v>524091</v>
          </cell>
          <cell r="C73" t="str">
            <v>Not Listed</v>
          </cell>
        </row>
        <row r="74">
          <cell r="A74" t="str">
            <v>ACTION CONSTRUCTION EQUIPMENT LTD</v>
          </cell>
          <cell r="B74">
            <v>532762</v>
          </cell>
          <cell r="C74" t="str">
            <v>ACE</v>
          </cell>
        </row>
        <row r="75">
          <cell r="A75" t="str">
            <v>ACTION FINANCIAL SERVICES (INDIA) LTD</v>
          </cell>
          <cell r="B75">
            <v>511706</v>
          </cell>
          <cell r="C75" t="str">
            <v>Not Listed</v>
          </cell>
        </row>
        <row r="76">
          <cell r="A76" t="str">
            <v>ACTION FINANCIAL SERVICES INDIA LTD</v>
          </cell>
          <cell r="B76">
            <v>511706</v>
          </cell>
          <cell r="C76" t="str">
            <v>Not Listed</v>
          </cell>
        </row>
        <row r="77">
          <cell r="A77" t="str">
            <v>ACTIVE CLOTHING CO LTD</v>
          </cell>
          <cell r="B77">
            <v>541144</v>
          </cell>
          <cell r="C77" t="str">
            <v>Not Listed</v>
          </cell>
        </row>
        <row r="78">
          <cell r="A78" t="str">
            <v>ADANI ENTERPRISES LTD</v>
          </cell>
          <cell r="B78">
            <v>512599</v>
          </cell>
          <cell r="C78" t="str">
            <v>ADANIENT</v>
          </cell>
        </row>
        <row r="79">
          <cell r="A79" t="str">
            <v>ADANI GAS LTD</v>
          </cell>
          <cell r="B79">
            <v>542066</v>
          </cell>
          <cell r="C79" t="str">
            <v>ADANIGAS</v>
          </cell>
        </row>
        <row r="80">
          <cell r="A80" t="str">
            <v>ADANI GREEN ENERGY LTD</v>
          </cell>
          <cell r="B80">
            <v>541450</v>
          </cell>
          <cell r="C80" t="str">
            <v>ADANIGREEN</v>
          </cell>
        </row>
        <row r="81">
          <cell r="A81" t="str">
            <v>ADANI PORTS AND SPECIAL ECONOMIC ZONE LTD</v>
          </cell>
          <cell r="B81">
            <v>532921</v>
          </cell>
          <cell r="C81" t="str">
            <v>ADANIPORTS</v>
          </cell>
        </row>
        <row r="82">
          <cell r="A82" t="str">
            <v>ADANI POWER LTD</v>
          </cell>
          <cell r="B82">
            <v>533096</v>
          </cell>
          <cell r="C82" t="str">
            <v>ADANIPOWER</v>
          </cell>
        </row>
        <row r="83">
          <cell r="A83" t="str">
            <v>ADANI TRANSMISSION LTD</v>
          </cell>
          <cell r="B83">
            <v>539254</v>
          </cell>
          <cell r="C83" t="str">
            <v>ADANITRANS</v>
          </cell>
        </row>
        <row r="84">
          <cell r="A84" t="str">
            <v>ADARSH MERCANTILE LTD</v>
          </cell>
          <cell r="B84">
            <v>538563</v>
          </cell>
          <cell r="C84" t="str">
            <v>Not Listed</v>
          </cell>
        </row>
        <row r="85">
          <cell r="A85" t="str">
            <v>ADARSH PLANT PROTECT LTD</v>
          </cell>
          <cell r="B85">
            <v>526711</v>
          </cell>
          <cell r="C85" t="str">
            <v>Not Listed</v>
          </cell>
        </row>
        <row r="86">
          <cell r="A86" t="str">
            <v>ADC INDIA COMMUNICATIONS LTD</v>
          </cell>
          <cell r="B86">
            <v>523411</v>
          </cell>
          <cell r="C86" t="str">
            <v>Not Listed</v>
          </cell>
        </row>
        <row r="87">
          <cell r="A87" t="str">
            <v>ADCON CAPITAL SERVICES LTD</v>
          </cell>
          <cell r="B87">
            <v>539506</v>
          </cell>
          <cell r="C87" t="str">
            <v>Not Listed</v>
          </cell>
        </row>
        <row r="88">
          <cell r="A88" t="str">
            <v>ADDI INDUSTRIES LTD</v>
          </cell>
          <cell r="B88">
            <v>507852</v>
          </cell>
          <cell r="C88" t="str">
            <v>Not Listed</v>
          </cell>
        </row>
        <row r="89">
          <cell r="A89" t="str">
            <v>ADD-SHOP PROMOTIONS LTD</v>
          </cell>
          <cell r="B89">
            <v>541865</v>
          </cell>
          <cell r="C89" t="str">
            <v>Not Listed</v>
          </cell>
        </row>
        <row r="90">
          <cell r="A90" t="str">
            <v>ADF FOODS LTD</v>
          </cell>
          <cell r="B90">
            <v>519183</v>
          </cell>
          <cell r="C90" t="str">
            <v>ADFFOODS</v>
          </cell>
        </row>
        <row r="91">
          <cell r="A91" t="str">
            <v>ADHARSHILA CAPITAL SERVICES LTD</v>
          </cell>
          <cell r="B91">
            <v>539493</v>
          </cell>
          <cell r="C91" t="str">
            <v>Not Listed</v>
          </cell>
        </row>
        <row r="92">
          <cell r="A92" t="str">
            <v>ADHBHUT INFRASTRUCTURE LTD</v>
          </cell>
          <cell r="B92">
            <v>539189</v>
          </cell>
          <cell r="C92" t="str">
            <v>Not Listed</v>
          </cell>
        </row>
        <row r="93">
          <cell r="A93" t="str">
            <v>ADHIRAJ DISTRIBUTORS LTD</v>
          </cell>
          <cell r="B93">
            <v>780018</v>
          </cell>
          <cell r="C93" t="str">
            <v>Not Listed</v>
          </cell>
        </row>
        <row r="94">
          <cell r="A94" t="str">
            <v>ADHUNIK INDUSTRIES LTD</v>
          </cell>
          <cell r="B94">
            <v>538365</v>
          </cell>
          <cell r="C94" t="str">
            <v>ADHUNIKIND</v>
          </cell>
        </row>
        <row r="95">
          <cell r="A95" t="str">
            <v>ADHUNIK METALIKS LTD</v>
          </cell>
          <cell r="B95">
            <v>532727</v>
          </cell>
          <cell r="C95" t="str">
            <v>ADHUNIK</v>
          </cell>
        </row>
        <row r="96">
          <cell r="A96" t="str">
            <v>ADI RASAYAN LTD</v>
          </cell>
          <cell r="B96">
            <v>531592</v>
          </cell>
          <cell r="C96" t="str">
            <v>Not Listed</v>
          </cell>
        </row>
        <row r="97">
          <cell r="A97" t="str">
            <v>ADINATH EXIM RESOURCES LTD</v>
          </cell>
          <cell r="B97">
            <v>532056</v>
          </cell>
          <cell r="C97" t="str">
            <v>Not Listed</v>
          </cell>
        </row>
        <row r="98">
          <cell r="A98" t="str">
            <v>ADINATH TEXTILES LTD</v>
          </cell>
          <cell r="B98">
            <v>514113</v>
          </cell>
          <cell r="C98" t="str">
            <v>Not Listed</v>
          </cell>
        </row>
        <row r="99">
          <cell r="A99" t="str">
            <v>ADITRI INDUSTRIES LTD</v>
          </cell>
          <cell r="B99">
            <v>534707</v>
          </cell>
          <cell r="C99" t="str">
            <v>Not Listed</v>
          </cell>
        </row>
        <row r="100">
          <cell r="A100" t="str">
            <v>ADITYA BIRLA CAPITAL LTD</v>
          </cell>
          <cell r="B100">
            <v>540691</v>
          </cell>
          <cell r="C100" t="str">
            <v>ABCAPITAL</v>
          </cell>
        </row>
        <row r="101">
          <cell r="A101" t="str">
            <v>ADITYA BIRLA FASHION AND RETAIL LTD</v>
          </cell>
          <cell r="B101">
            <v>535755</v>
          </cell>
          <cell r="C101" t="str">
            <v>ABFRL</v>
          </cell>
        </row>
        <row r="102">
          <cell r="A102" t="str">
            <v>ADITYA BIRLA MONEY LTD</v>
          </cell>
          <cell r="B102">
            <v>532974</v>
          </cell>
          <cell r="C102" t="str">
            <v>BIRLAMONEY</v>
          </cell>
        </row>
        <row r="103">
          <cell r="A103" t="str">
            <v>ADITYA CONSUMER MARKETING LTD</v>
          </cell>
          <cell r="B103">
            <v>540146</v>
          </cell>
          <cell r="C103" t="str">
            <v>Not Listed</v>
          </cell>
        </row>
        <row r="104">
          <cell r="A104" t="str">
            <v>ADITYA ISPAT LTD</v>
          </cell>
          <cell r="B104">
            <v>513513</v>
          </cell>
          <cell r="C104" t="str">
            <v>Not Listed</v>
          </cell>
        </row>
        <row r="105">
          <cell r="A105" t="str">
            <v>ADITYA SPINNERS LTD</v>
          </cell>
          <cell r="B105">
            <v>521141</v>
          </cell>
          <cell r="C105" t="str">
            <v>Not Listed</v>
          </cell>
        </row>
        <row r="106">
          <cell r="A106" t="str">
            <v>ADITYA VISION LTD</v>
          </cell>
          <cell r="B106">
            <v>540205</v>
          </cell>
          <cell r="C106" t="str">
            <v>Not Listed</v>
          </cell>
        </row>
        <row r="107">
          <cell r="A107" t="str">
            <v>ADLABS ENTERTAINMENT LTD</v>
          </cell>
          <cell r="B107">
            <v>539056</v>
          </cell>
          <cell r="C107" t="str">
            <v>ADLABS</v>
          </cell>
        </row>
        <row r="108">
          <cell r="A108" t="str">
            <v>AD-MANUM FINANCE LTD</v>
          </cell>
          <cell r="B108">
            <v>511359</v>
          </cell>
          <cell r="C108" t="str">
            <v>Not Listed</v>
          </cell>
        </row>
        <row r="109">
          <cell r="A109" t="str">
            <v>ADOR FONTECH LTD</v>
          </cell>
          <cell r="B109">
            <v>530431</v>
          </cell>
          <cell r="C109" t="str">
            <v>Not Listed</v>
          </cell>
        </row>
        <row r="110">
          <cell r="A110" t="str">
            <v>ADOR MULTIPRODUCTS LTD</v>
          </cell>
          <cell r="B110">
            <v>523120</v>
          </cell>
          <cell r="C110" t="str">
            <v>Not Listed</v>
          </cell>
        </row>
        <row r="111">
          <cell r="A111" t="str">
            <v>ADOR WELDING LTD</v>
          </cell>
          <cell r="B111">
            <v>517041</v>
          </cell>
          <cell r="C111" t="str">
            <v>ADORWELD</v>
          </cell>
        </row>
        <row r="112">
          <cell r="A112" t="str">
            <v>ADROIT INFOTECH LTD</v>
          </cell>
          <cell r="B112">
            <v>532172</v>
          </cell>
          <cell r="C112" t="str">
            <v>ADROITINFO</v>
          </cell>
        </row>
        <row r="113">
          <cell r="A113" t="str">
            <v>ADS DIAGNOSTIC LTD</v>
          </cell>
          <cell r="B113">
            <v>523031</v>
          </cell>
          <cell r="C113" t="str">
            <v>Not Listed</v>
          </cell>
        </row>
        <row r="114">
          <cell r="A114" t="str">
            <v>ADVANCE LIFESTYLES LTD</v>
          </cell>
          <cell r="B114">
            <v>521048</v>
          </cell>
          <cell r="C114" t="str">
            <v>Not Listed</v>
          </cell>
        </row>
        <row r="115">
          <cell r="A115" t="str">
            <v>ADVANCE METERING TECHNOLOGY LTD</v>
          </cell>
          <cell r="B115">
            <v>534612</v>
          </cell>
          <cell r="C115" t="str">
            <v>Not Listed</v>
          </cell>
        </row>
        <row r="116">
          <cell r="A116" t="str">
            <v>ADVANCE PETROCHEMICALS LTD</v>
          </cell>
          <cell r="B116">
            <v>506947</v>
          </cell>
          <cell r="C116" t="str">
            <v>Not Listed</v>
          </cell>
        </row>
        <row r="117">
          <cell r="A117" t="str">
            <v>ADVANCE POWERINFRA TECH LTD</v>
          </cell>
          <cell r="B117">
            <v>531047</v>
          </cell>
          <cell r="C117" t="str">
            <v>Not Listed</v>
          </cell>
        </row>
        <row r="118">
          <cell r="A118" t="str">
            <v>ADVANCE SYNTEX LTD</v>
          </cell>
          <cell r="B118">
            <v>539982</v>
          </cell>
          <cell r="C118" t="str">
            <v>Not Listed</v>
          </cell>
        </row>
        <row r="119">
          <cell r="A119" t="str">
            <v>ADVANCED ENZYME TECHNOLOGIES LTD</v>
          </cell>
          <cell r="B119">
            <v>540025</v>
          </cell>
          <cell r="C119" t="str">
            <v>ADVENZYMES</v>
          </cell>
        </row>
        <row r="120">
          <cell r="A120" t="str">
            <v>ADVANI HOTELS &amp; RESORTS (INDIA) LTD</v>
          </cell>
          <cell r="B120">
            <v>523269</v>
          </cell>
          <cell r="C120" t="str">
            <v>ADVANIHOTR</v>
          </cell>
        </row>
        <row r="121">
          <cell r="A121" t="str">
            <v>ADVANI HOTELS &amp; RESORTS INDIA LTD</v>
          </cell>
          <cell r="B121">
            <v>523269</v>
          </cell>
          <cell r="C121" t="str">
            <v>ADVANIHOTR</v>
          </cell>
        </row>
        <row r="122">
          <cell r="A122" t="str">
            <v>ADVENT COMPUTER SERVICES LTD</v>
          </cell>
          <cell r="B122">
            <v>531429</v>
          </cell>
          <cell r="C122" t="str">
            <v>Not Listed</v>
          </cell>
        </row>
        <row r="123">
          <cell r="A123" t="str">
            <v>ADVIK CAPITAL LTD</v>
          </cell>
          <cell r="B123">
            <v>539773</v>
          </cell>
          <cell r="C123" t="str">
            <v>Not Listed</v>
          </cell>
        </row>
        <row r="124">
          <cell r="A124" t="str">
            <v>ADVIK LABORATORIES LTD</v>
          </cell>
          <cell r="B124">
            <v>531686</v>
          </cell>
          <cell r="C124" t="str">
            <v>Not Listed</v>
          </cell>
        </row>
        <row r="125">
          <cell r="A125" t="str">
            <v>ADVITIYA TRADE (INDIA) LTD</v>
          </cell>
          <cell r="B125">
            <v>541152</v>
          </cell>
          <cell r="C125" t="str">
            <v>Not Listed</v>
          </cell>
        </row>
        <row r="126">
          <cell r="A126" t="str">
            <v>ADVITIYA TRADE INDIA LTD</v>
          </cell>
          <cell r="B126">
            <v>541152</v>
          </cell>
          <cell r="C126" t="str">
            <v>Not Listed</v>
          </cell>
        </row>
        <row r="127">
          <cell r="A127" t="str">
            <v>AEGIS LOGISTICS LTD</v>
          </cell>
          <cell r="B127">
            <v>500003</v>
          </cell>
          <cell r="C127" t="str">
            <v>AEGISCHEM</v>
          </cell>
        </row>
        <row r="128">
          <cell r="A128" t="str">
            <v>AFFORDABLE ROBOTIC &amp; AUTOMATION LTD</v>
          </cell>
          <cell r="B128">
            <v>541402</v>
          </cell>
          <cell r="C128" t="str">
            <v>Not Listed</v>
          </cell>
        </row>
        <row r="129">
          <cell r="A129" t="str">
            <v>AGARWAL INDUSTRIAL CORPORATION LTD</v>
          </cell>
          <cell r="B129">
            <v>531921</v>
          </cell>
          <cell r="C129" t="str">
            <v>AGARIND</v>
          </cell>
        </row>
        <row r="130">
          <cell r="A130" t="str">
            <v>AGC NETWORKS LTD</v>
          </cell>
          <cell r="B130">
            <v>500463</v>
          </cell>
          <cell r="C130" t="str">
            <v>AGCNET</v>
          </cell>
        </row>
        <row r="131">
          <cell r="A131" t="str">
            <v>AGI INFRA LTD</v>
          </cell>
          <cell r="B131">
            <v>539042</v>
          </cell>
          <cell r="C131" t="str">
            <v>Not Listed</v>
          </cell>
        </row>
        <row r="132">
          <cell r="A132" t="str">
            <v>AGIO PAPER &amp; INDUSTRIES LTD</v>
          </cell>
          <cell r="B132">
            <v>516020</v>
          </cell>
          <cell r="C132" t="str">
            <v>Not Listed</v>
          </cell>
        </row>
        <row r="133">
          <cell r="A133" t="str">
            <v>AGRIMONY COMMODITIES LTD</v>
          </cell>
          <cell r="B133">
            <v>537492</v>
          </cell>
          <cell r="C133" t="str">
            <v>Not Listed</v>
          </cell>
        </row>
        <row r="134">
          <cell r="A134" t="str">
            <v>AGRI-TECH (INDIA) LTD</v>
          </cell>
          <cell r="B134">
            <v>537292</v>
          </cell>
          <cell r="C134" t="str">
            <v>AGRITECH</v>
          </cell>
        </row>
        <row r="135">
          <cell r="A135" t="str">
            <v>AGRI-TECH INDIA LTD</v>
          </cell>
          <cell r="B135">
            <v>537292</v>
          </cell>
          <cell r="C135" t="str">
            <v>AGRITECH</v>
          </cell>
        </row>
        <row r="136">
          <cell r="A136" t="str">
            <v>AGRO PHOS (INDIA) LTD</v>
          </cell>
          <cell r="B136" t="str">
            <v>Not Listed</v>
          </cell>
          <cell r="C136" t="str">
            <v>AGROPHOS</v>
          </cell>
        </row>
        <row r="137">
          <cell r="A137" t="str">
            <v>AGRO PHOS INDIA LTD</v>
          </cell>
          <cell r="B137" t="str">
            <v>Not Listed</v>
          </cell>
          <cell r="C137" t="str">
            <v>AGROPHOS</v>
          </cell>
        </row>
        <row r="138">
          <cell r="A138" t="str">
            <v>AGRO TECH FOODS LTD</v>
          </cell>
          <cell r="B138">
            <v>500215</v>
          </cell>
          <cell r="C138" t="str">
            <v>ATFL</v>
          </cell>
        </row>
        <row r="139">
          <cell r="A139" t="str">
            <v>AHIMSA INDUSTRIES LTD</v>
          </cell>
          <cell r="B139" t="str">
            <v>Not Listed</v>
          </cell>
          <cell r="C139" t="str">
            <v>AHIMSA</v>
          </cell>
        </row>
        <row r="140">
          <cell r="A140" t="str">
            <v>AHLADA ENGINEERS LTD</v>
          </cell>
          <cell r="B140" t="str">
            <v>Not Listed</v>
          </cell>
          <cell r="C140" t="str">
            <v>AHLADA</v>
          </cell>
        </row>
        <row r="141">
          <cell r="A141" t="str">
            <v>AHLUWALIA CONTRACTS (INDIA) LTD</v>
          </cell>
          <cell r="B141">
            <v>532811</v>
          </cell>
          <cell r="C141" t="str">
            <v>AHLUCONT</v>
          </cell>
        </row>
        <row r="142">
          <cell r="A142" t="str">
            <v>AHLUWALIA CONTRACTS INDIA LTD</v>
          </cell>
          <cell r="B142">
            <v>532811</v>
          </cell>
          <cell r="C142" t="str">
            <v>AHLUCONT</v>
          </cell>
        </row>
        <row r="143">
          <cell r="A143" t="str">
            <v>AHMEDABAD STEELCRAFT LTD</v>
          </cell>
          <cell r="B143">
            <v>522273</v>
          </cell>
          <cell r="C143" t="str">
            <v>Not Listed</v>
          </cell>
        </row>
        <row r="144">
          <cell r="A144" t="str">
            <v>AI CHAMPDANY INDUSTRIES LTD</v>
          </cell>
          <cell r="B144">
            <v>532806</v>
          </cell>
          <cell r="C144" t="str">
            <v>Not Listed</v>
          </cell>
        </row>
        <row r="145">
          <cell r="A145" t="str">
            <v>AIA ENGINEERING LTD</v>
          </cell>
          <cell r="B145">
            <v>532683</v>
          </cell>
          <cell r="C145" t="str">
            <v>AIAENG</v>
          </cell>
        </row>
        <row r="146">
          <cell r="A146" t="str">
            <v>AIMCO PESTICIDES LTD</v>
          </cell>
          <cell r="B146">
            <v>524288</v>
          </cell>
          <cell r="C146" t="str">
            <v>Not Listed</v>
          </cell>
        </row>
        <row r="147">
          <cell r="A147" t="str">
            <v>AIRAN LTD</v>
          </cell>
          <cell r="B147" t="str">
            <v>Not Listed</v>
          </cell>
          <cell r="C147" t="str">
            <v>AIRAN</v>
          </cell>
        </row>
        <row r="148">
          <cell r="A148" t="str">
            <v>AIRO LAM LTD</v>
          </cell>
          <cell r="B148" t="str">
            <v>Not Listed</v>
          </cell>
          <cell r="C148" t="str">
            <v>AIROLAM</v>
          </cell>
        </row>
        <row r="149">
          <cell r="A149" t="str">
            <v>AISHWARYA TELECOM LTD</v>
          </cell>
          <cell r="B149">
            <v>532975</v>
          </cell>
          <cell r="C149" t="str">
            <v>Not Listed</v>
          </cell>
        </row>
        <row r="150">
          <cell r="A150" t="str">
            <v>AJANTA PHARMA LTD</v>
          </cell>
          <cell r="B150">
            <v>532331</v>
          </cell>
          <cell r="C150" t="str">
            <v>AJANTPHARM</v>
          </cell>
        </row>
        <row r="151">
          <cell r="A151" t="str">
            <v>AJANTA SOYA LTD</v>
          </cell>
          <cell r="B151">
            <v>519216</v>
          </cell>
          <cell r="C151" t="str">
            <v>Not Listed</v>
          </cell>
        </row>
        <row r="152">
          <cell r="A152" t="str">
            <v>AJCON GLOBAL SERVICES LTD</v>
          </cell>
          <cell r="B152">
            <v>511692</v>
          </cell>
          <cell r="C152" t="str">
            <v>Not Listed</v>
          </cell>
        </row>
        <row r="153">
          <cell r="A153" t="str">
            <v>AJEL LTD</v>
          </cell>
          <cell r="B153">
            <v>530713</v>
          </cell>
          <cell r="C153" t="str">
            <v>Not Listed</v>
          </cell>
        </row>
        <row r="154">
          <cell r="A154" t="str">
            <v>AJMERA REALTY &amp; INFRA (INDIA) LTD</v>
          </cell>
          <cell r="B154">
            <v>513349</v>
          </cell>
          <cell r="C154" t="str">
            <v>AJMERA</v>
          </cell>
        </row>
        <row r="155">
          <cell r="A155" t="str">
            <v>AJMERA REALTY &amp; INFRA INDIA LTD</v>
          </cell>
          <cell r="B155">
            <v>513349</v>
          </cell>
          <cell r="C155" t="str">
            <v>AJMERA</v>
          </cell>
        </row>
        <row r="156">
          <cell r="A156" t="str">
            <v>AJOONI BIOTECH LTD</v>
          </cell>
          <cell r="B156" t="str">
            <v>Not Listed</v>
          </cell>
          <cell r="C156" t="str">
            <v>AJOONI</v>
          </cell>
        </row>
        <row r="157">
          <cell r="A157" t="str">
            <v>AJWA FUN WORLD &amp; RESORT LTD</v>
          </cell>
          <cell r="B157">
            <v>526628</v>
          </cell>
          <cell r="C157" t="str">
            <v>Not Listed</v>
          </cell>
        </row>
        <row r="158">
          <cell r="A158" t="str">
            <v>AKAR AUTO INDUSTRIES LTD</v>
          </cell>
          <cell r="B158">
            <v>530621</v>
          </cell>
          <cell r="C158" t="str">
            <v>Not Listed</v>
          </cell>
        </row>
        <row r="159">
          <cell r="A159" t="str">
            <v>AKASH INFRA PROJECTS LTD</v>
          </cell>
          <cell r="B159" t="str">
            <v>Not Listed</v>
          </cell>
          <cell r="C159" t="str">
            <v>AKASH</v>
          </cell>
        </row>
        <row r="160">
          <cell r="A160" t="str">
            <v>AKASHDEEP METAL INDUSTRIES LTD</v>
          </cell>
          <cell r="B160">
            <v>538778</v>
          </cell>
          <cell r="C160" t="str">
            <v>Not Listed</v>
          </cell>
        </row>
        <row r="161">
          <cell r="A161" t="str">
            <v>AKG EXIM LTD</v>
          </cell>
          <cell r="B161" t="str">
            <v>Not Listed</v>
          </cell>
          <cell r="C161" t="str">
            <v>AKG</v>
          </cell>
        </row>
        <row r="162">
          <cell r="A162" t="str">
            <v>AKI (INDIA) LTD</v>
          </cell>
          <cell r="B162">
            <v>542020</v>
          </cell>
          <cell r="C162" t="str">
            <v>Not Listed</v>
          </cell>
        </row>
        <row r="163">
          <cell r="A163" t="str">
            <v>AKI INDIA LTD</v>
          </cell>
          <cell r="B163">
            <v>542020</v>
          </cell>
          <cell r="C163" t="str">
            <v>Not Listed</v>
          </cell>
        </row>
        <row r="164">
          <cell r="A164" t="str">
            <v>AKM LACE AND EMBROTEX LTD</v>
          </cell>
          <cell r="B164">
            <v>540718</v>
          </cell>
          <cell r="C164" t="str">
            <v>Not Listed</v>
          </cell>
        </row>
        <row r="165">
          <cell r="A165" t="str">
            <v>AKME STAR HOUSING FINANCE LTD</v>
          </cell>
          <cell r="B165">
            <v>539017</v>
          </cell>
          <cell r="C165" t="str">
            <v>Not Listed</v>
          </cell>
        </row>
        <row r="166">
          <cell r="A166" t="str">
            <v>AKSH OPTIFIBRE LTD</v>
          </cell>
          <cell r="B166">
            <v>532351</v>
          </cell>
          <cell r="C166" t="str">
            <v>AKSHOPTFBR</v>
          </cell>
        </row>
        <row r="167">
          <cell r="A167" t="str">
            <v>AKSHAR SPINTEX LTD</v>
          </cell>
          <cell r="B167">
            <v>541303</v>
          </cell>
          <cell r="C167" t="str">
            <v>Not Listed</v>
          </cell>
        </row>
        <row r="168">
          <cell r="A168" t="str">
            <v>AKSHARCHEM (INDIA) LTD</v>
          </cell>
          <cell r="B168">
            <v>524598</v>
          </cell>
          <cell r="C168" t="str">
            <v>AKSHARCHEM</v>
          </cell>
        </row>
        <row r="169">
          <cell r="A169" t="str">
            <v>AKSHARCHEM INDIA LTD</v>
          </cell>
          <cell r="B169">
            <v>524598</v>
          </cell>
          <cell r="C169" t="str">
            <v>AKSHARCHEM</v>
          </cell>
        </row>
        <row r="170">
          <cell r="A170" t="str">
            <v>AKZO NOBEL (INDIA) LTD</v>
          </cell>
          <cell r="B170">
            <v>500710</v>
          </cell>
          <cell r="C170" t="str">
            <v>AKZO(INDIA)</v>
          </cell>
        </row>
        <row r="171">
          <cell r="A171" t="str">
            <v>AKZO NOBEL INDIA LTD</v>
          </cell>
          <cell r="B171">
            <v>500710</v>
          </cell>
          <cell r="C171" t="str">
            <v>AKZOINDIA</v>
          </cell>
        </row>
        <row r="172">
          <cell r="A172" t="str">
            <v>ALACRITY SECURITIES LTD</v>
          </cell>
          <cell r="B172">
            <v>535916</v>
          </cell>
          <cell r="C172" t="str">
            <v>Not Listed</v>
          </cell>
        </row>
        <row r="173">
          <cell r="A173" t="str">
            <v>ALAN SCOTT INDUSTRIES LTD</v>
          </cell>
          <cell r="B173">
            <v>539115</v>
          </cell>
          <cell r="C173" t="str">
            <v>Not Listed</v>
          </cell>
        </row>
        <row r="174">
          <cell r="A174" t="str">
            <v>ALANKIT LTD</v>
          </cell>
          <cell r="B174">
            <v>531082</v>
          </cell>
          <cell r="C174" t="str">
            <v>ALANKIT</v>
          </cell>
        </row>
        <row r="175">
          <cell r="A175" t="str">
            <v>ALBERT DAVID LTD</v>
          </cell>
          <cell r="B175">
            <v>524075</v>
          </cell>
          <cell r="C175" t="str">
            <v>ALBERTDAVD</v>
          </cell>
        </row>
        <row r="176">
          <cell r="A176" t="str">
            <v>ALCHEMIST CORPORATION LTD</v>
          </cell>
          <cell r="B176">
            <v>531409</v>
          </cell>
          <cell r="C176" t="str">
            <v>Not Listed</v>
          </cell>
        </row>
        <row r="177">
          <cell r="A177" t="str">
            <v>ALCHEMIST LTD</v>
          </cell>
          <cell r="B177">
            <v>526707</v>
          </cell>
          <cell r="C177" t="str">
            <v>ALCHEM</v>
          </cell>
        </row>
        <row r="178">
          <cell r="A178" t="str">
            <v>ALCHEMIST REALTY LTD</v>
          </cell>
          <cell r="B178">
            <v>532114</v>
          </cell>
          <cell r="C178" t="str">
            <v>Not Listed</v>
          </cell>
        </row>
        <row r="179">
          <cell r="A179" t="str">
            <v>ALEMBIC LTD</v>
          </cell>
          <cell r="B179">
            <v>506235</v>
          </cell>
          <cell r="C179" t="str">
            <v>ALEMBICLTD</v>
          </cell>
        </row>
        <row r="180">
          <cell r="A180" t="str">
            <v>ALEMBIC PHARMACEUTICALS LTD</v>
          </cell>
          <cell r="B180">
            <v>533573</v>
          </cell>
          <cell r="C180" t="str">
            <v>APLLTD</v>
          </cell>
        </row>
        <row r="181">
          <cell r="A181" t="str">
            <v>ALEXANDER STAMPS AND COIN LTD</v>
          </cell>
          <cell r="B181">
            <v>511463</v>
          </cell>
          <cell r="C181" t="str">
            <v>Not Listed</v>
          </cell>
        </row>
        <row r="182">
          <cell r="A182" t="str">
            <v>ALFA ICA (INDIA) LTD</v>
          </cell>
          <cell r="B182">
            <v>530973</v>
          </cell>
          <cell r="C182" t="str">
            <v>Not Listed</v>
          </cell>
        </row>
        <row r="183">
          <cell r="A183" t="str">
            <v>ALFA ICA INDIA LTD</v>
          </cell>
          <cell r="B183">
            <v>530973</v>
          </cell>
          <cell r="C183" t="str">
            <v>Not Listed</v>
          </cell>
        </row>
        <row r="184">
          <cell r="A184" t="str">
            <v>ALFA TRANSFORMERS LTD</v>
          </cell>
          <cell r="B184">
            <v>517546</v>
          </cell>
          <cell r="C184" t="str">
            <v>Not Listed</v>
          </cell>
        </row>
        <row r="185">
          <cell r="A185" t="str">
            <v>ALFAVISION OVERSEAS (INDIA) LTD</v>
          </cell>
          <cell r="B185">
            <v>531156</v>
          </cell>
          <cell r="C185" t="str">
            <v>Not Listed</v>
          </cell>
        </row>
        <row r="186">
          <cell r="A186" t="str">
            <v>ALFAVISION OVERSEAS INDIA LTD</v>
          </cell>
          <cell r="B186">
            <v>531156</v>
          </cell>
          <cell r="C186" t="str">
            <v>Not Listed</v>
          </cell>
        </row>
        <row r="187">
          <cell r="A187" t="str">
            <v>ALFRED HERBERT (INDIA) LTD</v>
          </cell>
          <cell r="B187">
            <v>505216</v>
          </cell>
          <cell r="C187" t="str">
            <v>Not Listed</v>
          </cell>
        </row>
        <row r="188">
          <cell r="A188" t="str">
            <v>ALFRED HERBERT INDIA LTD</v>
          </cell>
          <cell r="B188">
            <v>505216</v>
          </cell>
          <cell r="C188" t="str">
            <v>Not Listed</v>
          </cell>
        </row>
        <row r="189">
          <cell r="A189" t="str">
            <v>ALICON CASTALLOY LTD</v>
          </cell>
          <cell r="B189">
            <v>531147</v>
          </cell>
          <cell r="C189" t="str">
            <v>ALICON</v>
          </cell>
        </row>
        <row r="190">
          <cell r="A190" t="str">
            <v>ALKA (INDIA) LTD</v>
          </cell>
          <cell r="B190">
            <v>530889</v>
          </cell>
          <cell r="C190" t="str">
            <v>Not Listed</v>
          </cell>
        </row>
        <row r="191">
          <cell r="A191" t="str">
            <v>ALKA DIAMOND INDUSTRIES LTD</v>
          </cell>
          <cell r="B191">
            <v>531581</v>
          </cell>
          <cell r="C191" t="str">
            <v>Not Listed</v>
          </cell>
        </row>
        <row r="192">
          <cell r="A192" t="str">
            <v>ALKA INDIA LTD</v>
          </cell>
          <cell r="B192">
            <v>530889</v>
          </cell>
          <cell r="C192" t="str">
            <v>Not Listed</v>
          </cell>
        </row>
        <row r="193">
          <cell r="A193" t="str">
            <v>ALKA SECURITIES LTD</v>
          </cell>
          <cell r="B193">
            <v>532166</v>
          </cell>
          <cell r="C193" t="str">
            <v>Not Listed</v>
          </cell>
        </row>
        <row r="194">
          <cell r="A194" t="str">
            <v>ALKALI METALS LTD</v>
          </cell>
          <cell r="B194">
            <v>533029</v>
          </cell>
          <cell r="C194" t="str">
            <v>ALKALI</v>
          </cell>
        </row>
        <row r="195">
          <cell r="A195" t="str">
            <v>ALKEM LABORATORIES LTD</v>
          </cell>
          <cell r="B195">
            <v>539523</v>
          </cell>
          <cell r="C195" t="str">
            <v>ALKEM</v>
          </cell>
        </row>
        <row r="196">
          <cell r="A196" t="str">
            <v>ALKYL AMINES CHEMICALS LTD</v>
          </cell>
          <cell r="B196">
            <v>506767</v>
          </cell>
          <cell r="C196" t="str">
            <v>ALKYLAMINE</v>
          </cell>
        </row>
        <row r="197">
          <cell r="A197" t="str">
            <v>ALLAHABAD BANK</v>
          </cell>
          <cell r="B197">
            <v>532480</v>
          </cell>
          <cell r="C197" t="str">
            <v>ALBK</v>
          </cell>
        </row>
        <row r="198">
          <cell r="A198" t="str">
            <v>ALLCARGO LOGISTICS LTD</v>
          </cell>
          <cell r="B198">
            <v>532749</v>
          </cell>
          <cell r="C198" t="str">
            <v>ALLCARGO</v>
          </cell>
        </row>
        <row r="199">
          <cell r="A199" t="str">
            <v>ALLIANCE INTEGRATED METALIKS LTD</v>
          </cell>
          <cell r="B199">
            <v>534064</v>
          </cell>
          <cell r="C199" t="str">
            <v>Not Listed</v>
          </cell>
        </row>
        <row r="200">
          <cell r="A200" t="str">
            <v>ALLIED COMPUTERS INTERNATIONAL ASIA LTD</v>
          </cell>
          <cell r="B200">
            <v>532919</v>
          </cell>
          <cell r="C200" t="str">
            <v>Not Listed</v>
          </cell>
        </row>
        <row r="201">
          <cell r="A201" t="str">
            <v>ALLIED DIGITAL SERVICES LTD</v>
          </cell>
          <cell r="B201">
            <v>532875</v>
          </cell>
          <cell r="C201" t="str">
            <v>ADSL</v>
          </cell>
        </row>
        <row r="202">
          <cell r="A202" t="str">
            <v>ALLSEC TECHNOLOGIES LTD</v>
          </cell>
          <cell r="B202">
            <v>532633</v>
          </cell>
          <cell r="C202" t="str">
            <v>ALLSEC</v>
          </cell>
        </row>
        <row r="203">
          <cell r="A203" t="str">
            <v>ALMONDZ GLOBAL SECURITIES LTD</v>
          </cell>
          <cell r="B203">
            <v>531400</v>
          </cell>
          <cell r="C203" t="str">
            <v>ALMONDZ</v>
          </cell>
        </row>
        <row r="204">
          <cell r="A204" t="str">
            <v>ALNA TRADING &amp; EXPORTS LTD</v>
          </cell>
          <cell r="B204">
            <v>506120</v>
          </cell>
          <cell r="C204" t="str">
            <v>Not Listed</v>
          </cell>
        </row>
        <row r="205">
          <cell r="A205" t="str">
            <v>ALOK INDUSTRIES LTD</v>
          </cell>
          <cell r="B205">
            <v>521070</v>
          </cell>
          <cell r="C205" t="str">
            <v>ALOKTEXT</v>
          </cell>
        </row>
        <row r="206">
          <cell r="A206" t="str">
            <v>ALPA LABORATORIES LTD</v>
          </cell>
          <cell r="B206">
            <v>532878</v>
          </cell>
          <cell r="C206" t="str">
            <v>ALPA</v>
          </cell>
        </row>
        <row r="207">
          <cell r="A207" t="str">
            <v>ALPHAGEO (INDIA) LTD</v>
          </cell>
          <cell r="B207">
            <v>526397</v>
          </cell>
          <cell r="C207" t="str">
            <v>ALPHAGEO</v>
          </cell>
        </row>
        <row r="208">
          <cell r="A208" t="str">
            <v>ALPHAGEO INDIA LTD</v>
          </cell>
          <cell r="B208">
            <v>526397</v>
          </cell>
          <cell r="C208" t="str">
            <v>ALPHAGEO</v>
          </cell>
        </row>
        <row r="209">
          <cell r="A209" t="str">
            <v>ALPINE HOUSING DEVELOPMENT CORPORATION LTD</v>
          </cell>
          <cell r="B209">
            <v>526519</v>
          </cell>
          <cell r="C209" t="str">
            <v>Not Listed</v>
          </cell>
        </row>
        <row r="210">
          <cell r="A210" t="str">
            <v>ALPS INDUSTRIES LTD</v>
          </cell>
          <cell r="B210">
            <v>530715</v>
          </cell>
          <cell r="C210" t="str">
            <v>ALPSINDUS</v>
          </cell>
        </row>
        <row r="211">
          <cell r="A211" t="str">
            <v>Alps Motor Finance Ltd</v>
          </cell>
          <cell r="B211">
            <v>538423</v>
          </cell>
          <cell r="C211" t="str">
            <v>ALPSMOTOR</v>
          </cell>
        </row>
        <row r="212">
          <cell r="A212" t="str">
            <v>ALSTONE TEXTILES (INDIA) LTD</v>
          </cell>
          <cell r="B212">
            <v>539277</v>
          </cell>
          <cell r="C212" t="str">
            <v>Not Listed</v>
          </cell>
        </row>
        <row r="213">
          <cell r="A213" t="str">
            <v>ALSTONE TEXTILES INDIA LTD</v>
          </cell>
          <cell r="B213">
            <v>539277</v>
          </cell>
          <cell r="C213" t="str">
            <v>Not Listed</v>
          </cell>
        </row>
        <row r="214">
          <cell r="A214" t="str">
            <v>ALUFLUORIDE LTD</v>
          </cell>
          <cell r="B214">
            <v>524634</v>
          </cell>
          <cell r="C214" t="str">
            <v>Not Listed</v>
          </cell>
        </row>
        <row r="215">
          <cell r="A215" t="str">
            <v>AMAL LTD</v>
          </cell>
          <cell r="B215">
            <v>506597</v>
          </cell>
          <cell r="C215" t="str">
            <v>Not Listed</v>
          </cell>
        </row>
        <row r="216">
          <cell r="A216" t="str">
            <v>AMANI TRADING &amp; EXPORTS LTD</v>
          </cell>
          <cell r="B216">
            <v>512008</v>
          </cell>
          <cell r="C216" t="str">
            <v>Not Listed</v>
          </cell>
        </row>
        <row r="217">
          <cell r="A217" t="str">
            <v>AMARA RAJA BATTERIES LTD</v>
          </cell>
          <cell r="B217">
            <v>500008</v>
          </cell>
          <cell r="C217" t="str">
            <v>AMARAJABAT</v>
          </cell>
        </row>
        <row r="218">
          <cell r="A218" t="str">
            <v>AMARJOTHI SPINNING MILLS LTD</v>
          </cell>
          <cell r="B218">
            <v>521097</v>
          </cell>
          <cell r="C218" t="str">
            <v>Not Listed</v>
          </cell>
        </row>
        <row r="219">
          <cell r="A219" t="str">
            <v>AMARNATH SECURITIES LTD</v>
          </cell>
          <cell r="B219">
            <v>538465</v>
          </cell>
          <cell r="C219" t="str">
            <v>Not Listed</v>
          </cell>
        </row>
        <row r="220">
          <cell r="A220" t="str">
            <v>AMAZE ENTERTECH LTD</v>
          </cell>
          <cell r="B220">
            <v>531112</v>
          </cell>
          <cell r="C220" t="str">
            <v>Not Listed</v>
          </cell>
        </row>
        <row r="221">
          <cell r="A221" t="str">
            <v>AMBA ENTERPRISES LTD</v>
          </cell>
          <cell r="B221">
            <v>539196</v>
          </cell>
          <cell r="C221" t="str">
            <v>Not Listed</v>
          </cell>
        </row>
        <row r="222">
          <cell r="A222" t="str">
            <v>AMBALAL SARABHAI ENTERPRISES LTD</v>
          </cell>
          <cell r="B222">
            <v>500009</v>
          </cell>
          <cell r="C222" t="str">
            <v>Not Listed</v>
          </cell>
        </row>
        <row r="223">
          <cell r="A223" t="str">
            <v>AMBANI ORGANICS LTD</v>
          </cell>
          <cell r="B223" t="str">
            <v>Not Listed</v>
          </cell>
          <cell r="C223" t="str">
            <v>AMBANIORG</v>
          </cell>
        </row>
        <row r="224">
          <cell r="A224" t="str">
            <v>AMBAR PROTEIN INDUSTRIES LTD</v>
          </cell>
          <cell r="B224">
            <v>519471</v>
          </cell>
          <cell r="C224" t="str">
            <v>Not Listed</v>
          </cell>
        </row>
        <row r="225">
          <cell r="A225" t="str">
            <v>Ambassador Intra Holdings Ltd</v>
          </cell>
          <cell r="B225">
            <v>542524</v>
          </cell>
          <cell r="C225" t="str">
            <v>AIHL</v>
          </cell>
        </row>
        <row r="226">
          <cell r="A226" t="str">
            <v>AMBER ENTERPRISES (INDIA) LTD</v>
          </cell>
          <cell r="B226">
            <v>540902</v>
          </cell>
          <cell r="C226" t="str">
            <v>AMBER</v>
          </cell>
        </row>
        <row r="227">
          <cell r="A227" t="str">
            <v>AMBER ENTERPRISES INDIA LTD</v>
          </cell>
          <cell r="B227">
            <v>540902</v>
          </cell>
          <cell r="C227" t="str">
            <v>AMBER</v>
          </cell>
        </row>
        <row r="228">
          <cell r="A228" t="str">
            <v>AMBIKA COTTON MILLS LTD</v>
          </cell>
          <cell r="B228">
            <v>531978</v>
          </cell>
          <cell r="C228" t="str">
            <v>AMBIKCO</v>
          </cell>
        </row>
        <row r="229">
          <cell r="A229" t="str">
            <v>AMBITION MICA LTD</v>
          </cell>
          <cell r="B229">
            <v>539223</v>
          </cell>
          <cell r="C229" t="str">
            <v>Not Listed</v>
          </cell>
        </row>
        <row r="230">
          <cell r="A230" t="str">
            <v>AMBUJA CEMENTS LTD</v>
          </cell>
          <cell r="B230">
            <v>500425</v>
          </cell>
          <cell r="C230" t="str">
            <v>AMBUJACEM</v>
          </cell>
        </row>
        <row r="231">
          <cell r="A231" t="str">
            <v>AMCO (INDIA) LTD</v>
          </cell>
          <cell r="B231">
            <v>530133</v>
          </cell>
          <cell r="C231" t="str">
            <v>Not Listed</v>
          </cell>
        </row>
        <row r="232">
          <cell r="A232" t="str">
            <v>AMCO INDIA LTD</v>
          </cell>
          <cell r="B232">
            <v>530133</v>
          </cell>
          <cell r="C232" t="str">
            <v>Not Listed</v>
          </cell>
        </row>
        <row r="233">
          <cell r="A233" t="str">
            <v>AMD INDUSTRIES LTD</v>
          </cell>
          <cell r="B233">
            <v>532828</v>
          </cell>
          <cell r="C233" t="str">
            <v>AMDIND</v>
          </cell>
        </row>
        <row r="234">
          <cell r="A234" t="str">
            <v>AMFORGE INDUSTRIES LTD</v>
          </cell>
          <cell r="B234">
            <v>513117</v>
          </cell>
          <cell r="C234" t="str">
            <v>Not Listed</v>
          </cell>
        </row>
        <row r="235">
          <cell r="A235" t="str">
            <v>AMIN TANNERY LTD</v>
          </cell>
          <cell r="B235">
            <v>541771</v>
          </cell>
          <cell r="C235" t="str">
            <v>Not Listed</v>
          </cell>
        </row>
        <row r="236">
          <cell r="A236" t="str">
            <v>AMINES &amp; PLASTICIZERS LTD</v>
          </cell>
          <cell r="B236">
            <v>506248</v>
          </cell>
          <cell r="C236" t="str">
            <v>Not Listed</v>
          </cell>
        </row>
        <row r="237">
          <cell r="A237" t="str">
            <v>AMIT INTERNATIONAL LTD</v>
          </cell>
          <cell r="B237">
            <v>531300</v>
          </cell>
          <cell r="C237" t="str">
            <v>Not Listed</v>
          </cell>
        </row>
        <row r="238">
          <cell r="A238" t="str">
            <v>AMIT SECURITIES LTD</v>
          </cell>
          <cell r="B238">
            <v>531557</v>
          </cell>
          <cell r="C238" t="str">
            <v>Not Listed</v>
          </cell>
        </row>
        <row r="239">
          <cell r="A239" t="str">
            <v>AMJ LAND HOLDINGS LTD</v>
          </cell>
          <cell r="B239">
            <v>500343</v>
          </cell>
          <cell r="C239" t="str">
            <v>AMJLAND</v>
          </cell>
        </row>
        <row r="240">
          <cell r="A240" t="str">
            <v>AMRADEEP INDUSTRIES LTD</v>
          </cell>
          <cell r="B240">
            <v>531681</v>
          </cell>
          <cell r="C240" t="str">
            <v>Not Listed</v>
          </cell>
        </row>
        <row r="241">
          <cell r="A241" t="str">
            <v>AMRAPALI CAPITAL AND FINANCE SERVICES LTD</v>
          </cell>
          <cell r="B241">
            <v>536737</v>
          </cell>
          <cell r="C241" t="str">
            <v>Not Listed</v>
          </cell>
        </row>
        <row r="242">
          <cell r="A242" t="str">
            <v>AMRAPALI FINCAP LTD</v>
          </cell>
          <cell r="B242">
            <v>539265</v>
          </cell>
          <cell r="C242" t="str">
            <v>Not Listed</v>
          </cell>
        </row>
        <row r="243">
          <cell r="A243" t="str">
            <v>AMRAPALI INDUSTRIES LTD</v>
          </cell>
          <cell r="B243">
            <v>526241</v>
          </cell>
          <cell r="C243" t="str">
            <v>Not Listed</v>
          </cell>
        </row>
        <row r="244">
          <cell r="A244" t="str">
            <v>AMRAWORLD AGRICO LTD</v>
          </cell>
          <cell r="B244">
            <v>531991</v>
          </cell>
          <cell r="C244" t="str">
            <v>Not Listed</v>
          </cell>
        </row>
        <row r="245">
          <cell r="A245" t="str">
            <v>AMRIT CORP LTD</v>
          </cell>
          <cell r="B245">
            <v>507525</v>
          </cell>
          <cell r="C245" t="str">
            <v>Not Listed</v>
          </cell>
        </row>
        <row r="246">
          <cell r="A246" t="str">
            <v>AMRUTANJAN HEALTH CARE LTD</v>
          </cell>
          <cell r="B246">
            <v>590006</v>
          </cell>
          <cell r="C246" t="str">
            <v>AMRUTANJAN</v>
          </cell>
        </row>
        <row r="247">
          <cell r="A247" t="str">
            <v>AMSONS APPARELS LTD</v>
          </cell>
          <cell r="B247">
            <v>538861</v>
          </cell>
          <cell r="C247" t="str">
            <v>Not Listed</v>
          </cell>
        </row>
        <row r="248">
          <cell r="A248" t="str">
            <v>ANAND PROJECTS LTD</v>
          </cell>
          <cell r="B248">
            <v>501630</v>
          </cell>
          <cell r="C248" t="str">
            <v>Not Listed</v>
          </cell>
        </row>
        <row r="249">
          <cell r="A249" t="str">
            <v>ANANT RAJ LTD</v>
          </cell>
          <cell r="B249">
            <v>515055</v>
          </cell>
          <cell r="C249" t="str">
            <v>ANANTRAJ</v>
          </cell>
        </row>
        <row r="250">
          <cell r="A250" t="str">
            <v>ANDHRA BANK</v>
          </cell>
          <cell r="B250">
            <v>532418</v>
          </cell>
          <cell r="C250" t="str">
            <v>ANDHRABANK</v>
          </cell>
        </row>
        <row r="251">
          <cell r="A251" t="str">
            <v>ANDHRA CEMENTS LTD</v>
          </cell>
          <cell r="B251">
            <v>532141</v>
          </cell>
          <cell r="C251" t="str">
            <v>ANDHRACEMT</v>
          </cell>
        </row>
        <row r="252">
          <cell r="A252" t="str">
            <v>ANDHRA PETROCHEMICALS LTD</v>
          </cell>
          <cell r="B252">
            <v>500012</v>
          </cell>
          <cell r="C252" t="str">
            <v>Not Listed</v>
          </cell>
        </row>
        <row r="253">
          <cell r="A253" t="str">
            <v>ANDREW YULE &amp; COMPANY LTD</v>
          </cell>
          <cell r="B253">
            <v>526173</v>
          </cell>
          <cell r="C253" t="str">
            <v>Not Listed</v>
          </cell>
        </row>
        <row r="254">
          <cell r="A254" t="str">
            <v>ANERI FINCAP LTD</v>
          </cell>
          <cell r="B254">
            <v>531252</v>
          </cell>
          <cell r="C254" t="str">
            <v>Not Listed</v>
          </cell>
        </row>
        <row r="255">
          <cell r="A255" t="str">
            <v>ANG INDUSTRIES LTD</v>
          </cell>
          <cell r="B255">
            <v>530721</v>
          </cell>
          <cell r="C255" t="str">
            <v>ANGIND</v>
          </cell>
        </row>
        <row r="256">
          <cell r="A256" t="str">
            <v>ANG LIFESCIENCES (INDIA) LTD</v>
          </cell>
          <cell r="B256">
            <v>540694</v>
          </cell>
          <cell r="C256" t="str">
            <v>Not Listed</v>
          </cell>
        </row>
        <row r="257">
          <cell r="A257" t="str">
            <v>ANG LIFESCIENCES INDIA LTD</v>
          </cell>
          <cell r="B257">
            <v>540694</v>
          </cell>
          <cell r="C257" t="str">
            <v>Not Listed</v>
          </cell>
        </row>
        <row r="258">
          <cell r="A258" t="str">
            <v>ANGEL FIBERS LTD</v>
          </cell>
          <cell r="B258">
            <v>541006</v>
          </cell>
          <cell r="C258" t="str">
            <v>Not Listed</v>
          </cell>
        </row>
        <row r="259">
          <cell r="A259" t="str">
            <v>ANI INTEGRATED SERVICES LTD</v>
          </cell>
          <cell r="B259" t="str">
            <v>Not Listed</v>
          </cell>
          <cell r="C259" t="str">
            <v>AISL</v>
          </cell>
        </row>
        <row r="260">
          <cell r="A260" t="str">
            <v>ANIK INDUSTRIES LTD</v>
          </cell>
          <cell r="B260">
            <v>519383</v>
          </cell>
          <cell r="C260" t="str">
            <v>ANIKINDS</v>
          </cell>
        </row>
        <row r="261">
          <cell r="A261" t="str">
            <v>ANISHA IMPEX LTD</v>
          </cell>
          <cell r="B261">
            <v>537785</v>
          </cell>
          <cell r="C261" t="str">
            <v>Not Listed</v>
          </cell>
        </row>
        <row r="262">
          <cell r="A262" t="str">
            <v>ANJANI FINANCE LTD</v>
          </cell>
          <cell r="B262">
            <v>531878</v>
          </cell>
          <cell r="C262" t="str">
            <v>Not Listed</v>
          </cell>
        </row>
        <row r="263">
          <cell r="A263" t="str">
            <v>ANJANI FOODS LTD</v>
          </cell>
          <cell r="B263">
            <v>511153</v>
          </cell>
          <cell r="C263" t="str">
            <v>Not Listed</v>
          </cell>
        </row>
        <row r="264">
          <cell r="A264" t="str">
            <v>ANJANI PORTLAND CEMENT LTD</v>
          </cell>
          <cell r="B264">
            <v>518091</v>
          </cell>
          <cell r="C264" t="str">
            <v>APCL</v>
          </cell>
        </row>
        <row r="265">
          <cell r="A265" t="str">
            <v>ANJANI SYNTHETICS LTD</v>
          </cell>
          <cell r="B265">
            <v>531223</v>
          </cell>
          <cell r="C265" t="str">
            <v>Not Listed</v>
          </cell>
        </row>
        <row r="266">
          <cell r="A266" t="str">
            <v>ANKA (INDIA) LTD</v>
          </cell>
          <cell r="B266">
            <v>531673</v>
          </cell>
          <cell r="C266" t="str">
            <v>Not Listed</v>
          </cell>
        </row>
        <row r="267">
          <cell r="A267" t="str">
            <v>ANKA INDIA LTD</v>
          </cell>
          <cell r="B267">
            <v>531673</v>
          </cell>
          <cell r="C267" t="str">
            <v>Not Listed</v>
          </cell>
        </row>
        <row r="268">
          <cell r="A268" t="str">
            <v>ANKIT METAL &amp; POWER LTD</v>
          </cell>
          <cell r="B268">
            <v>532870</v>
          </cell>
          <cell r="C268" t="str">
            <v>ANKITMETAL</v>
          </cell>
        </row>
        <row r="269">
          <cell r="A269" t="str">
            <v>ANKUSH FINSTOCK LTD</v>
          </cell>
          <cell r="B269">
            <v>531519</v>
          </cell>
          <cell r="C269" t="str">
            <v>Not Listed</v>
          </cell>
        </row>
        <row r="270">
          <cell r="A270" t="str">
            <v>Anmol India Ltd</v>
          </cell>
          <cell r="B270">
            <v>542437</v>
          </cell>
          <cell r="C270" t="str">
            <v>ANMOL</v>
          </cell>
        </row>
        <row r="271">
          <cell r="A271" t="str">
            <v>ANNA INFRASTRUCTURES LTD</v>
          </cell>
          <cell r="B271">
            <v>530799</v>
          </cell>
          <cell r="C271" t="str">
            <v>Not Listed</v>
          </cell>
        </row>
        <row r="272">
          <cell r="A272" t="str">
            <v>ANS INDUSTRIES LTD</v>
          </cell>
          <cell r="B272">
            <v>531406</v>
          </cell>
          <cell r="C272" t="str">
            <v>Not Listed</v>
          </cell>
        </row>
        <row r="273">
          <cell r="A273" t="str">
            <v>ANSAL BUILDWELL LTD</v>
          </cell>
          <cell r="B273">
            <v>523007</v>
          </cell>
          <cell r="C273" t="str">
            <v>Not Listed</v>
          </cell>
        </row>
        <row r="274">
          <cell r="A274" t="str">
            <v>ANSAL HOUSING AND CONSTRUCTION LTD</v>
          </cell>
          <cell r="B274">
            <v>507828</v>
          </cell>
          <cell r="C274" t="str">
            <v>ANSALHSG</v>
          </cell>
        </row>
        <row r="275">
          <cell r="A275" t="str">
            <v>ANSAL PROPERTIES &amp; INFRASTRUCTURE LTD</v>
          </cell>
          <cell r="B275">
            <v>500013</v>
          </cell>
          <cell r="C275" t="str">
            <v>ANSALAPI</v>
          </cell>
        </row>
        <row r="276">
          <cell r="A276" t="str">
            <v>ANSHUNI COMMERCIALS LTD</v>
          </cell>
          <cell r="B276">
            <v>512091</v>
          </cell>
          <cell r="C276" t="str">
            <v>Not Listed</v>
          </cell>
        </row>
        <row r="277">
          <cell r="A277" t="str">
            <v>ANTARCTICA LTD</v>
          </cell>
          <cell r="B277" t="str">
            <v>Not Listed</v>
          </cell>
          <cell r="C277" t="str">
            <v>ANTGRAPHIC</v>
          </cell>
        </row>
        <row r="278">
          <cell r="A278" t="str">
            <v>ANTARIKSH INDUSTRIES LTD</v>
          </cell>
          <cell r="B278">
            <v>501270</v>
          </cell>
          <cell r="C278" t="str">
            <v>Not Listed</v>
          </cell>
        </row>
        <row r="279">
          <cell r="A279" t="str">
            <v>ANUBHAV INDUSTRIAL RESOURCES LTD</v>
          </cell>
          <cell r="B279">
            <v>539697</v>
          </cell>
          <cell r="C279" t="str">
            <v>Not Listed</v>
          </cell>
        </row>
        <row r="280">
          <cell r="A280" t="str">
            <v>ANUBHAV INFRASTRUCTURE LTD</v>
          </cell>
          <cell r="B280">
            <v>538833</v>
          </cell>
          <cell r="C280" t="str">
            <v>Not Listed</v>
          </cell>
        </row>
        <row r="281">
          <cell r="A281" t="str">
            <v>ANUH PHARMA LTD</v>
          </cell>
          <cell r="B281">
            <v>506260</v>
          </cell>
          <cell r="C281" t="str">
            <v>Not Listed</v>
          </cell>
        </row>
        <row r="282">
          <cell r="A282" t="str">
            <v>ANUP MALLEABLE LTD</v>
          </cell>
          <cell r="B282">
            <v>506087</v>
          </cell>
          <cell r="C282" t="str">
            <v>Not Listed</v>
          </cell>
        </row>
        <row r="283">
          <cell r="A283" t="str">
            <v>ANUPAM FINSERV LTD</v>
          </cell>
          <cell r="B283">
            <v>530109</v>
          </cell>
          <cell r="C283" t="str">
            <v>Not Listed</v>
          </cell>
        </row>
        <row r="284">
          <cell r="A284" t="str">
            <v>APAR INDUSTRIES LTD</v>
          </cell>
          <cell r="B284">
            <v>532259</v>
          </cell>
          <cell r="C284" t="str">
            <v>APARINDS</v>
          </cell>
        </row>
        <row r="285">
          <cell r="A285" t="str">
            <v>APCOTEX INDUSTRIES LTD</v>
          </cell>
          <cell r="B285">
            <v>523694</v>
          </cell>
          <cell r="C285" t="str">
            <v>APCOTEXIND</v>
          </cell>
        </row>
        <row r="286">
          <cell r="A286" t="str">
            <v>APEX FROZEN FOODS LTD</v>
          </cell>
          <cell r="B286">
            <v>540692</v>
          </cell>
          <cell r="C286" t="str">
            <v>APEX</v>
          </cell>
        </row>
        <row r="287">
          <cell r="A287" t="str">
            <v>APEX HOME FINANCE LTD</v>
          </cell>
          <cell r="B287">
            <v>541133</v>
          </cell>
          <cell r="C287" t="str">
            <v>Not Listed</v>
          </cell>
        </row>
        <row r="288">
          <cell r="A288" t="str">
            <v>APIS (INDIA) LTD</v>
          </cell>
          <cell r="B288">
            <v>506166</v>
          </cell>
          <cell r="C288" t="str">
            <v>Not Listed</v>
          </cell>
        </row>
        <row r="289">
          <cell r="A289" t="str">
            <v>APIS INDIA LTD</v>
          </cell>
          <cell r="B289">
            <v>506166</v>
          </cell>
          <cell r="C289" t="str">
            <v>Not Listed</v>
          </cell>
        </row>
        <row r="290">
          <cell r="A290" t="str">
            <v>APL APOLLO TUBES LTD</v>
          </cell>
          <cell r="B290">
            <v>533758</v>
          </cell>
          <cell r="C290" t="str">
            <v>APLAPOLLO</v>
          </cell>
        </row>
        <row r="291">
          <cell r="A291" t="str">
            <v>APLAB LTD</v>
          </cell>
          <cell r="B291">
            <v>517096</v>
          </cell>
          <cell r="C291" t="str">
            <v>Not Listed</v>
          </cell>
        </row>
        <row r="292">
          <cell r="A292" t="str">
            <v>Aplaya Creations Ltd</v>
          </cell>
          <cell r="B292">
            <v>511064</v>
          </cell>
          <cell r="C292" t="str">
            <v>APLAYA</v>
          </cell>
        </row>
        <row r="293">
          <cell r="A293" t="str">
            <v>APM INDUSTRIES LTD</v>
          </cell>
          <cell r="B293">
            <v>523537</v>
          </cell>
          <cell r="C293" t="str">
            <v>Not Listed</v>
          </cell>
        </row>
        <row r="294">
          <cell r="A294" t="str">
            <v>APOLLO FINVEST (INDIA) LTD</v>
          </cell>
          <cell r="B294">
            <v>512437</v>
          </cell>
          <cell r="C294" t="str">
            <v>Not Listed</v>
          </cell>
        </row>
        <row r="295">
          <cell r="A295" t="str">
            <v>APOLLO FINVEST INDIA LTD</v>
          </cell>
          <cell r="B295">
            <v>512437</v>
          </cell>
          <cell r="C295" t="str">
            <v>Not Listed</v>
          </cell>
        </row>
        <row r="296">
          <cell r="A296" t="str">
            <v>APOLLO HOSPITALS ENTERPRISE LTD</v>
          </cell>
          <cell r="B296">
            <v>508869</v>
          </cell>
          <cell r="C296" t="str">
            <v>APOLLOHOSP</v>
          </cell>
        </row>
        <row r="297">
          <cell r="A297" t="str">
            <v>APOLLO MICRO SYSTEMS LTD</v>
          </cell>
          <cell r="B297">
            <v>540879</v>
          </cell>
          <cell r="C297" t="str">
            <v>APOLLO</v>
          </cell>
        </row>
        <row r="298">
          <cell r="A298" t="str">
            <v>APOLLO PIPES LTD</v>
          </cell>
          <cell r="B298">
            <v>531761</v>
          </cell>
          <cell r="C298" t="str">
            <v>Not Listed</v>
          </cell>
        </row>
        <row r="299">
          <cell r="A299" t="str">
            <v>APOLLO SINDOORI HOTELS LTD</v>
          </cell>
          <cell r="B299" t="str">
            <v>Not Listed</v>
          </cell>
          <cell r="C299" t="str">
            <v>APOLSINHOT</v>
          </cell>
        </row>
        <row r="300">
          <cell r="A300" t="str">
            <v>APOLLO TRICOAT TUBES LTD</v>
          </cell>
          <cell r="B300">
            <v>538566</v>
          </cell>
          <cell r="C300" t="str">
            <v>Not Listed</v>
          </cell>
        </row>
        <row r="301">
          <cell r="A301" t="str">
            <v>APOLLO TYRES LTD</v>
          </cell>
          <cell r="B301">
            <v>500877</v>
          </cell>
          <cell r="C301" t="str">
            <v>APOLLOTYRE</v>
          </cell>
        </row>
        <row r="302">
          <cell r="A302" t="str">
            <v>APOORVA LEASING FINANCE AND INVESTMENT COMPANY LTD</v>
          </cell>
          <cell r="B302">
            <v>539545</v>
          </cell>
          <cell r="C302" t="str">
            <v>Not Listed</v>
          </cell>
        </row>
        <row r="303">
          <cell r="A303" t="str">
            <v>APPLE FINANCE LTD</v>
          </cell>
          <cell r="B303">
            <v>500014</v>
          </cell>
          <cell r="C303" t="str">
            <v>Not Listed</v>
          </cell>
        </row>
        <row r="304">
          <cell r="A304" t="str">
            <v>APTECH LTD</v>
          </cell>
          <cell r="B304">
            <v>532475</v>
          </cell>
          <cell r="C304" t="str">
            <v>APTECHT</v>
          </cell>
        </row>
        <row r="305">
          <cell r="A305" t="str">
            <v>APUNKA INVEST COMMERCIAL LTD</v>
          </cell>
          <cell r="B305">
            <v>539469</v>
          </cell>
          <cell r="C305" t="str">
            <v>Not Listed</v>
          </cell>
        </row>
        <row r="306">
          <cell r="A306" t="str">
            <v>AQUA PUMPS INFRA VENTURES LTD</v>
          </cell>
          <cell r="B306">
            <v>531364</v>
          </cell>
          <cell r="C306" t="str">
            <v>Not Listed</v>
          </cell>
        </row>
        <row r="307">
          <cell r="A307" t="str">
            <v>ARAMBHAN HOSPITALITY SERVICES LTD</v>
          </cell>
          <cell r="B307">
            <v>539403</v>
          </cell>
          <cell r="C307" t="str">
            <v>Not Listed</v>
          </cell>
        </row>
        <row r="308">
          <cell r="A308" t="str">
            <v>ARC FINANCE LTD</v>
          </cell>
          <cell r="B308">
            <v>540135</v>
          </cell>
          <cell r="C308" t="str">
            <v>Not Listed</v>
          </cell>
        </row>
        <row r="309">
          <cell r="A309" t="str">
            <v>ARCEE INDUSTRIES LTD</v>
          </cell>
          <cell r="B309">
            <v>520121</v>
          </cell>
          <cell r="C309" t="str">
            <v>Not Listed</v>
          </cell>
        </row>
        <row r="310">
          <cell r="A310" t="str">
            <v>ARCHANA SOFTWARE LTD</v>
          </cell>
          <cell r="B310">
            <v>530565</v>
          </cell>
          <cell r="C310" t="str">
            <v>Not Listed</v>
          </cell>
        </row>
        <row r="311">
          <cell r="A311" t="str">
            <v>ARCHIDPLY INDUSTRIES LTD</v>
          </cell>
          <cell r="B311">
            <v>532994</v>
          </cell>
          <cell r="C311" t="str">
            <v>ARCHIDPLY</v>
          </cell>
        </row>
        <row r="312">
          <cell r="A312" t="str">
            <v>ARCHIES LTD</v>
          </cell>
          <cell r="B312">
            <v>532212</v>
          </cell>
          <cell r="C312" t="str">
            <v>ARCHIES</v>
          </cell>
        </row>
        <row r="313">
          <cell r="A313" t="str">
            <v>ARCHIT ORGANOSYS LTD</v>
          </cell>
          <cell r="B313">
            <v>524640</v>
          </cell>
          <cell r="C313" t="str">
            <v>Not Listed</v>
          </cell>
        </row>
        <row r="314">
          <cell r="A314" t="str">
            <v>ARCOTECH LTD</v>
          </cell>
          <cell r="B314">
            <v>532914</v>
          </cell>
          <cell r="C314" t="str">
            <v>ARCOTECH</v>
          </cell>
        </row>
        <row r="315">
          <cell r="A315" t="str">
            <v>ARDI INVESTMENT &amp; TRADING LTD</v>
          </cell>
          <cell r="B315">
            <v>504370</v>
          </cell>
          <cell r="C315" t="str">
            <v>Not Listed</v>
          </cell>
        </row>
        <row r="316">
          <cell r="A316" t="str">
            <v>AREX INDUSTRIES LTD</v>
          </cell>
          <cell r="B316">
            <v>526851</v>
          </cell>
          <cell r="C316" t="str">
            <v>Not Listed</v>
          </cell>
        </row>
        <row r="317">
          <cell r="A317" t="str">
            <v>ARFIN (INDIA) LTD</v>
          </cell>
          <cell r="B317">
            <v>539151</v>
          </cell>
          <cell r="C317" t="str">
            <v>Not Listed</v>
          </cell>
        </row>
        <row r="318">
          <cell r="A318" t="str">
            <v>ARFIN INDIA LTD</v>
          </cell>
          <cell r="B318">
            <v>539151</v>
          </cell>
          <cell r="C318" t="str">
            <v>Not Listed</v>
          </cell>
        </row>
        <row r="319">
          <cell r="A319" t="str">
            <v>ARIES AGRO LTD</v>
          </cell>
          <cell r="B319">
            <v>532935</v>
          </cell>
          <cell r="C319" t="str">
            <v>ARIES</v>
          </cell>
        </row>
        <row r="320">
          <cell r="A320" t="str">
            <v>ARIHANT CAPITAL MARKETS LTD</v>
          </cell>
          <cell r="B320">
            <v>511605</v>
          </cell>
          <cell r="C320" t="str">
            <v>Not Listed</v>
          </cell>
        </row>
        <row r="321">
          <cell r="A321" t="str">
            <v>ARIHANT FOUNDATIONS &amp; HOUSING LTD</v>
          </cell>
          <cell r="B321">
            <v>531381</v>
          </cell>
          <cell r="C321" t="str">
            <v>ARIHANT</v>
          </cell>
        </row>
        <row r="322">
          <cell r="A322" t="str">
            <v>ARIHANT INSTITUTE LTD</v>
          </cell>
          <cell r="B322">
            <v>541401</v>
          </cell>
          <cell r="C322" t="str">
            <v>Not Listed</v>
          </cell>
        </row>
        <row r="323">
          <cell r="A323" t="str">
            <v>ARIHANT SUPERSTRUCTURES LTD</v>
          </cell>
          <cell r="B323">
            <v>506194</v>
          </cell>
          <cell r="C323" t="str">
            <v>ARIHANTSUP</v>
          </cell>
        </row>
        <row r="324">
          <cell r="A324" t="str">
            <v>ARIHANT TOURNESOL LTD</v>
          </cell>
          <cell r="B324">
            <v>526125</v>
          </cell>
          <cell r="C324" t="str">
            <v>Not Listed</v>
          </cell>
        </row>
        <row r="325">
          <cell r="A325" t="str">
            <v>ARIHANT'S SECURITIES LTD</v>
          </cell>
          <cell r="B325">
            <v>531017</v>
          </cell>
          <cell r="C325" t="str">
            <v>Not Listed</v>
          </cell>
        </row>
        <row r="326">
          <cell r="A326" t="str">
            <v>ARIS INTERNATIONAL LTD</v>
          </cell>
          <cell r="B326">
            <v>531677</v>
          </cell>
          <cell r="C326" t="str">
            <v>Not Listed</v>
          </cell>
        </row>
        <row r="327">
          <cell r="A327" t="str">
            <v>ARMAN FINANCIAL SERVICES LTD</v>
          </cell>
          <cell r="B327">
            <v>531179</v>
          </cell>
          <cell r="C327" t="str">
            <v>ARMANFIN</v>
          </cell>
        </row>
        <row r="328">
          <cell r="A328" t="str">
            <v>Arman Holdings Ltd</v>
          </cell>
          <cell r="B328">
            <v>538556</v>
          </cell>
          <cell r="C328" t="str">
            <v>ARMAN</v>
          </cell>
        </row>
        <row r="329">
          <cell r="A329" t="str">
            <v>ARMS PAPER LTD</v>
          </cell>
          <cell r="B329">
            <v>532397</v>
          </cell>
          <cell r="C329" t="str">
            <v>Not Listed</v>
          </cell>
        </row>
        <row r="330">
          <cell r="A330" t="str">
            <v>ARNAV CORPORATION LTD</v>
          </cell>
          <cell r="B330">
            <v>531467</v>
          </cell>
          <cell r="C330" t="str">
            <v>Not Listed</v>
          </cell>
        </row>
        <row r="331">
          <cell r="A331" t="str">
            <v>ARNOLD HOLDINGS LTD</v>
          </cell>
          <cell r="B331">
            <v>537069</v>
          </cell>
          <cell r="C331" t="str">
            <v>Not Listed</v>
          </cell>
        </row>
        <row r="332">
          <cell r="A332" t="str">
            <v>ARO GRANITE INDUSTRIES LTD</v>
          </cell>
          <cell r="B332">
            <v>513729</v>
          </cell>
          <cell r="C332" t="str">
            <v>AROGRANITE</v>
          </cell>
        </row>
        <row r="333">
          <cell r="A333" t="str">
            <v>AROMA ENTERPRISES (INDIA) LTD</v>
          </cell>
          <cell r="B333">
            <v>531560</v>
          </cell>
          <cell r="C333" t="str">
            <v>Not Listed</v>
          </cell>
        </row>
        <row r="334">
          <cell r="A334" t="str">
            <v>AROMA ENTERPRISES INDIA LTD</v>
          </cell>
          <cell r="B334">
            <v>531560</v>
          </cell>
          <cell r="C334" t="str">
            <v>Not Listed</v>
          </cell>
        </row>
        <row r="335">
          <cell r="A335" t="str">
            <v>ARROW GREENTECH LTD</v>
          </cell>
          <cell r="B335">
            <v>516064</v>
          </cell>
          <cell r="C335" t="str">
            <v>ARROWGREEN</v>
          </cell>
        </row>
        <row r="336">
          <cell r="A336" t="str">
            <v>ARROW TEXTILES LTD</v>
          </cell>
          <cell r="B336">
            <v>533068</v>
          </cell>
          <cell r="C336" t="str">
            <v>ARROWTEX</v>
          </cell>
        </row>
        <row r="337">
          <cell r="A337" t="str">
            <v>ARSHIYA LTD</v>
          </cell>
          <cell r="B337">
            <v>506074</v>
          </cell>
          <cell r="C337" t="str">
            <v>ARSHIYA</v>
          </cell>
        </row>
        <row r="338">
          <cell r="A338" t="str">
            <v>ARSS INFRASTRUCTURE PROJECTS LTD</v>
          </cell>
          <cell r="B338">
            <v>533163</v>
          </cell>
          <cell r="C338" t="str">
            <v>ARSSINFRA</v>
          </cell>
        </row>
        <row r="339">
          <cell r="A339" t="str">
            <v>ART NIRMAN LTD</v>
          </cell>
          <cell r="B339" t="str">
            <v>Not Listed</v>
          </cell>
          <cell r="C339" t="str">
            <v>ARTNIRMAN</v>
          </cell>
        </row>
        <row r="340">
          <cell r="A340" t="str">
            <v>ARTECH POWER &amp; TRADING LTD</v>
          </cell>
          <cell r="B340">
            <v>517481</v>
          </cell>
          <cell r="C340" t="str">
            <v>Not Listed</v>
          </cell>
        </row>
        <row r="341">
          <cell r="A341" t="str">
            <v>ARTEFACT PROJECTS LTD</v>
          </cell>
          <cell r="B341">
            <v>531297</v>
          </cell>
          <cell r="C341" t="str">
            <v>Not Listed</v>
          </cell>
        </row>
        <row r="342">
          <cell r="A342" t="str">
            <v>Artemis Electricals Ltd</v>
          </cell>
          <cell r="B342">
            <v>542670</v>
          </cell>
          <cell r="C342" t="str">
            <v>ARTEMISELC</v>
          </cell>
        </row>
        <row r="343">
          <cell r="A343" t="str">
            <v>ARTEMIS GLOBAL LIFE SCIENCES LTD</v>
          </cell>
          <cell r="B343">
            <v>540616</v>
          </cell>
          <cell r="C343" t="str">
            <v>AGLSL</v>
          </cell>
        </row>
        <row r="344">
          <cell r="A344" t="str">
            <v>ARTSON ENGINEERING LTD</v>
          </cell>
          <cell r="B344">
            <v>522134</v>
          </cell>
          <cell r="C344" t="str">
            <v>Not Listed</v>
          </cell>
        </row>
        <row r="345">
          <cell r="A345" t="str">
            <v>ARUNA HOTELS LTD</v>
          </cell>
          <cell r="B345">
            <v>500016</v>
          </cell>
          <cell r="C345" t="str">
            <v>Not Listed</v>
          </cell>
        </row>
        <row r="346">
          <cell r="A346" t="str">
            <v>ARVEE LABORATORIES (INDIA) LTD</v>
          </cell>
          <cell r="B346" t="str">
            <v>Not Listed</v>
          </cell>
          <cell r="C346" t="str">
            <v>ARVEE</v>
          </cell>
        </row>
        <row r="347">
          <cell r="A347" t="str">
            <v>ARVEE LABORATORIES INDIA LTD</v>
          </cell>
          <cell r="B347" t="str">
            <v>Not Listed</v>
          </cell>
          <cell r="C347" t="str">
            <v>ARVEE</v>
          </cell>
        </row>
        <row r="348">
          <cell r="A348" t="str">
            <v>Arvind Fashions Ltd</v>
          </cell>
          <cell r="B348">
            <v>542484</v>
          </cell>
          <cell r="C348" t="str">
            <v>ARVINDFASN</v>
          </cell>
        </row>
        <row r="349">
          <cell r="A349" t="str">
            <v>ARVIND LTD</v>
          </cell>
          <cell r="B349">
            <v>500101</v>
          </cell>
          <cell r="C349" t="str">
            <v>ARVIND</v>
          </cell>
        </row>
        <row r="350">
          <cell r="A350" t="str">
            <v>ARVIND SMARTSPACES LTD</v>
          </cell>
          <cell r="B350">
            <v>539301</v>
          </cell>
          <cell r="C350" t="str">
            <v>ARVSMART</v>
          </cell>
        </row>
        <row r="351">
          <cell r="A351" t="str">
            <v>ARYAMAN CAPITAL MARKETS LTD</v>
          </cell>
          <cell r="B351">
            <v>538716</v>
          </cell>
          <cell r="C351" t="str">
            <v>Not Listed</v>
          </cell>
        </row>
        <row r="352">
          <cell r="A352" t="str">
            <v>ARYAMAN FINANCIAL SERVICES LTD</v>
          </cell>
          <cell r="B352">
            <v>530245</v>
          </cell>
          <cell r="C352" t="str">
            <v>Not Listed</v>
          </cell>
        </row>
        <row r="353">
          <cell r="A353" t="str">
            <v>Aryan Share and Stock Brokers Ltd</v>
          </cell>
          <cell r="B353">
            <v>542176</v>
          </cell>
          <cell r="C353" t="str">
            <v>ARYAN</v>
          </cell>
        </row>
        <row r="354">
          <cell r="A354" t="str">
            <v>ASAHI INDIA GLASS LTD</v>
          </cell>
          <cell r="B354">
            <v>515030</v>
          </cell>
          <cell r="C354" t="str">
            <v>ASAHIINDIA</v>
          </cell>
        </row>
        <row r="355">
          <cell r="A355" t="str">
            <v>ASAHI INDUSTRIES LTD</v>
          </cell>
          <cell r="B355">
            <v>514482</v>
          </cell>
          <cell r="C355" t="str">
            <v>Not Listed</v>
          </cell>
        </row>
        <row r="356">
          <cell r="A356" t="str">
            <v>ASAHI SONGWON COLORS LTD</v>
          </cell>
          <cell r="B356">
            <v>532853</v>
          </cell>
          <cell r="C356" t="str">
            <v>ASAHISONG</v>
          </cell>
        </row>
        <row r="357">
          <cell r="A357" t="str">
            <v>ASHAPURA INTIMATES FASHION LTD</v>
          </cell>
          <cell r="B357">
            <v>535467</v>
          </cell>
          <cell r="C357" t="str">
            <v>AIFL</v>
          </cell>
        </row>
        <row r="358">
          <cell r="A358" t="str">
            <v>ASHAPURA MINECHEM LTD</v>
          </cell>
          <cell r="B358">
            <v>527001</v>
          </cell>
          <cell r="C358" t="str">
            <v>ASHAPURMIN</v>
          </cell>
        </row>
        <row r="359">
          <cell r="A359" t="str">
            <v>Ashapuri Gold Ornament Ltd</v>
          </cell>
          <cell r="B359">
            <v>542579</v>
          </cell>
          <cell r="C359" t="str">
            <v>AGOL</v>
          </cell>
        </row>
        <row r="360">
          <cell r="A360" t="str">
            <v>ASHARI AGENCIES LTD</v>
          </cell>
          <cell r="B360">
            <v>540024</v>
          </cell>
          <cell r="C360" t="str">
            <v>Not Listed</v>
          </cell>
        </row>
        <row r="361">
          <cell r="A361" t="str">
            <v>ASHIANA AGRO INDUSTRIES LTD</v>
          </cell>
          <cell r="B361">
            <v>519174</v>
          </cell>
          <cell r="C361" t="str">
            <v>Not Listed</v>
          </cell>
        </row>
        <row r="362">
          <cell r="A362" t="str">
            <v>ASHIANA HOUSING LTD</v>
          </cell>
          <cell r="B362">
            <v>523716</v>
          </cell>
          <cell r="C362" t="str">
            <v>ASHIANA</v>
          </cell>
        </row>
        <row r="363">
          <cell r="A363" t="str">
            <v>ASHIANA ISPAT LTD</v>
          </cell>
          <cell r="B363">
            <v>513401</v>
          </cell>
          <cell r="C363" t="str">
            <v>Not Listed</v>
          </cell>
        </row>
        <row r="364">
          <cell r="A364" t="str">
            <v>ASHIKA CREDIT CAPITAL LTD.</v>
          </cell>
          <cell r="B364">
            <v>590122</v>
          </cell>
          <cell r="C364" t="str">
            <v>ASHIKACR</v>
          </cell>
        </row>
        <row r="365">
          <cell r="A365" t="str">
            <v>ASHIMA LTD</v>
          </cell>
          <cell r="B365">
            <v>514286</v>
          </cell>
          <cell r="C365" t="str">
            <v>ASHIMASYN</v>
          </cell>
        </row>
        <row r="366">
          <cell r="A366" t="str">
            <v>ASHIRWAD CAPITAL LTD</v>
          </cell>
          <cell r="B366">
            <v>512247</v>
          </cell>
          <cell r="C366" t="str">
            <v>Not Listed</v>
          </cell>
        </row>
        <row r="367">
          <cell r="A367" t="str">
            <v>ASHIRWAD STEELS &amp; INDUSTRIES LTD</v>
          </cell>
          <cell r="B367">
            <v>526847</v>
          </cell>
          <cell r="C367" t="str">
            <v>Not Listed</v>
          </cell>
        </row>
        <row r="368">
          <cell r="A368" t="str">
            <v>ASHISH POLYPLAST LTD</v>
          </cell>
          <cell r="B368">
            <v>530429</v>
          </cell>
          <cell r="C368" t="str">
            <v>Not Listed</v>
          </cell>
        </row>
        <row r="369">
          <cell r="A369" t="str">
            <v>ASHNISHA INDUSTRIES LTD</v>
          </cell>
          <cell r="B369">
            <v>541702</v>
          </cell>
          <cell r="C369" t="str">
            <v>Not Listed</v>
          </cell>
        </row>
        <row r="370">
          <cell r="A370" t="str">
            <v>ASHNOOR TEXTILE MILLS LTD</v>
          </cell>
          <cell r="B370">
            <v>507872</v>
          </cell>
          <cell r="C370" t="str">
            <v>Not Listed</v>
          </cell>
        </row>
        <row r="371">
          <cell r="A371" t="str">
            <v>ASHOK ALCO-CHEM LTD</v>
          </cell>
          <cell r="B371">
            <v>524594</v>
          </cell>
          <cell r="C371" t="str">
            <v>Not Listed</v>
          </cell>
        </row>
        <row r="372">
          <cell r="A372" t="str">
            <v>ASHOK LEYLAND LTD</v>
          </cell>
          <cell r="B372">
            <v>500477</v>
          </cell>
          <cell r="C372" t="str">
            <v>ASHOKLEY</v>
          </cell>
        </row>
        <row r="373">
          <cell r="A373" t="str">
            <v>ASHOKA BUILDCON LTD</v>
          </cell>
          <cell r="B373">
            <v>533271</v>
          </cell>
          <cell r="C373" t="str">
            <v>ASHOKA</v>
          </cell>
        </row>
        <row r="374">
          <cell r="A374" t="str">
            <v>ASHOKA METCAST LTD</v>
          </cell>
          <cell r="B374">
            <v>540923</v>
          </cell>
          <cell r="C374" t="str">
            <v>Not Listed</v>
          </cell>
        </row>
        <row r="375">
          <cell r="A375" t="str">
            <v>ASHOKA REFINERIES LTD</v>
          </cell>
          <cell r="B375">
            <v>526983</v>
          </cell>
          <cell r="C375" t="str">
            <v>Not Listed</v>
          </cell>
        </row>
        <row r="376">
          <cell r="A376" t="str">
            <v>ASHRAM ONLINE COM LTD</v>
          </cell>
          <cell r="B376">
            <v>526187</v>
          </cell>
          <cell r="C376" t="str">
            <v>Not Listed</v>
          </cell>
        </row>
        <row r="377">
          <cell r="A377" t="str">
            <v>ASHUTOSH PAPER MILLS LTD</v>
          </cell>
          <cell r="B377">
            <v>531568</v>
          </cell>
          <cell r="C377" t="str">
            <v>Not Listed</v>
          </cell>
        </row>
        <row r="378">
          <cell r="A378" t="str">
            <v>ASI INDUSTRIES LTD</v>
          </cell>
          <cell r="B378">
            <v>502015</v>
          </cell>
          <cell r="C378" t="str">
            <v>Not Listed</v>
          </cell>
        </row>
        <row r="379">
          <cell r="A379" t="str">
            <v>ASIA CAPITAL LTD</v>
          </cell>
          <cell r="B379">
            <v>538777</v>
          </cell>
          <cell r="C379" t="str">
            <v>Not Listed</v>
          </cell>
        </row>
        <row r="380">
          <cell r="A380" t="str">
            <v>ASIA PACK LTD</v>
          </cell>
          <cell r="B380">
            <v>530899</v>
          </cell>
          <cell r="C380" t="str">
            <v>Not Listed</v>
          </cell>
        </row>
        <row r="381">
          <cell r="A381" t="str">
            <v>ASIAN FLORA LTD</v>
          </cell>
          <cell r="B381">
            <v>531392</v>
          </cell>
          <cell r="C381" t="str">
            <v>Not Listed</v>
          </cell>
        </row>
        <row r="382">
          <cell r="A382" t="str">
            <v>ASIAN GRANITO (INDIA) LTD</v>
          </cell>
          <cell r="B382">
            <v>532888</v>
          </cell>
          <cell r="C382" t="str">
            <v>ASIANTILES</v>
          </cell>
        </row>
        <row r="383">
          <cell r="A383" t="str">
            <v>ASIAN GRANITO INDIA LTD</v>
          </cell>
          <cell r="B383">
            <v>532888</v>
          </cell>
          <cell r="C383" t="str">
            <v>ASIANTILES</v>
          </cell>
        </row>
        <row r="384">
          <cell r="A384" t="str">
            <v>ASIAN HOTELS EAST LTD</v>
          </cell>
          <cell r="B384">
            <v>533227</v>
          </cell>
          <cell r="C384" t="str">
            <v>AHLEAST</v>
          </cell>
        </row>
        <row r="385">
          <cell r="A385" t="str">
            <v>ASIAN HOTELS NORTH LTD</v>
          </cell>
          <cell r="B385">
            <v>500023</v>
          </cell>
          <cell r="C385" t="str">
            <v>ASIANHOTNR</v>
          </cell>
        </row>
        <row r="386">
          <cell r="A386" t="str">
            <v>ASIAN HOTELS WEST LTD</v>
          </cell>
          <cell r="B386">
            <v>533221</v>
          </cell>
          <cell r="C386" t="str">
            <v>AHLWEST</v>
          </cell>
        </row>
        <row r="387">
          <cell r="A387" t="str">
            <v>ASIAN OILFIELD SERVICES LTD</v>
          </cell>
          <cell r="B387">
            <v>530355</v>
          </cell>
          <cell r="C387" t="str">
            <v>Not Listed</v>
          </cell>
        </row>
        <row r="388">
          <cell r="A388" t="str">
            <v>ASIAN PAINTS LTD</v>
          </cell>
          <cell r="B388">
            <v>500820</v>
          </cell>
          <cell r="C388" t="str">
            <v>ASIANPAINT</v>
          </cell>
        </row>
        <row r="389">
          <cell r="A389" t="str">
            <v>ASIAN PETROPRODUCTS &amp; EXPORTS LTD</v>
          </cell>
          <cell r="B389">
            <v>524434</v>
          </cell>
          <cell r="C389" t="str">
            <v>Not Listed</v>
          </cell>
        </row>
        <row r="390">
          <cell r="A390" t="str">
            <v>ASIAN STAR CO LTD</v>
          </cell>
          <cell r="B390">
            <v>531847</v>
          </cell>
          <cell r="C390" t="str">
            <v>Not Listed</v>
          </cell>
        </row>
        <row r="391">
          <cell r="A391" t="str">
            <v>ASIAN TEA &amp; EXPORTS LTD</v>
          </cell>
          <cell r="B391">
            <v>519532</v>
          </cell>
          <cell r="C391" t="str">
            <v>Not Listed</v>
          </cell>
        </row>
        <row r="392">
          <cell r="A392" t="str">
            <v>ASIS LOGISTICS LTD</v>
          </cell>
          <cell r="B392">
            <v>506159</v>
          </cell>
          <cell r="C392" t="str">
            <v>ASISL</v>
          </cell>
        </row>
        <row r="393">
          <cell r="A393" t="str">
            <v>ASIT C MEHTA FINANCIAL SERVICES LTD</v>
          </cell>
          <cell r="B393">
            <v>530723</v>
          </cell>
          <cell r="C393" t="str">
            <v>Not Listed</v>
          </cell>
        </row>
        <row r="394">
          <cell r="A394" t="str">
            <v>ASL INDUSTRIES LTD</v>
          </cell>
          <cell r="B394" t="str">
            <v>Not Listed</v>
          </cell>
          <cell r="C394" t="str">
            <v>ASLIND</v>
          </cell>
        </row>
        <row r="395">
          <cell r="A395" t="str">
            <v>ASM TECHNOLOGIES LTD</v>
          </cell>
          <cell r="B395">
            <v>526433</v>
          </cell>
          <cell r="C395" t="str">
            <v>Not Listed</v>
          </cell>
        </row>
        <row r="396">
          <cell r="A396" t="str">
            <v>ASPINWALL AND COMPANY LTD</v>
          </cell>
          <cell r="B396" t="str">
            <v>Not Listed</v>
          </cell>
          <cell r="C396" t="str">
            <v>ASPINWALL</v>
          </cell>
        </row>
        <row r="397">
          <cell r="A397" t="str">
            <v>ASPIRA PATHLAB &amp; DIAGNOSTICS LTD</v>
          </cell>
          <cell r="B397">
            <v>540788</v>
          </cell>
          <cell r="C397" t="str">
            <v>Not Listed</v>
          </cell>
        </row>
        <row r="398">
          <cell r="A398" t="str">
            <v>ASSAM COMPANY (INDIA) LTD</v>
          </cell>
          <cell r="B398">
            <v>500024</v>
          </cell>
          <cell r="C398" t="str">
            <v>ASSAMCO</v>
          </cell>
        </row>
        <row r="399">
          <cell r="A399" t="str">
            <v>ASSAM COMPANY INDIA LTD</v>
          </cell>
          <cell r="B399">
            <v>500024</v>
          </cell>
          <cell r="C399" t="str">
            <v>ASSAMCO</v>
          </cell>
        </row>
        <row r="400">
          <cell r="A400" t="str">
            <v>ASSOCIATED ALCOHOLS &amp; BREWERIES LTD</v>
          </cell>
          <cell r="B400">
            <v>507526</v>
          </cell>
          <cell r="C400" t="str">
            <v>Not Listed</v>
          </cell>
        </row>
        <row r="401">
          <cell r="A401" t="str">
            <v>ASTEC LIFESCIENCES LTD</v>
          </cell>
          <cell r="B401">
            <v>533138</v>
          </cell>
          <cell r="C401" t="str">
            <v>ASTEC</v>
          </cell>
        </row>
        <row r="402">
          <cell r="A402" t="str">
            <v>ASTER DM HEALTHCARE LTD</v>
          </cell>
          <cell r="B402">
            <v>540975</v>
          </cell>
          <cell r="C402" t="str">
            <v>ASTERDM</v>
          </cell>
        </row>
        <row r="403">
          <cell r="A403" t="str">
            <v>ASTRA MICROWAVE PRODUCTS LTD</v>
          </cell>
          <cell r="B403">
            <v>532493</v>
          </cell>
          <cell r="C403" t="str">
            <v>ASTRAMICRO</v>
          </cell>
        </row>
        <row r="404">
          <cell r="A404" t="str">
            <v>ASTRAL POLY TECHNIK LTD</v>
          </cell>
          <cell r="B404">
            <v>532830</v>
          </cell>
          <cell r="C404" t="str">
            <v>ASTRAL</v>
          </cell>
        </row>
        <row r="405">
          <cell r="A405" t="str">
            <v>ASTRAZENECA PHARMA (INDIA) LTD</v>
          </cell>
          <cell r="B405">
            <v>506820</v>
          </cell>
          <cell r="C405" t="str">
            <v>ASTRAZEN</v>
          </cell>
        </row>
        <row r="406">
          <cell r="A406" t="str">
            <v>ASTRAZENECA PHARMA INDIA LTD</v>
          </cell>
          <cell r="B406">
            <v>506820</v>
          </cell>
          <cell r="C406" t="str">
            <v>ASTRAZEN</v>
          </cell>
        </row>
        <row r="407">
          <cell r="A407" t="str">
            <v>ASTRON PAPER &amp; BOARD MILL LTD</v>
          </cell>
          <cell r="B407">
            <v>540824</v>
          </cell>
          <cell r="C407" t="str">
            <v>ASTRON</v>
          </cell>
        </row>
        <row r="408">
          <cell r="A408" t="str">
            <v>ASUTOSH ENTERPRISES LTD</v>
          </cell>
          <cell r="B408">
            <v>512433</v>
          </cell>
          <cell r="C408" t="str">
            <v>Not Listed</v>
          </cell>
        </row>
        <row r="409">
          <cell r="A409" t="str">
            <v>ASYA INFOSOFT LTD</v>
          </cell>
          <cell r="B409">
            <v>511144</v>
          </cell>
          <cell r="C409" t="str">
            <v>Not Listed</v>
          </cell>
        </row>
        <row r="410">
          <cell r="A410" t="str">
            <v>ATHARV ENTERPRISES LTD</v>
          </cell>
          <cell r="B410">
            <v>530187</v>
          </cell>
          <cell r="C410" t="str">
            <v>Not Listed</v>
          </cell>
        </row>
        <row r="411">
          <cell r="A411" t="str">
            <v>ATHENA CONSTRUCTIONS LTD</v>
          </cell>
          <cell r="B411">
            <v>539099</v>
          </cell>
          <cell r="C411" t="str">
            <v>Not Listed</v>
          </cell>
        </row>
        <row r="412">
          <cell r="A412" t="str">
            <v>Athena Global Technologies Ltd-$</v>
          </cell>
          <cell r="B412">
            <v>517429</v>
          </cell>
          <cell r="C412" t="str">
            <v>ATHENAGLO</v>
          </cell>
        </row>
        <row r="413">
          <cell r="A413" t="str">
            <v>ATISHAY LTD</v>
          </cell>
          <cell r="B413">
            <v>538713</v>
          </cell>
          <cell r="C413" t="str">
            <v>Not Listed</v>
          </cell>
        </row>
        <row r="414">
          <cell r="A414" t="str">
            <v>ATLANTA DEVCON LTD</v>
          </cell>
          <cell r="B414">
            <v>526843</v>
          </cell>
          <cell r="C414" t="str">
            <v>Not Listed</v>
          </cell>
        </row>
        <row r="415">
          <cell r="A415" t="str">
            <v>ATLANTA LTD</v>
          </cell>
          <cell r="B415">
            <v>532759</v>
          </cell>
          <cell r="C415" t="str">
            <v>ATLANTA</v>
          </cell>
        </row>
        <row r="416">
          <cell r="A416" t="str">
            <v>ATLAS CYCLES HARYANA LTD</v>
          </cell>
          <cell r="B416">
            <v>505029</v>
          </cell>
          <cell r="C416" t="str">
            <v>ATLASCYCLE</v>
          </cell>
        </row>
        <row r="417">
          <cell r="A417" t="str">
            <v>ATLAS JEWELLERY (INDIA) LTD</v>
          </cell>
          <cell r="B417">
            <v>514394</v>
          </cell>
          <cell r="C417" t="str">
            <v>Not Listed</v>
          </cell>
        </row>
        <row r="418">
          <cell r="A418" t="str">
            <v>ATLAS JEWELLERY INDIA LTD</v>
          </cell>
          <cell r="B418">
            <v>514394</v>
          </cell>
          <cell r="C418" t="str">
            <v>Not Listed</v>
          </cell>
        </row>
        <row r="419">
          <cell r="A419" t="str">
            <v>ATUL AUTO LTD</v>
          </cell>
          <cell r="B419">
            <v>531795</v>
          </cell>
          <cell r="C419" t="str">
            <v>ATULAUTO</v>
          </cell>
        </row>
        <row r="420">
          <cell r="A420" t="str">
            <v>ATUL LTD</v>
          </cell>
          <cell r="B420">
            <v>500027</v>
          </cell>
          <cell r="C420" t="str">
            <v>ATUL</v>
          </cell>
        </row>
        <row r="421">
          <cell r="A421" t="str">
            <v>ATV PROJECTS (INDIA) LTD</v>
          </cell>
          <cell r="B421">
            <v>500028</v>
          </cell>
          <cell r="C421" t="str">
            <v>Not Listed</v>
          </cell>
        </row>
        <row r="422">
          <cell r="A422" t="str">
            <v>ATV PROJECTS INDIA LTD</v>
          </cell>
          <cell r="B422">
            <v>500028</v>
          </cell>
          <cell r="C422" t="str">
            <v>Not Listed</v>
          </cell>
        </row>
        <row r="423">
          <cell r="A423" t="str">
            <v>AU SMALL FINANCE BANK LTD</v>
          </cell>
          <cell r="B423">
            <v>540611</v>
          </cell>
          <cell r="C423" t="str">
            <v>AUBANK</v>
          </cell>
        </row>
        <row r="424">
          <cell r="A424" t="str">
            <v>AUNDE FAZE THREE AUTOFAB LTD</v>
          </cell>
          <cell r="B424">
            <v>532459</v>
          </cell>
          <cell r="C424" t="str">
            <v>Not Listed</v>
          </cell>
        </row>
        <row r="425">
          <cell r="A425" t="str">
            <v>AURANGABAD DISTILLERY LTD</v>
          </cell>
          <cell r="B425" t="str">
            <v>Not Listed</v>
          </cell>
          <cell r="C425" t="str">
            <v>AURDIS</v>
          </cell>
        </row>
        <row r="426">
          <cell r="A426" t="str">
            <v>AURIONPRO SOLUTIONS LTD</v>
          </cell>
          <cell r="B426">
            <v>532668</v>
          </cell>
          <cell r="C426" t="str">
            <v>AURIONPRO</v>
          </cell>
        </row>
        <row r="427">
          <cell r="A427" t="str">
            <v>AURO LABORATORIES LTD</v>
          </cell>
          <cell r="B427">
            <v>530233</v>
          </cell>
          <cell r="C427" t="str">
            <v>Not Listed</v>
          </cell>
        </row>
        <row r="428">
          <cell r="A428" t="str">
            <v>AUROBINDO PHARMA LTD</v>
          </cell>
          <cell r="B428">
            <v>524804</v>
          </cell>
          <cell r="C428" t="str">
            <v>AUROPHARMA</v>
          </cell>
        </row>
        <row r="429">
          <cell r="A429" t="str">
            <v>AUROMA COKE LTD</v>
          </cell>
          <cell r="B429">
            <v>531336</v>
          </cell>
          <cell r="C429" t="str">
            <v>Not Listed</v>
          </cell>
        </row>
        <row r="430">
          <cell r="A430" t="str">
            <v>AUSOM ENTERPRISE LTD</v>
          </cell>
          <cell r="B430">
            <v>509009</v>
          </cell>
          <cell r="C430" t="str">
            <v>AUSOMENT</v>
          </cell>
        </row>
        <row r="431">
          <cell r="A431" t="str">
            <v>AUSTIN ENGINEERING CO LTD</v>
          </cell>
          <cell r="B431">
            <v>522005</v>
          </cell>
          <cell r="C431" t="str">
            <v>Not Listed</v>
          </cell>
        </row>
        <row r="432">
          <cell r="A432" t="str">
            <v>AUTHUM INVESTMENT &amp; INFRASTRUCTURE LTD</v>
          </cell>
          <cell r="B432">
            <v>539177</v>
          </cell>
          <cell r="C432" t="str">
            <v>Not Listed</v>
          </cell>
        </row>
        <row r="433">
          <cell r="A433" t="str">
            <v>AUTO PINS (INDIA) LTD</v>
          </cell>
          <cell r="B433">
            <v>531994</v>
          </cell>
          <cell r="C433" t="str">
            <v>Not Listed</v>
          </cell>
        </row>
        <row r="434">
          <cell r="A434" t="str">
            <v>AUTO PINS INDIA LTD</v>
          </cell>
          <cell r="B434">
            <v>531994</v>
          </cell>
          <cell r="C434" t="str">
            <v>Not Listed</v>
          </cell>
        </row>
        <row r="435">
          <cell r="A435" t="str">
            <v>AUTOLINE INDUSTRIES LTD</v>
          </cell>
          <cell r="B435">
            <v>532797</v>
          </cell>
          <cell r="C435" t="str">
            <v>AUTOIND</v>
          </cell>
        </row>
        <row r="436">
          <cell r="A436" t="str">
            <v>AUTOLITE (INDIA) LTD</v>
          </cell>
          <cell r="B436">
            <v>500029</v>
          </cell>
          <cell r="C436" t="str">
            <v>AUTOLITIND</v>
          </cell>
        </row>
        <row r="437">
          <cell r="A437" t="str">
            <v>AUTOLITE INDIA LTD</v>
          </cell>
          <cell r="B437">
            <v>500029</v>
          </cell>
          <cell r="C437" t="str">
            <v>AUTOLITIND</v>
          </cell>
        </row>
        <row r="438">
          <cell r="A438" t="str">
            <v>AUTOMOBILE CORPORATION OF GOA LTD</v>
          </cell>
          <cell r="B438">
            <v>505036</v>
          </cell>
          <cell r="C438" t="str">
            <v>Not Listed</v>
          </cell>
        </row>
        <row r="439">
          <cell r="A439" t="str">
            <v>AUTOMOTIVE AXLES LTD</v>
          </cell>
          <cell r="B439">
            <v>505010</v>
          </cell>
          <cell r="C439" t="str">
            <v>AUTOAXLES</v>
          </cell>
        </row>
        <row r="440">
          <cell r="A440" t="str">
            <v>AUTOMOTIVE STAMPINGS AND ASSEMBLIES LTD</v>
          </cell>
          <cell r="B440">
            <v>520119</v>
          </cell>
          <cell r="C440" t="str">
            <v>ASAL</v>
          </cell>
        </row>
        <row r="441">
          <cell r="A441" t="str">
            <v>AUTORIDERS INTERNATIONAL LTD</v>
          </cell>
          <cell r="B441">
            <v>512277</v>
          </cell>
          <cell r="C441" t="str">
            <v>Not Listed</v>
          </cell>
        </row>
        <row r="442">
          <cell r="A442" t="str">
            <v>AUTUMN BUILDERS LTD</v>
          </cell>
          <cell r="B442">
            <v>780004</v>
          </cell>
          <cell r="C442" t="str">
            <v>Not Listed</v>
          </cell>
        </row>
        <row r="443">
          <cell r="A443" t="str">
            <v>AVADH SUGAR &amp; ENERGY LTD</v>
          </cell>
          <cell r="B443">
            <v>540649</v>
          </cell>
          <cell r="C443" t="str">
            <v>AVADHSUGAR</v>
          </cell>
        </row>
        <row r="444">
          <cell r="A444" t="str">
            <v>AVAILABLE FINANCE LTD</v>
          </cell>
          <cell r="B444">
            <v>531310</v>
          </cell>
          <cell r="C444" t="str">
            <v>Not Listed</v>
          </cell>
        </row>
        <row r="445">
          <cell r="A445" t="str">
            <v>AVANCE TECHNOLOGIES LTD</v>
          </cell>
          <cell r="B445">
            <v>512149</v>
          </cell>
          <cell r="C445" t="str">
            <v>Not Listed</v>
          </cell>
        </row>
        <row r="446">
          <cell r="A446" t="str">
            <v>AVANTEL LTD</v>
          </cell>
          <cell r="B446">
            <v>532406</v>
          </cell>
          <cell r="C446" t="str">
            <v>Not Listed</v>
          </cell>
        </row>
        <row r="447">
          <cell r="A447" t="str">
            <v>AVANTI FEEDS LTD</v>
          </cell>
          <cell r="B447">
            <v>512573</v>
          </cell>
          <cell r="C447" t="str">
            <v>AVANTIFEED</v>
          </cell>
        </row>
        <row r="448">
          <cell r="A448" t="str">
            <v>ITC LTD</v>
          </cell>
          <cell r="B448">
            <v>540376</v>
          </cell>
          <cell r="C448" t="str">
            <v>ITC</v>
          </cell>
        </row>
        <row r="449">
          <cell r="A449" t="str">
            <v>AVG LOGISTICS LTD</v>
          </cell>
          <cell r="B449" t="str">
            <v>Not Listed</v>
          </cell>
          <cell r="C449" t="str">
            <v>AVG</v>
          </cell>
        </row>
        <row r="450">
          <cell r="A450" t="str">
            <v>AVI POLYMERS LTD</v>
          </cell>
          <cell r="B450">
            <v>539288</v>
          </cell>
          <cell r="C450" t="str">
            <v>Not Listed</v>
          </cell>
        </row>
        <row r="451">
          <cell r="A451" t="str">
            <v>AVI PRODUCTS (INDIA) LTD</v>
          </cell>
          <cell r="B451">
            <v>523896</v>
          </cell>
          <cell r="C451" t="str">
            <v>Not Listed</v>
          </cell>
        </row>
        <row r="452">
          <cell r="A452" t="str">
            <v>AVI PRODUCTS INDIA LTD</v>
          </cell>
          <cell r="B452">
            <v>523896</v>
          </cell>
          <cell r="C452" t="str">
            <v>Not Listed</v>
          </cell>
        </row>
        <row r="453">
          <cell r="A453" t="str">
            <v>AVIVA INDUSTRIES LTD</v>
          </cell>
          <cell r="B453">
            <v>512109</v>
          </cell>
          <cell r="C453" t="str">
            <v>Not Listed</v>
          </cell>
        </row>
        <row r="454">
          <cell r="A454" t="str">
            <v>AVON LIFESCIENCES LTD</v>
          </cell>
          <cell r="B454">
            <v>531541</v>
          </cell>
          <cell r="C454" t="str">
            <v>Not Listed</v>
          </cell>
        </row>
        <row r="455">
          <cell r="A455" t="str">
            <v>AVON MOLDPLAST LTD</v>
          </cell>
          <cell r="B455" t="str">
            <v>Not Listed</v>
          </cell>
          <cell r="C455" t="str">
            <v>AVONMPL</v>
          </cell>
        </row>
        <row r="456">
          <cell r="A456" t="str">
            <v>AVONMORE CAPITAL &amp; MANAGEMENT SERVICES LTD</v>
          </cell>
          <cell r="B456">
            <v>511589</v>
          </cell>
          <cell r="C456" t="str">
            <v>Not Listed</v>
          </cell>
        </row>
        <row r="457">
          <cell r="A457" t="str">
            <v>AVSL INDUSTRIES LTD</v>
          </cell>
          <cell r="B457" t="str">
            <v>Not Listed</v>
          </cell>
          <cell r="C457" t="str">
            <v>AVSL</v>
          </cell>
        </row>
        <row r="458">
          <cell r="A458" t="str">
            <v>AVT NATURAL PRODUCTS LTD</v>
          </cell>
          <cell r="B458">
            <v>519105</v>
          </cell>
          <cell r="C458" t="str">
            <v>AVTNPL</v>
          </cell>
        </row>
        <row r="459">
          <cell r="A459" t="str">
            <v>AVTIL ENTERPRISE LTD</v>
          </cell>
          <cell r="B459">
            <v>504390</v>
          </cell>
          <cell r="C459" t="str">
            <v>Not Listed</v>
          </cell>
        </row>
        <row r="460">
          <cell r="A460" t="str">
            <v>AXEL POLYMERS LTD</v>
          </cell>
          <cell r="B460">
            <v>513642</v>
          </cell>
          <cell r="C460" t="str">
            <v>Not Listed</v>
          </cell>
        </row>
        <row r="461">
          <cell r="A461" t="str">
            <v>AXIS BANK LTD</v>
          </cell>
          <cell r="B461">
            <v>532215</v>
          </cell>
          <cell r="C461" t="str">
            <v>AXISBANK</v>
          </cell>
        </row>
        <row r="462">
          <cell r="A462" t="str">
            <v>AXISCADES ENGINEERING TECHNOLOGIES LTD</v>
          </cell>
          <cell r="B462">
            <v>532395</v>
          </cell>
          <cell r="C462" t="str">
            <v>AXISCADES</v>
          </cell>
        </row>
        <row r="463">
          <cell r="A463" t="str">
            <v>Axita Cotton Ltd</v>
          </cell>
          <cell r="B463">
            <v>542285</v>
          </cell>
          <cell r="C463" t="str">
            <v>AXITA</v>
          </cell>
        </row>
        <row r="464">
          <cell r="A464" t="str">
            <v>AXON VENTURES LTD</v>
          </cell>
          <cell r="B464">
            <v>505506</v>
          </cell>
          <cell r="C464" t="str">
            <v>Not Listed</v>
          </cell>
        </row>
        <row r="465">
          <cell r="A465" t="str">
            <v>AXTEL INDUSTRIES LTD</v>
          </cell>
          <cell r="B465">
            <v>523850</v>
          </cell>
          <cell r="C465" t="str">
            <v>Not Listed</v>
          </cell>
        </row>
        <row r="466">
          <cell r="A466" t="str">
            <v>AYEPEE LAMITUBES LTD</v>
          </cell>
          <cell r="B466">
            <v>523168</v>
          </cell>
          <cell r="C466" t="str">
            <v>Not Listed</v>
          </cell>
        </row>
        <row r="467">
          <cell r="A467" t="str">
            <v>AYM SYNTEX LTD</v>
          </cell>
          <cell r="B467">
            <v>508933</v>
          </cell>
          <cell r="C467" t="str">
            <v>AYMSYNTEX</v>
          </cell>
        </row>
        <row r="468">
          <cell r="A468" t="str">
            <v>AYOKI MERCANTILE LTD</v>
          </cell>
          <cell r="B468">
            <v>512063</v>
          </cell>
          <cell r="C468" t="str">
            <v>Not Listed</v>
          </cell>
        </row>
        <row r="469">
          <cell r="A469" t="str">
            <v>B  P  CAPITAL LTD</v>
          </cell>
          <cell r="B469">
            <v>536965</v>
          </cell>
          <cell r="C469" t="str">
            <v>Not Listed</v>
          </cell>
        </row>
        <row r="470">
          <cell r="A470" t="str">
            <v>B &amp; A LTD</v>
          </cell>
          <cell r="B470">
            <v>508136</v>
          </cell>
          <cell r="C470" t="str">
            <v>Not Listed</v>
          </cell>
        </row>
        <row r="471">
          <cell r="A471" t="str">
            <v>B A G FILMS AND MEDIA LTD</v>
          </cell>
          <cell r="B471">
            <v>532507</v>
          </cell>
          <cell r="C471" t="str">
            <v>BAGFILMS</v>
          </cell>
        </row>
        <row r="472">
          <cell r="A472" t="str">
            <v>B C  POWER CONTROLS LTD</v>
          </cell>
          <cell r="B472">
            <v>537766</v>
          </cell>
          <cell r="C472" t="str">
            <v>Not Listed</v>
          </cell>
        </row>
        <row r="473">
          <cell r="A473" t="str">
            <v>B L KASHYAP AND SONS LTD</v>
          </cell>
          <cell r="B473">
            <v>532719</v>
          </cell>
          <cell r="C473" t="str">
            <v>BLKASHYAP</v>
          </cell>
        </row>
        <row r="474">
          <cell r="A474" t="str">
            <v>B N RATHI SECURITIES LTD</v>
          </cell>
          <cell r="B474">
            <v>523019</v>
          </cell>
          <cell r="C474" t="str">
            <v>Not Listed</v>
          </cell>
        </row>
        <row r="475">
          <cell r="A475" t="str">
            <v>B&amp;A PACKAGING (INDIA) LTD</v>
          </cell>
          <cell r="B475">
            <v>523186</v>
          </cell>
          <cell r="C475" t="str">
            <v>Not Listed</v>
          </cell>
        </row>
        <row r="476">
          <cell r="A476" t="str">
            <v>B&amp;A PACKAGING INDIA LTD</v>
          </cell>
          <cell r="B476">
            <v>523186</v>
          </cell>
          <cell r="C476" t="str">
            <v>Not Listed</v>
          </cell>
        </row>
        <row r="477">
          <cell r="A477" t="str">
            <v>B&amp;B TRIPLEWALL CONTAINERS LTD</v>
          </cell>
          <cell r="B477" t="str">
            <v>Not Listed</v>
          </cell>
          <cell r="C477" t="str">
            <v>BBTCL</v>
          </cell>
        </row>
        <row r="478">
          <cell r="A478" t="str">
            <v>B.T. Syndicate Ltd</v>
          </cell>
          <cell r="B478">
            <v>542206</v>
          </cell>
          <cell r="C478" t="str">
            <v>BTSYN</v>
          </cell>
        </row>
        <row r="479">
          <cell r="A479" t="str">
            <v>B2B SOFTWARE TECHNOLOGIES LTD</v>
          </cell>
          <cell r="B479">
            <v>531268</v>
          </cell>
          <cell r="C479" t="str">
            <v>Not Listed</v>
          </cell>
        </row>
        <row r="480">
          <cell r="A480" t="str">
            <v>BABA ARTS LTD</v>
          </cell>
          <cell r="B480">
            <v>532380</v>
          </cell>
          <cell r="C480" t="str">
            <v>Not Listed</v>
          </cell>
        </row>
        <row r="481">
          <cell r="A481" t="str">
            <v>BACIL PHARMA LTD</v>
          </cell>
          <cell r="B481">
            <v>524516</v>
          </cell>
          <cell r="C481" t="str">
            <v>Not Listed</v>
          </cell>
        </row>
        <row r="482">
          <cell r="A482" t="str">
            <v>BAFNA PHARMACEUTICALS LTD</v>
          </cell>
          <cell r="B482">
            <v>532989</v>
          </cell>
          <cell r="C482" t="str">
            <v>BAFNAPHARM</v>
          </cell>
        </row>
        <row r="483">
          <cell r="A483" t="str">
            <v>BAGADIA COLOURCHEM LTD</v>
          </cell>
          <cell r="B483">
            <v>530197</v>
          </cell>
          <cell r="C483" t="str">
            <v>Not Listed</v>
          </cell>
        </row>
        <row r="484">
          <cell r="A484" t="str">
            <v>BAID LEASING AND FINANCE CO LTD</v>
          </cell>
          <cell r="B484">
            <v>511724</v>
          </cell>
          <cell r="C484" t="str">
            <v>Not Listed</v>
          </cell>
        </row>
        <row r="485">
          <cell r="A485" t="str">
            <v>BAJAJ AUTO LTD</v>
          </cell>
          <cell r="B485">
            <v>532977</v>
          </cell>
          <cell r="C485" t="str">
            <v>BAJAJ-AUTO</v>
          </cell>
        </row>
        <row r="486">
          <cell r="A486" t="str">
            <v>Bajaj Consumer Care LTD</v>
          </cell>
          <cell r="B486" t="str">
            <v>Not Listed</v>
          </cell>
          <cell r="C486" t="str">
            <v>BAJAJCON</v>
          </cell>
        </row>
        <row r="487">
          <cell r="A487" t="str">
            <v>BAJAJ CORP LTD</v>
          </cell>
          <cell r="B487">
            <v>533229</v>
          </cell>
          <cell r="C487" t="str">
            <v>BAJAJCORP</v>
          </cell>
        </row>
        <row r="488">
          <cell r="A488" t="str">
            <v>BAJAJ ELECTRICALS LTD</v>
          </cell>
          <cell r="B488">
            <v>500031</v>
          </cell>
          <cell r="C488" t="str">
            <v>BAJAJELEC</v>
          </cell>
        </row>
        <row r="489">
          <cell r="A489" t="str">
            <v>BAJAJ FINANCE LTD</v>
          </cell>
          <cell r="B489">
            <v>500034</v>
          </cell>
          <cell r="C489" t="str">
            <v>BAJFINANCE</v>
          </cell>
        </row>
        <row r="490">
          <cell r="A490" t="str">
            <v>BAJAJ FINSERV LTD</v>
          </cell>
          <cell r="B490">
            <v>532978</v>
          </cell>
          <cell r="C490" t="str">
            <v>BAJAJFINSV</v>
          </cell>
        </row>
        <row r="491">
          <cell r="A491" t="str">
            <v>BAJAJ GLOBAL LTD</v>
          </cell>
          <cell r="B491">
            <v>512261</v>
          </cell>
          <cell r="C491" t="str">
            <v>Not Listed</v>
          </cell>
        </row>
        <row r="492">
          <cell r="A492" t="str">
            <v>BAJAJ HEALTHCARE LTD</v>
          </cell>
          <cell r="B492">
            <v>539872</v>
          </cell>
          <cell r="C492" t="str">
            <v>Not Listed</v>
          </cell>
        </row>
        <row r="493">
          <cell r="A493" t="str">
            <v>BAJAJ HINDUSTHAN SUGAR LTD</v>
          </cell>
          <cell r="B493">
            <v>500032</v>
          </cell>
          <cell r="C493" t="str">
            <v>BAJAJHIND</v>
          </cell>
        </row>
        <row r="494">
          <cell r="A494" t="str">
            <v>BAJAJ HOLDINGS &amp; INVESTMENT LTD</v>
          </cell>
          <cell r="B494">
            <v>500490</v>
          </cell>
          <cell r="C494" t="str">
            <v>BAJAJHLDNG</v>
          </cell>
        </row>
        <row r="495">
          <cell r="A495" t="str">
            <v>BAJAJ STEEL INDUSTRIES LTD</v>
          </cell>
          <cell r="B495">
            <v>507944</v>
          </cell>
          <cell r="C495" t="str">
            <v>Not Listed</v>
          </cell>
        </row>
        <row r="496">
          <cell r="A496" t="str">
            <v>BAJRANG FINANCE LTD</v>
          </cell>
          <cell r="B496">
            <v>511139</v>
          </cell>
          <cell r="C496" t="str">
            <v>Not Listed</v>
          </cell>
        </row>
        <row r="497">
          <cell r="A497" t="str">
            <v>BAL PHARMA LTD</v>
          </cell>
          <cell r="B497">
            <v>524824</v>
          </cell>
          <cell r="C497" t="str">
            <v>BALPHARMA</v>
          </cell>
        </row>
        <row r="498">
          <cell r="A498" t="str">
            <v>BALAJI AMINES LTD</v>
          </cell>
          <cell r="B498">
            <v>530999</v>
          </cell>
          <cell r="C498" t="str">
            <v>BALAMINES</v>
          </cell>
        </row>
        <row r="499">
          <cell r="A499" t="str">
            <v>BALAJI TELEFILMS LTD</v>
          </cell>
          <cell r="B499">
            <v>532382</v>
          </cell>
          <cell r="C499" t="str">
            <v>BALAJITELE</v>
          </cell>
        </row>
        <row r="500">
          <cell r="A500" t="str">
            <v>BALASORE ALLOYS LTD</v>
          </cell>
          <cell r="B500">
            <v>513142</v>
          </cell>
          <cell r="C500" t="str">
            <v>Not Listed</v>
          </cell>
        </row>
        <row r="501">
          <cell r="A501" t="str">
            <v>Balaxi Ventures LTD</v>
          </cell>
          <cell r="B501" t="str">
            <v>Not Listed</v>
          </cell>
          <cell r="C501" t="str">
            <v>BALAXI</v>
          </cell>
        </row>
        <row r="502">
          <cell r="A502" t="str">
            <v>BALGOPAL COMMERCIAL LTD</v>
          </cell>
          <cell r="B502">
            <v>539834</v>
          </cell>
          <cell r="C502" t="str">
            <v>Not Listed</v>
          </cell>
        </row>
        <row r="503">
          <cell r="A503" t="str">
            <v>BALKRISHNA INDUSTRIES LTD</v>
          </cell>
          <cell r="B503">
            <v>502355</v>
          </cell>
          <cell r="C503" t="str">
            <v>BALKRISIND</v>
          </cell>
        </row>
        <row r="504">
          <cell r="A504" t="str">
            <v>BALKRISHNA PAPER MILLS LTD</v>
          </cell>
          <cell r="B504">
            <v>539251</v>
          </cell>
          <cell r="C504" t="str">
            <v>BALKRISHNA</v>
          </cell>
        </row>
        <row r="505">
          <cell r="A505" t="str">
            <v>BALLARPUR INDUSTRIES LTD</v>
          </cell>
          <cell r="B505">
            <v>500102</v>
          </cell>
          <cell r="C505" t="str">
            <v>BALLARPUR</v>
          </cell>
        </row>
        <row r="506">
          <cell r="A506" t="str">
            <v>BALMER LAWRIE &amp; COMPANY LTD</v>
          </cell>
          <cell r="B506">
            <v>523319</v>
          </cell>
          <cell r="C506" t="str">
            <v>BALMLAWRIE</v>
          </cell>
        </row>
        <row r="507">
          <cell r="A507" t="str">
            <v>BALMER LAWRIE INVESTMENTS LTD</v>
          </cell>
          <cell r="B507">
            <v>532485</v>
          </cell>
          <cell r="C507" t="str">
            <v>Not Listed</v>
          </cell>
        </row>
        <row r="508">
          <cell r="A508" t="str">
            <v>BALRAMPUR CHINI MILLS LTD</v>
          </cell>
          <cell r="B508">
            <v>500038</v>
          </cell>
          <cell r="C508" t="str">
            <v>BALRAMCHIN</v>
          </cell>
        </row>
        <row r="509">
          <cell r="A509" t="str">
            <v>BALURGHAT TECHNOLOGIES LTD</v>
          </cell>
          <cell r="B509">
            <v>520127</v>
          </cell>
          <cell r="C509" t="str">
            <v>Not Listed</v>
          </cell>
        </row>
        <row r="510">
          <cell r="A510" t="str">
            <v>BAMBINO AGRO INDUSTRIES LTD</v>
          </cell>
          <cell r="B510">
            <v>519295</v>
          </cell>
          <cell r="C510" t="str">
            <v>Not Listed</v>
          </cell>
        </row>
        <row r="511">
          <cell r="A511" t="str">
            <v>BAMPSL SECURITIES LTD</v>
          </cell>
          <cell r="B511">
            <v>531591</v>
          </cell>
          <cell r="C511" t="str">
            <v>Not Listed</v>
          </cell>
        </row>
        <row r="512">
          <cell r="A512" t="str">
            <v>BANARAS BEADS LTD</v>
          </cell>
          <cell r="B512">
            <v>526849</v>
          </cell>
          <cell r="C512" t="str">
            <v>BANARBEADS</v>
          </cell>
        </row>
        <row r="513">
          <cell r="A513" t="str">
            <v>BANAS FINANCE LTD</v>
          </cell>
          <cell r="B513">
            <v>509053</v>
          </cell>
          <cell r="C513" t="str">
            <v>Not Listed</v>
          </cell>
        </row>
        <row r="514">
          <cell r="A514" t="str">
            <v>BANCO PRODUCTS I LTD</v>
          </cell>
          <cell r="B514">
            <v>500039</v>
          </cell>
          <cell r="C514" t="str">
            <v>BANCOINDIA</v>
          </cell>
        </row>
        <row r="515">
          <cell r="A515" t="str">
            <v>BANDHAN BANK LTD</v>
          </cell>
          <cell r="B515">
            <v>541153</v>
          </cell>
          <cell r="C515" t="str">
            <v>BANDHANBNK</v>
          </cell>
        </row>
        <row r="516">
          <cell r="A516" t="str">
            <v>BANG OVERSEAS LTD</v>
          </cell>
          <cell r="B516">
            <v>532946</v>
          </cell>
          <cell r="C516" t="str">
            <v>BANG</v>
          </cell>
        </row>
        <row r="517">
          <cell r="A517" t="str">
            <v>BANGALORE FORT FARMS LTD</v>
          </cell>
          <cell r="B517">
            <v>539120</v>
          </cell>
          <cell r="C517" t="str">
            <v>Not Listed</v>
          </cell>
        </row>
        <row r="518">
          <cell r="A518" t="str">
            <v>BANK OF BARODA</v>
          </cell>
          <cell r="B518">
            <v>532134</v>
          </cell>
          <cell r="C518" t="str">
            <v>BANKBARODA</v>
          </cell>
        </row>
        <row r="519">
          <cell r="A519" t="str">
            <v>BANK OF INDIA</v>
          </cell>
          <cell r="B519">
            <v>532149</v>
          </cell>
          <cell r="C519" t="str">
            <v>BANKINDIA</v>
          </cell>
        </row>
        <row r="520">
          <cell r="A520" t="str">
            <v>BANK OF MAHARASHTRA</v>
          </cell>
          <cell r="B520">
            <v>532525</v>
          </cell>
          <cell r="C520" t="str">
            <v>MAHABANK</v>
          </cell>
        </row>
        <row r="521">
          <cell r="A521" t="str">
            <v>BANKA BIOLOO LTD</v>
          </cell>
          <cell r="B521" t="str">
            <v>Not Listed</v>
          </cell>
          <cell r="C521" t="str">
            <v>BANKA</v>
          </cell>
        </row>
        <row r="522">
          <cell r="A522" t="str">
            <v>BANNARI AMMAN SPINNING MILLS LTD</v>
          </cell>
          <cell r="B522">
            <v>532674</v>
          </cell>
          <cell r="C522" t="str">
            <v>BASML</v>
          </cell>
        </row>
        <row r="523">
          <cell r="A523" t="str">
            <v>BANNARI AMMAN SUGARS LTD</v>
          </cell>
          <cell r="B523">
            <v>500041</v>
          </cell>
          <cell r="C523" t="str">
            <v>BANARISUG</v>
          </cell>
        </row>
        <row r="524">
          <cell r="A524" t="str">
            <v>BANSAL MULTIFLEX LTD</v>
          </cell>
          <cell r="B524" t="str">
            <v>Not Listed</v>
          </cell>
          <cell r="C524" t="str">
            <v>BANSAL</v>
          </cell>
        </row>
        <row r="525">
          <cell r="A525" t="str">
            <v>BANSAL ROOFING PRODUCTS LTD</v>
          </cell>
          <cell r="B525">
            <v>538546</v>
          </cell>
          <cell r="C525" t="str">
            <v>Not Listed</v>
          </cell>
        </row>
        <row r="526">
          <cell r="A526" t="str">
            <v>BANSISONS TEA INDUSTRIES LTD</v>
          </cell>
          <cell r="B526">
            <v>519353</v>
          </cell>
          <cell r="C526" t="str">
            <v>Not Listed</v>
          </cell>
        </row>
        <row r="527">
          <cell r="A527" t="str">
            <v>BANSWARA SYNTEX LTD</v>
          </cell>
          <cell r="B527">
            <v>503722</v>
          </cell>
          <cell r="C527" t="str">
            <v>BANSWRAS</v>
          </cell>
        </row>
        <row r="528">
          <cell r="A528" t="str">
            <v>BARAK VALLEY CEMENTS LTD</v>
          </cell>
          <cell r="B528">
            <v>532916</v>
          </cell>
          <cell r="C528" t="str">
            <v>BVCL</v>
          </cell>
        </row>
        <row r="529">
          <cell r="A529" t="str">
            <v>BARODA EXTRUSION LTD</v>
          </cell>
          <cell r="B529">
            <v>513502</v>
          </cell>
          <cell r="C529" t="str">
            <v>Not Listed</v>
          </cell>
        </row>
        <row r="530">
          <cell r="A530" t="str">
            <v>BARON INFOTECH LTD</v>
          </cell>
          <cell r="B530">
            <v>532336</v>
          </cell>
          <cell r="C530" t="str">
            <v>Not Listed</v>
          </cell>
        </row>
        <row r="531">
          <cell r="A531" t="str">
            <v>BARTRONICS (INDIA) LTD</v>
          </cell>
          <cell r="B531">
            <v>532694</v>
          </cell>
          <cell r="C531" t="str">
            <v>BARTRONICS</v>
          </cell>
        </row>
        <row r="532">
          <cell r="A532" t="str">
            <v>BARTRONICS INDIA LTD</v>
          </cell>
          <cell r="B532">
            <v>532694</v>
          </cell>
          <cell r="C532" t="str">
            <v>BARTRONICS</v>
          </cell>
        </row>
        <row r="533">
          <cell r="A533" t="str">
            <v>BASANT AGRO TECH (INDIA) LTD</v>
          </cell>
          <cell r="B533">
            <v>524687</v>
          </cell>
          <cell r="C533" t="str">
            <v>Not Listed</v>
          </cell>
        </row>
        <row r="534">
          <cell r="A534" t="str">
            <v>BASANT AGRO TECH INDIA LTD</v>
          </cell>
          <cell r="B534">
            <v>524687</v>
          </cell>
          <cell r="C534" t="str">
            <v>Not Listed</v>
          </cell>
        </row>
        <row r="535">
          <cell r="A535" t="str">
            <v>BASF (INDIA) LTD</v>
          </cell>
          <cell r="B535">
            <v>500042</v>
          </cell>
          <cell r="C535" t="str">
            <v>BASF</v>
          </cell>
        </row>
        <row r="536">
          <cell r="A536" t="str">
            <v>BASF INDIA LTD</v>
          </cell>
          <cell r="B536">
            <v>500042</v>
          </cell>
          <cell r="C536" t="str">
            <v>BASF</v>
          </cell>
        </row>
        <row r="537">
          <cell r="A537" t="str">
            <v>BATA (INDIA) LTD</v>
          </cell>
          <cell r="B537">
            <v>500043</v>
          </cell>
          <cell r="C537" t="str">
            <v>BATA(INDIA)</v>
          </cell>
        </row>
        <row r="538">
          <cell r="A538" t="str">
            <v>BATA INDIA LTD</v>
          </cell>
          <cell r="B538">
            <v>500043</v>
          </cell>
          <cell r="C538" t="str">
            <v>BATAINDIA</v>
          </cell>
        </row>
        <row r="539">
          <cell r="A539" t="str">
            <v>BATLIBOI LTD</v>
          </cell>
          <cell r="B539">
            <v>522004</v>
          </cell>
          <cell r="C539" t="str">
            <v>Not Listed</v>
          </cell>
        </row>
        <row r="540">
          <cell r="A540" t="str">
            <v>BAYER CROPSCIENCE LTD</v>
          </cell>
          <cell r="B540">
            <v>506285</v>
          </cell>
          <cell r="C540" t="str">
            <v>BAYERCROP</v>
          </cell>
        </row>
        <row r="541">
          <cell r="A541" t="str">
            <v>BAZEL INTERNATIONAL LTD</v>
          </cell>
          <cell r="B541">
            <v>539946</v>
          </cell>
          <cell r="C541" t="str">
            <v>Not Listed</v>
          </cell>
        </row>
        <row r="542">
          <cell r="A542" t="str">
            <v>BCC FUBA (INDIA) LTD</v>
          </cell>
          <cell r="B542">
            <v>517246</v>
          </cell>
          <cell r="C542" t="str">
            <v>Not Listed</v>
          </cell>
        </row>
        <row r="543">
          <cell r="A543" t="str">
            <v>BCC FUBA INDIA LTD</v>
          </cell>
          <cell r="B543">
            <v>517246</v>
          </cell>
          <cell r="C543" t="str">
            <v>Not Listed</v>
          </cell>
        </row>
        <row r="544">
          <cell r="A544" t="str">
            <v>BCL ENTERPRISES LTD</v>
          </cell>
          <cell r="B544">
            <v>539621</v>
          </cell>
          <cell r="C544" t="str">
            <v>Not Listed</v>
          </cell>
        </row>
        <row r="545">
          <cell r="A545" t="str">
            <v>BCL INDUSTRIES LTD</v>
          </cell>
          <cell r="B545">
            <v>524332</v>
          </cell>
          <cell r="C545" t="str">
            <v>Not Listed</v>
          </cell>
        </row>
        <row r="546">
          <cell r="A546" t="str">
            <v>BCPL RAILWAY INFRASTRUCTURE LTD</v>
          </cell>
          <cell r="B546">
            <v>542057</v>
          </cell>
          <cell r="C546" t="str">
            <v>Not Listed</v>
          </cell>
        </row>
        <row r="547">
          <cell r="A547" t="str">
            <v>BDH INDUSTRIES LTD</v>
          </cell>
          <cell r="B547">
            <v>524828</v>
          </cell>
          <cell r="C547" t="str">
            <v>Not Listed</v>
          </cell>
        </row>
        <row r="548">
          <cell r="A548" t="str">
            <v>BEARDSELL LTD</v>
          </cell>
          <cell r="B548">
            <v>539447</v>
          </cell>
          <cell r="C548" t="str">
            <v>BEARDSELL</v>
          </cell>
        </row>
        <row r="549">
          <cell r="A549" t="str">
            <v>BEDMUTHA INDUSTRIES LTD</v>
          </cell>
          <cell r="B549">
            <v>533270</v>
          </cell>
          <cell r="C549" t="str">
            <v>BEDMUTHA</v>
          </cell>
        </row>
        <row r="550">
          <cell r="A550" t="str">
            <v>BEEKAY NIRYAT LTD</v>
          </cell>
          <cell r="B550">
            <v>539546</v>
          </cell>
          <cell r="C550" t="str">
            <v>Not Listed</v>
          </cell>
        </row>
        <row r="551">
          <cell r="A551" t="str">
            <v>BEEKAY STEEL INDUSTRIES LTD</v>
          </cell>
          <cell r="B551">
            <v>539018</v>
          </cell>
          <cell r="C551" t="str">
            <v>Not Listed</v>
          </cell>
        </row>
        <row r="552">
          <cell r="A552" t="str">
            <v>BEEYU OVERSEAS LTD</v>
          </cell>
          <cell r="B552">
            <v>532645</v>
          </cell>
          <cell r="C552" t="str">
            <v>Not Listed</v>
          </cell>
        </row>
        <row r="553">
          <cell r="A553" t="str">
            <v>BELLA CASA FASHION &amp; RETAIL LTD</v>
          </cell>
          <cell r="B553">
            <v>539399</v>
          </cell>
          <cell r="C553" t="str">
            <v>Not Listed</v>
          </cell>
        </row>
        <row r="554">
          <cell r="A554" t="str">
            <v>BEMCO HYDRAULICS LTD</v>
          </cell>
          <cell r="B554">
            <v>522650</v>
          </cell>
          <cell r="C554" t="str">
            <v>Not Listed</v>
          </cell>
        </row>
        <row r="555">
          <cell r="A555" t="str">
            <v>BEML LTD</v>
          </cell>
          <cell r="B555">
            <v>500048</v>
          </cell>
          <cell r="C555" t="str">
            <v>BEML</v>
          </cell>
        </row>
        <row r="556">
          <cell r="A556" t="str">
            <v>BENARA BEARINGS AND PISTONS LTD</v>
          </cell>
          <cell r="B556">
            <v>541178</v>
          </cell>
          <cell r="C556" t="str">
            <v>Not Listed</v>
          </cell>
        </row>
        <row r="557">
          <cell r="A557" t="str">
            <v>BENARES HOTELS LTD</v>
          </cell>
          <cell r="B557">
            <v>509438</v>
          </cell>
          <cell r="C557" t="str">
            <v>Not Listed</v>
          </cell>
        </row>
        <row r="558">
          <cell r="A558" t="str">
            <v>BENGAL &amp; ASSAM COMPANY LTD</v>
          </cell>
          <cell r="B558">
            <v>533095</v>
          </cell>
          <cell r="C558" t="str">
            <v>Not Listed</v>
          </cell>
        </row>
        <row r="559">
          <cell r="A559" t="str">
            <v>BENGAL STEEL INDUSTRIES LTD</v>
          </cell>
          <cell r="B559">
            <v>512404</v>
          </cell>
          <cell r="C559" t="str">
            <v>Not Listed</v>
          </cell>
        </row>
        <row r="560">
          <cell r="A560" t="str">
            <v>BENGAL TEA &amp; FABRICS LTD</v>
          </cell>
          <cell r="B560">
            <v>532230</v>
          </cell>
          <cell r="C560" t="str">
            <v>Not Listed</v>
          </cell>
        </row>
        <row r="561">
          <cell r="A561" t="str">
            <v>BENTLEY COMMERCIAL ENTERPRISES LTD</v>
          </cell>
          <cell r="B561">
            <v>512195</v>
          </cell>
          <cell r="C561" t="str">
            <v>Not Listed</v>
          </cell>
        </row>
        <row r="562">
          <cell r="A562" t="str">
            <v>BERGER PAINTS I LTD</v>
          </cell>
          <cell r="B562">
            <v>509480</v>
          </cell>
          <cell r="C562" t="str">
            <v>BERGEPAINT</v>
          </cell>
        </row>
        <row r="563">
          <cell r="A563" t="str">
            <v>BERVIN INVESTMENT &amp; LEASING LTD</v>
          </cell>
          <cell r="B563">
            <v>531340</v>
          </cell>
          <cell r="C563" t="str">
            <v>Not Listed</v>
          </cell>
        </row>
        <row r="564">
          <cell r="A564" t="str">
            <v>BERYL DRUGS LTD</v>
          </cell>
          <cell r="B564">
            <v>524606</v>
          </cell>
          <cell r="C564" t="str">
            <v>Not Listed</v>
          </cell>
        </row>
        <row r="565">
          <cell r="A565" t="str">
            <v>BERYL SECURITIES LTD</v>
          </cell>
          <cell r="B565">
            <v>531582</v>
          </cell>
          <cell r="C565" t="str">
            <v>Not Listed</v>
          </cell>
        </row>
        <row r="566">
          <cell r="A566" t="str">
            <v>BEST EASTERN HOTELS LTD</v>
          </cell>
          <cell r="B566">
            <v>508664</v>
          </cell>
          <cell r="C566" t="str">
            <v>Not Listed</v>
          </cell>
        </row>
        <row r="567">
          <cell r="A567" t="str">
            <v>BETA DRUGS LTD</v>
          </cell>
          <cell r="B567" t="str">
            <v>Not Listed</v>
          </cell>
          <cell r="C567" t="str">
            <v>BETA</v>
          </cell>
        </row>
        <row r="568">
          <cell r="A568" t="str">
            <v>BETEX (INDIA) LTD</v>
          </cell>
          <cell r="B568">
            <v>512477</v>
          </cell>
          <cell r="C568" t="str">
            <v>Not Listed</v>
          </cell>
        </row>
        <row r="569">
          <cell r="A569" t="str">
            <v>BETEX INDIA LTD</v>
          </cell>
          <cell r="B569">
            <v>512477</v>
          </cell>
          <cell r="C569" t="str">
            <v>Not Listed</v>
          </cell>
        </row>
        <row r="570">
          <cell r="A570" t="str">
            <v>BF INVESTMENT LTD</v>
          </cell>
          <cell r="B570">
            <v>533303</v>
          </cell>
          <cell r="C570" t="str">
            <v>BFINVEST</v>
          </cell>
        </row>
        <row r="571">
          <cell r="A571" t="str">
            <v>BF UTILITIES LTD</v>
          </cell>
          <cell r="B571">
            <v>532430</v>
          </cell>
          <cell r="C571" t="str">
            <v>BFUTILITIE</v>
          </cell>
        </row>
        <row r="572">
          <cell r="A572" t="str">
            <v>BFL ASSET FINVEST LTD</v>
          </cell>
          <cell r="B572">
            <v>539662</v>
          </cell>
          <cell r="C572" t="str">
            <v>Not Listed</v>
          </cell>
        </row>
        <row r="573">
          <cell r="A573" t="str">
            <v>BGIL FILMS &amp; TECHNOLOGIES LTD</v>
          </cell>
          <cell r="B573">
            <v>511664</v>
          </cell>
          <cell r="C573" t="str">
            <v>Not Listed</v>
          </cell>
        </row>
        <row r="574">
          <cell r="A574" t="str">
            <v>BGR ENERGY SYSTEMS LTD</v>
          </cell>
          <cell r="B574">
            <v>532930</v>
          </cell>
          <cell r="C574" t="str">
            <v>BGRENERGY</v>
          </cell>
        </row>
        <row r="575">
          <cell r="A575" t="str">
            <v>BHAGERIA INDUSTRIES LTD</v>
          </cell>
          <cell r="B575">
            <v>530803</v>
          </cell>
          <cell r="C575" t="str">
            <v>BHAGERIA</v>
          </cell>
        </row>
        <row r="576">
          <cell r="A576" t="str">
            <v>BHAGIRADHA CHEMICALS &amp; INDUSTRIES LTD</v>
          </cell>
          <cell r="B576">
            <v>531719</v>
          </cell>
          <cell r="C576" t="str">
            <v>Not Listed</v>
          </cell>
        </row>
        <row r="577">
          <cell r="A577" t="str">
            <v>BHAGWATI AUTOCAST LTD</v>
          </cell>
          <cell r="B577">
            <v>504646</v>
          </cell>
          <cell r="C577" t="str">
            <v>Not Listed</v>
          </cell>
        </row>
        <row r="578">
          <cell r="A578" t="str">
            <v>BHAGWATI OXYGEN LTD</v>
          </cell>
          <cell r="B578">
            <v>509449</v>
          </cell>
          <cell r="C578" t="str">
            <v>Not Listed</v>
          </cell>
        </row>
        <row r="579">
          <cell r="A579" t="str">
            <v>BHAGYANAGAR (INDIA) LTD</v>
          </cell>
          <cell r="B579">
            <v>512296</v>
          </cell>
          <cell r="C579" t="str">
            <v>BHAGYANGR</v>
          </cell>
        </row>
        <row r="580">
          <cell r="A580" t="str">
            <v>BHAGYANAGAR INDIA LTD</v>
          </cell>
          <cell r="B580">
            <v>512296</v>
          </cell>
          <cell r="C580" t="str">
            <v>BHAGYANGR</v>
          </cell>
        </row>
        <row r="581">
          <cell r="A581" t="str">
            <v>BHAGYANAGAR PROPERTIES LTD</v>
          </cell>
          <cell r="B581">
            <v>540621</v>
          </cell>
          <cell r="C581" t="str">
            <v>BHAGYAPROP</v>
          </cell>
        </row>
        <row r="582">
          <cell r="A582" t="str">
            <v>BHAKTI GEMS AND JEWELLERY LTD</v>
          </cell>
          <cell r="B582">
            <v>540545</v>
          </cell>
          <cell r="C582" t="str">
            <v>Not Listed</v>
          </cell>
        </row>
        <row r="583">
          <cell r="A583" t="str">
            <v>BHANDARI HOSIERY EXPORTS LTD</v>
          </cell>
          <cell r="B583">
            <v>512608</v>
          </cell>
          <cell r="C583" t="str">
            <v>BHANDARI</v>
          </cell>
        </row>
        <row r="584">
          <cell r="A584" t="str">
            <v>BHANDERI INFRACON LTD</v>
          </cell>
          <cell r="B584">
            <v>538576</v>
          </cell>
          <cell r="C584" t="str">
            <v>Not Listed</v>
          </cell>
        </row>
        <row r="585">
          <cell r="A585" t="str">
            <v>BHANSALI ENGINEERING POLYMERS LTD</v>
          </cell>
          <cell r="B585">
            <v>500052</v>
          </cell>
          <cell r="C585" t="str">
            <v>BEPL</v>
          </cell>
        </row>
        <row r="586">
          <cell r="A586" t="str">
            <v>BHARAT AGRI FERT &amp; REALTY LTD</v>
          </cell>
          <cell r="B586">
            <v>531862</v>
          </cell>
          <cell r="C586" t="str">
            <v>Not Listed</v>
          </cell>
        </row>
        <row r="587">
          <cell r="A587" t="str">
            <v>BHARAT BHUSHAN SHARE &amp; COMMODITY BROKERS LTD</v>
          </cell>
          <cell r="B587">
            <v>511501</v>
          </cell>
          <cell r="C587" t="str">
            <v>Not Listed</v>
          </cell>
        </row>
        <row r="588">
          <cell r="A588" t="str">
            <v>BHARAT BIJLEE LTD</v>
          </cell>
          <cell r="B588">
            <v>503960</v>
          </cell>
          <cell r="C588" t="str">
            <v>BBL</v>
          </cell>
        </row>
        <row r="589">
          <cell r="A589" t="str">
            <v>BHARAT DYNAMICS LTD</v>
          </cell>
          <cell r="B589">
            <v>541143</v>
          </cell>
          <cell r="C589" t="str">
            <v>BDL</v>
          </cell>
        </row>
        <row r="590">
          <cell r="A590" t="str">
            <v>BHARAT ELECTRONICS LTD</v>
          </cell>
          <cell r="B590">
            <v>500049</v>
          </cell>
          <cell r="C590" t="str">
            <v>BEL</v>
          </cell>
        </row>
        <row r="591">
          <cell r="A591" t="str">
            <v>BHARAT FINANCIAL INCLUSION LTD</v>
          </cell>
          <cell r="B591">
            <v>533228</v>
          </cell>
          <cell r="C591" t="str">
            <v>BHARATFIN</v>
          </cell>
        </row>
        <row r="592">
          <cell r="A592" t="str">
            <v>BHARAT FORGE LTD</v>
          </cell>
          <cell r="B592">
            <v>500493</v>
          </cell>
          <cell r="C592" t="str">
            <v>BHARATFORG</v>
          </cell>
        </row>
        <row r="593">
          <cell r="A593" t="str">
            <v>BHARAT GEARS LTD</v>
          </cell>
          <cell r="B593">
            <v>505688</v>
          </cell>
          <cell r="C593" t="str">
            <v>BHARATGEAR</v>
          </cell>
        </row>
        <row r="594">
          <cell r="A594" t="str">
            <v>BHARAT HEAVY ELECTRICALS LTD</v>
          </cell>
          <cell r="B594">
            <v>500103</v>
          </cell>
          <cell r="C594" t="str">
            <v>BHEL</v>
          </cell>
        </row>
        <row r="595">
          <cell r="A595" t="str">
            <v>BHARAT IMMUNOLOGICALS &amp; BIOLOGICALS CORPORATION LTD</v>
          </cell>
          <cell r="B595">
            <v>524663</v>
          </cell>
          <cell r="C595" t="str">
            <v>Not Listed</v>
          </cell>
        </row>
        <row r="596">
          <cell r="A596" t="str">
            <v>BHARAT PARENTERALS LTD</v>
          </cell>
          <cell r="B596">
            <v>541096</v>
          </cell>
          <cell r="C596" t="str">
            <v>Not Listed</v>
          </cell>
        </row>
        <row r="597">
          <cell r="A597" t="str">
            <v>BHARAT PETROLEUM CORPORATION LTD</v>
          </cell>
          <cell r="B597">
            <v>500547</v>
          </cell>
          <cell r="C597" t="str">
            <v>BPCL</v>
          </cell>
        </row>
        <row r="598">
          <cell r="A598" t="str">
            <v>BHARAT RASAYAN LTD</v>
          </cell>
          <cell r="B598">
            <v>590021</v>
          </cell>
          <cell r="C598" t="str">
            <v>BHARATRAS</v>
          </cell>
        </row>
        <row r="599">
          <cell r="A599" t="str">
            <v>BHARAT ROAD NETWORK LTD</v>
          </cell>
          <cell r="B599">
            <v>540700</v>
          </cell>
          <cell r="C599" t="str">
            <v>BRNL</v>
          </cell>
        </row>
        <row r="600">
          <cell r="A600" t="str">
            <v>BHARAT SEATS LTD</v>
          </cell>
          <cell r="B600">
            <v>523229</v>
          </cell>
          <cell r="C600" t="str">
            <v>Not Listed</v>
          </cell>
        </row>
        <row r="601">
          <cell r="A601" t="str">
            <v>BHARAT TEXTILES &amp; PROOFING INDUSTRIES LTD</v>
          </cell>
          <cell r="B601">
            <v>531029</v>
          </cell>
          <cell r="C601" t="str">
            <v>Not Listed</v>
          </cell>
        </row>
        <row r="602">
          <cell r="A602" t="str">
            <v>BHARAT WIRE ROPES LTD</v>
          </cell>
          <cell r="B602">
            <v>539799</v>
          </cell>
          <cell r="C602" t="str">
            <v>BHARATWIRE</v>
          </cell>
        </row>
        <row r="603">
          <cell r="A603" t="str">
            <v>BHARATI DEFENCE AND INFRASTRUCTURE LTD</v>
          </cell>
          <cell r="B603">
            <v>532609</v>
          </cell>
          <cell r="C603" t="str">
            <v>BHARATIDIL</v>
          </cell>
        </row>
        <row r="604">
          <cell r="A604" t="str">
            <v>BHARATIYA GLOBAL INFOMEDIA LTD</v>
          </cell>
          <cell r="B604">
            <v>533499</v>
          </cell>
          <cell r="C604" t="str">
            <v>BGLOBAL</v>
          </cell>
        </row>
        <row r="605">
          <cell r="A605" t="str">
            <v>BHARTI AIRTEL LTD</v>
          </cell>
          <cell r="B605">
            <v>532454</v>
          </cell>
          <cell r="C605" t="str">
            <v>BHARTIARTL</v>
          </cell>
        </row>
        <row r="606">
          <cell r="A606" t="str">
            <v>BHARTI INFRATEL LTD</v>
          </cell>
          <cell r="B606">
            <v>534816</v>
          </cell>
          <cell r="C606" t="str">
            <v>INFRATEL</v>
          </cell>
        </row>
        <row r="607">
          <cell r="A607" t="str">
            <v>BHARTIYA INTERNATIONAL LTD</v>
          </cell>
          <cell r="B607">
            <v>526666</v>
          </cell>
          <cell r="C607" t="str">
            <v>BIL</v>
          </cell>
        </row>
        <row r="608">
          <cell r="A608" t="str">
            <v>BHASKAR AGROCHEMICALS LTD</v>
          </cell>
          <cell r="B608">
            <v>524534</v>
          </cell>
          <cell r="C608" t="str">
            <v>Not Listed</v>
          </cell>
        </row>
        <row r="609">
          <cell r="A609" t="str">
            <v>BHATIA COMMUNICATIONS &amp; RETAIL (INDIA) LTD</v>
          </cell>
          <cell r="B609">
            <v>540956</v>
          </cell>
          <cell r="C609" t="str">
            <v>Not Listed</v>
          </cell>
        </row>
        <row r="610">
          <cell r="A610" t="str">
            <v>BHATIA COMMUNICATIONS &amp; RETAIL INDIA LTD</v>
          </cell>
          <cell r="B610">
            <v>540956</v>
          </cell>
          <cell r="C610" t="str">
            <v>Not Listed</v>
          </cell>
        </row>
        <row r="611">
          <cell r="A611" t="str">
            <v>BHILWARA SPINNERS LTD</v>
          </cell>
          <cell r="B611">
            <v>514272</v>
          </cell>
          <cell r="C611" t="str">
            <v>Not Listed</v>
          </cell>
        </row>
        <row r="612">
          <cell r="A612" t="str">
            <v>BHILWARA TECHNICAL TEXTILES LTD</v>
          </cell>
          <cell r="B612">
            <v>533108</v>
          </cell>
          <cell r="C612" t="str">
            <v>Not Listed</v>
          </cell>
        </row>
        <row r="613">
          <cell r="A613" t="str">
            <v>BHORUKA ALUMINIUM LTD</v>
          </cell>
          <cell r="B613">
            <v>506027</v>
          </cell>
          <cell r="C613" t="str">
            <v>Not Listed</v>
          </cell>
        </row>
        <row r="614">
          <cell r="A614" t="str">
            <v>BHUSHAN STEEL LTD</v>
          </cell>
          <cell r="B614">
            <v>500055</v>
          </cell>
          <cell r="C614" t="str">
            <v>BHUSANSTL</v>
          </cell>
        </row>
        <row r="615">
          <cell r="A615" t="str">
            <v>BIGBLOC CONSTRUCTION LTD</v>
          </cell>
          <cell r="B615">
            <v>540061</v>
          </cell>
          <cell r="C615" t="str">
            <v>BIGBLOC</v>
          </cell>
        </row>
        <row r="616">
          <cell r="A616" t="str">
            <v>BIHAR SPONGE IRON LTD</v>
          </cell>
          <cell r="B616">
            <v>500058</v>
          </cell>
          <cell r="C616" t="str">
            <v>Not Listed</v>
          </cell>
        </row>
        <row r="617">
          <cell r="A617" t="str">
            <v>BIJOY HANS LTD</v>
          </cell>
          <cell r="B617">
            <v>524723</v>
          </cell>
          <cell r="C617" t="str">
            <v>Not Listed</v>
          </cell>
        </row>
        <row r="618">
          <cell r="A618" t="str">
            <v>BIL ENERGY SYSTEMS LTD</v>
          </cell>
          <cell r="B618">
            <v>533321</v>
          </cell>
          <cell r="C618" t="str">
            <v>BILENERGY</v>
          </cell>
        </row>
        <row r="619">
          <cell r="A619" t="str">
            <v>BILCARE LTD</v>
          </cell>
          <cell r="B619">
            <v>526853</v>
          </cell>
          <cell r="C619" t="str">
            <v>Not Listed</v>
          </cell>
        </row>
        <row r="620">
          <cell r="A620" t="str">
            <v>BIMETAL BEARINGS LTD</v>
          </cell>
          <cell r="B620">
            <v>505681</v>
          </cell>
          <cell r="C620" t="str">
            <v>Not Listed</v>
          </cell>
        </row>
        <row r="621">
          <cell r="A621" t="str">
            <v>BINANI INDUSTRIES LTD</v>
          </cell>
          <cell r="B621">
            <v>500059</v>
          </cell>
          <cell r="C621" t="str">
            <v>BINANIIND</v>
          </cell>
        </row>
        <row r="622">
          <cell r="A622" t="str">
            <v>BINAYAK TEX PROCESSORS LTD</v>
          </cell>
          <cell r="B622">
            <v>523054</v>
          </cell>
          <cell r="C622" t="str">
            <v>Not Listed</v>
          </cell>
        </row>
        <row r="623">
          <cell r="A623" t="str">
            <v>BINDAL EXPORTS LTD</v>
          </cell>
          <cell r="B623">
            <v>540148</v>
          </cell>
          <cell r="C623" t="str">
            <v>Not Listed</v>
          </cell>
        </row>
        <row r="624">
          <cell r="A624" t="str">
            <v>BINNY LTD</v>
          </cell>
          <cell r="B624">
            <v>514215</v>
          </cell>
          <cell r="C624" t="str">
            <v>Not Listed</v>
          </cell>
        </row>
        <row r="625">
          <cell r="A625" t="str">
            <v>BINNY MILLS LTD</v>
          </cell>
          <cell r="B625">
            <v>535620</v>
          </cell>
          <cell r="C625" t="str">
            <v>Not Listed</v>
          </cell>
        </row>
        <row r="626">
          <cell r="A626" t="str">
            <v>BIO GREEN PAPERS LTD</v>
          </cell>
          <cell r="B626">
            <v>534535</v>
          </cell>
          <cell r="C626" t="str">
            <v>Not Listed</v>
          </cell>
        </row>
        <row r="627">
          <cell r="A627" t="str">
            <v>BIOCON LTD</v>
          </cell>
          <cell r="B627">
            <v>532523</v>
          </cell>
          <cell r="C627" t="str">
            <v>BIOCON</v>
          </cell>
        </row>
        <row r="628">
          <cell r="A628" t="str">
            <v>BIOFIL CHEMICALS &amp; PHARMACEUTICALS LTD</v>
          </cell>
          <cell r="B628">
            <v>524396</v>
          </cell>
          <cell r="C628" t="str">
            <v>BIOFILCHEM</v>
          </cell>
        </row>
        <row r="629">
          <cell r="A629" t="str">
            <v>BIOPAC INDIA CORPORATION LTD</v>
          </cell>
          <cell r="B629">
            <v>532330</v>
          </cell>
          <cell r="C629" t="str">
            <v>Not Listed</v>
          </cell>
        </row>
        <row r="630">
          <cell r="A630" t="str">
            <v>BIRDHI CHAND PANNALAL AGENCIES LTD</v>
          </cell>
          <cell r="B630">
            <v>538364</v>
          </cell>
          <cell r="C630" t="str">
            <v>Not Listed</v>
          </cell>
        </row>
        <row r="631">
          <cell r="A631" t="str">
            <v>BIRLA CABLE LTD</v>
          </cell>
          <cell r="B631">
            <v>500060</v>
          </cell>
          <cell r="C631" t="str">
            <v>BIRLACABLE</v>
          </cell>
        </row>
        <row r="632">
          <cell r="A632" t="str">
            <v>BIRLA CORPORATION LTD</v>
          </cell>
          <cell r="B632">
            <v>500335</v>
          </cell>
          <cell r="C632" t="str">
            <v>BIRLACORPN</v>
          </cell>
        </row>
        <row r="633">
          <cell r="A633" t="str">
            <v>BIRLA COTSYN (INDIA) LTD</v>
          </cell>
          <cell r="B633">
            <v>533006</v>
          </cell>
          <cell r="C633" t="str">
            <v>Not Listed</v>
          </cell>
        </row>
        <row r="634">
          <cell r="A634" t="str">
            <v>BIRLA COTSYN INDIA LTD</v>
          </cell>
          <cell r="B634">
            <v>533006</v>
          </cell>
          <cell r="C634" t="str">
            <v>Not Listed</v>
          </cell>
        </row>
        <row r="635">
          <cell r="A635" t="str">
            <v>BIRLA PRECISION TECHNOLOGIES LTD</v>
          </cell>
          <cell r="B635">
            <v>522105</v>
          </cell>
          <cell r="C635" t="str">
            <v>Not Listed</v>
          </cell>
        </row>
        <row r="636">
          <cell r="A636" t="str">
            <v>Birla Sun Life Mutual Fund - Birla Sun Life Gold ETF</v>
          </cell>
          <cell r="B636">
            <v>533408</v>
          </cell>
          <cell r="C636" t="str">
            <v>BSLGOLDETF</v>
          </cell>
        </row>
        <row r="637">
          <cell r="A637" t="str">
            <v>BIRLASOFT LTD</v>
          </cell>
          <cell r="B637" t="str">
            <v>Not Listed</v>
          </cell>
          <cell r="C637" t="str">
            <v>BSOFT</v>
          </cell>
        </row>
        <row r="638">
          <cell r="A638" t="str">
            <v>BKM INDUSTRIES LTD</v>
          </cell>
          <cell r="B638">
            <v>539043</v>
          </cell>
          <cell r="C638" t="str">
            <v>BKMINDST</v>
          </cell>
        </row>
        <row r="639">
          <cell r="A639" t="str">
            <v>BLACK ROSE INDUSTRIES LTD</v>
          </cell>
          <cell r="B639">
            <v>514183</v>
          </cell>
          <cell r="C639" t="str">
            <v>Not Listed</v>
          </cell>
        </row>
        <row r="640">
          <cell r="A640" t="str">
            <v>BLB LTD</v>
          </cell>
          <cell r="B640">
            <v>532290</v>
          </cell>
          <cell r="C640" t="str">
            <v>BLBLIMITED</v>
          </cell>
        </row>
        <row r="641">
          <cell r="A641" t="str">
            <v>BLISS GVS PHARMA LTD</v>
          </cell>
          <cell r="B641">
            <v>506197</v>
          </cell>
          <cell r="C641" t="str">
            <v>BLISSGVS</v>
          </cell>
        </row>
        <row r="642">
          <cell r="A642" t="str">
            <v>BLOOM DEKOR LTD</v>
          </cell>
          <cell r="B642">
            <v>526225</v>
          </cell>
          <cell r="C642" t="str">
            <v>Not Listed</v>
          </cell>
        </row>
        <row r="643">
          <cell r="A643" t="str">
            <v>BLOOM INDUSTRIES LTD</v>
          </cell>
          <cell r="B643">
            <v>513422</v>
          </cell>
          <cell r="C643" t="str">
            <v>Not Listed</v>
          </cell>
        </row>
        <row r="644">
          <cell r="A644" t="str">
            <v>BLS INFOTECH LTD</v>
          </cell>
          <cell r="B644">
            <v>531175</v>
          </cell>
          <cell r="C644" t="str">
            <v>Not Listed</v>
          </cell>
        </row>
        <row r="645">
          <cell r="A645" t="str">
            <v>BLS INTERNATIONAL SERVICES LTD</v>
          </cell>
          <cell r="B645">
            <v>540073</v>
          </cell>
          <cell r="C645" t="str">
            <v>BLS</v>
          </cell>
        </row>
        <row r="646">
          <cell r="A646" t="str">
            <v>BLUE BLENDS (INDIA) LTD</v>
          </cell>
          <cell r="B646">
            <v>502761</v>
          </cell>
          <cell r="C646" t="str">
            <v>Not Listed</v>
          </cell>
        </row>
        <row r="647">
          <cell r="A647" t="str">
            <v>BLUE BLENDS I LTD</v>
          </cell>
          <cell r="B647" t="str">
            <v>Not Listed</v>
          </cell>
          <cell r="C647" t="str">
            <v>BLUEBLENDS</v>
          </cell>
        </row>
        <row r="648">
          <cell r="A648" t="str">
            <v>BLUE BLENDS INDIA LTD</v>
          </cell>
          <cell r="B648">
            <v>502761</v>
          </cell>
          <cell r="C648" t="str">
            <v>Not Listed</v>
          </cell>
        </row>
        <row r="649">
          <cell r="A649" t="str">
            <v>BLUE CHIP TEX INDUSTRIES LTD</v>
          </cell>
          <cell r="B649">
            <v>506981</v>
          </cell>
          <cell r="C649" t="str">
            <v>Not Listed</v>
          </cell>
        </row>
        <row r="650">
          <cell r="A650" t="str">
            <v>BLUE CIRCLE SERVICES LTD</v>
          </cell>
          <cell r="B650">
            <v>508939</v>
          </cell>
          <cell r="C650" t="str">
            <v>Not Listed</v>
          </cell>
        </row>
        <row r="651">
          <cell r="A651" t="str">
            <v>BLUE CLOUD SOFTECH SOLUTIONS LTD</v>
          </cell>
          <cell r="B651">
            <v>539607</v>
          </cell>
          <cell r="C651" t="str">
            <v>Not Listed</v>
          </cell>
        </row>
        <row r="652">
          <cell r="A652" t="str">
            <v>BLUE COAST HOTELS LTD</v>
          </cell>
          <cell r="B652">
            <v>531495</v>
          </cell>
          <cell r="C652" t="str">
            <v>BLUECOAST</v>
          </cell>
        </row>
        <row r="653">
          <cell r="A653" t="str">
            <v>BLUE DART EXPRESS LTD</v>
          </cell>
          <cell r="B653">
            <v>526612</v>
          </cell>
          <cell r="C653" t="str">
            <v>BLUEDART</v>
          </cell>
        </row>
        <row r="654">
          <cell r="A654" t="str">
            <v>BLUE PEARL TEXSPIN LTD</v>
          </cell>
          <cell r="B654">
            <v>514440</v>
          </cell>
          <cell r="C654" t="str">
            <v>Not Listed</v>
          </cell>
        </row>
        <row r="655">
          <cell r="A655" t="str">
            <v>BLUE STAR LTD</v>
          </cell>
          <cell r="B655">
            <v>500067</v>
          </cell>
          <cell r="C655" t="str">
            <v>BLUESTARCO</v>
          </cell>
        </row>
        <row r="656">
          <cell r="A656" t="str">
            <v>BLUEBLOOD VENTURES LTD</v>
          </cell>
          <cell r="B656">
            <v>539637</v>
          </cell>
          <cell r="C656" t="str">
            <v>Not Listed</v>
          </cell>
        </row>
        <row r="657">
          <cell r="A657" t="str">
            <v>BLUECHIP STOCKSPIN LTD</v>
          </cell>
          <cell r="B657">
            <v>531713</v>
          </cell>
          <cell r="C657" t="str">
            <v>Not Listed</v>
          </cell>
        </row>
        <row r="658">
          <cell r="A658" t="str">
            <v>BMB MUSIC &amp; MAGNETICS LTD</v>
          </cell>
          <cell r="B658">
            <v>531420</v>
          </cell>
          <cell r="C658" t="str">
            <v>Not Listed</v>
          </cell>
        </row>
        <row r="659">
          <cell r="A659" t="str">
            <v>BMW Industries Ltd</v>
          </cell>
          <cell r="B659">
            <v>542669</v>
          </cell>
          <cell r="C659" t="str">
            <v>BMW</v>
          </cell>
        </row>
        <row r="660">
          <cell r="A660" t="str">
            <v>BNK CAPITAL MARKETS LTD</v>
          </cell>
          <cell r="B660">
            <v>500069</v>
          </cell>
          <cell r="C660" t="str">
            <v>Not Listed</v>
          </cell>
        </row>
        <row r="661">
          <cell r="A661" t="str">
            <v>BNR UDYOG LTD</v>
          </cell>
          <cell r="B661">
            <v>530809</v>
          </cell>
          <cell r="C661" t="str">
            <v>Not Listed</v>
          </cell>
        </row>
        <row r="662">
          <cell r="A662" t="str">
            <v>BODAL CHEMICALS LTD</v>
          </cell>
          <cell r="B662">
            <v>524370</v>
          </cell>
          <cell r="C662" t="str">
            <v>BODALCHEM</v>
          </cell>
        </row>
        <row r="663">
          <cell r="A663" t="str">
            <v>BODHTREE CONSULTING LTD</v>
          </cell>
          <cell r="B663">
            <v>539122</v>
          </cell>
          <cell r="C663" t="str">
            <v>Not Listed</v>
          </cell>
        </row>
        <row r="664">
          <cell r="A664" t="str">
            <v>BOHRA INDUSTRIES LTD</v>
          </cell>
          <cell r="B664" t="str">
            <v>Not Listed</v>
          </cell>
          <cell r="C664" t="str">
            <v>BOHRA</v>
          </cell>
        </row>
        <row r="665">
          <cell r="A665" t="str">
            <v>BOMBAY BURMAH TRADING CORPORATION LTD</v>
          </cell>
          <cell r="B665">
            <v>501425</v>
          </cell>
          <cell r="C665" t="str">
            <v>BBTC</v>
          </cell>
        </row>
        <row r="666">
          <cell r="A666" t="str">
            <v>BOMBAY CYCLE &amp; MOTOR AGENCY LTD</v>
          </cell>
          <cell r="B666">
            <v>501430</v>
          </cell>
          <cell r="C666" t="str">
            <v>Not Listed</v>
          </cell>
        </row>
        <row r="667">
          <cell r="A667" t="str">
            <v>BOMBAY DYEING &amp; MFG COMPANY LTD</v>
          </cell>
          <cell r="B667">
            <v>500020</v>
          </cell>
          <cell r="C667" t="str">
            <v>BOMDYEING</v>
          </cell>
        </row>
        <row r="668">
          <cell r="A668" t="str">
            <v>BOMBAY OXYGEN INVESTMENTS LTD</v>
          </cell>
          <cell r="B668">
            <v>509470</v>
          </cell>
          <cell r="C668" t="str">
            <v>Not Listed</v>
          </cell>
        </row>
        <row r="669">
          <cell r="A669" t="str">
            <v>BOMBAY POTTERIES &amp; TILES LTD</v>
          </cell>
          <cell r="B669">
            <v>502216</v>
          </cell>
          <cell r="C669" t="str">
            <v>Not Listed</v>
          </cell>
        </row>
        <row r="670">
          <cell r="A670" t="str">
            <v>BOMBAY RAYON FASHIONS LTD</v>
          </cell>
          <cell r="B670">
            <v>532678</v>
          </cell>
          <cell r="C670" t="str">
            <v>BRFL</v>
          </cell>
        </row>
        <row r="671">
          <cell r="A671" t="str">
            <v>BOMBAY SUPER HYBRID SEEDS LTD</v>
          </cell>
          <cell r="B671" t="str">
            <v>Not Listed</v>
          </cell>
          <cell r="C671" t="str">
            <v>BSHSL</v>
          </cell>
        </row>
        <row r="672">
          <cell r="A672" t="str">
            <v>BOMBAY WIRE ROPES LTD</v>
          </cell>
          <cell r="B672">
            <v>504648</v>
          </cell>
          <cell r="C672" t="str">
            <v>Not Listed</v>
          </cell>
        </row>
        <row r="673">
          <cell r="A673" t="str">
            <v>BONANZA INDUSTRIES LTD</v>
          </cell>
          <cell r="B673">
            <v>523133</v>
          </cell>
          <cell r="C673" t="str">
            <v>Not Listed</v>
          </cell>
        </row>
        <row r="674">
          <cell r="A674" t="str">
            <v>BOROSIL GLASS WORKS LTD</v>
          </cell>
          <cell r="B674">
            <v>502219</v>
          </cell>
          <cell r="C674" t="str">
            <v>BOROSIL</v>
          </cell>
        </row>
        <row r="675">
          <cell r="A675" t="str">
            <v>BOSCH LTD</v>
          </cell>
          <cell r="B675">
            <v>500530</v>
          </cell>
          <cell r="C675" t="str">
            <v>BOSCHLTD</v>
          </cell>
        </row>
        <row r="676">
          <cell r="A676" t="str">
            <v>BOSTON TEKNOWSYS (INDIA) LTD</v>
          </cell>
          <cell r="B676">
            <v>536820</v>
          </cell>
          <cell r="C676" t="str">
            <v>Not Listed</v>
          </cell>
        </row>
        <row r="677">
          <cell r="A677" t="str">
            <v>BOSTON TEKNOWSYS INDIA LTD</v>
          </cell>
          <cell r="B677">
            <v>536820</v>
          </cell>
          <cell r="C677" t="str">
            <v>Not Listed</v>
          </cell>
        </row>
        <row r="678">
          <cell r="A678" t="str">
            <v>BOTHRA METALS &amp; ALLOYS LTD</v>
          </cell>
          <cell r="B678">
            <v>535279</v>
          </cell>
          <cell r="C678" t="str">
            <v>Not Listed</v>
          </cell>
        </row>
        <row r="679">
          <cell r="A679" t="str">
            <v>BPL LTD</v>
          </cell>
          <cell r="B679">
            <v>500074</v>
          </cell>
          <cell r="C679" t="str">
            <v>BPL</v>
          </cell>
        </row>
        <row r="680">
          <cell r="A680" t="str">
            <v>BRADY &amp; MORRIS ENGINEERING CO LTD</v>
          </cell>
          <cell r="B680">
            <v>505690</v>
          </cell>
          <cell r="C680" t="str">
            <v>Not Listed</v>
          </cell>
        </row>
        <row r="681">
          <cell r="A681" t="str">
            <v>BRAHMAPUTRA INFRASTRUCTURE LTD</v>
          </cell>
          <cell r="B681">
            <v>535693</v>
          </cell>
          <cell r="C681" t="str">
            <v>Not Listed</v>
          </cell>
        </row>
        <row r="682">
          <cell r="A682" t="str">
            <v>BRAND CONCEPTS LTD</v>
          </cell>
          <cell r="B682" t="str">
            <v>Not Listed</v>
          </cell>
          <cell r="C682" t="str">
            <v>BCONCEPTS</v>
          </cell>
        </row>
        <row r="683">
          <cell r="A683" t="str">
            <v>BRAND REALTY SERVICES LTD</v>
          </cell>
          <cell r="B683">
            <v>531203</v>
          </cell>
          <cell r="C683" t="str">
            <v>Not Listed</v>
          </cell>
        </row>
        <row r="684">
          <cell r="A684" t="str">
            <v>BRAWN BIOTECH LTD</v>
          </cell>
          <cell r="B684">
            <v>530207</v>
          </cell>
          <cell r="C684" t="str">
            <v>Not Listed</v>
          </cell>
        </row>
        <row r="685">
          <cell r="A685" t="str">
            <v>BRIDGE SECURITIES LTD</v>
          </cell>
          <cell r="B685">
            <v>530249</v>
          </cell>
          <cell r="C685" t="str">
            <v>Not Listed</v>
          </cell>
        </row>
        <row r="686">
          <cell r="A686" t="str">
            <v>BRIGADE ENTERPRISES LTD</v>
          </cell>
          <cell r="B686">
            <v>532929</v>
          </cell>
          <cell r="C686" t="str">
            <v>BRIGADE</v>
          </cell>
        </row>
        <row r="687">
          <cell r="A687" t="str">
            <v>BRIGHT BROTHERS LTD</v>
          </cell>
          <cell r="B687">
            <v>526731</v>
          </cell>
          <cell r="C687" t="str">
            <v>Not Listed</v>
          </cell>
        </row>
        <row r="688">
          <cell r="A688" t="str">
            <v>BRIGHT SOLAR LTD</v>
          </cell>
          <cell r="B688" t="str">
            <v>Not Listed</v>
          </cell>
          <cell r="C688" t="str">
            <v>BRIGHT</v>
          </cell>
        </row>
        <row r="689">
          <cell r="A689" t="str">
            <v>BRIGHTCOM GROUP LTD</v>
          </cell>
          <cell r="B689">
            <v>532368</v>
          </cell>
          <cell r="C689" t="str">
            <v>BCG</v>
          </cell>
        </row>
        <row r="690">
          <cell r="A690" t="str">
            <v>BRIJLAXMI LEASING &amp;amp; FINANCE LTD.</v>
          </cell>
          <cell r="B690">
            <v>532113</v>
          </cell>
          <cell r="C690" t="str">
            <v>BRIJLEAS</v>
          </cell>
        </row>
        <row r="691">
          <cell r="A691" t="str">
            <v>BRILLIANT PORTFOLIOS LTD</v>
          </cell>
          <cell r="B691">
            <v>539434</v>
          </cell>
          <cell r="C691" t="str">
            <v>Not Listed</v>
          </cell>
        </row>
        <row r="692">
          <cell r="A692" t="str">
            <v>BRITANNIA INDUSTRIES LTD</v>
          </cell>
          <cell r="B692">
            <v>500825</v>
          </cell>
          <cell r="C692" t="str">
            <v>BRITANNIA</v>
          </cell>
        </row>
        <row r="693">
          <cell r="A693" t="str">
            <v>BRONZE INFRA-TECH LTD</v>
          </cell>
          <cell r="B693">
            <v>534731</v>
          </cell>
          <cell r="C693" t="str">
            <v>Not Listed</v>
          </cell>
        </row>
        <row r="694">
          <cell r="A694" t="str">
            <v>BROOKS LABORATORIES LTD</v>
          </cell>
          <cell r="B694">
            <v>533543</v>
          </cell>
          <cell r="C694" t="str">
            <v>BROOKS</v>
          </cell>
        </row>
        <row r="695">
          <cell r="A695" t="str">
            <v>BSE LTD</v>
          </cell>
          <cell r="B695" t="str">
            <v>Not Listed</v>
          </cell>
          <cell r="C695" t="str">
            <v>BSE</v>
          </cell>
        </row>
        <row r="696">
          <cell r="A696" t="str">
            <v>BSEL INFRASTRUCTURE REALTY LTD</v>
          </cell>
          <cell r="B696">
            <v>532123</v>
          </cell>
          <cell r="C696" t="str">
            <v>BSELINFRA</v>
          </cell>
        </row>
        <row r="697">
          <cell r="A697" t="str">
            <v>BSL LTD</v>
          </cell>
          <cell r="B697">
            <v>514045</v>
          </cell>
          <cell r="C697" t="str">
            <v>BSL</v>
          </cell>
        </row>
        <row r="698">
          <cell r="A698" t="str">
            <v>BUDGE BUDGE COMPANY LTD</v>
          </cell>
          <cell r="B698">
            <v>538789</v>
          </cell>
          <cell r="C698" t="str">
            <v>Not Listed</v>
          </cell>
        </row>
        <row r="699">
          <cell r="A699" t="str">
            <v>BULLISH BONDS &amp; HOLDINGS LTD</v>
          </cell>
          <cell r="B699">
            <v>540006</v>
          </cell>
          <cell r="C699" t="str">
            <v>Not Listed</v>
          </cell>
        </row>
        <row r="700">
          <cell r="A700" t="str">
            <v>BURNPUR CEMENT LTD</v>
          </cell>
          <cell r="B700">
            <v>532931</v>
          </cell>
          <cell r="C700" t="str">
            <v>BURNPUR</v>
          </cell>
        </row>
        <row r="701">
          <cell r="A701" t="str">
            <v>BUTTERFLY GANDHIMATHI APPLIANCES LTD</v>
          </cell>
          <cell r="B701">
            <v>517421</v>
          </cell>
          <cell r="C701" t="str">
            <v>BUTTERFLY</v>
          </cell>
        </row>
        <row r="702">
          <cell r="A702" t="str">
            <v>BWL LTD</v>
          </cell>
          <cell r="B702">
            <v>504643</v>
          </cell>
          <cell r="C702" t="str">
            <v>Not Listed</v>
          </cell>
        </row>
        <row r="703">
          <cell r="A703" t="str">
            <v>C &amp; C CONSTRUCTIONS LTD</v>
          </cell>
          <cell r="B703">
            <v>532813</v>
          </cell>
          <cell r="C703" t="str">
            <v>CANDC</v>
          </cell>
        </row>
        <row r="704">
          <cell r="A704" t="str">
            <v>C J GELATINE PRODUCTS LTD</v>
          </cell>
          <cell r="B704">
            <v>507515</v>
          </cell>
          <cell r="C704" t="str">
            <v>Not Listed</v>
          </cell>
        </row>
        <row r="705">
          <cell r="A705" t="str">
            <v>CADILA HEALTHCARE LTD</v>
          </cell>
          <cell r="B705">
            <v>532321</v>
          </cell>
          <cell r="C705" t="str">
            <v>CADILAHC</v>
          </cell>
        </row>
        <row r="706">
          <cell r="A706" t="str">
            <v>CADSYS (INDIA) LTD</v>
          </cell>
          <cell r="B706" t="str">
            <v>Not Listed</v>
          </cell>
          <cell r="C706" t="str">
            <v>CADSYS</v>
          </cell>
        </row>
        <row r="707">
          <cell r="A707" t="str">
            <v>CADSYS INDIA LTD</v>
          </cell>
          <cell r="B707" t="str">
            <v>Not Listed</v>
          </cell>
          <cell r="C707" t="str">
            <v>CADSYS</v>
          </cell>
        </row>
        <row r="708">
          <cell r="A708" t="str">
            <v>CALCOM VISION LTD</v>
          </cell>
          <cell r="B708">
            <v>517236</v>
          </cell>
          <cell r="C708" t="str">
            <v>Not Listed</v>
          </cell>
        </row>
        <row r="709">
          <cell r="A709" t="str">
            <v>CALIFORNIA SOFTWARE COMPANY LTD</v>
          </cell>
          <cell r="B709">
            <v>532386</v>
          </cell>
          <cell r="C709" t="str">
            <v>CALSOFT</v>
          </cell>
        </row>
        <row r="710">
          <cell r="A710" t="str">
            <v>CAMBRIDGE TECHNOLOGY ENTERPRISES LTD</v>
          </cell>
          <cell r="B710">
            <v>532801</v>
          </cell>
          <cell r="C710" t="str">
            <v>CTE</v>
          </cell>
        </row>
        <row r="711">
          <cell r="A711" t="str">
            <v>CAMEX LTD</v>
          </cell>
          <cell r="B711">
            <v>524440</v>
          </cell>
          <cell r="C711" t="str">
            <v>Not Listed</v>
          </cell>
        </row>
        <row r="712">
          <cell r="A712" t="str">
            <v>CAMLIN FINE SCIENCES LTD</v>
          </cell>
          <cell r="B712">
            <v>532834</v>
          </cell>
          <cell r="C712" t="str">
            <v>CAMLINFINE</v>
          </cell>
        </row>
        <row r="713">
          <cell r="A713" t="str">
            <v>CAMSON BIO TECHNOLOGIES LTD</v>
          </cell>
          <cell r="B713">
            <v>538858</v>
          </cell>
          <cell r="C713" t="str">
            <v>Not Listed</v>
          </cell>
        </row>
        <row r="714">
          <cell r="A714" t="str">
            <v>CAMSON SEEDS LTD</v>
          </cell>
          <cell r="B714">
            <v>540071</v>
          </cell>
          <cell r="C714" t="str">
            <v>Not Listed</v>
          </cell>
        </row>
        <row r="715">
          <cell r="A715" t="str">
            <v>CAN FIN HOMES LTD</v>
          </cell>
          <cell r="B715">
            <v>511196</v>
          </cell>
          <cell r="C715" t="str">
            <v>CANFINHOME</v>
          </cell>
        </row>
        <row r="716">
          <cell r="A716" t="str">
            <v>CANARA BANK</v>
          </cell>
          <cell r="B716">
            <v>532483</v>
          </cell>
          <cell r="C716" t="str">
            <v>CANBK</v>
          </cell>
        </row>
        <row r="717">
          <cell r="A717" t="str">
            <v>CANOPY FINANCE LTD</v>
          </cell>
          <cell r="B717">
            <v>539304</v>
          </cell>
          <cell r="C717" t="str">
            <v>Not Listed</v>
          </cell>
        </row>
        <row r="718">
          <cell r="A718" t="str">
            <v>CANTABIL RETAIL (INDIA) LTD</v>
          </cell>
          <cell r="B718">
            <v>533267</v>
          </cell>
          <cell r="C718" t="str">
            <v>CANTABIL</v>
          </cell>
        </row>
        <row r="719">
          <cell r="A719" t="str">
            <v>CANTABIL RETAIL INDIA LTD</v>
          </cell>
          <cell r="B719">
            <v>533267</v>
          </cell>
          <cell r="C719" t="str">
            <v>CANTABIL</v>
          </cell>
        </row>
        <row r="720">
          <cell r="A720" t="str">
            <v>CAPACIT'E INFRAPROJECTS LTD</v>
          </cell>
          <cell r="B720">
            <v>540710</v>
          </cell>
          <cell r="C720" t="str">
            <v>CAPACITE</v>
          </cell>
        </row>
        <row r="721">
          <cell r="A721" t="str">
            <v>CAPFIN (INDIA) LTD</v>
          </cell>
          <cell r="B721">
            <v>539198</v>
          </cell>
          <cell r="C721" t="str">
            <v>Not Listed</v>
          </cell>
        </row>
        <row r="722">
          <cell r="A722" t="str">
            <v>CAPFIN INDIA LTD</v>
          </cell>
          <cell r="B722">
            <v>539198</v>
          </cell>
          <cell r="C722" t="str">
            <v>Not Listed</v>
          </cell>
        </row>
        <row r="723">
          <cell r="A723" t="str">
            <v>CAPITAL FIRST LTD</v>
          </cell>
          <cell r="B723">
            <v>532938</v>
          </cell>
          <cell r="C723" t="str">
            <v>CAPF</v>
          </cell>
        </row>
        <row r="724">
          <cell r="A724" t="str">
            <v>CAPITAL INDIA FINANCE LTD</v>
          </cell>
          <cell r="B724">
            <v>530879</v>
          </cell>
          <cell r="C724" t="str">
            <v>Not Listed</v>
          </cell>
        </row>
        <row r="725">
          <cell r="A725" t="str">
            <v>CAPITAL TRADE LINKS LTD</v>
          </cell>
          <cell r="B725">
            <v>538476</v>
          </cell>
          <cell r="C725" t="str">
            <v>Not Listed</v>
          </cell>
        </row>
        <row r="726">
          <cell r="A726" t="str">
            <v>CAPITAL TRUST LTD</v>
          </cell>
          <cell r="B726">
            <v>511505</v>
          </cell>
          <cell r="C726" t="str">
            <v>CAPTRUST</v>
          </cell>
        </row>
        <row r="727">
          <cell r="A727" t="str">
            <v>CAPLIN POINT LABORATORIES LTD</v>
          </cell>
          <cell r="B727">
            <v>524742</v>
          </cell>
          <cell r="C727" t="str">
            <v>CAPLIPOINT</v>
          </cell>
        </row>
        <row r="728">
          <cell r="A728" t="str">
            <v>CAPRI GLOBAL CAPITAL LTD</v>
          </cell>
          <cell r="B728">
            <v>531595</v>
          </cell>
          <cell r="C728" t="str">
            <v>CGCL</v>
          </cell>
        </row>
        <row r="729">
          <cell r="A729" t="str">
            <v>CAPRICORN SYSTEMS GLOBAL SOLUTIONS LTD</v>
          </cell>
          <cell r="B729">
            <v>512169</v>
          </cell>
          <cell r="C729" t="str">
            <v>Not Listed</v>
          </cell>
        </row>
        <row r="730">
          <cell r="A730" t="str">
            <v>CAPRIHANS (INDIA) LTD</v>
          </cell>
          <cell r="B730">
            <v>509486</v>
          </cell>
          <cell r="C730" t="str">
            <v>Not Listed</v>
          </cell>
        </row>
        <row r="731">
          <cell r="A731" t="str">
            <v>CAPRIHANS INDIA LTD</v>
          </cell>
          <cell r="B731">
            <v>509486</v>
          </cell>
          <cell r="C731" t="str">
            <v>Not Listed</v>
          </cell>
        </row>
        <row r="732">
          <cell r="A732" t="str">
            <v>CAPROLACTAM CHEMICALS LTD</v>
          </cell>
          <cell r="B732">
            <v>507486</v>
          </cell>
          <cell r="C732" t="str">
            <v>Not Listed</v>
          </cell>
        </row>
        <row r="733">
          <cell r="A733" t="str">
            <v>CAPTAIN PIPES LTD</v>
          </cell>
          <cell r="B733">
            <v>538817</v>
          </cell>
          <cell r="C733" t="str">
            <v>Not Listed</v>
          </cell>
        </row>
        <row r="734">
          <cell r="A734" t="str">
            <v>CAPTAIN POLYPLAST LTD</v>
          </cell>
          <cell r="B734">
            <v>536974</v>
          </cell>
          <cell r="C734" t="str">
            <v>Not Listed</v>
          </cell>
        </row>
        <row r="735">
          <cell r="A735" t="str">
            <v>CAPTAIN TECHNOCAST LTD</v>
          </cell>
          <cell r="B735">
            <v>540652</v>
          </cell>
          <cell r="C735" t="str">
            <v>Not Listed</v>
          </cell>
        </row>
        <row r="736">
          <cell r="A736" t="str">
            <v>CARBORUNDUM UNIVERSAL LTD</v>
          </cell>
          <cell r="B736">
            <v>513375</v>
          </cell>
          <cell r="C736" t="str">
            <v>CARBORUNIV</v>
          </cell>
        </row>
        <row r="737">
          <cell r="A737" t="str">
            <v>CARE RATINGS LTD</v>
          </cell>
          <cell r="B737">
            <v>534804</v>
          </cell>
          <cell r="C737" t="str">
            <v>CARERATING</v>
          </cell>
        </row>
        <row r="738">
          <cell r="A738" t="str">
            <v>CAREER POINT LTD</v>
          </cell>
          <cell r="B738">
            <v>533260</v>
          </cell>
          <cell r="C738" t="str">
            <v>CAREERP</v>
          </cell>
        </row>
        <row r="739">
          <cell r="A739" t="str">
            <v>CARNATION INDUSTRIES LTD</v>
          </cell>
          <cell r="B739">
            <v>530609</v>
          </cell>
          <cell r="C739" t="str">
            <v>Not Listed</v>
          </cell>
        </row>
        <row r="740">
          <cell r="A740" t="str">
            <v>CASTEX TECHNOLOGIES LTD</v>
          </cell>
          <cell r="B740">
            <v>532282</v>
          </cell>
          <cell r="C740" t="str">
            <v>CASTEXTECH</v>
          </cell>
        </row>
        <row r="741">
          <cell r="A741" t="str">
            <v>CASTROL (INDIA) LTD</v>
          </cell>
          <cell r="B741">
            <v>500870</v>
          </cell>
          <cell r="C741" t="str">
            <v>CASTROLIND</v>
          </cell>
        </row>
        <row r="742">
          <cell r="A742" t="str">
            <v>CASTROL INDIA LTD</v>
          </cell>
          <cell r="B742">
            <v>500870</v>
          </cell>
          <cell r="C742" t="str">
            <v>CASTROLIND</v>
          </cell>
        </row>
        <row r="743">
          <cell r="A743" t="str">
            <v>CAT TECHNOLOGIES LTD</v>
          </cell>
          <cell r="B743">
            <v>531682</v>
          </cell>
          <cell r="C743" t="str">
            <v>Not Listed</v>
          </cell>
        </row>
        <row r="744">
          <cell r="A744" t="str">
            <v>CATVISION LTD</v>
          </cell>
          <cell r="B744">
            <v>531158</v>
          </cell>
          <cell r="C744" t="str">
            <v>Not Listed</v>
          </cell>
        </row>
        <row r="745">
          <cell r="A745" t="str">
            <v>CCL INTERNATIONAL LTD</v>
          </cell>
          <cell r="B745">
            <v>531900</v>
          </cell>
          <cell r="C745" t="str">
            <v>Not Listed</v>
          </cell>
        </row>
        <row r="746">
          <cell r="A746" t="str">
            <v>CCL PRODUCTS (INDIA) LTD</v>
          </cell>
          <cell r="B746">
            <v>519600</v>
          </cell>
          <cell r="C746" t="str">
            <v>CCL</v>
          </cell>
        </row>
        <row r="747">
          <cell r="A747" t="str">
            <v>CCL PRODUCTS INDIA LTD</v>
          </cell>
          <cell r="B747">
            <v>519600</v>
          </cell>
          <cell r="C747" t="str">
            <v>CCL</v>
          </cell>
        </row>
        <row r="748">
          <cell r="A748" t="str">
            <v>CEAT LTD</v>
          </cell>
          <cell r="B748">
            <v>500878</v>
          </cell>
          <cell r="C748" t="str">
            <v>CEATLTD</v>
          </cell>
        </row>
        <row r="749">
          <cell r="A749" t="str">
            <v>CEEJAY FINANCE LTD</v>
          </cell>
          <cell r="B749">
            <v>530789</v>
          </cell>
          <cell r="C749" t="str">
            <v>Not Listed</v>
          </cell>
        </row>
        <row r="750">
          <cell r="A750" t="str">
            <v>CEENIK EXPORTS (INDIA) LTD</v>
          </cell>
          <cell r="B750">
            <v>531119</v>
          </cell>
          <cell r="C750" t="str">
            <v>Not Listed</v>
          </cell>
        </row>
        <row r="751">
          <cell r="A751" t="str">
            <v>CEENIK EXPORTS INDIA LTD</v>
          </cell>
          <cell r="B751">
            <v>531119</v>
          </cell>
          <cell r="C751" t="str">
            <v>Not Listed</v>
          </cell>
        </row>
        <row r="752">
          <cell r="A752" t="str">
            <v>CEETA INDUSTRIES LTD</v>
          </cell>
          <cell r="B752">
            <v>514171</v>
          </cell>
          <cell r="C752" t="str">
            <v>Not Listed</v>
          </cell>
        </row>
        <row r="753">
          <cell r="A753" t="str">
            <v>CEINSYS TECH LTD</v>
          </cell>
          <cell r="B753">
            <v>538734</v>
          </cell>
          <cell r="C753" t="str">
            <v>Not Listed</v>
          </cell>
        </row>
        <row r="754">
          <cell r="A754" t="str">
            <v>CELEBRITY FASHIONS LTD</v>
          </cell>
          <cell r="B754">
            <v>532695</v>
          </cell>
          <cell r="C754" t="str">
            <v>CELEBRITY</v>
          </cell>
        </row>
        <row r="755">
          <cell r="A755" t="str">
            <v>CELESTIAL BIOLABS LTD</v>
          </cell>
          <cell r="B755">
            <v>532871</v>
          </cell>
          <cell r="C755" t="str">
            <v>CELESTIAL</v>
          </cell>
        </row>
        <row r="756">
          <cell r="A756" t="str">
            <v>CELLA SPACE LTD</v>
          </cell>
          <cell r="B756">
            <v>532701</v>
          </cell>
          <cell r="C756" t="str">
            <v>Not Listed</v>
          </cell>
        </row>
        <row r="757">
          <cell r="A757" t="str">
            <v>CENLUB INDUSTRIES LTD</v>
          </cell>
          <cell r="B757">
            <v>522251</v>
          </cell>
          <cell r="C757" t="str">
            <v>Not Listed</v>
          </cell>
        </row>
        <row r="758">
          <cell r="A758" t="str">
            <v>CENTENIAL SURGICAL SUTURE LTD</v>
          </cell>
          <cell r="B758">
            <v>531380</v>
          </cell>
          <cell r="C758" t="str">
            <v>Not Listed</v>
          </cell>
        </row>
        <row r="759">
          <cell r="A759" t="str">
            <v>CENTRAL BANK OF INDIA</v>
          </cell>
          <cell r="B759">
            <v>532885</v>
          </cell>
          <cell r="C759" t="str">
            <v>CENTRALBK</v>
          </cell>
        </row>
        <row r="760">
          <cell r="A760" t="str">
            <v>CENTRAL DEPOSITORY SERVICES (INDIA) LTD</v>
          </cell>
          <cell r="B760" t="str">
            <v>Not Listed</v>
          </cell>
          <cell r="C760" t="str">
            <v>CDSL</v>
          </cell>
        </row>
        <row r="761">
          <cell r="A761" t="str">
            <v>CENTRAL DEPOSITORY SERVICES INDIA LTD</v>
          </cell>
          <cell r="B761" t="str">
            <v>Not Listed</v>
          </cell>
          <cell r="C761" t="str">
            <v>CDSL</v>
          </cell>
        </row>
        <row r="762">
          <cell r="A762" t="str">
            <v>CENTRAL PROVINCES RAILWAYS CO LTD</v>
          </cell>
          <cell r="B762">
            <v>501827</v>
          </cell>
          <cell r="C762" t="str">
            <v>Not Listed</v>
          </cell>
        </row>
        <row r="763">
          <cell r="A763" t="str">
            <v>CENTRUM CAPITAL LTD</v>
          </cell>
          <cell r="B763">
            <v>501150</v>
          </cell>
          <cell r="C763" t="str">
            <v>CENTRUM</v>
          </cell>
        </row>
        <row r="764">
          <cell r="A764" t="str">
            <v>CENTUM ELECTRONICS LTD</v>
          </cell>
          <cell r="B764">
            <v>517544</v>
          </cell>
          <cell r="C764" t="str">
            <v>CENTUM</v>
          </cell>
        </row>
        <row r="765">
          <cell r="A765" t="str">
            <v>CENTURY ENKA LTD</v>
          </cell>
          <cell r="B765">
            <v>500280</v>
          </cell>
          <cell r="C765" t="str">
            <v>CENTENKA</v>
          </cell>
        </row>
        <row r="766">
          <cell r="A766" t="str">
            <v>CENTURY EXTRUSIONS LTD</v>
          </cell>
          <cell r="B766">
            <v>500083</v>
          </cell>
          <cell r="C766" t="str">
            <v>CENTEXT</v>
          </cell>
        </row>
        <row r="767">
          <cell r="A767" t="str">
            <v>CENTURY PLYBOARDS (INDIA) LTD</v>
          </cell>
          <cell r="B767">
            <v>532548</v>
          </cell>
          <cell r="C767" t="str">
            <v>CENTURYPLY</v>
          </cell>
        </row>
        <row r="768">
          <cell r="A768" t="str">
            <v>CENTURY PLYBOARDS INDIA LTD</v>
          </cell>
          <cell r="B768">
            <v>532548</v>
          </cell>
          <cell r="C768" t="str">
            <v>CENTURYPLY</v>
          </cell>
        </row>
        <row r="769">
          <cell r="A769" t="str">
            <v>CENTURY TEXTILES &amp; INDUSTRIES LTD</v>
          </cell>
          <cell r="B769">
            <v>500040</v>
          </cell>
          <cell r="C769" t="str">
            <v>CENTURYTEX</v>
          </cell>
        </row>
        <row r="770">
          <cell r="A770" t="str">
            <v>CENTURY TWENTYFIRST PORTFOLIO LTD</v>
          </cell>
          <cell r="B770">
            <v>530881</v>
          </cell>
          <cell r="C770" t="str">
            <v>Not Listed</v>
          </cell>
        </row>
        <row r="771">
          <cell r="A771" t="str">
            <v>CERA SANITARYWARE LTD</v>
          </cell>
          <cell r="B771">
            <v>532443</v>
          </cell>
          <cell r="C771" t="str">
            <v>CERA</v>
          </cell>
        </row>
        <row r="772">
          <cell r="A772" t="str">
            <v>CEREBRA INTEGRATED TECHNOLOGIES LTD</v>
          </cell>
          <cell r="B772">
            <v>532413</v>
          </cell>
          <cell r="C772" t="str">
            <v>CEREBRAINT</v>
          </cell>
        </row>
        <row r="773">
          <cell r="A773" t="str">
            <v>CES LTD</v>
          </cell>
          <cell r="B773">
            <v>512341</v>
          </cell>
          <cell r="C773" t="str">
            <v>Not Listed</v>
          </cell>
        </row>
        <row r="774">
          <cell r="A774" t="str">
            <v>CESC LTD</v>
          </cell>
          <cell r="B774">
            <v>500084</v>
          </cell>
          <cell r="C774" t="str">
            <v>CESC</v>
          </cell>
        </row>
        <row r="775">
          <cell r="A775" t="str">
            <v>CESC Ventures LTD</v>
          </cell>
          <cell r="B775" t="str">
            <v>Not Listed</v>
          </cell>
          <cell r="C775" t="str">
            <v>CESCVENT</v>
          </cell>
        </row>
        <row r="776">
          <cell r="A776" t="str">
            <v>CESC Ventures Ltd</v>
          </cell>
          <cell r="B776">
            <v>542333</v>
          </cell>
          <cell r="C776" t="str">
            <v>CESCVENTURE</v>
          </cell>
        </row>
        <row r="777">
          <cell r="A777" t="str">
            <v>CG POWER AND INDUSTRIAL SOLUTIONS LTD</v>
          </cell>
          <cell r="B777">
            <v>500093</v>
          </cell>
          <cell r="C777" t="str">
            <v>CGPOWER</v>
          </cell>
        </row>
        <row r="778">
          <cell r="A778" t="str">
            <v>CG-VAK SOFTWARE &amp; EXPORTS LTD</v>
          </cell>
          <cell r="B778">
            <v>531489</v>
          </cell>
          <cell r="C778" t="str">
            <v>Not Listed</v>
          </cell>
        </row>
        <row r="779">
          <cell r="A779" t="str">
            <v>CHADHA PAPERS LTD</v>
          </cell>
          <cell r="B779">
            <v>531946</v>
          </cell>
          <cell r="C779" t="str">
            <v>Not Listed</v>
          </cell>
        </row>
        <row r="780">
          <cell r="A780" t="str">
            <v>Chalet Hotels Ltd</v>
          </cell>
          <cell r="B780">
            <v>542399</v>
          </cell>
          <cell r="C780" t="str">
            <v>CHALET</v>
          </cell>
        </row>
        <row r="781">
          <cell r="A781" t="str">
            <v>CHAMAK HOLDINGS LTD</v>
          </cell>
          <cell r="B781">
            <v>539600</v>
          </cell>
          <cell r="C781" t="str">
            <v>Not Listed</v>
          </cell>
        </row>
        <row r="782">
          <cell r="A782" t="str">
            <v>CHAMAN LAL SETIA EXPORTS LTD</v>
          </cell>
          <cell r="B782">
            <v>530307</v>
          </cell>
          <cell r="C782" t="str">
            <v>Not Listed</v>
          </cell>
        </row>
        <row r="783">
          <cell r="A783" t="str">
            <v>CHAMBAL BREWERIES &amp; DISTILLERIES LTD</v>
          </cell>
          <cell r="B783">
            <v>512301</v>
          </cell>
          <cell r="C783" t="str">
            <v>Not Listed</v>
          </cell>
        </row>
        <row r="784">
          <cell r="A784" t="str">
            <v>CHAMBAL FERTILIZERS &amp; CHEMICALS LTD</v>
          </cell>
          <cell r="B784">
            <v>500085</v>
          </cell>
          <cell r="C784" t="str">
            <v>CHAMBLFERT</v>
          </cell>
        </row>
        <row r="785">
          <cell r="A785" t="str">
            <v>Chandni Machines Ltd</v>
          </cell>
          <cell r="B785">
            <v>542627</v>
          </cell>
          <cell r="C785" t="str">
            <v>CHANDNIMACH</v>
          </cell>
        </row>
        <row r="786">
          <cell r="A786" t="str">
            <v>CHANDNI TEXTILES ENGINEERING IND  LTD</v>
          </cell>
          <cell r="B786">
            <v>522292</v>
          </cell>
          <cell r="C786" t="str">
            <v>Not Listed</v>
          </cell>
        </row>
        <row r="787">
          <cell r="A787" t="str">
            <v>CHANDRA PRABHU INTERNATIONAL LTD</v>
          </cell>
          <cell r="B787">
            <v>530309</v>
          </cell>
          <cell r="C787" t="str">
            <v>Not Listed</v>
          </cell>
        </row>
        <row r="788">
          <cell r="A788" t="str">
            <v>CHANDRIMA MERCANTILES LTD</v>
          </cell>
          <cell r="B788">
            <v>540829</v>
          </cell>
          <cell r="C788" t="str">
            <v>Not Listed</v>
          </cell>
        </row>
        <row r="789">
          <cell r="A789" t="str">
            <v>CHANNEL NINE ENTERTAINMENT LTD</v>
          </cell>
          <cell r="B789">
            <v>535142</v>
          </cell>
          <cell r="C789" t="str">
            <v>Not Listed</v>
          </cell>
        </row>
        <row r="790">
          <cell r="A790" t="str">
            <v>CHARMS INDUSTRIES LTD</v>
          </cell>
          <cell r="B790">
            <v>531327</v>
          </cell>
          <cell r="C790" t="str">
            <v>Not Listed</v>
          </cell>
        </row>
        <row r="791">
          <cell r="A791" t="str">
            <v>CHARTERED CAPITAL &amp; INVESTMENT LTD</v>
          </cell>
          <cell r="B791">
            <v>511696</v>
          </cell>
          <cell r="C791" t="str">
            <v>Not Listed</v>
          </cell>
        </row>
        <row r="792">
          <cell r="A792" t="str">
            <v>CHARTERED LOGISTICS LTD</v>
          </cell>
          <cell r="B792">
            <v>531977</v>
          </cell>
          <cell r="C792" t="str">
            <v>Not Listed</v>
          </cell>
        </row>
        <row r="793">
          <cell r="A793" t="str">
            <v>CHASE BRIGHT STEEL LTD</v>
          </cell>
          <cell r="B793">
            <v>504671</v>
          </cell>
          <cell r="C793" t="str">
            <v>Not Listed</v>
          </cell>
        </row>
        <row r="794">
          <cell r="A794" t="str">
            <v>CHD CHEMICALS LTD</v>
          </cell>
          <cell r="B794">
            <v>539800</v>
          </cell>
          <cell r="C794" t="str">
            <v>Not Listed</v>
          </cell>
        </row>
        <row r="795">
          <cell r="A795" t="str">
            <v>CHD DEVELOPERS LTD</v>
          </cell>
          <cell r="B795">
            <v>526917</v>
          </cell>
          <cell r="C795" t="str">
            <v>Not Listed</v>
          </cell>
        </row>
        <row r="796">
          <cell r="A796" t="str">
            <v>CHEMBOND CHEMICALS LTD</v>
          </cell>
          <cell r="B796">
            <v>530871</v>
          </cell>
          <cell r="C796" t="str">
            <v>Not Listed</v>
          </cell>
        </row>
        <row r="797">
          <cell r="A797" t="str">
            <v>CHEMCRUX ENTERPRISES LTD</v>
          </cell>
          <cell r="B797">
            <v>540395</v>
          </cell>
          <cell r="C797" t="str">
            <v>Not Listed</v>
          </cell>
        </row>
        <row r="798">
          <cell r="A798" t="str">
            <v>CHEMFAB ALKALIS LTD</v>
          </cell>
          <cell r="B798">
            <v>541269</v>
          </cell>
          <cell r="C798" t="str">
            <v>CHEMFAB</v>
          </cell>
        </row>
        <row r="799">
          <cell r="A799" t="str">
            <v>CHEMIESYNTH VAPI LTD</v>
          </cell>
          <cell r="B799">
            <v>539230</v>
          </cell>
          <cell r="C799" t="str">
            <v>Not Listed</v>
          </cell>
        </row>
        <row r="800">
          <cell r="A800" t="str">
            <v>CHEMO PHARMA LABORATORIES LTD</v>
          </cell>
          <cell r="B800">
            <v>506365</v>
          </cell>
          <cell r="C800" t="str">
            <v>Not Listed</v>
          </cell>
        </row>
        <row r="801">
          <cell r="A801" t="str">
            <v>CHEMTECH INDUSTRIAL VALVES LTD</v>
          </cell>
          <cell r="B801">
            <v>537326</v>
          </cell>
          <cell r="C801" t="str">
            <v>Not Listed</v>
          </cell>
        </row>
        <row r="802">
          <cell r="A802" t="str">
            <v>CHENNAI FERROUS INDUSTRIES LTD</v>
          </cell>
          <cell r="B802">
            <v>539011</v>
          </cell>
          <cell r="C802" t="str">
            <v>Not Listed</v>
          </cell>
        </row>
        <row r="803">
          <cell r="A803" t="str">
            <v>CHENNAI MEENAKSHI MULTISPECIALITY HOSPITAL LTD</v>
          </cell>
          <cell r="B803">
            <v>523489</v>
          </cell>
          <cell r="C803" t="str">
            <v>Not Listed</v>
          </cell>
        </row>
        <row r="804">
          <cell r="A804" t="str">
            <v>CHENNAI PETROLEUM CORPORATION LTD</v>
          </cell>
          <cell r="B804">
            <v>500110</v>
          </cell>
          <cell r="C804" t="str">
            <v>CHENNPETRO</v>
          </cell>
        </row>
        <row r="805">
          <cell r="A805" t="str">
            <v>CHEVIOT CO LTD</v>
          </cell>
          <cell r="B805">
            <v>526817</v>
          </cell>
          <cell r="C805" t="str">
            <v>Not Listed</v>
          </cell>
        </row>
        <row r="806">
          <cell r="A806" t="str">
            <v>CHITRADURGA SPINTEX LTD</v>
          </cell>
          <cell r="B806">
            <v>521244</v>
          </cell>
          <cell r="C806" t="str">
            <v>Not Listed</v>
          </cell>
        </row>
        <row r="807">
          <cell r="A807" t="str">
            <v>CHL LTD</v>
          </cell>
          <cell r="B807">
            <v>532992</v>
          </cell>
          <cell r="C807" t="str">
            <v>Not Listed</v>
          </cell>
        </row>
        <row r="808">
          <cell r="A808" t="str">
            <v>CHOICE INTERNATIONAL LTD</v>
          </cell>
          <cell r="B808">
            <v>531358</v>
          </cell>
          <cell r="C808" t="str">
            <v>Not Listed</v>
          </cell>
        </row>
        <row r="809">
          <cell r="A809" t="str">
            <v>CHOKSI IMAGING LTD</v>
          </cell>
          <cell r="B809">
            <v>530427</v>
          </cell>
          <cell r="C809" t="str">
            <v>Not Listed</v>
          </cell>
        </row>
        <row r="810">
          <cell r="A810" t="str">
            <v>CHOKSI LABORATORIES LTD</v>
          </cell>
          <cell r="B810">
            <v>526546</v>
          </cell>
          <cell r="C810" t="str">
            <v>Not Listed</v>
          </cell>
        </row>
        <row r="811">
          <cell r="A811" t="str">
            <v>Cholamandalam Financial Holdings LTD</v>
          </cell>
          <cell r="B811">
            <v>511243</v>
          </cell>
          <cell r="C811" t="str">
            <v>CHOLAHLDNG</v>
          </cell>
        </row>
        <row r="812">
          <cell r="A812" t="str">
            <v>CHOLAMANDALAM INVESTMENT AND FINANCE COMPANY LTD</v>
          </cell>
          <cell r="B812">
            <v>511243</v>
          </cell>
          <cell r="C812" t="str">
            <v>CHOLAFIN</v>
          </cell>
        </row>
        <row r="813">
          <cell r="A813" t="str">
            <v>CHORDIA FOOD PRODUCTS LTD</v>
          </cell>
          <cell r="B813">
            <v>519475</v>
          </cell>
          <cell r="C813" t="str">
            <v>Not Listed</v>
          </cell>
        </row>
        <row r="814">
          <cell r="A814" t="str">
            <v>CHOTHANI FOODS LTD</v>
          </cell>
          <cell r="B814">
            <v>540681</v>
          </cell>
          <cell r="C814" t="str">
            <v>Not Listed</v>
          </cell>
        </row>
        <row r="815">
          <cell r="A815" t="str">
            <v>CHOWGULE STEAMSHIPS LTD</v>
          </cell>
          <cell r="B815">
            <v>501833</v>
          </cell>
          <cell r="C815" t="str">
            <v>Not Listed</v>
          </cell>
        </row>
        <row r="816">
          <cell r="A816" t="str">
            <v>CHPL INDUSTRIES LTD</v>
          </cell>
          <cell r="B816">
            <v>539335</v>
          </cell>
          <cell r="C816" t="str">
            <v>Not Listed</v>
          </cell>
        </row>
        <row r="817">
          <cell r="A817" t="str">
            <v>CHROMATIC (INDIA) LTD</v>
          </cell>
          <cell r="B817">
            <v>530191</v>
          </cell>
          <cell r="C817" t="str">
            <v>CHROMATIC</v>
          </cell>
        </row>
        <row r="818">
          <cell r="A818" t="str">
            <v>CHROMATIC INDIA LTD</v>
          </cell>
          <cell r="B818">
            <v>530191</v>
          </cell>
          <cell r="C818" t="str">
            <v>CHROMATIC</v>
          </cell>
        </row>
        <row r="819">
          <cell r="A819" t="str">
            <v>CIAN AGRO INDUSTRIES &amp; INFRASTRUCTURE LTD</v>
          </cell>
          <cell r="B819">
            <v>519477</v>
          </cell>
          <cell r="C819" t="str">
            <v>Not Listed</v>
          </cell>
        </row>
        <row r="820">
          <cell r="A820" t="str">
            <v>Cian Healthcare Ltd</v>
          </cell>
          <cell r="B820">
            <v>542678</v>
          </cell>
          <cell r="C820" t="str">
            <v>CHCL</v>
          </cell>
        </row>
        <row r="821">
          <cell r="A821" t="str">
            <v>CIGNITI TECHNOLOGIES LTD</v>
          </cell>
          <cell r="B821">
            <v>534758</v>
          </cell>
          <cell r="C821" t="str">
            <v>CIGNITITEC</v>
          </cell>
        </row>
        <row r="822">
          <cell r="A822" t="str">
            <v>CIL NOVA PETROCHEMICALS LTD</v>
          </cell>
          <cell r="B822">
            <v>533407</v>
          </cell>
          <cell r="C822" t="str">
            <v>CNOVAPETRO</v>
          </cell>
        </row>
        <row r="823">
          <cell r="A823" t="str">
            <v>CIL SECURITIES LTD</v>
          </cell>
          <cell r="B823">
            <v>530829</v>
          </cell>
          <cell r="C823" t="str">
            <v>Not Listed</v>
          </cell>
        </row>
        <row r="824">
          <cell r="A824" t="str">
            <v>CIMMCO LTD</v>
          </cell>
          <cell r="B824">
            <v>505230</v>
          </cell>
          <cell r="C824" t="str">
            <v>CIMMCO</v>
          </cell>
        </row>
        <row r="825">
          <cell r="A825" t="str">
            <v>CINDRELLA FINANCIAL SERVICES LTD</v>
          </cell>
          <cell r="B825">
            <v>531283</v>
          </cell>
          <cell r="C825" t="str">
            <v>Not Listed</v>
          </cell>
        </row>
        <row r="826">
          <cell r="A826" t="str">
            <v>CINDRELLA HOTELS LTD</v>
          </cell>
          <cell r="B826">
            <v>526373</v>
          </cell>
          <cell r="C826" t="str">
            <v>Not Listed</v>
          </cell>
        </row>
        <row r="827">
          <cell r="A827" t="str">
            <v>CINELINE (INDIA) LTD</v>
          </cell>
          <cell r="B827">
            <v>532807</v>
          </cell>
          <cell r="C827" t="str">
            <v>CINELINE</v>
          </cell>
        </row>
        <row r="828">
          <cell r="A828" t="str">
            <v>CINELINE INDIA LTD</v>
          </cell>
          <cell r="B828">
            <v>532807</v>
          </cell>
          <cell r="C828" t="str">
            <v>CINELINE</v>
          </cell>
        </row>
        <row r="829">
          <cell r="A829" t="str">
            <v>CINERAD COMMUNICATIONS LTD</v>
          </cell>
          <cell r="B829">
            <v>530457</v>
          </cell>
          <cell r="C829" t="str">
            <v>Not Listed</v>
          </cell>
        </row>
        <row r="830">
          <cell r="A830" t="str">
            <v>CINEVISTA LTD</v>
          </cell>
          <cell r="B830">
            <v>532324</v>
          </cell>
          <cell r="C830" t="str">
            <v>CINEVISTA</v>
          </cell>
        </row>
        <row r="831">
          <cell r="A831" t="str">
            <v>CIPLA LTD</v>
          </cell>
          <cell r="B831">
            <v>500087</v>
          </cell>
          <cell r="C831" t="str">
            <v>CIPLA</v>
          </cell>
        </row>
        <row r="832">
          <cell r="A832" t="str">
            <v>CISTRO TELELINK LTD</v>
          </cell>
          <cell r="B832">
            <v>531775</v>
          </cell>
          <cell r="C832" t="str">
            <v>Not Listed</v>
          </cell>
        </row>
        <row r="833">
          <cell r="A833" t="str">
            <v>CITADEL REALTY AND DEVELOPERS LTD</v>
          </cell>
          <cell r="B833">
            <v>502445</v>
          </cell>
          <cell r="C833" t="str">
            <v>Not Listed</v>
          </cell>
        </row>
        <row r="834">
          <cell r="A834" t="str">
            <v>CITIPORT FINANCIAL SERVICES LTD</v>
          </cell>
          <cell r="B834">
            <v>531235</v>
          </cell>
          <cell r="C834" t="str">
            <v>Not Listed</v>
          </cell>
        </row>
        <row r="835">
          <cell r="A835" t="str">
            <v>CITIZEN INFOLINE LTD</v>
          </cell>
          <cell r="B835">
            <v>538786</v>
          </cell>
          <cell r="C835" t="str">
            <v>Not Listed</v>
          </cell>
        </row>
        <row r="836">
          <cell r="A836" t="str">
            <v>CITY ONLINE SERVICES LTD</v>
          </cell>
          <cell r="B836">
            <v>538674</v>
          </cell>
          <cell r="C836" t="str">
            <v>Not Listed</v>
          </cell>
        </row>
        <row r="837">
          <cell r="A837" t="str">
            <v>CITY UNION BANK LTD</v>
          </cell>
          <cell r="B837">
            <v>532210</v>
          </cell>
          <cell r="C837" t="str">
            <v>CUB</v>
          </cell>
        </row>
        <row r="838">
          <cell r="A838" t="str">
            <v>CITYMAN LTD</v>
          </cell>
          <cell r="B838">
            <v>521210</v>
          </cell>
          <cell r="C838" t="str">
            <v>Not Listed</v>
          </cell>
        </row>
        <row r="839">
          <cell r="A839" t="str">
            <v>CITYON SYSTEMS (INDIA) LTD</v>
          </cell>
          <cell r="B839">
            <v>780013</v>
          </cell>
          <cell r="C839" t="str">
            <v>Not Listed</v>
          </cell>
        </row>
        <row r="840">
          <cell r="A840" t="str">
            <v>CITYON SYSTEMS INDIA LTD</v>
          </cell>
          <cell r="B840">
            <v>780013</v>
          </cell>
          <cell r="C840" t="str">
            <v>Not Listed</v>
          </cell>
        </row>
        <row r="841">
          <cell r="A841" t="str">
            <v>CKP LEISURE LTD</v>
          </cell>
          <cell r="B841" t="str">
            <v>Not Listed</v>
          </cell>
          <cell r="C841" t="str">
            <v>CKPLEISURE</v>
          </cell>
        </row>
        <row r="842">
          <cell r="A842" t="str">
            <v>CKP PRODUCTS LTD</v>
          </cell>
          <cell r="B842" t="str">
            <v>Not Listed</v>
          </cell>
          <cell r="C842" t="str">
            <v>CKPPRODUCT</v>
          </cell>
        </row>
        <row r="843">
          <cell r="A843" t="str">
            <v>CL EDUCATE LTD</v>
          </cell>
          <cell r="B843">
            <v>540403</v>
          </cell>
          <cell r="C843" t="str">
            <v>CLEDUCATE</v>
          </cell>
        </row>
        <row r="844">
          <cell r="A844" t="str">
            <v>CLARIANT CHEMICALS (INDIA) LTD</v>
          </cell>
          <cell r="B844">
            <v>506390</v>
          </cell>
          <cell r="C844" t="str">
            <v>CLN(INDIA)</v>
          </cell>
        </row>
        <row r="845">
          <cell r="A845" t="str">
            <v>CLARIANT CHEMICALS INDIA LTD</v>
          </cell>
          <cell r="B845">
            <v>506390</v>
          </cell>
          <cell r="C845" t="str">
            <v>CLNINDIA</v>
          </cell>
        </row>
        <row r="846">
          <cell r="A846" t="str">
            <v>CLASSIC ELECTRICALS LTD</v>
          </cell>
          <cell r="B846">
            <v>512213</v>
          </cell>
          <cell r="C846" t="str">
            <v>Not Listed</v>
          </cell>
        </row>
        <row r="847">
          <cell r="A847" t="str">
            <v>CLASSIC FILAMENTS LTD</v>
          </cell>
          <cell r="B847">
            <v>540310</v>
          </cell>
          <cell r="C847" t="str">
            <v>Not Listed</v>
          </cell>
        </row>
        <row r="848">
          <cell r="A848" t="str">
            <v>CLASSIC GLOBAL FINANCE &amp; CAPITAL LTD</v>
          </cell>
          <cell r="B848">
            <v>538433</v>
          </cell>
          <cell r="C848" t="str">
            <v>Not Listed</v>
          </cell>
        </row>
        <row r="849">
          <cell r="A849" t="str">
            <v>CLASSIC LEASING &amp; FINANCE LTD</v>
          </cell>
          <cell r="B849">
            <v>540481</v>
          </cell>
          <cell r="C849" t="str">
            <v>Not Listed</v>
          </cell>
        </row>
        <row r="850">
          <cell r="A850" t="str">
            <v>CLIO INFOTECH LTD</v>
          </cell>
          <cell r="B850">
            <v>530839</v>
          </cell>
          <cell r="C850" t="str">
            <v>Not Listed</v>
          </cell>
        </row>
        <row r="851">
          <cell r="A851" t="str">
            <v>CMI FPE LTD</v>
          </cell>
          <cell r="B851">
            <v>500147</v>
          </cell>
          <cell r="C851" t="str">
            <v>Not Listed</v>
          </cell>
        </row>
        <row r="852">
          <cell r="A852" t="str">
            <v>CMI LTD</v>
          </cell>
          <cell r="B852">
            <v>517330</v>
          </cell>
          <cell r="C852" t="str">
            <v>CMICABLES</v>
          </cell>
        </row>
        <row r="853">
          <cell r="A853" t="str">
            <v>CMM INFRAPROJECTS LTD</v>
          </cell>
          <cell r="B853" t="str">
            <v>Not Listed</v>
          </cell>
          <cell r="C853" t="str">
            <v>CMMIPL</v>
          </cell>
        </row>
        <row r="854">
          <cell r="A854" t="str">
            <v>CNI RESEARCH LTD</v>
          </cell>
          <cell r="B854">
            <v>512018</v>
          </cell>
          <cell r="C854" t="str">
            <v>Not Listed</v>
          </cell>
        </row>
        <row r="855">
          <cell r="A855" t="str">
            <v>COAL (INDIA) LTD</v>
          </cell>
          <cell r="B855">
            <v>533278</v>
          </cell>
          <cell r="C855" t="str">
            <v>COAL(INDIA)</v>
          </cell>
        </row>
        <row r="856">
          <cell r="A856" t="str">
            <v>COAL INDIA LTD</v>
          </cell>
          <cell r="B856">
            <v>533278</v>
          </cell>
          <cell r="C856" t="str">
            <v>COALINDIA</v>
          </cell>
        </row>
        <row r="857">
          <cell r="A857" t="str">
            <v>COASTAL CORPORATION LTD</v>
          </cell>
          <cell r="B857">
            <v>501831</v>
          </cell>
          <cell r="C857" t="str">
            <v>Not Listed</v>
          </cell>
        </row>
        <row r="858">
          <cell r="A858" t="str">
            <v>COASTAL ROADWAYS LTD</v>
          </cell>
          <cell r="B858">
            <v>520131</v>
          </cell>
          <cell r="C858" t="str">
            <v>Not Listed</v>
          </cell>
        </row>
        <row r="859">
          <cell r="A859" t="str">
            <v>COCHIN MALABAR ESTATES &amp; INDUSTRIES LTD</v>
          </cell>
          <cell r="B859">
            <v>508571</v>
          </cell>
          <cell r="C859" t="str">
            <v>Not Listed</v>
          </cell>
        </row>
        <row r="860">
          <cell r="A860" t="str">
            <v>COCHIN MINERALS &amp; RUTILE LTD</v>
          </cell>
          <cell r="B860">
            <v>513353</v>
          </cell>
          <cell r="C860" t="str">
            <v>Not Listed</v>
          </cell>
        </row>
        <row r="861">
          <cell r="A861" t="str">
            <v>COCHIN SHIPYARD LTD</v>
          </cell>
          <cell r="B861">
            <v>540678</v>
          </cell>
          <cell r="C861" t="str">
            <v>COCHINSHIP</v>
          </cell>
        </row>
        <row r="862">
          <cell r="A862" t="str">
            <v>COFFEE DAY ENTERPRISES LTD</v>
          </cell>
          <cell r="B862">
            <v>539436</v>
          </cell>
          <cell r="C862" t="str">
            <v>COFFEEDAY</v>
          </cell>
        </row>
        <row r="863">
          <cell r="A863" t="str">
            <v>COLGATE PALMOLIVE (INDIA) LTD</v>
          </cell>
          <cell r="B863">
            <v>500830</v>
          </cell>
          <cell r="C863" t="str">
            <v>COLPAL</v>
          </cell>
        </row>
        <row r="864">
          <cell r="A864" t="str">
            <v>COLGATE PALMOLIVE INDIA LTD</v>
          </cell>
          <cell r="B864">
            <v>500830</v>
          </cell>
          <cell r="C864" t="str">
            <v>COLPAL</v>
          </cell>
        </row>
        <row r="865">
          <cell r="A865" t="str">
            <v>COLINZ LABORATORIES LTD</v>
          </cell>
          <cell r="B865">
            <v>531210</v>
          </cell>
          <cell r="C865" t="str">
            <v>Not Listed</v>
          </cell>
        </row>
        <row r="866">
          <cell r="A866" t="str">
            <v>COLORCHIPS NEW MEDIA LTD</v>
          </cell>
          <cell r="B866">
            <v>540023</v>
          </cell>
          <cell r="C866" t="str">
            <v>Not Listed</v>
          </cell>
        </row>
        <row r="867">
          <cell r="A867" t="str">
            <v>COMBAT DRUGS LTD</v>
          </cell>
          <cell r="B867">
            <v>524752</v>
          </cell>
          <cell r="C867" t="str">
            <v>Not Listed</v>
          </cell>
        </row>
        <row r="868">
          <cell r="A868" t="str">
            <v>COMFORT COMMOTRADE LTD</v>
          </cell>
          <cell r="B868">
            <v>534691</v>
          </cell>
          <cell r="C868" t="str">
            <v>Not Listed</v>
          </cell>
        </row>
        <row r="869">
          <cell r="A869" t="str">
            <v>COMFORT FINCAP LTD</v>
          </cell>
          <cell r="B869">
            <v>535267</v>
          </cell>
          <cell r="C869" t="str">
            <v>Not Listed</v>
          </cell>
        </row>
        <row r="870">
          <cell r="A870" t="str">
            <v>COMFORT INTECH LTD</v>
          </cell>
          <cell r="B870">
            <v>531216</v>
          </cell>
          <cell r="C870" t="str">
            <v>Not Listed</v>
          </cell>
        </row>
        <row r="871">
          <cell r="A871" t="str">
            <v>COMMERCIAL ENGINEERS &amp; BODY BUILDERS CO LTD</v>
          </cell>
          <cell r="B871">
            <v>533272</v>
          </cell>
          <cell r="C871" t="str">
            <v>CEBBCO</v>
          </cell>
        </row>
        <row r="872">
          <cell r="A872" t="str">
            <v>COMMERCIAL SYN BAGS LTD</v>
          </cell>
          <cell r="B872">
            <v>539986</v>
          </cell>
          <cell r="C872" t="str">
            <v>Not Listed</v>
          </cell>
        </row>
        <row r="873">
          <cell r="A873" t="str">
            <v>COMMEX TECHNOLOGY LTD</v>
          </cell>
          <cell r="B873">
            <v>532342</v>
          </cell>
          <cell r="C873" t="str">
            <v>Not Listed</v>
          </cell>
        </row>
        <row r="874">
          <cell r="A874" t="str">
            <v>COMPETENT AUTOMOBILES CO LTD</v>
          </cell>
          <cell r="B874">
            <v>531041</v>
          </cell>
          <cell r="C874" t="str">
            <v>Not Listed</v>
          </cell>
        </row>
        <row r="875">
          <cell r="A875" t="str">
            <v>COMPUAGE INFOCOM LTD</v>
          </cell>
          <cell r="B875">
            <v>532456</v>
          </cell>
          <cell r="C875" t="str">
            <v>COMPINFO</v>
          </cell>
        </row>
        <row r="876">
          <cell r="A876" t="str">
            <v>COMPUCOM SOFTWARE LTD</v>
          </cell>
          <cell r="B876">
            <v>532339</v>
          </cell>
          <cell r="C876" t="str">
            <v>COMPUSOFT</v>
          </cell>
        </row>
        <row r="877">
          <cell r="A877" t="str">
            <v>COMPUTER POINT LTD</v>
          </cell>
          <cell r="B877">
            <v>507833</v>
          </cell>
          <cell r="C877" t="str">
            <v>Not Listed</v>
          </cell>
        </row>
        <row r="878">
          <cell r="A878" t="str">
            <v>CONART ENGINEERS LTD</v>
          </cell>
          <cell r="B878">
            <v>522231</v>
          </cell>
          <cell r="C878" t="str">
            <v>Not Listed</v>
          </cell>
        </row>
        <row r="879">
          <cell r="A879" t="str">
            <v>CONCORD DRUGS LTD</v>
          </cell>
          <cell r="B879">
            <v>538965</v>
          </cell>
          <cell r="C879" t="str">
            <v>Not Listed</v>
          </cell>
        </row>
        <row r="880">
          <cell r="A880" t="str">
            <v>CONCRETE CREDIT LTD</v>
          </cell>
          <cell r="B880">
            <v>539266</v>
          </cell>
          <cell r="C880" t="str">
            <v>Not Listed</v>
          </cell>
        </row>
        <row r="881">
          <cell r="A881" t="str">
            <v>CONFIDENCE FINANCE AND TRADING LTD</v>
          </cell>
          <cell r="B881">
            <v>504340</v>
          </cell>
          <cell r="C881" t="str">
            <v>Not Listed</v>
          </cell>
        </row>
        <row r="882">
          <cell r="A882" t="str">
            <v>Confidence Futuristic Energetech Ltd</v>
          </cell>
          <cell r="B882">
            <v>539991</v>
          </cell>
          <cell r="C882" t="str">
            <v>CFEL</v>
          </cell>
        </row>
        <row r="883">
          <cell r="A883" t="str">
            <v>CONFIDENCE PETROLEUM (INDIA) LTD</v>
          </cell>
          <cell r="B883">
            <v>526829</v>
          </cell>
          <cell r="C883" t="str">
            <v>Not Listed</v>
          </cell>
        </row>
        <row r="884">
          <cell r="A884" t="str">
            <v>Confidence Petroleum India LTD</v>
          </cell>
          <cell r="B884">
            <v>526829</v>
          </cell>
          <cell r="C884" t="str">
            <v>CONFIPET</v>
          </cell>
        </row>
        <row r="885">
          <cell r="A885" t="str">
            <v>CONFIDENCE PETROLEUM INDIA LTD</v>
          </cell>
          <cell r="B885">
            <v>526829</v>
          </cell>
          <cell r="C885" t="str">
            <v>Not Listed</v>
          </cell>
        </row>
        <row r="886">
          <cell r="A886" t="str">
            <v>CONSECUTIVE INVESTMENT &amp; TRADING COMPANY LTD</v>
          </cell>
          <cell r="B886">
            <v>539091</v>
          </cell>
          <cell r="C886" t="str">
            <v>Not Listed</v>
          </cell>
        </row>
        <row r="887">
          <cell r="A887" t="str">
            <v>CONSOLIDATED CONSTRUCTION CONSORTIUM LTD</v>
          </cell>
          <cell r="B887">
            <v>532902</v>
          </cell>
          <cell r="C887" t="str">
            <v>CCCL</v>
          </cell>
        </row>
        <row r="888">
          <cell r="A888" t="str">
            <v>CONSOLIDATED FINVEST &amp; HOLDINGS LTD</v>
          </cell>
          <cell r="B888" t="str">
            <v>Not Listed</v>
          </cell>
          <cell r="C888" t="str">
            <v>CONSOFINVT</v>
          </cell>
        </row>
        <row r="889">
          <cell r="A889" t="str">
            <v>CONTAINER CORPORATION OF (INDIA) LTD</v>
          </cell>
          <cell r="B889">
            <v>531344</v>
          </cell>
          <cell r="C889" t="str">
            <v>CONCOR</v>
          </cell>
        </row>
        <row r="890">
          <cell r="A890" t="str">
            <v>CONTAINER CORPORATION OF INDIA LTD</v>
          </cell>
          <cell r="B890">
            <v>531344</v>
          </cell>
          <cell r="C890" t="str">
            <v>CONCOR</v>
          </cell>
        </row>
        <row r="891">
          <cell r="A891" t="str">
            <v>CONTAINERWAY INTERNATIONAL LTD</v>
          </cell>
          <cell r="B891">
            <v>540597</v>
          </cell>
          <cell r="C891" t="str">
            <v>Not Listed</v>
          </cell>
        </row>
        <row r="892">
          <cell r="A892" t="str">
            <v>CONTIL (INDIA) LTD</v>
          </cell>
          <cell r="B892">
            <v>531067</v>
          </cell>
          <cell r="C892" t="str">
            <v>Not Listed</v>
          </cell>
        </row>
        <row r="893">
          <cell r="A893" t="str">
            <v>CONTIL INDIA LTD</v>
          </cell>
          <cell r="B893">
            <v>531067</v>
          </cell>
          <cell r="C893" t="str">
            <v>Not Listed</v>
          </cell>
        </row>
        <row r="894">
          <cell r="A894" t="str">
            <v>CONTINENTAL CHEMICALS LTD</v>
          </cell>
          <cell r="B894">
            <v>506935</v>
          </cell>
          <cell r="C894" t="str">
            <v>Not Listed</v>
          </cell>
        </row>
        <row r="895">
          <cell r="A895" t="str">
            <v>CONTINENTAL CONTROLS LTD</v>
          </cell>
          <cell r="B895">
            <v>531460</v>
          </cell>
          <cell r="C895" t="str">
            <v>Not Listed</v>
          </cell>
        </row>
        <row r="896">
          <cell r="A896" t="str">
            <v>CONTINENTAL PETROLEUMS LTD</v>
          </cell>
          <cell r="B896">
            <v>523232</v>
          </cell>
          <cell r="C896" t="str">
            <v>Not Listed</v>
          </cell>
        </row>
        <row r="897">
          <cell r="A897" t="str">
            <v>CONTINENTAL SECURITIES LTD</v>
          </cell>
          <cell r="B897">
            <v>538868</v>
          </cell>
          <cell r="C897" t="str">
            <v>Not Listed</v>
          </cell>
        </row>
        <row r="898">
          <cell r="A898" t="str">
            <v>CONTINENTAL SEEDS AND CHEMICALS LTD</v>
          </cell>
          <cell r="B898" t="str">
            <v>Not Listed</v>
          </cell>
          <cell r="C898" t="str">
            <v>CONTI</v>
          </cell>
        </row>
        <row r="899">
          <cell r="A899" t="str">
            <v>CONTROL PRINT LTD</v>
          </cell>
          <cell r="B899">
            <v>522295</v>
          </cell>
          <cell r="C899" t="str">
            <v>CONTROLPR</v>
          </cell>
        </row>
        <row r="900">
          <cell r="A900" t="str">
            <v>CORAL INDIA FINANCE &amp; HOUSING LTD</v>
          </cell>
          <cell r="B900">
            <v>531556</v>
          </cell>
          <cell r="C900" t="str">
            <v>CORALFINAC</v>
          </cell>
        </row>
        <row r="901">
          <cell r="A901" t="str">
            <v>CORAL LABORATORIES LTD</v>
          </cell>
          <cell r="B901">
            <v>524506</v>
          </cell>
          <cell r="C901" t="str">
            <v>Not Listed</v>
          </cell>
        </row>
        <row r="902">
          <cell r="A902" t="str">
            <v>CORAL NEWSPRINTS LTD.</v>
          </cell>
          <cell r="B902">
            <v>530755</v>
          </cell>
          <cell r="C902" t="str">
            <v>CORNE</v>
          </cell>
        </row>
        <row r="903">
          <cell r="A903" t="str">
            <v>CORDS CABLE INDUSTRIES LTD</v>
          </cell>
          <cell r="B903">
            <v>532941</v>
          </cell>
          <cell r="C903" t="str">
            <v>CORDSCABLE</v>
          </cell>
        </row>
        <row r="904">
          <cell r="A904" t="str">
            <v>COROMANDEL AGRO PRODUCTS &amp; OILS LTD</v>
          </cell>
          <cell r="B904">
            <v>507543</v>
          </cell>
          <cell r="C904" t="str">
            <v>Not Listed</v>
          </cell>
        </row>
        <row r="905">
          <cell r="A905" t="str">
            <v>COROMANDEL ENGINEERING COMPANY LTD</v>
          </cell>
          <cell r="B905">
            <v>533167</v>
          </cell>
          <cell r="C905" t="str">
            <v>Not Listed</v>
          </cell>
        </row>
        <row r="906">
          <cell r="A906" t="str">
            <v>COROMANDEL INTERNATIONAL LTD</v>
          </cell>
          <cell r="B906">
            <v>506395</v>
          </cell>
          <cell r="C906" t="str">
            <v>COROMANDEL</v>
          </cell>
        </row>
        <row r="907">
          <cell r="A907" t="str">
            <v>CORPORATE COURIER AND CARGO LTD</v>
          </cell>
          <cell r="B907">
            <v>526737</v>
          </cell>
          <cell r="C907" t="str">
            <v>Not Listed</v>
          </cell>
        </row>
        <row r="908">
          <cell r="A908" t="str">
            <v>CORPORATE MERCHANT BANKERS LTD</v>
          </cell>
          <cell r="B908">
            <v>540199</v>
          </cell>
          <cell r="C908" t="str">
            <v>Not Listed</v>
          </cell>
        </row>
        <row r="909">
          <cell r="A909" t="str">
            <v>CORPORATION BANK</v>
          </cell>
          <cell r="B909">
            <v>532179</v>
          </cell>
          <cell r="C909" t="str">
            <v>CORPBANK</v>
          </cell>
        </row>
        <row r="910">
          <cell r="A910" t="str">
            <v>COSBOARD INDUSTRIES LTD</v>
          </cell>
          <cell r="B910">
            <v>530859</v>
          </cell>
          <cell r="C910" t="str">
            <v>Not Listed</v>
          </cell>
        </row>
        <row r="911">
          <cell r="A911" t="str">
            <v>COSCO (INDIA) LTD</v>
          </cell>
          <cell r="B911">
            <v>530545</v>
          </cell>
          <cell r="C911" t="str">
            <v>Not Listed</v>
          </cell>
        </row>
        <row r="912">
          <cell r="A912" t="str">
            <v>COSCO INDIA LTD</v>
          </cell>
          <cell r="B912">
            <v>530545</v>
          </cell>
          <cell r="C912" t="str">
            <v>Not Listed</v>
          </cell>
        </row>
        <row r="913">
          <cell r="A913" t="str">
            <v>COSMO FERRITES LTD</v>
          </cell>
          <cell r="B913">
            <v>523100</v>
          </cell>
          <cell r="C913" t="str">
            <v>Not Listed</v>
          </cell>
        </row>
        <row r="914">
          <cell r="A914" t="str">
            <v>COSMO FILMS LTD</v>
          </cell>
          <cell r="B914">
            <v>508814</v>
          </cell>
          <cell r="C914" t="str">
            <v>COSMOFILMS</v>
          </cell>
        </row>
        <row r="915">
          <cell r="A915" t="str">
            <v>COSYN LTD</v>
          </cell>
          <cell r="B915">
            <v>538922</v>
          </cell>
          <cell r="C915" t="str">
            <v>Not Listed</v>
          </cell>
        </row>
        <row r="916">
          <cell r="A916" t="str">
            <v>COUNTRY CLUB HOSPITALITY &amp; HOLIDAYS LTD</v>
          </cell>
          <cell r="B916">
            <v>526550</v>
          </cell>
          <cell r="C916" t="str">
            <v>CCHHL</v>
          </cell>
        </row>
        <row r="917">
          <cell r="A917" t="str">
            <v>COUNTRY CONDO'S LTD</v>
          </cell>
          <cell r="B917">
            <v>531624</v>
          </cell>
          <cell r="C917" t="str">
            <v>COUNCODOS</v>
          </cell>
        </row>
        <row r="918">
          <cell r="A918" t="str">
            <v>COVENTRY COIL-O-MATIC HARYANA LTD</v>
          </cell>
          <cell r="B918">
            <v>523415</v>
          </cell>
          <cell r="C918" t="str">
            <v>Not Listed</v>
          </cell>
        </row>
        <row r="919">
          <cell r="A919" t="str">
            <v>COVIDH TECHNOLOGIES LTD</v>
          </cell>
          <cell r="B919">
            <v>534920</v>
          </cell>
          <cell r="C919" t="str">
            <v>Not Listed</v>
          </cell>
        </row>
        <row r="920">
          <cell r="A920" t="str">
            <v>COX &amp; KINGS LTD</v>
          </cell>
          <cell r="B920">
            <v>533144</v>
          </cell>
          <cell r="C920" t="str">
            <v>COX&amp;KINGS</v>
          </cell>
        </row>
        <row r="921">
          <cell r="A921" t="str">
            <v>Cox &amp;amp; Kings Financial Service Ltd</v>
          </cell>
          <cell r="B921">
            <v>542641</v>
          </cell>
          <cell r="C921" t="str">
            <v>CKFSL</v>
          </cell>
        </row>
        <row r="922">
          <cell r="A922" t="str">
            <v>CRANE INFRASTRUCTURE LTD</v>
          </cell>
          <cell r="B922">
            <v>538770</v>
          </cell>
          <cell r="C922" t="str">
            <v>Not Listed</v>
          </cell>
        </row>
        <row r="923">
          <cell r="A923" t="str">
            <v>CRANES SOFTWARE INTERNATIONAL LTD</v>
          </cell>
          <cell r="B923">
            <v>512093</v>
          </cell>
          <cell r="C923" t="str">
            <v>Not Listed</v>
          </cell>
        </row>
        <row r="924">
          <cell r="A924" t="str">
            <v>CRANEX LTD</v>
          </cell>
          <cell r="B924">
            <v>522001</v>
          </cell>
          <cell r="C924" t="str">
            <v>Not Listed</v>
          </cell>
        </row>
        <row r="925">
          <cell r="A925" t="str">
            <v>CRAVATEX LTD</v>
          </cell>
          <cell r="B925">
            <v>509472</v>
          </cell>
          <cell r="C925" t="str">
            <v>Not Listed</v>
          </cell>
        </row>
        <row r="926">
          <cell r="A926" t="str">
            <v>CRAZY INFOTECH LTD</v>
          </cell>
          <cell r="B926">
            <v>524388</v>
          </cell>
          <cell r="C926" t="str">
            <v>Not Listed</v>
          </cell>
        </row>
        <row r="927">
          <cell r="A927" t="str">
            <v>CREATIVE CASTINGS LTD</v>
          </cell>
          <cell r="B927">
            <v>539527</v>
          </cell>
          <cell r="C927" t="str">
            <v>Not Listed</v>
          </cell>
        </row>
        <row r="928">
          <cell r="A928" t="str">
            <v>CREATIVE EYE LTD</v>
          </cell>
          <cell r="B928">
            <v>532392</v>
          </cell>
          <cell r="C928" t="str">
            <v>CREATIVEYE</v>
          </cell>
        </row>
        <row r="929">
          <cell r="A929" t="str">
            <v>CREATIVE PERIPHERALS AND DISTRIBUTION LTD</v>
          </cell>
          <cell r="B929" t="str">
            <v>Not Listed</v>
          </cell>
          <cell r="C929" t="str">
            <v>CREATIVE</v>
          </cell>
        </row>
        <row r="930">
          <cell r="A930" t="str">
            <v>CREDITACCESS GRAMEEN LTD</v>
          </cell>
          <cell r="B930">
            <v>541770</v>
          </cell>
          <cell r="C930" t="str">
            <v>CREDITACC</v>
          </cell>
        </row>
        <row r="931">
          <cell r="A931" t="str">
            <v>CRESCENT LEASING LTD</v>
          </cell>
          <cell r="B931">
            <v>539131</v>
          </cell>
          <cell r="C931" t="str">
            <v>Not Listed</v>
          </cell>
        </row>
        <row r="932">
          <cell r="A932" t="str">
            <v>CRESSANDA SOLUTIONS LTD</v>
          </cell>
          <cell r="B932">
            <v>512379</v>
          </cell>
          <cell r="C932" t="str">
            <v>Not Listed</v>
          </cell>
        </row>
        <row r="933">
          <cell r="A933" t="str">
            <v>CREST VENTURES LTD</v>
          </cell>
          <cell r="B933">
            <v>511413</v>
          </cell>
          <cell r="C933" t="str">
            <v>CREST</v>
          </cell>
        </row>
        <row r="934">
          <cell r="A934" t="str">
            <v>CRESTCHEM LTD</v>
          </cell>
          <cell r="B934">
            <v>526269</v>
          </cell>
          <cell r="C934" t="str">
            <v>Not Listed</v>
          </cell>
        </row>
        <row r="935">
          <cell r="A935" t="str">
            <v>CRIMSON METAL ENGINEERING COMPANY LTD</v>
          </cell>
          <cell r="B935">
            <v>526977</v>
          </cell>
          <cell r="C935" t="str">
            <v>Not Listed</v>
          </cell>
        </row>
        <row r="936">
          <cell r="A936" t="str">
            <v>CRISIL LTD</v>
          </cell>
          <cell r="B936">
            <v>500092</v>
          </cell>
          <cell r="C936" t="str">
            <v>CRISIL</v>
          </cell>
        </row>
        <row r="937">
          <cell r="A937" t="str">
            <v>CROMPTON GREAVES CONSUMER ELECTRICALS LTD</v>
          </cell>
          <cell r="B937">
            <v>539876</v>
          </cell>
          <cell r="C937" t="str">
            <v>CROMPTON</v>
          </cell>
        </row>
        <row r="938">
          <cell r="A938" t="str">
            <v>CROWN LIFTERS LTD</v>
          </cell>
          <cell r="B938" t="str">
            <v>Not Listed</v>
          </cell>
          <cell r="C938" t="str">
            <v>CROWN</v>
          </cell>
        </row>
        <row r="939">
          <cell r="A939" t="str">
            <v>CROWN TOURS LTD</v>
          </cell>
          <cell r="B939">
            <v>538521</v>
          </cell>
          <cell r="C939" t="str">
            <v>Not Listed</v>
          </cell>
        </row>
        <row r="940">
          <cell r="A940" t="str">
            <v>CRP RISK MANAGEMENT LTD</v>
          </cell>
          <cell r="B940">
            <v>540903</v>
          </cell>
          <cell r="C940" t="str">
            <v>Not Listed</v>
          </cell>
        </row>
        <row r="941">
          <cell r="A941" t="str">
            <v>CSL FINANCE LTD</v>
          </cell>
          <cell r="B941">
            <v>530067</v>
          </cell>
          <cell r="C941" t="str">
            <v>Not Listed</v>
          </cell>
        </row>
        <row r="942">
          <cell r="A942" t="str">
            <v>CUBEX TUBINGS LTD</v>
          </cell>
          <cell r="B942">
            <v>526027</v>
          </cell>
          <cell r="C942" t="str">
            <v>CUBEXTUB</v>
          </cell>
        </row>
        <row r="943">
          <cell r="A943" t="str">
            <v>CUBICAL FINANCIAL SERVICES LTD</v>
          </cell>
          <cell r="B943">
            <v>511710</v>
          </cell>
          <cell r="C943" t="str">
            <v>Not Listed</v>
          </cell>
        </row>
        <row r="944">
          <cell r="A944" t="str">
            <v>CUMMINS (INDIA) LTD</v>
          </cell>
          <cell r="B944">
            <v>500480</v>
          </cell>
          <cell r="C944" t="str">
            <v>CUMMINSIND</v>
          </cell>
        </row>
        <row r="945">
          <cell r="A945" t="str">
            <v>CUMMINS INDIA LTD</v>
          </cell>
          <cell r="B945">
            <v>500480</v>
          </cell>
          <cell r="C945" t="str">
            <v>CUMMINSIND</v>
          </cell>
        </row>
        <row r="946">
          <cell r="A946" t="str">
            <v>CUPID LTD</v>
          </cell>
          <cell r="B946">
            <v>530843</v>
          </cell>
          <cell r="C946" t="str">
            <v>CUPID</v>
          </cell>
        </row>
        <row r="947">
          <cell r="A947" t="str">
            <v>CURA TECHNOLOGIES LTD</v>
          </cell>
          <cell r="B947">
            <v>532332</v>
          </cell>
          <cell r="C947" t="str">
            <v>CURATECH</v>
          </cell>
        </row>
        <row r="948">
          <cell r="A948" t="str">
            <v>CYBELE INDUSTRIES LTD</v>
          </cell>
          <cell r="B948">
            <v>531472</v>
          </cell>
          <cell r="C948" t="str">
            <v>Not Listed</v>
          </cell>
        </row>
        <row r="949">
          <cell r="A949" t="str">
            <v>CYBER MEDIA (INDIA) LTD</v>
          </cell>
          <cell r="B949">
            <v>532640</v>
          </cell>
          <cell r="C949" t="str">
            <v>CYBERMEDIA</v>
          </cell>
        </row>
        <row r="950">
          <cell r="A950" t="str">
            <v>CYBER MEDIA INDIA LTD</v>
          </cell>
          <cell r="B950">
            <v>532640</v>
          </cell>
          <cell r="C950" t="str">
            <v>CYBERMEDIA</v>
          </cell>
        </row>
        <row r="951">
          <cell r="A951" t="str">
            <v>CYBERMATE INFOTEK LTD</v>
          </cell>
          <cell r="B951">
            <v>532271</v>
          </cell>
          <cell r="C951" t="str">
            <v>Not Listed</v>
          </cell>
        </row>
        <row r="952">
          <cell r="A952" t="str">
            <v>CYBERTECH SYSTEMS AND SOFTWARE LTD</v>
          </cell>
          <cell r="B952">
            <v>532173</v>
          </cell>
          <cell r="C952" t="str">
            <v>CYBERTECH</v>
          </cell>
        </row>
        <row r="953">
          <cell r="A953" t="str">
            <v>CYIENT LTD</v>
          </cell>
          <cell r="B953">
            <v>532175</v>
          </cell>
          <cell r="C953" t="str">
            <v>CYIENT</v>
          </cell>
        </row>
        <row r="954">
          <cell r="A954" t="str">
            <v>D B CORP LTD</v>
          </cell>
          <cell r="B954">
            <v>533151</v>
          </cell>
          <cell r="C954" t="str">
            <v>DBCORP</v>
          </cell>
        </row>
        <row r="955">
          <cell r="A955" t="str">
            <v>D B REALTY LTD</v>
          </cell>
          <cell r="B955">
            <v>533160</v>
          </cell>
          <cell r="C955" t="str">
            <v>DBREALTY</v>
          </cell>
        </row>
        <row r="956">
          <cell r="A956" t="str">
            <v>D P ABHUSHAN LTD</v>
          </cell>
          <cell r="B956" t="str">
            <v>Not Listed</v>
          </cell>
          <cell r="C956" t="str">
            <v>DPABHUSHAN</v>
          </cell>
        </row>
        <row r="957">
          <cell r="A957" t="str">
            <v>D P WIRES LTD</v>
          </cell>
          <cell r="B957" t="str">
            <v>Not Listed</v>
          </cell>
          <cell r="C957" t="str">
            <v>DPWIRES</v>
          </cell>
        </row>
        <row r="958">
          <cell r="A958" t="str">
            <v>D&amp;H (INDIA) LTD</v>
          </cell>
          <cell r="B958">
            <v>517514</v>
          </cell>
          <cell r="C958" t="str">
            <v>Not Listed</v>
          </cell>
        </row>
        <row r="959">
          <cell r="A959" t="str">
            <v>D&amp;H INDIA LTD</v>
          </cell>
          <cell r="B959">
            <v>517514</v>
          </cell>
          <cell r="C959" t="str">
            <v>Not Listed</v>
          </cell>
        </row>
        <row r="960">
          <cell r="A960" t="str">
            <v>DABUR (INDIA) LTD</v>
          </cell>
          <cell r="B960">
            <v>500096</v>
          </cell>
          <cell r="C960" t="str">
            <v>DABUR</v>
          </cell>
        </row>
        <row r="961">
          <cell r="A961" t="str">
            <v>DABUR INDIA LTD</v>
          </cell>
          <cell r="B961">
            <v>500096</v>
          </cell>
          <cell r="C961" t="str">
            <v>DABUR</v>
          </cell>
        </row>
        <row r="962">
          <cell r="A962" t="str">
            <v>DAI-ICHI KARKARIA LTD</v>
          </cell>
          <cell r="B962">
            <v>526821</v>
          </cell>
          <cell r="C962" t="str">
            <v>Not Listed</v>
          </cell>
        </row>
        <row r="963">
          <cell r="A963" t="str">
            <v>DAIKAFFIL CHEMICALS (INDIA) LTD</v>
          </cell>
          <cell r="B963">
            <v>530825</v>
          </cell>
          <cell r="C963" t="str">
            <v>Not Listed</v>
          </cell>
        </row>
        <row r="964">
          <cell r="A964" t="str">
            <v>DAIKAFFIL CHEMICALS INDIA LTD</v>
          </cell>
          <cell r="B964">
            <v>530825</v>
          </cell>
          <cell r="C964" t="str">
            <v>Not Listed</v>
          </cell>
        </row>
        <row r="965">
          <cell r="A965" t="str">
            <v>DALAL STREET INVESTMENTS LTD</v>
          </cell>
          <cell r="B965">
            <v>501148</v>
          </cell>
          <cell r="C965" t="str">
            <v>Not Listed</v>
          </cell>
        </row>
        <row r="966">
          <cell r="A966" t="str">
            <v>Dalmia Bharat Ltd</v>
          </cell>
          <cell r="B966">
            <v>542216</v>
          </cell>
          <cell r="C966" t="str">
            <v>DALBHARAT</v>
          </cell>
        </row>
        <row r="967">
          <cell r="A967" t="str">
            <v>DALMIA BHARAT SUGAR AND INDUSTRIES LTD</v>
          </cell>
          <cell r="B967">
            <v>500097</v>
          </cell>
          <cell r="C967" t="str">
            <v>DALMIASUG</v>
          </cell>
        </row>
        <row r="968">
          <cell r="A968" t="str">
            <v>DALMIA INDUSTRIAL DEVELOPMENT LTD</v>
          </cell>
          <cell r="B968">
            <v>539900</v>
          </cell>
          <cell r="C968" t="str">
            <v>Not Listed</v>
          </cell>
        </row>
        <row r="969">
          <cell r="A969" t="str">
            <v>DAMODAR INDUSTRIES LTD</v>
          </cell>
          <cell r="B969">
            <v>521220</v>
          </cell>
          <cell r="C969" t="str">
            <v>DAMODARIND</v>
          </cell>
        </row>
        <row r="970">
          <cell r="A970" t="str">
            <v>DANGEE DUMS LTD</v>
          </cell>
          <cell r="B970" t="str">
            <v>Not Listed</v>
          </cell>
          <cell r="C970" t="str">
            <v>DANGEE</v>
          </cell>
        </row>
        <row r="971">
          <cell r="A971" t="str">
            <v>DANLAW TECHNOLOGIES (INDIA) LTD</v>
          </cell>
          <cell r="B971">
            <v>532329</v>
          </cell>
          <cell r="C971" t="str">
            <v>Not Listed</v>
          </cell>
        </row>
        <row r="972">
          <cell r="A972" t="str">
            <v>DANLAW TECHNOLOGIES INDIA LTD</v>
          </cell>
          <cell r="B972">
            <v>532329</v>
          </cell>
          <cell r="C972" t="str">
            <v>Not Listed</v>
          </cell>
        </row>
        <row r="973">
          <cell r="A973" t="str">
            <v>DANUBE INDUSTRIES LTD</v>
          </cell>
          <cell r="B973">
            <v>540361</v>
          </cell>
          <cell r="C973" t="str">
            <v>Not Listed</v>
          </cell>
        </row>
        <row r="974">
          <cell r="A974" t="str">
            <v>DARJEELING ROPEWAY COMPANY LTD</v>
          </cell>
          <cell r="B974">
            <v>539770</v>
          </cell>
          <cell r="C974" t="str">
            <v>Not Listed</v>
          </cell>
        </row>
        <row r="975">
          <cell r="A975" t="str">
            <v>DARSHAN ORNA LTD</v>
          </cell>
          <cell r="B975">
            <v>539884</v>
          </cell>
          <cell r="C975" t="str">
            <v>Not Listed</v>
          </cell>
        </row>
        <row r="976">
          <cell r="A976" t="str">
            <v>DATAMATICS GLOBAL SERVICES LTD</v>
          </cell>
          <cell r="B976">
            <v>532528</v>
          </cell>
          <cell r="C976" t="str">
            <v>DATAMATICS</v>
          </cell>
        </row>
        <row r="977">
          <cell r="A977" t="str">
            <v>DAULAT SECURITIES LTD</v>
          </cell>
          <cell r="B977">
            <v>530171</v>
          </cell>
          <cell r="C977" t="str">
            <v>Not Listed</v>
          </cell>
        </row>
        <row r="978">
          <cell r="A978" t="str">
            <v>DB INTERNATIONAL STOCK BROKERS LTD</v>
          </cell>
          <cell r="B978">
            <v>530393</v>
          </cell>
          <cell r="C978" t="str">
            <v>DBSTOCKBRO</v>
          </cell>
        </row>
        <row r="979">
          <cell r="A979" t="str">
            <v>DCB BANK LTD</v>
          </cell>
          <cell r="B979">
            <v>532772</v>
          </cell>
          <cell r="C979" t="str">
            <v>DCBBANK</v>
          </cell>
        </row>
        <row r="980">
          <cell r="A980" t="str">
            <v>DCM FINANCIAL SERVICES LTD</v>
          </cell>
          <cell r="B980">
            <v>511611</v>
          </cell>
          <cell r="C980" t="str">
            <v>DCMFINSERV</v>
          </cell>
        </row>
        <row r="981">
          <cell r="A981" t="str">
            <v>DCM LTD</v>
          </cell>
          <cell r="B981">
            <v>502820</v>
          </cell>
          <cell r="C981" t="str">
            <v>DCM</v>
          </cell>
        </row>
        <row r="982">
          <cell r="A982" t="str">
            <v>DCM SHRIRAM INDUSTRIES LTD</v>
          </cell>
          <cell r="B982">
            <v>523369</v>
          </cell>
          <cell r="C982" t="str">
            <v>Not Listed</v>
          </cell>
        </row>
        <row r="983">
          <cell r="A983" t="str">
            <v>DCM SHRIRAM LTD</v>
          </cell>
          <cell r="B983">
            <v>523367</v>
          </cell>
          <cell r="C983" t="str">
            <v>DCMSHRIRAM</v>
          </cell>
        </row>
        <row r="984">
          <cell r="A984" t="str">
            <v>DCW LTD</v>
          </cell>
          <cell r="B984">
            <v>500117</v>
          </cell>
          <cell r="C984" t="str">
            <v>DCW</v>
          </cell>
        </row>
        <row r="985">
          <cell r="A985" t="str">
            <v>DE NORA (INDIA) LTD</v>
          </cell>
          <cell r="B985">
            <v>590031</v>
          </cell>
          <cell r="C985" t="str">
            <v>DENORA</v>
          </cell>
        </row>
        <row r="986">
          <cell r="A986" t="str">
            <v>DE NORA INDIA LTD</v>
          </cell>
          <cell r="B986">
            <v>590031</v>
          </cell>
          <cell r="C986" t="str">
            <v>DENORA</v>
          </cell>
        </row>
        <row r="987">
          <cell r="A987" t="str">
            <v>DEBOCK SALES AND MARKETING LTD</v>
          </cell>
          <cell r="B987" t="str">
            <v>Not Listed</v>
          </cell>
          <cell r="C987" t="str">
            <v>DSML</v>
          </cell>
        </row>
        <row r="988">
          <cell r="A988" t="str">
            <v>DECCAN BEARINGS LTD</v>
          </cell>
          <cell r="B988">
            <v>505703</v>
          </cell>
          <cell r="C988" t="str">
            <v>Not Listed</v>
          </cell>
        </row>
        <row r="989">
          <cell r="A989" t="str">
            <v>DECCAN CEMENTS LTD</v>
          </cell>
          <cell r="B989">
            <v>502137</v>
          </cell>
          <cell r="C989" t="str">
            <v>DECCANCE</v>
          </cell>
        </row>
        <row r="990">
          <cell r="A990" t="str">
            <v>DECCAN GOLD MINES LTD</v>
          </cell>
          <cell r="B990">
            <v>512068</v>
          </cell>
          <cell r="C990" t="str">
            <v>Not Listed</v>
          </cell>
        </row>
        <row r="991">
          <cell r="A991" t="str">
            <v>Deccan Health Care Ltd</v>
          </cell>
          <cell r="B991">
            <v>542248</v>
          </cell>
          <cell r="C991" t="str">
            <v>DECCAN</v>
          </cell>
        </row>
        <row r="992">
          <cell r="A992" t="str">
            <v>DECCAN POLYPACKS LTD</v>
          </cell>
          <cell r="B992">
            <v>531989</v>
          </cell>
          <cell r="C992" t="str">
            <v>Not Listed</v>
          </cell>
        </row>
        <row r="993">
          <cell r="A993" t="str">
            <v>DECILLION FINANCE LTD</v>
          </cell>
          <cell r="B993">
            <v>539190</v>
          </cell>
          <cell r="C993" t="str">
            <v>Not Listed</v>
          </cell>
        </row>
        <row r="994">
          <cell r="A994" t="str">
            <v>DECO-MICA LTD</v>
          </cell>
          <cell r="B994">
            <v>531227</v>
          </cell>
          <cell r="C994" t="str">
            <v>Not Listed</v>
          </cell>
        </row>
        <row r="995">
          <cell r="A995" t="str">
            <v>DECOROUS INVESTMENT &amp; TRADING CO LTD</v>
          </cell>
          <cell r="B995">
            <v>539405</v>
          </cell>
          <cell r="C995" t="str">
            <v>Not Listed</v>
          </cell>
        </row>
        <row r="996">
          <cell r="A996" t="str">
            <v>DEEP DIAMOND (INDIA) LTD</v>
          </cell>
          <cell r="B996">
            <v>539559</v>
          </cell>
          <cell r="C996" t="str">
            <v>Not Listed</v>
          </cell>
        </row>
        <row r="997">
          <cell r="A997" t="str">
            <v>DEEP DIAMOND INDIA LTD</v>
          </cell>
          <cell r="B997">
            <v>539559</v>
          </cell>
          <cell r="C997" t="str">
            <v>Not Listed</v>
          </cell>
        </row>
        <row r="998">
          <cell r="A998" t="str">
            <v>DEEP INDUSTRIES LTD</v>
          </cell>
          <cell r="B998">
            <v>532760</v>
          </cell>
          <cell r="C998" t="str">
            <v>DEEPIND</v>
          </cell>
        </row>
        <row r="999">
          <cell r="A999" t="str">
            <v>DEEP POLYMERS LTD</v>
          </cell>
          <cell r="B999">
            <v>541778</v>
          </cell>
          <cell r="C999" t="str">
            <v>Not Listed</v>
          </cell>
        </row>
        <row r="1000">
          <cell r="A1000" t="str">
            <v>DEEPAK FERTILIZERS AND PETROCHEMICALS CORPORATION LTD</v>
          </cell>
          <cell r="B1000">
            <v>500645</v>
          </cell>
          <cell r="C1000" t="str">
            <v>DEEPAKFERT</v>
          </cell>
        </row>
        <row r="1001">
          <cell r="A1001" t="str">
            <v>DEEPAK NITRITE LTD</v>
          </cell>
          <cell r="B1001">
            <v>506401</v>
          </cell>
          <cell r="C1001" t="str">
            <v>DEEPAKNTR</v>
          </cell>
        </row>
        <row r="1002">
          <cell r="A1002" t="str">
            <v>DEEPAK SPINNERS LTD</v>
          </cell>
          <cell r="B1002">
            <v>514030</v>
          </cell>
          <cell r="C1002" t="str">
            <v>Not Listed</v>
          </cell>
        </row>
        <row r="1003">
          <cell r="A1003" t="str">
            <v>DEEPTI ALLOY STEEL LTD</v>
          </cell>
          <cell r="B1003">
            <v>539455</v>
          </cell>
          <cell r="C1003" t="str">
            <v>Not Listed</v>
          </cell>
        </row>
        <row r="1004">
          <cell r="A1004" t="str">
            <v>DEKSON CASTINGS LTD</v>
          </cell>
          <cell r="B1004">
            <v>780006</v>
          </cell>
          <cell r="C1004" t="str">
            <v>Not Listed</v>
          </cell>
        </row>
        <row r="1005">
          <cell r="A1005" t="str">
            <v>DELTA CORP LTD</v>
          </cell>
          <cell r="B1005">
            <v>532848</v>
          </cell>
          <cell r="C1005" t="str">
            <v>DELTACORP</v>
          </cell>
        </row>
        <row r="1006">
          <cell r="A1006" t="str">
            <v>DELTA INDUSTRIAL RESOURCES LTD</v>
          </cell>
          <cell r="B1006">
            <v>539596</v>
          </cell>
          <cell r="C1006" t="str">
            <v>Not Listed</v>
          </cell>
        </row>
        <row r="1007">
          <cell r="A1007" t="str">
            <v>DELTA MAGNETS LTD</v>
          </cell>
          <cell r="B1007">
            <v>504286</v>
          </cell>
          <cell r="C1007" t="str">
            <v>DELTAMAGNT</v>
          </cell>
        </row>
        <row r="1008">
          <cell r="A1008" t="str">
            <v>DELTON CABLES LTD</v>
          </cell>
          <cell r="B1008">
            <v>504240</v>
          </cell>
          <cell r="C1008" t="str">
            <v>Not Listed</v>
          </cell>
        </row>
        <row r="1009">
          <cell r="A1009" t="str">
            <v>DELTRON LTD</v>
          </cell>
          <cell r="B1009">
            <v>504256</v>
          </cell>
          <cell r="C1009" t="str">
            <v>Not Listed</v>
          </cell>
        </row>
        <row r="1010">
          <cell r="A1010" t="str">
            <v>DEN NETWORKS LTD</v>
          </cell>
          <cell r="B1010">
            <v>533137</v>
          </cell>
          <cell r="C1010" t="str">
            <v>DEN</v>
          </cell>
        </row>
        <row r="1011">
          <cell r="A1011" t="str">
            <v>DENA BANK</v>
          </cell>
          <cell r="B1011">
            <v>532121</v>
          </cell>
          <cell r="C1011" t="str">
            <v>DENABANK</v>
          </cell>
        </row>
        <row r="1012">
          <cell r="A1012" t="str">
            <v>DENIS CHEM LAB LTD</v>
          </cell>
          <cell r="B1012">
            <v>537536</v>
          </cell>
          <cell r="C1012" t="str">
            <v>Not Listed</v>
          </cell>
        </row>
        <row r="1013">
          <cell r="A1013" t="str">
            <v>DESH RAKSHAK AUSHDHALAYA LTD</v>
          </cell>
          <cell r="B1013">
            <v>531521</v>
          </cell>
          <cell r="C1013" t="str">
            <v>Not Listed</v>
          </cell>
        </row>
        <row r="1014">
          <cell r="A1014" t="str">
            <v>DEV INFORMATION TECHNOLOGY LTD</v>
          </cell>
          <cell r="B1014" t="str">
            <v>Not Listed</v>
          </cell>
          <cell r="C1014" t="str">
            <v>DEVIT</v>
          </cell>
        </row>
        <row r="1015">
          <cell r="A1015" t="str">
            <v>DEVHARI EXPORTS (INDIA) LTD</v>
          </cell>
          <cell r="B1015">
            <v>539197</v>
          </cell>
          <cell r="C1015" t="str">
            <v>Not Listed</v>
          </cell>
        </row>
        <row r="1016">
          <cell r="A1016" t="str">
            <v>DEVHARI EXPORTS INDIA LTD</v>
          </cell>
          <cell r="B1016">
            <v>539197</v>
          </cell>
          <cell r="C1016" t="str">
            <v>Not Listed</v>
          </cell>
        </row>
        <row r="1017">
          <cell r="A1017" t="str">
            <v>DEVINE IMPEX LTD</v>
          </cell>
          <cell r="B1017">
            <v>531585</v>
          </cell>
          <cell r="C1017" t="str">
            <v>Not Listed</v>
          </cell>
        </row>
        <row r="1018">
          <cell r="A1018" t="str">
            <v>DEVINSU TRADING LTD</v>
          </cell>
          <cell r="B1018">
            <v>512445</v>
          </cell>
          <cell r="C1018" t="str">
            <v>Not Listed</v>
          </cell>
        </row>
        <row r="1019">
          <cell r="A1019" t="str">
            <v>DEVKI LEASING &amp; FINANCE LTD</v>
          </cell>
          <cell r="B1019">
            <v>530765</v>
          </cell>
          <cell r="C1019" t="str">
            <v>Not Listed</v>
          </cell>
        </row>
        <row r="1020">
          <cell r="A1020" t="str">
            <v>DEVOTED CONSTRUCTION LTD</v>
          </cell>
          <cell r="B1020">
            <v>542002</v>
          </cell>
          <cell r="C1020" t="str">
            <v>Not Listed</v>
          </cell>
        </row>
        <row r="1021">
          <cell r="A1021" t="str">
            <v>DEWAN HOUSING FINANCE CORPORATION LTD</v>
          </cell>
          <cell r="B1021">
            <v>511072</v>
          </cell>
          <cell r="C1021" t="str">
            <v>DHFL</v>
          </cell>
        </row>
        <row r="1022">
          <cell r="A1022" t="str">
            <v>DFM FOODS LTD</v>
          </cell>
          <cell r="B1022">
            <v>519588</v>
          </cell>
          <cell r="C1022" t="str">
            <v>DFMFOODS</v>
          </cell>
        </row>
        <row r="1023">
          <cell r="A1023" t="str">
            <v>DHABRIYA POLYWOOD LTD</v>
          </cell>
          <cell r="B1023">
            <v>538715</v>
          </cell>
          <cell r="C1023" t="str">
            <v>Not Listed</v>
          </cell>
        </row>
        <row r="1024">
          <cell r="A1024" t="str">
            <v>DHAMPUR SUGAR MILLS LTD</v>
          </cell>
          <cell r="B1024">
            <v>500119</v>
          </cell>
          <cell r="C1024" t="str">
            <v>DHAMPURSUG</v>
          </cell>
        </row>
        <row r="1025">
          <cell r="A1025" t="str">
            <v>DHAMPURE SPECIALITY SUGARS LTD</v>
          </cell>
          <cell r="B1025">
            <v>531923</v>
          </cell>
          <cell r="C1025" t="str">
            <v>Not Listed</v>
          </cell>
        </row>
        <row r="1026">
          <cell r="A1026" t="str">
            <v>DHANADA CORPORATION LTD</v>
          </cell>
          <cell r="B1026">
            <v>531198</v>
          </cell>
          <cell r="C1026" t="str">
            <v>Not Listed</v>
          </cell>
        </row>
        <row r="1027">
          <cell r="A1027" t="str">
            <v>DHANALAXMI ROTO SPINNERS LTD</v>
          </cell>
          <cell r="B1027">
            <v>521216</v>
          </cell>
          <cell r="C1027" t="str">
            <v>Not Listed</v>
          </cell>
        </row>
        <row r="1028">
          <cell r="A1028" t="str">
            <v>Dhanashree Electronics Ltd</v>
          </cell>
          <cell r="B1028">
            <v>542679</v>
          </cell>
          <cell r="C1028" t="str">
            <v>DEL</v>
          </cell>
        </row>
        <row r="1029">
          <cell r="A1029" t="str">
            <v>DHANLAXMI BANK LTD</v>
          </cell>
          <cell r="B1029">
            <v>532180</v>
          </cell>
          <cell r="C1029" t="str">
            <v>DHANBANK</v>
          </cell>
        </row>
        <row r="1030">
          <cell r="A1030" t="str">
            <v>DHANLAXMI COTEX LTD</v>
          </cell>
          <cell r="B1030">
            <v>512485</v>
          </cell>
          <cell r="C1030" t="str">
            <v>Not Listed</v>
          </cell>
        </row>
        <row r="1031">
          <cell r="A1031" t="str">
            <v>DHANLAXMI FABRICS LTD</v>
          </cell>
          <cell r="B1031">
            <v>521151</v>
          </cell>
          <cell r="C1031" t="str">
            <v>Not Listed</v>
          </cell>
        </row>
        <row r="1032">
          <cell r="A1032" t="str">
            <v>DHANLEELA INVESTMENTS &amp; TRADING COMPANY LTD</v>
          </cell>
          <cell r="B1032">
            <v>503637</v>
          </cell>
          <cell r="C1032" t="str">
            <v>Not Listed</v>
          </cell>
        </row>
        <row r="1033">
          <cell r="A1033" t="str">
            <v>DHANUKA AGRITECH LTD</v>
          </cell>
          <cell r="B1033">
            <v>507717</v>
          </cell>
          <cell r="C1033" t="str">
            <v>DHANUKA</v>
          </cell>
        </row>
        <row r="1034">
          <cell r="A1034" t="str">
            <v>DHANUKA COMMERCIAL LTD</v>
          </cell>
          <cell r="B1034">
            <v>538446</v>
          </cell>
          <cell r="C1034" t="str">
            <v>Not Listed</v>
          </cell>
        </row>
        <row r="1035">
          <cell r="A1035" t="str">
            <v>DHANUKA REALTY LTD</v>
          </cell>
          <cell r="B1035" t="str">
            <v>Not Listed</v>
          </cell>
          <cell r="C1035" t="str">
            <v>DRL</v>
          </cell>
        </row>
        <row r="1036">
          <cell r="A1036" t="str">
            <v>DHANVANTRI JEEVAN REKHA LTD</v>
          </cell>
          <cell r="B1036">
            <v>531043</v>
          </cell>
          <cell r="C1036" t="str">
            <v>Not Listed</v>
          </cell>
        </row>
        <row r="1037">
          <cell r="A1037" t="str">
            <v>DHANVARSHA FINVEST LTD</v>
          </cell>
          <cell r="B1037">
            <v>540268</v>
          </cell>
          <cell r="C1037" t="str">
            <v>Not Listed</v>
          </cell>
        </row>
        <row r="1038">
          <cell r="A1038" t="str">
            <v>DHARAMSI MORARJI CHEMICAL CO LTD</v>
          </cell>
          <cell r="B1038">
            <v>506405</v>
          </cell>
          <cell r="C1038" t="str">
            <v>Not Listed</v>
          </cell>
        </row>
        <row r="1039">
          <cell r="A1039" t="str">
            <v>DHARANI FINANCE LTD</v>
          </cell>
          <cell r="B1039">
            <v>511451</v>
          </cell>
          <cell r="C1039" t="str">
            <v>Not Listed</v>
          </cell>
        </row>
        <row r="1040">
          <cell r="A1040" t="str">
            <v>DHARANI SUGARS &amp; CHEMICALS LTD</v>
          </cell>
          <cell r="B1040">
            <v>507442</v>
          </cell>
          <cell r="C1040" t="str">
            <v>DHARSUGAR</v>
          </cell>
        </row>
        <row r="1041">
          <cell r="A1041" t="str">
            <v>DHENU BUILDCON INFRA LTD</v>
          </cell>
          <cell r="B1041">
            <v>501945</v>
          </cell>
          <cell r="C1041" t="str">
            <v>Not Listed</v>
          </cell>
        </row>
        <row r="1042">
          <cell r="A1042" t="str">
            <v>DHOOT INDUSTRIAL FINANCE LTD</v>
          </cell>
          <cell r="B1042">
            <v>526971</v>
          </cell>
          <cell r="C1042" t="str">
            <v>Not Listed</v>
          </cell>
        </row>
        <row r="1043">
          <cell r="A1043" t="str">
            <v>DHP (INDIA) LTD</v>
          </cell>
          <cell r="B1043">
            <v>531306</v>
          </cell>
          <cell r="C1043" t="str">
            <v>Not Listed</v>
          </cell>
        </row>
        <row r="1044">
          <cell r="A1044" t="str">
            <v>DHP INDIA LTD</v>
          </cell>
          <cell r="B1044">
            <v>531306</v>
          </cell>
          <cell r="C1044" t="str">
            <v>Not Listed</v>
          </cell>
        </row>
        <row r="1045">
          <cell r="A1045" t="str">
            <v>DHRUV CONSULTANCY SERVICES LTD</v>
          </cell>
          <cell r="B1045">
            <v>541302</v>
          </cell>
          <cell r="C1045" t="str">
            <v>Not Listed</v>
          </cell>
        </row>
        <row r="1046">
          <cell r="A1046" t="str">
            <v>DHRUV ESTATES LTD</v>
          </cell>
          <cell r="B1046">
            <v>507886</v>
          </cell>
          <cell r="C1046" t="str">
            <v>Not Listed</v>
          </cell>
        </row>
        <row r="1047">
          <cell r="A1047" t="str">
            <v>DHRUV WELLNESS LTD</v>
          </cell>
          <cell r="B1047">
            <v>540695</v>
          </cell>
          <cell r="C1047" t="str">
            <v>Not Listed</v>
          </cell>
        </row>
        <row r="1048">
          <cell r="A1048" t="str">
            <v>DHRUVA CAPITAL SERVICES LTD</v>
          </cell>
          <cell r="B1048">
            <v>531237</v>
          </cell>
          <cell r="C1048" t="str">
            <v>Not Listed</v>
          </cell>
        </row>
        <row r="1049">
          <cell r="A1049" t="str">
            <v>DHUNSERI INVESTMENTS LTD</v>
          </cell>
          <cell r="B1049">
            <v>533336</v>
          </cell>
          <cell r="C1049" t="str">
            <v>DHUNINV</v>
          </cell>
        </row>
        <row r="1050">
          <cell r="A1050" t="str">
            <v>DHUNSERI PETROCHEM LTD</v>
          </cell>
          <cell r="B1050">
            <v>523736</v>
          </cell>
          <cell r="C1050" t="str">
            <v>DPL</v>
          </cell>
        </row>
        <row r="1051">
          <cell r="A1051" t="str">
            <v>DHUNSERI TEA &amp; INDUSTRIES LTD</v>
          </cell>
          <cell r="B1051">
            <v>538902</v>
          </cell>
          <cell r="C1051" t="str">
            <v>DTIL</v>
          </cell>
        </row>
        <row r="1052">
          <cell r="A1052" t="str">
            <v>Dhunseri Ventures LTD</v>
          </cell>
          <cell r="B1052" t="str">
            <v>Not Listed</v>
          </cell>
          <cell r="C1052" t="str">
            <v>DVL</v>
          </cell>
        </row>
        <row r="1053">
          <cell r="A1053" t="str">
            <v>DIAMANT INFRASTRUCTURE LTD</v>
          </cell>
          <cell r="B1053">
            <v>508860</v>
          </cell>
          <cell r="C1053" t="str">
            <v>Not Listed</v>
          </cell>
        </row>
        <row r="1054">
          <cell r="A1054" t="str">
            <v>DIAMINES &amp; CHEMICALS LTD</v>
          </cell>
          <cell r="B1054">
            <v>500120</v>
          </cell>
          <cell r="C1054" t="str">
            <v>Not Listed</v>
          </cell>
        </row>
        <row r="1055">
          <cell r="A1055" t="str">
            <v>DIAMOND POWER INFRA LTD</v>
          </cell>
          <cell r="B1055">
            <v>522163</v>
          </cell>
          <cell r="C1055" t="str">
            <v>DIAPOWER</v>
          </cell>
        </row>
        <row r="1056">
          <cell r="A1056" t="str">
            <v>DIANA TEA CO LTD</v>
          </cell>
          <cell r="B1056">
            <v>530959</v>
          </cell>
          <cell r="C1056" t="str">
            <v>Not Listed</v>
          </cell>
        </row>
        <row r="1057">
          <cell r="A1057" t="str">
            <v>DIC (INDIA) LTD</v>
          </cell>
          <cell r="B1057">
            <v>500089</v>
          </cell>
          <cell r="C1057" t="str">
            <v>DICIND</v>
          </cell>
        </row>
        <row r="1058">
          <cell r="A1058" t="str">
            <v>DIC INDIA LTD</v>
          </cell>
          <cell r="B1058">
            <v>500089</v>
          </cell>
          <cell r="C1058" t="str">
            <v>DICIND</v>
          </cell>
        </row>
        <row r="1059">
          <cell r="A1059" t="str">
            <v>DIGGI MULTITRADE LTD</v>
          </cell>
          <cell r="B1059">
            <v>540811</v>
          </cell>
          <cell r="C1059" t="str">
            <v>Not Listed</v>
          </cell>
        </row>
        <row r="1060">
          <cell r="A1060" t="str">
            <v>Digicontent Ltd</v>
          </cell>
          <cell r="B1060">
            <v>542685</v>
          </cell>
          <cell r="C1060" t="str">
            <v>DGCONTENT</v>
          </cell>
        </row>
        <row r="1061">
          <cell r="A1061" t="str">
            <v>DIGJAM LTD</v>
          </cell>
          <cell r="B1061">
            <v>539979</v>
          </cell>
          <cell r="C1061" t="str">
            <v>DIGJAMLTD</v>
          </cell>
        </row>
        <row r="1062">
          <cell r="A1062" t="str">
            <v>DIKSAT TRANSWORLD LTD</v>
          </cell>
          <cell r="B1062">
            <v>540151</v>
          </cell>
          <cell r="C1062" t="str">
            <v>Not Listed</v>
          </cell>
        </row>
        <row r="1063">
          <cell r="A1063" t="str">
            <v>Diksha Greens Ltd</v>
          </cell>
          <cell r="B1063">
            <v>542155</v>
          </cell>
          <cell r="C1063" t="str">
            <v>DGL</v>
          </cell>
        </row>
        <row r="1064">
          <cell r="A1064" t="str">
            <v>DIL LTD</v>
          </cell>
          <cell r="B1064">
            <v>506414</v>
          </cell>
          <cell r="C1064" t="str">
            <v>Not Listed</v>
          </cell>
        </row>
        <row r="1065">
          <cell r="A1065" t="str">
            <v>DILIGENT INDUSTRIES LTD</v>
          </cell>
          <cell r="B1065">
            <v>531153</v>
          </cell>
          <cell r="C1065" t="str">
            <v>Not Listed</v>
          </cell>
        </row>
        <row r="1066">
          <cell r="A1066" t="str">
            <v>DILIGENT MEDIA CORPORATION LTD</v>
          </cell>
          <cell r="B1066">
            <v>540789</v>
          </cell>
          <cell r="C1066" t="str">
            <v>DNAMEDIA</v>
          </cell>
        </row>
        <row r="1067">
          <cell r="A1067" t="str">
            <v>DILIP BUILDCON LTD</v>
          </cell>
          <cell r="B1067">
            <v>540047</v>
          </cell>
          <cell r="C1067" t="str">
            <v>DBL</v>
          </cell>
        </row>
        <row r="1068">
          <cell r="A1068" t="str">
            <v>DION GLOBAL SOLUTIONS LTD</v>
          </cell>
          <cell r="B1068">
            <v>526927</v>
          </cell>
          <cell r="C1068" t="str">
            <v>Not Listed</v>
          </cell>
        </row>
        <row r="1069">
          <cell r="A1069" t="str">
            <v>DISA (INDIA) LTD</v>
          </cell>
          <cell r="B1069">
            <v>500068</v>
          </cell>
          <cell r="C1069" t="str">
            <v>Not Listed</v>
          </cell>
        </row>
        <row r="1070">
          <cell r="A1070" t="str">
            <v>DISA INDIA LTD</v>
          </cell>
          <cell r="B1070">
            <v>500068</v>
          </cell>
          <cell r="C1070" t="str">
            <v>Not Listed</v>
          </cell>
        </row>
        <row r="1071">
          <cell r="A1071" t="str">
            <v>DISH TV (INDIA) LTD</v>
          </cell>
          <cell r="B1071">
            <v>532839</v>
          </cell>
          <cell r="C1071" t="str">
            <v>DISHTV</v>
          </cell>
        </row>
        <row r="1072">
          <cell r="A1072" t="str">
            <v>DISH TV INDIA LTD</v>
          </cell>
          <cell r="B1072">
            <v>532839</v>
          </cell>
          <cell r="C1072" t="str">
            <v>DISHTV</v>
          </cell>
        </row>
        <row r="1073">
          <cell r="A1073" t="str">
            <v>DISHA RESOURCES LTD</v>
          </cell>
          <cell r="B1073">
            <v>531553</v>
          </cell>
          <cell r="C1073" t="str">
            <v>Not Listed</v>
          </cell>
        </row>
        <row r="1074">
          <cell r="A1074" t="str">
            <v>DISHMAN CARBOGEN AMCIS LTD</v>
          </cell>
          <cell r="B1074">
            <v>540701</v>
          </cell>
          <cell r="C1074" t="str">
            <v>DCAL</v>
          </cell>
        </row>
        <row r="1075">
          <cell r="A1075" t="str">
            <v>DIVINUS FABRICS LTD</v>
          </cell>
          <cell r="B1075">
            <v>538432</v>
          </cell>
          <cell r="C1075" t="str">
            <v>Not Listed</v>
          </cell>
        </row>
        <row r="1076">
          <cell r="A1076" t="str">
            <v>DIVI'S LABORATORIES LTD</v>
          </cell>
          <cell r="B1076">
            <v>532488</v>
          </cell>
          <cell r="C1076" t="str">
            <v>DIVISLAB</v>
          </cell>
        </row>
        <row r="1077">
          <cell r="A1077" t="str">
            <v>DIVYA JYOTI INDUSTRIES LTD</v>
          </cell>
          <cell r="B1077">
            <v>526285</v>
          </cell>
          <cell r="C1077" t="str">
            <v>Not Listed</v>
          </cell>
        </row>
        <row r="1078">
          <cell r="A1078" t="str">
            <v>DIVYASHAKTI GRANITES LTD</v>
          </cell>
          <cell r="B1078">
            <v>526315</v>
          </cell>
          <cell r="C1078" t="str">
            <v>Not Listed</v>
          </cell>
        </row>
        <row r="1079">
          <cell r="A1079" t="str">
            <v>DIXON TECHNOLOGIES (INDIA) LTD</v>
          </cell>
          <cell r="B1079">
            <v>540699</v>
          </cell>
          <cell r="C1079" t="str">
            <v>DIXON</v>
          </cell>
        </row>
        <row r="1080">
          <cell r="A1080" t="str">
            <v>DIXON TECHNOLOGIES INDIA LTD</v>
          </cell>
          <cell r="B1080">
            <v>540699</v>
          </cell>
          <cell r="C1080" t="str">
            <v>DIXON</v>
          </cell>
        </row>
        <row r="1081">
          <cell r="A1081" t="str">
            <v>DLF LTD</v>
          </cell>
          <cell r="B1081">
            <v>532868</v>
          </cell>
          <cell r="C1081" t="str">
            <v>DLF</v>
          </cell>
        </row>
        <row r="1082">
          <cell r="A1082" t="str">
            <v>D-LINK (INDIA) LTD</v>
          </cell>
          <cell r="B1082">
            <v>533146</v>
          </cell>
          <cell r="C1082" t="str">
            <v>DLINK(INDIA)</v>
          </cell>
        </row>
        <row r="1083">
          <cell r="A1083" t="str">
            <v>D-LINK INDIA LTD</v>
          </cell>
          <cell r="B1083">
            <v>533146</v>
          </cell>
          <cell r="C1083" t="str">
            <v>DLINKINDIA</v>
          </cell>
        </row>
        <row r="1084">
          <cell r="A1084" t="str">
            <v>DOLAT INVESTMENTS LTD</v>
          </cell>
          <cell r="B1084">
            <v>505526</v>
          </cell>
          <cell r="C1084" t="str">
            <v>Not Listed</v>
          </cell>
        </row>
        <row r="1085">
          <cell r="A1085" t="str">
            <v>DOLFIN RUBBERS LTD</v>
          </cell>
          <cell r="B1085">
            <v>542013</v>
          </cell>
          <cell r="C1085" t="str">
            <v>Not Listed</v>
          </cell>
        </row>
        <row r="1086">
          <cell r="A1086" t="str">
            <v>DOLLAR INDUSTRIES LTD</v>
          </cell>
          <cell r="B1086">
            <v>541403</v>
          </cell>
          <cell r="C1086" t="str">
            <v>DOLLAR</v>
          </cell>
        </row>
        <row r="1087">
          <cell r="A1087" t="str">
            <v>DOLPHIN MEDICAL SERVICES LTD</v>
          </cell>
          <cell r="B1087">
            <v>526504</v>
          </cell>
          <cell r="C1087" t="str">
            <v>Not Listed</v>
          </cell>
        </row>
        <row r="1088">
          <cell r="A1088" t="str">
            <v>DOLPHIN OFFSHORE ENTERPRISES (INDIA) LTD</v>
          </cell>
          <cell r="B1088">
            <v>522261</v>
          </cell>
          <cell r="C1088" t="str">
            <v>DOLPHINOFF</v>
          </cell>
        </row>
        <row r="1089">
          <cell r="A1089" t="str">
            <v>DOLPHIN OFFSHORE ENTERPRISES INDIA LTD</v>
          </cell>
          <cell r="B1089">
            <v>522261</v>
          </cell>
          <cell r="C1089" t="str">
            <v>DOLPHINOFF</v>
          </cell>
        </row>
        <row r="1090">
          <cell r="A1090" t="str">
            <v>DONEAR INDUSTRIES LTD</v>
          </cell>
          <cell r="B1090">
            <v>512519</v>
          </cell>
          <cell r="C1090" t="str">
            <v>DONEAR</v>
          </cell>
        </row>
        <row r="1091">
          <cell r="A1091" t="str">
            <v>DPSC LTD</v>
          </cell>
          <cell r="B1091" t="str">
            <v>Not Listed</v>
          </cell>
          <cell r="C1091" t="str">
            <v>DPSCLTD</v>
          </cell>
        </row>
        <row r="1092">
          <cell r="A1092" t="str">
            <v>DQ ENTERTAINMENT INTERNATIONAL LTD</v>
          </cell>
          <cell r="B1092">
            <v>533176</v>
          </cell>
          <cell r="C1092" t="str">
            <v>DQE</v>
          </cell>
        </row>
        <row r="1093">
          <cell r="A1093" t="str">
            <v>DR AGARWALS EYE HOSPITAL LTD</v>
          </cell>
          <cell r="B1093">
            <v>526783</v>
          </cell>
          <cell r="C1093" t="str">
            <v>Not Listed</v>
          </cell>
        </row>
        <row r="1094">
          <cell r="A1094" t="str">
            <v>DR HABEEBULLAH LIFE SCIENCES LTD</v>
          </cell>
          <cell r="B1094">
            <v>539267</v>
          </cell>
          <cell r="C1094" t="str">
            <v>Not Listed</v>
          </cell>
        </row>
        <row r="1095">
          <cell r="A1095" t="str">
            <v>DR LAL PATH LABS LTD</v>
          </cell>
          <cell r="B1095">
            <v>539524</v>
          </cell>
          <cell r="C1095" t="str">
            <v>LALPATHLAB</v>
          </cell>
        </row>
        <row r="1096">
          <cell r="A1096" t="str">
            <v>DR LALCHANDANI LABS LTD</v>
          </cell>
          <cell r="B1096">
            <v>541299</v>
          </cell>
          <cell r="C1096" t="str">
            <v>Not Listed</v>
          </cell>
        </row>
        <row r="1097">
          <cell r="A1097" t="str">
            <v>DR REDDY'S LABORATORIES LTD</v>
          </cell>
          <cell r="B1097">
            <v>500124</v>
          </cell>
          <cell r="C1097" t="str">
            <v>DRREDDY</v>
          </cell>
        </row>
        <row r="1098">
          <cell r="A1098" t="str">
            <v>DRA CONSULTANTS LTD</v>
          </cell>
          <cell r="B1098">
            <v>540144</v>
          </cell>
          <cell r="C1098" t="str">
            <v>Not Listed</v>
          </cell>
        </row>
        <row r="1099">
          <cell r="A1099" t="str">
            <v>DREDGING CORPORATION OF (INDIA) LTD</v>
          </cell>
          <cell r="B1099">
            <v>523618</v>
          </cell>
          <cell r="C1099" t="str">
            <v>DREDGECORP</v>
          </cell>
        </row>
        <row r="1100">
          <cell r="A1100" t="str">
            <v>DREDGING CORPORATION OF INDIA LTD</v>
          </cell>
          <cell r="B1100">
            <v>523618</v>
          </cell>
          <cell r="C1100" t="str">
            <v>DREDGECORP</v>
          </cell>
        </row>
        <row r="1101">
          <cell r="A1101" t="str">
            <v>DUCON INFRATECHNOLOGIES LTD</v>
          </cell>
          <cell r="B1101">
            <v>534674</v>
          </cell>
          <cell r="C1101" t="str">
            <v>DUCON</v>
          </cell>
        </row>
        <row r="1102">
          <cell r="A1102" t="str">
            <v>DUGAR HOUSING DEVELOPMENTS LTD</v>
          </cell>
          <cell r="B1102">
            <v>511634</v>
          </cell>
          <cell r="C1102" t="str">
            <v>Not Listed</v>
          </cell>
        </row>
        <row r="1103">
          <cell r="A1103" t="str">
            <v>DUKE OFFSHORE LTD</v>
          </cell>
          <cell r="B1103">
            <v>531471</v>
          </cell>
          <cell r="C1103" t="str">
            <v>Not Listed</v>
          </cell>
        </row>
        <row r="1104">
          <cell r="A1104" t="str">
            <v>DUNCAN ENGINEERING LTD</v>
          </cell>
          <cell r="B1104">
            <v>504908</v>
          </cell>
          <cell r="C1104" t="str">
            <v>Not Listed</v>
          </cell>
        </row>
        <row r="1105">
          <cell r="A1105" t="str">
            <v>DUROPACK LTD</v>
          </cell>
          <cell r="B1105">
            <v>526355</v>
          </cell>
          <cell r="C1105" t="str">
            <v>Not Listed</v>
          </cell>
        </row>
        <row r="1106">
          <cell r="A1106" t="str">
            <v>DUTRON POLYMERS LTD</v>
          </cell>
          <cell r="B1106">
            <v>517437</v>
          </cell>
          <cell r="C1106" t="str">
            <v>Not Listed</v>
          </cell>
        </row>
        <row r="1107">
          <cell r="A1107" t="str">
            <v>DWARIKESH SUGAR INDUSTRIES LTD</v>
          </cell>
          <cell r="B1107">
            <v>532610</v>
          </cell>
          <cell r="C1107" t="str">
            <v>DWARKESH</v>
          </cell>
        </row>
        <row r="1108">
          <cell r="A1108" t="str">
            <v>Dwitiya Trading Ltd</v>
          </cell>
          <cell r="B1108">
            <v>538608</v>
          </cell>
          <cell r="C1108" t="str">
            <v>DWITIYA</v>
          </cell>
        </row>
        <row r="1109">
          <cell r="A1109" t="str">
            <v>DYNACONS SYSTEMS &amp; SOLUTIONS LTD</v>
          </cell>
          <cell r="B1109">
            <v>532365</v>
          </cell>
          <cell r="C1109" t="str">
            <v>DSSL</v>
          </cell>
        </row>
        <row r="1110">
          <cell r="A1110" t="str">
            <v>DYNAMATIC TECHNOLOGIES LTD</v>
          </cell>
          <cell r="B1110">
            <v>505242</v>
          </cell>
          <cell r="C1110" t="str">
            <v>DYNAMATECH</v>
          </cell>
        </row>
        <row r="1111">
          <cell r="A1111" t="str">
            <v>DYNAMIC ARCHISTRUCTURES LTD</v>
          </cell>
          <cell r="B1111">
            <v>539681</v>
          </cell>
          <cell r="C1111" t="str">
            <v>Not Listed</v>
          </cell>
        </row>
        <row r="1112">
          <cell r="A1112" t="str">
            <v>DYNAMIC CABLES LTD</v>
          </cell>
          <cell r="B1112">
            <v>540795</v>
          </cell>
          <cell r="C1112" t="str">
            <v>Not Listed</v>
          </cell>
        </row>
        <row r="1113">
          <cell r="A1113" t="str">
            <v>DYNAMIC INDUSTRIES LTD</v>
          </cell>
          <cell r="B1113">
            <v>524818</v>
          </cell>
          <cell r="C1113" t="str">
            <v>Not Listed</v>
          </cell>
        </row>
        <row r="1114">
          <cell r="A1114" t="str">
            <v>DYNAMIC PORTFOLIO MANAGEMENT &amp; SERVICES LTD</v>
          </cell>
          <cell r="B1114">
            <v>530779</v>
          </cell>
          <cell r="C1114" t="str">
            <v>Not Listed</v>
          </cell>
        </row>
        <row r="1115">
          <cell r="A1115" t="str">
            <v>DYNAVISION LTD</v>
          </cell>
          <cell r="B1115">
            <v>517238</v>
          </cell>
          <cell r="C1115" t="str">
            <v>Not Listed</v>
          </cell>
        </row>
        <row r="1116">
          <cell r="A1116" t="str">
            <v>DYNEMIC PRODUCTS LTD</v>
          </cell>
          <cell r="B1116">
            <v>532707</v>
          </cell>
          <cell r="C1116" t="str">
            <v>DYNPRO</v>
          </cell>
        </row>
        <row r="1117">
          <cell r="A1117" t="str">
            <v>E COM INFOTECH I LTD</v>
          </cell>
          <cell r="B1117">
            <v>531533</v>
          </cell>
          <cell r="C1117" t="str">
            <v>Not Listed</v>
          </cell>
        </row>
        <row r="1118">
          <cell r="A1118" t="str">
            <v>E2E NETWORKS LTD</v>
          </cell>
          <cell r="B1118" t="str">
            <v>Not Listed</v>
          </cell>
          <cell r="C1118" t="str">
            <v>E2E</v>
          </cell>
        </row>
        <row r="1119">
          <cell r="A1119" t="str">
            <v>EAST BUILDTECH LTD</v>
          </cell>
          <cell r="B1119">
            <v>507917</v>
          </cell>
          <cell r="C1119" t="str">
            <v>Not Listed</v>
          </cell>
        </row>
        <row r="1120">
          <cell r="A1120" t="str">
            <v>EAST COAST STEEL LTD</v>
          </cell>
          <cell r="B1120">
            <v>520081</v>
          </cell>
          <cell r="C1120" t="str">
            <v>Not Listed</v>
          </cell>
        </row>
        <row r="1121">
          <cell r="A1121" t="str">
            <v>EAST INDIA SECURITIES LTD</v>
          </cell>
          <cell r="B1121">
            <v>541053</v>
          </cell>
          <cell r="C1121" t="str">
            <v>Not Listed</v>
          </cell>
        </row>
        <row r="1122">
          <cell r="A1122" t="str">
            <v>EASTERN SILK INDUSTRIES LTD</v>
          </cell>
          <cell r="B1122">
            <v>590022</v>
          </cell>
          <cell r="C1122" t="str">
            <v>EASTSILK</v>
          </cell>
        </row>
        <row r="1123">
          <cell r="A1123" t="str">
            <v>EASTERN TREADS LTD</v>
          </cell>
          <cell r="B1123">
            <v>531346</v>
          </cell>
          <cell r="C1123" t="str">
            <v>Not Listed</v>
          </cell>
        </row>
        <row r="1124">
          <cell r="A1124" t="str">
            <v>EASUN REYROLLE LTD</v>
          </cell>
          <cell r="B1124">
            <v>532751</v>
          </cell>
          <cell r="C1124" t="str">
            <v>EASUNREYRL</v>
          </cell>
        </row>
        <row r="1125">
          <cell r="A1125" t="str">
            <v>ECE INDUSTRIES LTD</v>
          </cell>
          <cell r="B1125" t="str">
            <v>Not Listed</v>
          </cell>
          <cell r="C1125" t="str">
            <v>ECEIND</v>
          </cell>
        </row>
        <row r="1126">
          <cell r="A1126" t="str">
            <v>ECLERX SERVICES LTD</v>
          </cell>
          <cell r="B1126">
            <v>532927</v>
          </cell>
          <cell r="C1126" t="str">
            <v>ECLERX</v>
          </cell>
        </row>
        <row r="1127">
          <cell r="A1127" t="str">
            <v>ECO FRIENDLY FOOD PROCESSING PARK LTD</v>
          </cell>
          <cell r="B1127">
            <v>534839</v>
          </cell>
          <cell r="C1127" t="str">
            <v>Not Listed</v>
          </cell>
        </row>
        <row r="1128">
          <cell r="A1128" t="str">
            <v>ECO RECYCLING LTD</v>
          </cell>
          <cell r="B1128">
            <v>530643</v>
          </cell>
          <cell r="C1128" t="str">
            <v>Not Listed</v>
          </cell>
        </row>
        <row r="1129">
          <cell r="A1129" t="str">
            <v>ECOBOARD INDUSTRIES LTD</v>
          </cell>
          <cell r="B1129">
            <v>523732</v>
          </cell>
          <cell r="C1129" t="str">
            <v>Not Listed</v>
          </cell>
        </row>
        <row r="1130">
          <cell r="A1130" t="str">
            <v>ECONO TRADE (INDIA) LTD</v>
          </cell>
          <cell r="B1130">
            <v>538708</v>
          </cell>
          <cell r="C1130" t="str">
            <v>Not Listed</v>
          </cell>
        </row>
        <row r="1131">
          <cell r="A1131" t="str">
            <v>ECONO TRADE INDIA LTD</v>
          </cell>
          <cell r="B1131">
            <v>538708</v>
          </cell>
          <cell r="C1131" t="str">
            <v>Not Listed</v>
          </cell>
        </row>
        <row r="1132">
          <cell r="A1132" t="str">
            <v>ECOPLAST LTD</v>
          </cell>
          <cell r="B1132">
            <v>526703</v>
          </cell>
          <cell r="C1132" t="str">
            <v>Not Listed</v>
          </cell>
        </row>
        <row r="1133">
          <cell r="A1133" t="str">
            <v>ECS BIZTECH LTD</v>
          </cell>
          <cell r="B1133">
            <v>540063</v>
          </cell>
          <cell r="C1133" t="str">
            <v>Not Listed</v>
          </cell>
        </row>
        <row r="1134">
          <cell r="A1134" t="str">
            <v>EDELWEISS FINANCIAL SERVICES LTD</v>
          </cell>
          <cell r="B1134">
            <v>532922</v>
          </cell>
          <cell r="C1134" t="str">
            <v>EDELWEISS</v>
          </cell>
        </row>
        <row r="1135">
          <cell r="A1135" t="str">
            <v>EDUCOMP SOLUTIONS LTD</v>
          </cell>
          <cell r="B1135">
            <v>532696</v>
          </cell>
          <cell r="C1135" t="str">
            <v>EDUCOMP</v>
          </cell>
        </row>
        <row r="1136">
          <cell r="A1136" t="str">
            <v>EDUEXEL INFOTAINMENT LTD</v>
          </cell>
          <cell r="B1136">
            <v>526483</v>
          </cell>
          <cell r="C1136" t="str">
            <v>Not Listed</v>
          </cell>
        </row>
        <row r="1137">
          <cell r="A1137" t="str">
            <v>EDYNAMICS SOLUTIONS LTD</v>
          </cell>
          <cell r="B1137">
            <v>535694</v>
          </cell>
          <cell r="C1137" t="str">
            <v>Not Listed</v>
          </cell>
        </row>
        <row r="1138">
          <cell r="A1138" t="str">
            <v>EICHER MOTORS LTD</v>
          </cell>
          <cell r="B1138">
            <v>505200</v>
          </cell>
          <cell r="C1138" t="str">
            <v>EICHERMOT</v>
          </cell>
        </row>
        <row r="1139">
          <cell r="A1139" t="str">
            <v>EID PARRY (INDIA) LTD</v>
          </cell>
          <cell r="B1139">
            <v>500125</v>
          </cell>
          <cell r="C1139" t="str">
            <v>EIDPARRY</v>
          </cell>
        </row>
        <row r="1140">
          <cell r="A1140" t="str">
            <v>EID PARRY INDIA LTD</v>
          </cell>
          <cell r="B1140">
            <v>500125</v>
          </cell>
          <cell r="C1140" t="str">
            <v>EIDPARRY</v>
          </cell>
        </row>
        <row r="1141">
          <cell r="A1141" t="str">
            <v>EIH ASSOCIATED HOTELS LTD</v>
          </cell>
          <cell r="B1141">
            <v>523127</v>
          </cell>
          <cell r="C1141" t="str">
            <v>EIHAHOTELS</v>
          </cell>
        </row>
        <row r="1142">
          <cell r="A1142" t="str">
            <v>EIH LTD</v>
          </cell>
          <cell r="B1142">
            <v>500840</v>
          </cell>
          <cell r="C1142" t="str">
            <v>EIHOTEL</v>
          </cell>
        </row>
        <row r="1143">
          <cell r="A1143" t="str">
            <v>EIMCO ELECON (INDIA) LTD</v>
          </cell>
          <cell r="B1143">
            <v>523708</v>
          </cell>
          <cell r="C1143" t="str">
            <v>EIMCOELECO</v>
          </cell>
        </row>
        <row r="1144">
          <cell r="A1144" t="str">
            <v>EIMCO ELECON INDIA LTD</v>
          </cell>
          <cell r="B1144">
            <v>523708</v>
          </cell>
          <cell r="C1144" t="str">
            <v>EIMCOELECO</v>
          </cell>
        </row>
        <row r="1145">
          <cell r="A1145" t="str">
            <v>Ejecta Marketing Ltd</v>
          </cell>
          <cell r="B1145">
            <v>538653</v>
          </cell>
          <cell r="C1145" t="str">
            <v>EML</v>
          </cell>
        </row>
        <row r="1146">
          <cell r="A1146" t="str">
            <v>EKAM LEASING &amp; FINANCE CO LTD</v>
          </cell>
          <cell r="B1146">
            <v>530581</v>
          </cell>
          <cell r="C1146" t="str">
            <v>Not Listed</v>
          </cell>
        </row>
        <row r="1147">
          <cell r="A1147" t="str">
            <v>E-LAND APPAREL LTD</v>
          </cell>
          <cell r="B1147">
            <v>532820</v>
          </cell>
          <cell r="C1147" t="str">
            <v>ELAND</v>
          </cell>
        </row>
        <row r="1148">
          <cell r="A1148" t="str">
            <v>ELANGO INDUSTRIES LTD</v>
          </cell>
          <cell r="B1148">
            <v>513452</v>
          </cell>
          <cell r="C1148" t="str">
            <v>Not Listed</v>
          </cell>
        </row>
        <row r="1149">
          <cell r="A1149" t="str">
            <v>ELANTAS BECK (INDIA) LTD</v>
          </cell>
          <cell r="B1149">
            <v>500123</v>
          </cell>
          <cell r="C1149" t="str">
            <v>Not Listed</v>
          </cell>
        </row>
        <row r="1150">
          <cell r="A1150" t="str">
            <v>ELANTAS BECK INDIA LTD</v>
          </cell>
          <cell r="B1150">
            <v>500123</v>
          </cell>
          <cell r="C1150" t="str">
            <v>Not Listed</v>
          </cell>
        </row>
        <row r="1151">
          <cell r="A1151" t="str">
            <v>ELCID INVESTMENTS LTD</v>
          </cell>
          <cell r="B1151">
            <v>503681</v>
          </cell>
          <cell r="C1151" t="str">
            <v>Not Listed</v>
          </cell>
        </row>
        <row r="1152">
          <cell r="A1152" t="str">
            <v>ELDECO HOUSING &amp; INDUSTRIES LTD</v>
          </cell>
          <cell r="B1152">
            <v>523329</v>
          </cell>
          <cell r="C1152" t="str">
            <v>Not Listed</v>
          </cell>
        </row>
        <row r="1153">
          <cell r="A1153" t="str">
            <v>ELECON ENGINEERING COMPANY LTD</v>
          </cell>
          <cell r="B1153">
            <v>505700</v>
          </cell>
          <cell r="C1153" t="str">
            <v>ELECON</v>
          </cell>
        </row>
        <row r="1154">
          <cell r="A1154" t="str">
            <v>ELECTROSTEEL CASTINGS LTD</v>
          </cell>
          <cell r="B1154">
            <v>500128</v>
          </cell>
          <cell r="C1154" t="str">
            <v>ELECTCAST</v>
          </cell>
        </row>
        <row r="1155">
          <cell r="A1155" t="str">
            <v>ELECTROSTEEL STEELS LTD</v>
          </cell>
          <cell r="B1155">
            <v>533264</v>
          </cell>
          <cell r="C1155" t="str">
            <v>ELECTROSL</v>
          </cell>
        </row>
        <row r="1156">
          <cell r="A1156" t="str">
            <v>ELECTROTHERM (INDIA) LTD</v>
          </cell>
          <cell r="B1156">
            <v>526608</v>
          </cell>
          <cell r="C1156" t="str">
            <v>ELECTHERM</v>
          </cell>
        </row>
        <row r="1157">
          <cell r="A1157" t="str">
            <v>ELECTROTHERM INDIA LTD</v>
          </cell>
          <cell r="B1157">
            <v>526608</v>
          </cell>
          <cell r="C1157" t="str">
            <v>ELECTHERM</v>
          </cell>
        </row>
        <row r="1158">
          <cell r="A1158" t="str">
            <v>ELEGANT FLORICULTURE &amp; AGROTECH (INDIA) LTD</v>
          </cell>
          <cell r="B1158">
            <v>526473</v>
          </cell>
          <cell r="C1158" t="str">
            <v>Not Listed</v>
          </cell>
        </row>
        <row r="1159">
          <cell r="A1159" t="str">
            <v>ELEGANT FLORICULTURE &amp; AGROTECH INDIA LTD</v>
          </cell>
          <cell r="B1159">
            <v>526473</v>
          </cell>
          <cell r="C1159" t="str">
            <v>Not Listed</v>
          </cell>
        </row>
        <row r="1160">
          <cell r="A1160" t="str">
            <v>ELEGANT MARBLES &amp; GRANI INDUSTRIES LTD</v>
          </cell>
          <cell r="B1160">
            <v>526705</v>
          </cell>
          <cell r="C1160" t="str">
            <v>Not Listed</v>
          </cell>
        </row>
        <row r="1161">
          <cell r="A1161" t="str">
            <v>ELGI EQUIPMENTS LTD</v>
          </cell>
          <cell r="B1161">
            <v>522074</v>
          </cell>
          <cell r="C1161" t="str">
            <v>ELGIEQUIP</v>
          </cell>
        </row>
        <row r="1162">
          <cell r="A1162" t="str">
            <v>ELGI RUBBER COMPANY LTD</v>
          </cell>
          <cell r="B1162" t="str">
            <v>Not Listed</v>
          </cell>
          <cell r="C1162" t="str">
            <v>ELGIRUBCO</v>
          </cell>
        </row>
        <row r="1163">
          <cell r="A1163" t="str">
            <v>ELIXIR CAPITAL LTD</v>
          </cell>
          <cell r="B1163">
            <v>531278</v>
          </cell>
          <cell r="C1163" t="str">
            <v>Not Listed</v>
          </cell>
        </row>
        <row r="1164">
          <cell r="A1164" t="str">
            <v>ELNET TECHNOLOGIES LTD</v>
          </cell>
          <cell r="B1164">
            <v>517477</v>
          </cell>
          <cell r="C1164" t="str">
            <v>Not Listed</v>
          </cell>
        </row>
        <row r="1165">
          <cell r="A1165" t="str">
            <v>ELPRO INTERNATIONAL LTD</v>
          </cell>
          <cell r="B1165">
            <v>504000</v>
          </cell>
          <cell r="C1165" t="str">
            <v>Not Listed</v>
          </cell>
        </row>
        <row r="1166">
          <cell r="A1166" t="str">
            <v>EMA (INDIA) LTD</v>
          </cell>
          <cell r="B1166">
            <v>522027</v>
          </cell>
          <cell r="C1166" t="str">
            <v>Not Listed</v>
          </cell>
        </row>
        <row r="1167">
          <cell r="A1167" t="str">
            <v>EMA INDIA LTD</v>
          </cell>
          <cell r="B1167">
            <v>522027</v>
          </cell>
          <cell r="C1167" t="str">
            <v>Not Listed</v>
          </cell>
        </row>
        <row r="1168">
          <cell r="A1168" t="str">
            <v>EMAMI LTD</v>
          </cell>
          <cell r="B1168">
            <v>531162</v>
          </cell>
          <cell r="C1168" t="str">
            <v>EMAMILTD</v>
          </cell>
        </row>
        <row r="1169">
          <cell r="A1169" t="str">
            <v>Emami Paper Mills LTD</v>
          </cell>
          <cell r="B1169" t="str">
            <v>Not Listed</v>
          </cell>
          <cell r="C1169" t="str">
            <v>EMAMIPAP</v>
          </cell>
        </row>
        <row r="1170">
          <cell r="A1170" t="str">
            <v>EMAMI PAPER MILLS LTD</v>
          </cell>
          <cell r="B1170">
            <v>533208</v>
          </cell>
          <cell r="C1170" t="str">
            <v>Not Listed</v>
          </cell>
        </row>
        <row r="1171">
          <cell r="A1171" t="str">
            <v>EMAMI REALTY LTD</v>
          </cell>
          <cell r="B1171">
            <v>533218</v>
          </cell>
          <cell r="C1171" t="str">
            <v>EMAMIREAL</v>
          </cell>
        </row>
        <row r="1172">
          <cell r="A1172" t="str">
            <v>Embassy Office Parks REIT</v>
          </cell>
          <cell r="B1172">
            <v>542602</v>
          </cell>
          <cell r="C1172" t="str">
            <v>EMBASSY</v>
          </cell>
        </row>
        <row r="1173">
          <cell r="A1173" t="str">
            <v>EMCO LTD</v>
          </cell>
          <cell r="B1173">
            <v>504008</v>
          </cell>
          <cell r="C1173" t="str">
            <v>EMCO</v>
          </cell>
        </row>
        <row r="1174">
          <cell r="A1174" t="str">
            <v>EMERALD LEASING FINANCE &amp; INVESTMENT COMPANY LTD</v>
          </cell>
          <cell r="B1174">
            <v>538882</v>
          </cell>
          <cell r="C1174" t="str">
            <v>Not Listed</v>
          </cell>
        </row>
        <row r="1175">
          <cell r="A1175" t="str">
            <v>EMERALD LEISURES LTD</v>
          </cell>
          <cell r="B1175">
            <v>507265</v>
          </cell>
          <cell r="C1175" t="str">
            <v>Not Listed</v>
          </cell>
        </row>
        <row r="1176">
          <cell r="A1176" t="str">
            <v>EMGEE CABLES &amp; COMMUNICATIONS LTD</v>
          </cell>
          <cell r="B1176">
            <v>530333</v>
          </cell>
          <cell r="C1176" t="str">
            <v>Not Listed</v>
          </cell>
        </row>
        <row r="1177">
          <cell r="A1177" t="str">
            <v>EMKAY GLOBAL FINANCIAL SERVICES LTD</v>
          </cell>
          <cell r="B1177">
            <v>532737</v>
          </cell>
          <cell r="C1177" t="str">
            <v>EMKAY</v>
          </cell>
        </row>
        <row r="1178">
          <cell r="A1178" t="str">
            <v>EMKAY TAPS AND CUTTING TOOLS LTD</v>
          </cell>
          <cell r="B1178" t="str">
            <v>Not Listed</v>
          </cell>
          <cell r="C1178" t="str">
            <v>EMKAYTOOLS</v>
          </cell>
        </row>
        <row r="1179">
          <cell r="A1179" t="str">
            <v>EMMBI INDUSTRIES LTD</v>
          </cell>
          <cell r="B1179">
            <v>533161</v>
          </cell>
          <cell r="C1179" t="str">
            <v>EMMBI</v>
          </cell>
        </row>
        <row r="1180">
          <cell r="A1180" t="str">
            <v>EMMESSAR BIOTECH &amp; NUTRITION LTD</v>
          </cell>
          <cell r="B1180">
            <v>524768</v>
          </cell>
          <cell r="C1180" t="str">
            <v>Not Listed</v>
          </cell>
        </row>
        <row r="1181">
          <cell r="A1181" t="str">
            <v>EMMSONS INTERNATIONAL LTD</v>
          </cell>
          <cell r="B1181">
            <v>532038</v>
          </cell>
          <cell r="C1181" t="str">
            <v>Not Listed</v>
          </cell>
        </row>
        <row r="1182">
          <cell r="A1182" t="str">
            <v>EMPEE DISTILLERIES LTD</v>
          </cell>
          <cell r="B1182">
            <v>532920</v>
          </cell>
          <cell r="C1182" t="str">
            <v>EDL</v>
          </cell>
        </row>
        <row r="1183">
          <cell r="A1183" t="str">
            <v>EMPEE SUGARS &amp; CHEMICALS LTD</v>
          </cell>
          <cell r="B1183">
            <v>500132</v>
          </cell>
          <cell r="C1183" t="str">
            <v>Not Listed</v>
          </cell>
        </row>
        <row r="1184">
          <cell r="A1184" t="str">
            <v>EMPIRE INDUSTRIES LTD</v>
          </cell>
          <cell r="B1184">
            <v>509525</v>
          </cell>
          <cell r="C1184" t="str">
            <v>Not Listed</v>
          </cell>
        </row>
        <row r="1185">
          <cell r="A1185" t="str">
            <v>EMPOWER (INDIA) LTD</v>
          </cell>
          <cell r="B1185">
            <v>504351</v>
          </cell>
          <cell r="C1185" t="str">
            <v>Not Listed</v>
          </cell>
        </row>
        <row r="1186">
          <cell r="A1186" t="str">
            <v>EMPOWER INDIA LTD</v>
          </cell>
          <cell r="B1186">
            <v>504351</v>
          </cell>
          <cell r="C1186" t="str">
            <v>Not Listed</v>
          </cell>
        </row>
        <row r="1187">
          <cell r="A1187" t="str">
            <v>ENBEE TRADE &amp; FINANCE LTD</v>
          </cell>
          <cell r="B1187">
            <v>512441</v>
          </cell>
          <cell r="C1187" t="str">
            <v>Not Listed</v>
          </cell>
        </row>
        <row r="1188">
          <cell r="A1188" t="str">
            <v>ENCASH ENTERTAINMENT LTD</v>
          </cell>
          <cell r="B1188">
            <v>538684</v>
          </cell>
          <cell r="C1188" t="str">
            <v>Not Listed</v>
          </cell>
        </row>
        <row r="1189">
          <cell r="A1189" t="str">
            <v>ENDURANCE TECHNOLOGIES LTD</v>
          </cell>
          <cell r="B1189">
            <v>540153</v>
          </cell>
          <cell r="C1189" t="str">
            <v>ENDURANCE</v>
          </cell>
        </row>
        <row r="1190">
          <cell r="A1190" t="str">
            <v>ENERGY DEVELOPMENT COMPANY LTD</v>
          </cell>
          <cell r="B1190">
            <v>532219</v>
          </cell>
          <cell r="C1190" t="str">
            <v>ENERGYDEV</v>
          </cell>
        </row>
        <row r="1191">
          <cell r="A1191" t="str">
            <v>ENGINEERS (INDIA) LTD</v>
          </cell>
          <cell r="B1191">
            <v>532178</v>
          </cell>
          <cell r="C1191" t="str">
            <v>ENGINERSIN</v>
          </cell>
        </row>
        <row r="1192">
          <cell r="A1192" t="str">
            <v>ENGINEERS INDIA LTD</v>
          </cell>
          <cell r="B1192">
            <v>532178</v>
          </cell>
          <cell r="C1192" t="str">
            <v>ENGINERSIN</v>
          </cell>
        </row>
        <row r="1193">
          <cell r="A1193" t="str">
            <v>ENKEI WHEELS (INDIA) LTD</v>
          </cell>
          <cell r="B1193">
            <v>533477</v>
          </cell>
          <cell r="C1193" t="str">
            <v>Not Listed</v>
          </cell>
        </row>
        <row r="1194">
          <cell r="A1194" t="str">
            <v>ENKEI WHEELS INDIA LTD</v>
          </cell>
          <cell r="B1194">
            <v>533477</v>
          </cell>
          <cell r="C1194" t="str">
            <v>Not Listed</v>
          </cell>
        </row>
        <row r="1195">
          <cell r="A1195" t="str">
            <v>ENTERPRISE INTERNATIONAL LTD</v>
          </cell>
          <cell r="B1195">
            <v>526574</v>
          </cell>
          <cell r="C1195" t="str">
            <v>Not Listed</v>
          </cell>
        </row>
        <row r="1196">
          <cell r="A1196" t="str">
            <v>ENTERTAINMENT NETWORK (INDIA) LTD</v>
          </cell>
          <cell r="B1196">
            <v>532700</v>
          </cell>
          <cell r="C1196" t="str">
            <v>ENIL</v>
          </cell>
        </row>
        <row r="1197">
          <cell r="A1197" t="str">
            <v>ENTERTAINMENT NETWORK INDIA LTD</v>
          </cell>
          <cell r="B1197">
            <v>532700</v>
          </cell>
          <cell r="C1197" t="str">
            <v>ENIL</v>
          </cell>
        </row>
        <row r="1198">
          <cell r="A1198" t="str">
            <v>ENVAIR ELECTRODYNE LTD</v>
          </cell>
          <cell r="B1198">
            <v>500246</v>
          </cell>
          <cell r="C1198" t="str">
            <v>Not Listed</v>
          </cell>
        </row>
        <row r="1199">
          <cell r="A1199" t="str">
            <v>EON ELECTRIC LTD</v>
          </cell>
          <cell r="B1199">
            <v>532658</v>
          </cell>
          <cell r="C1199" t="str">
            <v>EON</v>
          </cell>
        </row>
        <row r="1200">
          <cell r="A1200" t="str">
            <v>EPC INDUSTRIE LTD</v>
          </cell>
          <cell r="B1200">
            <v>523754</v>
          </cell>
          <cell r="C1200" t="str">
            <v>Not Listed</v>
          </cell>
        </row>
        <row r="1201">
          <cell r="A1201" t="str">
            <v>EPIC ENERGY LTD</v>
          </cell>
          <cell r="B1201">
            <v>530407</v>
          </cell>
          <cell r="C1201" t="str">
            <v>Not Listed</v>
          </cell>
        </row>
        <row r="1202">
          <cell r="A1202" t="str">
            <v>EPSOM PROPERTIES LTD</v>
          </cell>
          <cell r="B1202">
            <v>531155</v>
          </cell>
          <cell r="C1202" t="str">
            <v>Not Listed</v>
          </cell>
        </row>
        <row r="1203">
          <cell r="A1203" t="str">
            <v>EQUITAS HOLDINGS LTD</v>
          </cell>
          <cell r="B1203">
            <v>539844</v>
          </cell>
          <cell r="C1203" t="str">
            <v>EQUITAS</v>
          </cell>
        </row>
        <row r="1204">
          <cell r="A1204" t="str">
            <v>ERIS LIFESCIENCES LTD</v>
          </cell>
          <cell r="B1204">
            <v>540596</v>
          </cell>
          <cell r="C1204" t="str">
            <v>ERIS</v>
          </cell>
        </row>
        <row r="1205">
          <cell r="A1205" t="str">
            <v>EROS INTERNATIONAL MEDIA LTD</v>
          </cell>
          <cell r="B1205">
            <v>533261</v>
          </cell>
          <cell r="C1205" t="str">
            <v>EROSMEDIA</v>
          </cell>
        </row>
        <row r="1206">
          <cell r="A1206" t="str">
            <v>ERP SOFT SYSTEMS LTD</v>
          </cell>
          <cell r="B1206">
            <v>530909</v>
          </cell>
          <cell r="C1206" t="str">
            <v>Not Listed</v>
          </cell>
        </row>
        <row r="1207">
          <cell r="A1207" t="str">
            <v>ESAAR (INDIA) LTD</v>
          </cell>
          <cell r="B1207">
            <v>531502</v>
          </cell>
          <cell r="C1207" t="str">
            <v>Not Listed</v>
          </cell>
        </row>
        <row r="1208">
          <cell r="A1208" t="str">
            <v>ESAAR INDIA LTD</v>
          </cell>
          <cell r="B1208">
            <v>531502</v>
          </cell>
          <cell r="C1208" t="str">
            <v>Not Listed</v>
          </cell>
        </row>
        <row r="1209">
          <cell r="A1209" t="str">
            <v>ESAB (INDIA) LTD</v>
          </cell>
          <cell r="B1209">
            <v>500133</v>
          </cell>
          <cell r="C1209" t="str">
            <v>ESAB(INDIA)</v>
          </cell>
        </row>
        <row r="1210">
          <cell r="A1210" t="str">
            <v>ESAB INDIA LTD</v>
          </cell>
          <cell r="B1210">
            <v>500133</v>
          </cell>
          <cell r="C1210" t="str">
            <v>ESABINDIA</v>
          </cell>
        </row>
        <row r="1211">
          <cell r="A1211" t="str">
            <v>ESCORP ASSET MANAGEMENT LTD</v>
          </cell>
          <cell r="B1211">
            <v>540455</v>
          </cell>
          <cell r="C1211" t="str">
            <v>Not Listed</v>
          </cell>
        </row>
        <row r="1212">
          <cell r="A1212" t="str">
            <v>ESCORTS FINANCE LTD</v>
          </cell>
          <cell r="B1212">
            <v>511716</v>
          </cell>
          <cell r="C1212" t="str">
            <v>Not Listed</v>
          </cell>
        </row>
        <row r="1213">
          <cell r="A1213" t="str">
            <v>ESCORTS LTD</v>
          </cell>
          <cell r="B1213">
            <v>500495</v>
          </cell>
          <cell r="C1213" t="str">
            <v>ESCORTS</v>
          </cell>
        </row>
        <row r="1214">
          <cell r="A1214" t="str">
            <v>ESHA MEDIA RESEARCH LTD</v>
          </cell>
          <cell r="B1214">
            <v>531259</v>
          </cell>
          <cell r="C1214" t="str">
            <v>Not Listed</v>
          </cell>
        </row>
        <row r="1215">
          <cell r="A1215" t="str">
            <v>ESKAY K'N'IT (INDIA) LTD</v>
          </cell>
          <cell r="B1215">
            <v>514118</v>
          </cell>
          <cell r="C1215" t="str">
            <v>Not Listed</v>
          </cell>
        </row>
        <row r="1216">
          <cell r="A1216" t="str">
            <v>ESKAY K'N'IT INDIA LTD</v>
          </cell>
          <cell r="B1216">
            <v>514118</v>
          </cell>
          <cell r="C1216" t="str">
            <v>Not Listed</v>
          </cell>
        </row>
        <row r="1217">
          <cell r="A1217" t="str">
            <v>ESS DEE ALUMINIUM LTD</v>
          </cell>
          <cell r="B1217">
            <v>532787</v>
          </cell>
          <cell r="C1217" t="str">
            <v>ESSDEE</v>
          </cell>
        </row>
        <row r="1218">
          <cell r="A1218" t="str">
            <v>ESSAR SECURITIES LTD</v>
          </cell>
          <cell r="B1218">
            <v>533149</v>
          </cell>
          <cell r="C1218" t="str">
            <v>Not Listed</v>
          </cell>
        </row>
        <row r="1219">
          <cell r="A1219" t="str">
            <v>ESSAR SHIPPING LTD</v>
          </cell>
          <cell r="B1219">
            <v>533704</v>
          </cell>
          <cell r="C1219" t="str">
            <v>ESSARSHPNG</v>
          </cell>
        </row>
        <row r="1220">
          <cell r="A1220" t="str">
            <v>ESSEL PROPACK LTD</v>
          </cell>
          <cell r="B1220">
            <v>500135</v>
          </cell>
          <cell r="C1220" t="str">
            <v>ESSELPACK</v>
          </cell>
        </row>
        <row r="1221">
          <cell r="A1221" t="str">
            <v>ESTEEM BIO ORGANIC FOOD PROCESSING  LTD</v>
          </cell>
          <cell r="B1221">
            <v>534927</v>
          </cell>
          <cell r="C1221" t="str">
            <v>Not Listed</v>
          </cell>
        </row>
        <row r="1222">
          <cell r="A1222" t="str">
            <v>ESTER INDUSTRIES LTD</v>
          </cell>
          <cell r="B1222">
            <v>500136</v>
          </cell>
          <cell r="C1222" t="str">
            <v>ESTER</v>
          </cell>
        </row>
        <row r="1223">
          <cell r="A1223" t="str">
            <v>ETT LTD</v>
          </cell>
          <cell r="B1223">
            <v>537707</v>
          </cell>
          <cell r="C1223" t="str">
            <v>Not Listed</v>
          </cell>
        </row>
        <row r="1224">
          <cell r="A1224" t="str">
            <v>EUREKA INDUSTRIES LTD</v>
          </cell>
          <cell r="B1224">
            <v>521137</v>
          </cell>
          <cell r="C1224" t="str">
            <v>Not Listed</v>
          </cell>
        </row>
        <row r="1225">
          <cell r="A1225" t="str">
            <v>EURO ASIA EXPORTS LTD</v>
          </cell>
          <cell r="B1225">
            <v>530929</v>
          </cell>
          <cell r="C1225" t="str">
            <v>Not Listed</v>
          </cell>
        </row>
        <row r="1226">
          <cell r="A1226" t="str">
            <v>EURO CERAMICS LTD</v>
          </cell>
          <cell r="B1226">
            <v>532823</v>
          </cell>
          <cell r="C1226" t="str">
            <v>EUROCERA</v>
          </cell>
        </row>
        <row r="1227">
          <cell r="A1227" t="str">
            <v>EURO INDIA FRESH FOODS LTD</v>
          </cell>
          <cell r="B1227" t="str">
            <v>Not Listed</v>
          </cell>
          <cell r="C1227" t="str">
            <v>EIFFL</v>
          </cell>
        </row>
        <row r="1228">
          <cell r="A1228" t="str">
            <v>EURO MULTIVISION LTD</v>
          </cell>
          <cell r="B1228">
            <v>533109</v>
          </cell>
          <cell r="C1228" t="str">
            <v>EUROMULTI</v>
          </cell>
        </row>
        <row r="1229">
          <cell r="A1229" t="str">
            <v>EUROTEX INDUSTRIES &amp; EXPORTS LTD</v>
          </cell>
          <cell r="B1229">
            <v>521014</v>
          </cell>
          <cell r="C1229" t="str">
            <v>Not Listed</v>
          </cell>
        </row>
        <row r="1230">
          <cell r="A1230" t="str">
            <v>Eurotex Industries and Exports LTD</v>
          </cell>
          <cell r="B1230" t="str">
            <v>Not Listed</v>
          </cell>
          <cell r="C1230" t="str">
            <v>EUROTEXIND</v>
          </cell>
        </row>
        <row r="1231">
          <cell r="A1231" t="str">
            <v>Evans Electric Ltd</v>
          </cell>
          <cell r="B1231">
            <v>542668</v>
          </cell>
          <cell r="C1231" t="str">
            <v>EVANS</v>
          </cell>
        </row>
        <row r="1232">
          <cell r="A1232" t="str">
            <v>EVEREADY INDUSTRIES (INDIA) LTD</v>
          </cell>
          <cell r="B1232">
            <v>531508</v>
          </cell>
          <cell r="C1232" t="str">
            <v>EVEREADY</v>
          </cell>
        </row>
        <row r="1233">
          <cell r="A1233" t="str">
            <v>EVEREADY INDUSTRIES INDIA LTD</v>
          </cell>
          <cell r="B1233">
            <v>531508</v>
          </cell>
          <cell r="C1233" t="str">
            <v>EVEREADY</v>
          </cell>
        </row>
        <row r="1234">
          <cell r="A1234" t="str">
            <v>EVEREST INDUSTRIES LTD</v>
          </cell>
          <cell r="B1234">
            <v>508906</v>
          </cell>
          <cell r="C1234" t="str">
            <v>EVERESTIND</v>
          </cell>
        </row>
        <row r="1235">
          <cell r="A1235" t="str">
            <v>EVEREST KANTO CYLINDER LTD</v>
          </cell>
          <cell r="B1235">
            <v>532684</v>
          </cell>
          <cell r="C1235" t="str">
            <v>EKC</v>
          </cell>
        </row>
        <row r="1236">
          <cell r="A1236" t="str">
            <v>EVEREST ORGANICS LTD</v>
          </cell>
          <cell r="B1236">
            <v>524790</v>
          </cell>
          <cell r="C1236" t="str">
            <v>Not Listed</v>
          </cell>
        </row>
        <row r="1237">
          <cell r="A1237" t="str">
            <v>EVERGREEN TEXTILES LTD</v>
          </cell>
          <cell r="B1237">
            <v>514060</v>
          </cell>
          <cell r="C1237" t="str">
            <v>Not Listed</v>
          </cell>
        </row>
        <row r="1238">
          <cell r="A1238" t="str">
            <v>EVERLON SYNTHETICS LTD</v>
          </cell>
          <cell r="B1238">
            <v>514358</v>
          </cell>
          <cell r="C1238" t="str">
            <v>Not Listed</v>
          </cell>
        </row>
        <row r="1239">
          <cell r="A1239" t="str">
            <v>EXCEL CROP CARE LTD</v>
          </cell>
          <cell r="B1239">
            <v>532511</v>
          </cell>
          <cell r="C1239" t="str">
            <v>EXCELCROP</v>
          </cell>
        </row>
        <row r="1240">
          <cell r="A1240" t="str">
            <v>EXCEL INDUSTRIES LTD</v>
          </cell>
          <cell r="B1240">
            <v>500650</v>
          </cell>
          <cell r="C1240" t="str">
            <v>EXCELINDUS</v>
          </cell>
        </row>
        <row r="1241">
          <cell r="A1241" t="str">
            <v>EXCEL REALTY N INFRA LTD</v>
          </cell>
          <cell r="B1241">
            <v>533090</v>
          </cell>
          <cell r="C1241" t="str">
            <v>EXCEL</v>
          </cell>
        </row>
        <row r="1242">
          <cell r="A1242" t="str">
            <v>EXIDE INDUSTRIES LTD</v>
          </cell>
          <cell r="B1242">
            <v>500086</v>
          </cell>
          <cell r="C1242" t="str">
            <v>EXIDEIND</v>
          </cell>
        </row>
        <row r="1243">
          <cell r="A1243" t="str">
            <v>Expleo Solutions LTD</v>
          </cell>
          <cell r="B1243" t="str">
            <v>Not Listed</v>
          </cell>
          <cell r="C1243" t="str">
            <v>EXPLEOSOL</v>
          </cell>
        </row>
        <row r="1244">
          <cell r="A1244" t="str">
            <v>EXPLICIT FINANCE LTD</v>
          </cell>
          <cell r="B1244">
            <v>530571</v>
          </cell>
          <cell r="C1244" t="str">
            <v>Not Listed</v>
          </cell>
        </row>
        <row r="1245">
          <cell r="A1245" t="str">
            <v>EXPO GAS CONTAINERS LTD</v>
          </cell>
          <cell r="B1245">
            <v>526614</v>
          </cell>
          <cell r="C1245" t="str">
            <v>Not Listed</v>
          </cell>
        </row>
        <row r="1246">
          <cell r="A1246" t="str">
            <v>F MEC INTERNATIONAL FINANCIAL SERVICES LTD</v>
          </cell>
          <cell r="B1246">
            <v>539552</v>
          </cell>
          <cell r="C1246" t="str">
            <v>Not Listed</v>
          </cell>
        </row>
        <row r="1247">
          <cell r="A1247" t="str">
            <v>FACOR ALLOYS LTD</v>
          </cell>
          <cell r="B1247">
            <v>532656</v>
          </cell>
          <cell r="C1247" t="str">
            <v>Not Listed</v>
          </cell>
        </row>
        <row r="1248">
          <cell r="A1248" t="str">
            <v>FAIR DEAL FILAMENTS LTD</v>
          </cell>
          <cell r="B1248">
            <v>514474</v>
          </cell>
          <cell r="C1248" t="str">
            <v>Not Listed</v>
          </cell>
        </row>
        <row r="1249">
          <cell r="A1249" t="str">
            <v>FAIRCHEM SPECIALITY LTD</v>
          </cell>
          <cell r="B1249">
            <v>530117</v>
          </cell>
          <cell r="C1249" t="str">
            <v>FAIRCHEM</v>
          </cell>
        </row>
        <row r="1250">
          <cell r="A1250" t="str">
            <v>FAZE THREE LTD</v>
          </cell>
          <cell r="B1250">
            <v>530079</v>
          </cell>
          <cell r="C1250" t="str">
            <v>Not Listed</v>
          </cell>
        </row>
        <row r="1251">
          <cell r="A1251" t="str">
            <v>FCS SOFTWARE SOLUTIONS LTD</v>
          </cell>
          <cell r="B1251">
            <v>532666</v>
          </cell>
          <cell r="C1251" t="str">
            <v>FCSSOFT</v>
          </cell>
        </row>
        <row r="1252">
          <cell r="A1252" t="str">
            <v>FDC LTD</v>
          </cell>
          <cell r="B1252">
            <v>531599</v>
          </cell>
          <cell r="C1252" t="str">
            <v>FDC</v>
          </cell>
        </row>
        <row r="1253">
          <cell r="A1253" t="str">
            <v>FEDERAL-MOGUL GOETZE (INDIA) LTD</v>
          </cell>
          <cell r="B1253">
            <v>505744</v>
          </cell>
          <cell r="C1253" t="str">
            <v>FMGOETZE</v>
          </cell>
        </row>
        <row r="1254">
          <cell r="A1254" t="str">
            <v>FEDERAL-MOGUL GOETZE INDIA LTD</v>
          </cell>
          <cell r="B1254">
            <v>505744</v>
          </cell>
          <cell r="C1254" t="str">
            <v>FMGOETZE</v>
          </cell>
        </row>
        <row r="1255">
          <cell r="A1255" t="str">
            <v>FELIX INDUSTRIES LTD</v>
          </cell>
          <cell r="B1255" t="str">
            <v>Not Listed</v>
          </cell>
          <cell r="C1255" t="str">
            <v>FELIX</v>
          </cell>
        </row>
        <row r="1256">
          <cell r="A1256" t="str">
            <v>FENOPLAST LTD</v>
          </cell>
          <cell r="B1256">
            <v>526689</v>
          </cell>
          <cell r="C1256" t="str">
            <v>Not Listed</v>
          </cell>
        </row>
        <row r="1257">
          <cell r="A1257" t="str">
            <v>FERRO ALLOYS CORPORATION LTD</v>
          </cell>
          <cell r="B1257">
            <v>500141</v>
          </cell>
          <cell r="C1257" t="str">
            <v>Not Listed</v>
          </cell>
        </row>
        <row r="1258">
          <cell r="A1258" t="str">
            <v>FERTILIZERS AND CHEMICALS TRAVANCORE LTD</v>
          </cell>
          <cell r="B1258">
            <v>590024</v>
          </cell>
          <cell r="C1258" t="str">
            <v>FACT</v>
          </cell>
        </row>
        <row r="1259">
          <cell r="A1259" t="str">
            <v>FERVENT SYNERGIES LTD</v>
          </cell>
          <cell r="B1259">
            <v>533896</v>
          </cell>
          <cell r="C1259" t="str">
            <v>Not Listed</v>
          </cell>
        </row>
        <row r="1260">
          <cell r="A1260" t="str">
            <v>FGP LTD</v>
          </cell>
          <cell r="B1260">
            <v>500142</v>
          </cell>
          <cell r="C1260" t="str">
            <v>Not Listed</v>
          </cell>
        </row>
        <row r="1261">
          <cell r="A1261" t="str">
            <v>FIBERWEB (INDIA) LTD</v>
          </cell>
          <cell r="B1261">
            <v>507910</v>
          </cell>
          <cell r="C1261" t="str">
            <v>Not Listed</v>
          </cell>
        </row>
        <row r="1262">
          <cell r="A1262" t="str">
            <v>FIBERWEB INDIA LTD</v>
          </cell>
          <cell r="B1262">
            <v>507910</v>
          </cell>
          <cell r="C1262" t="str">
            <v>Not Listed</v>
          </cell>
        </row>
        <row r="1263">
          <cell r="A1263" t="str">
            <v>FIEM INDUSTRIES LTD</v>
          </cell>
          <cell r="B1263">
            <v>532768</v>
          </cell>
          <cell r="C1263" t="str">
            <v>FIEMIND</v>
          </cell>
        </row>
        <row r="1264">
          <cell r="A1264" t="str">
            <v>FILATEX (INDIA) LTD</v>
          </cell>
          <cell r="B1264">
            <v>526227</v>
          </cell>
          <cell r="C1264" t="str">
            <v>FILATEX</v>
          </cell>
        </row>
        <row r="1265">
          <cell r="A1265" t="str">
            <v>FILATEX FASHIONS LTD</v>
          </cell>
          <cell r="B1265">
            <v>532022</v>
          </cell>
          <cell r="C1265" t="str">
            <v>Not Listed</v>
          </cell>
        </row>
        <row r="1266">
          <cell r="A1266" t="str">
            <v>FILATEX INDIA LTD</v>
          </cell>
          <cell r="B1266">
            <v>526227</v>
          </cell>
          <cell r="C1266" t="str">
            <v>FILATEX</v>
          </cell>
        </row>
        <row r="1267">
          <cell r="A1267" t="str">
            <v>FILTRA CONSULTANTS AND ENGINEERS LTD</v>
          </cell>
          <cell r="B1267">
            <v>539098</v>
          </cell>
          <cell r="C1267" t="str">
            <v>Not Listed</v>
          </cell>
        </row>
        <row r="1268">
          <cell r="A1268" t="str">
            <v>FINE ORGANIC INDUSTRIES LTD</v>
          </cell>
          <cell r="B1268">
            <v>541557</v>
          </cell>
          <cell r="C1268" t="str">
            <v>FINEORG</v>
          </cell>
        </row>
        <row r="1269">
          <cell r="A1269" t="str">
            <v>FINE-LINE CIRCUITS LTD.</v>
          </cell>
          <cell r="B1269">
            <v>517264</v>
          </cell>
          <cell r="C1269" t="str">
            <v>FINELINE</v>
          </cell>
        </row>
        <row r="1270">
          <cell r="A1270" t="str">
            <v>FINEOTEX CHEMICAL LTD</v>
          </cell>
          <cell r="B1270">
            <v>533333</v>
          </cell>
          <cell r="C1270" t="str">
            <v>FCL</v>
          </cell>
        </row>
        <row r="1271">
          <cell r="A1271" t="str">
            <v>FINKURVE FINANCIAL SERVICES LTD</v>
          </cell>
          <cell r="B1271">
            <v>508954</v>
          </cell>
          <cell r="C1271" t="str">
            <v>Not Listed</v>
          </cell>
        </row>
        <row r="1272">
          <cell r="A1272" t="str">
            <v>FINOLEX CABLES LTD</v>
          </cell>
          <cell r="B1272">
            <v>500144</v>
          </cell>
          <cell r="C1272" t="str">
            <v>FINCABLES</v>
          </cell>
        </row>
        <row r="1273">
          <cell r="A1273" t="str">
            <v>FINOLEX INDUSTRIES LTD</v>
          </cell>
          <cell r="B1273">
            <v>500940</v>
          </cell>
          <cell r="C1273" t="str">
            <v>FINPIPE</v>
          </cell>
        </row>
        <row r="1274">
          <cell r="A1274" t="str">
            <v>FIRST CUSTODIAN FUND (INDIA) LTD</v>
          </cell>
          <cell r="B1274">
            <v>511122</v>
          </cell>
          <cell r="C1274" t="str">
            <v>Not Listed</v>
          </cell>
        </row>
        <row r="1275">
          <cell r="A1275" t="str">
            <v>FIRST CUSTODIAN FUND INDIA LTD</v>
          </cell>
          <cell r="B1275">
            <v>511122</v>
          </cell>
          <cell r="C1275" t="str">
            <v>Not Listed</v>
          </cell>
        </row>
        <row r="1276">
          <cell r="A1276" t="str">
            <v>FIRSTOBJECT TECHNOLOGIES LTD</v>
          </cell>
          <cell r="B1276">
            <v>532379</v>
          </cell>
          <cell r="C1276" t="str">
            <v>Not Listed</v>
          </cell>
        </row>
        <row r="1277">
          <cell r="A1277" t="str">
            <v>FIRSTSOURCE SOLUTIONS LTD</v>
          </cell>
          <cell r="B1277">
            <v>532809</v>
          </cell>
          <cell r="C1277" t="str">
            <v>FSL</v>
          </cell>
        </row>
        <row r="1278">
          <cell r="A1278" t="str">
            <v>FISCHER CHEMIC LTD</v>
          </cell>
          <cell r="B1278">
            <v>524743</v>
          </cell>
          <cell r="C1278" t="str">
            <v>Not Listed</v>
          </cell>
        </row>
        <row r="1279">
          <cell r="A1279" t="str">
            <v>FIVE CORE ELECTRONICS LTD</v>
          </cell>
          <cell r="B1279" t="str">
            <v>Not Listed</v>
          </cell>
          <cell r="C1279" t="str">
            <v>FIVECORE</v>
          </cell>
        </row>
        <row r="1280">
          <cell r="A1280" t="str">
            <v>FIVE CORE EXIM LTD</v>
          </cell>
          <cell r="B1280">
            <v>530885</v>
          </cell>
          <cell r="C1280" t="str">
            <v>Not Listed</v>
          </cell>
        </row>
        <row r="1281">
          <cell r="A1281" t="str">
            <v>FIVE X TRADECOM LTD</v>
          </cell>
          <cell r="B1281">
            <v>536751</v>
          </cell>
          <cell r="C1281" t="str">
            <v>Not Listed</v>
          </cell>
        </row>
        <row r="1282">
          <cell r="A1282" t="str">
            <v>FLEX FOODS LTD</v>
          </cell>
          <cell r="B1282">
            <v>523672</v>
          </cell>
          <cell r="C1282" t="str">
            <v>Not Listed</v>
          </cell>
        </row>
        <row r="1283">
          <cell r="A1283" t="str">
            <v>FLEXITUFF VENTURES INTERNATIONAL LTD</v>
          </cell>
          <cell r="B1283">
            <v>533638</v>
          </cell>
          <cell r="C1283" t="str">
            <v>FLEXITUFF</v>
          </cell>
        </row>
        <row r="1284">
          <cell r="A1284" t="str">
            <v>FLORA CORPORATION LTD</v>
          </cell>
          <cell r="B1284">
            <v>540267</v>
          </cell>
          <cell r="C1284" t="str">
            <v>Not Listed</v>
          </cell>
        </row>
        <row r="1285">
          <cell r="A1285" t="str">
            <v>FLORA TEXTILES LTD</v>
          </cell>
          <cell r="B1285">
            <v>530705</v>
          </cell>
          <cell r="C1285" t="str">
            <v>Not Listed</v>
          </cell>
        </row>
        <row r="1286">
          <cell r="A1286" t="str">
            <v>FLORENCE INVESTECH LTD</v>
          </cell>
          <cell r="B1286">
            <v>532518</v>
          </cell>
          <cell r="C1286" t="str">
            <v>Not Listed</v>
          </cell>
        </row>
        <row r="1287">
          <cell r="A1287" t="str">
            <v>FLUIDOMAT LTD</v>
          </cell>
          <cell r="B1287">
            <v>522017</v>
          </cell>
          <cell r="C1287" t="str">
            <v>Not Listed</v>
          </cell>
        </row>
        <row r="1288">
          <cell r="A1288" t="str">
            <v>FOCUS INDUSTRIAL RESOURCES LTD</v>
          </cell>
          <cell r="B1288">
            <v>534757</v>
          </cell>
          <cell r="C1288" t="str">
            <v>Not Listed</v>
          </cell>
        </row>
        <row r="1289">
          <cell r="A1289" t="str">
            <v>FOCUS LIGHTING AND FIXTURES LTD</v>
          </cell>
          <cell r="B1289" t="str">
            <v>Not Listed</v>
          </cell>
          <cell r="C1289" t="str">
            <v>FOCUS</v>
          </cell>
        </row>
        <row r="1290">
          <cell r="A1290" t="str">
            <v>FOCUS SUITES SOLUTIONS &amp; SERVICES LTD</v>
          </cell>
          <cell r="B1290">
            <v>540945</v>
          </cell>
          <cell r="C1290" t="str">
            <v>Not Listed</v>
          </cell>
        </row>
        <row r="1291">
          <cell r="A1291" t="str">
            <v>FOMENTO RESORTS &amp; HOTELS LTD</v>
          </cell>
          <cell r="B1291">
            <v>503831</v>
          </cell>
          <cell r="C1291" t="str">
            <v>Not Listed</v>
          </cell>
        </row>
        <row r="1292">
          <cell r="A1292" t="str">
            <v>FOODS &amp; INNS LTD</v>
          </cell>
          <cell r="B1292">
            <v>507552</v>
          </cell>
          <cell r="C1292" t="str">
            <v>Not Listed</v>
          </cell>
        </row>
        <row r="1293">
          <cell r="A1293" t="str">
            <v>FORBES &amp; COMPANY LTD</v>
          </cell>
          <cell r="B1293">
            <v>502865</v>
          </cell>
          <cell r="C1293" t="str">
            <v>Not Listed</v>
          </cell>
        </row>
        <row r="1294">
          <cell r="A1294" t="str">
            <v>FORCE MOTORS LTD</v>
          </cell>
          <cell r="B1294">
            <v>500033</v>
          </cell>
          <cell r="C1294" t="str">
            <v>Not Listed</v>
          </cell>
        </row>
        <row r="1295">
          <cell r="A1295" t="str">
            <v>FORTIS HEALTHCARE LTD</v>
          </cell>
          <cell r="B1295">
            <v>532843</v>
          </cell>
          <cell r="C1295" t="str">
            <v>FORTIS</v>
          </cell>
        </row>
        <row r="1296">
          <cell r="A1296" t="str">
            <v>FORTIS MALAR HOSPITALS LTD</v>
          </cell>
          <cell r="B1296">
            <v>523696</v>
          </cell>
          <cell r="C1296" t="str">
            <v>Not Listed</v>
          </cell>
        </row>
        <row r="1297">
          <cell r="A1297" t="str">
            <v>FORTUNE INTERNATIONAL LTD</v>
          </cell>
          <cell r="B1297">
            <v>530213</v>
          </cell>
          <cell r="C1297" t="str">
            <v>Not Listed</v>
          </cell>
        </row>
        <row r="1298">
          <cell r="A1298" t="str">
            <v>FOSECO (INDIA) LTD</v>
          </cell>
          <cell r="B1298">
            <v>500150</v>
          </cell>
          <cell r="C1298" t="str">
            <v>FOSECOIND</v>
          </cell>
        </row>
        <row r="1299">
          <cell r="A1299" t="str">
            <v>FOSECO INDIA LTD</v>
          </cell>
          <cell r="B1299">
            <v>500150</v>
          </cell>
          <cell r="C1299" t="str">
            <v>FOSECOIND</v>
          </cell>
        </row>
        <row r="1300">
          <cell r="A1300" t="str">
            <v>FOUNDRY FUEL PRODUCTS LTD</v>
          </cell>
          <cell r="B1300">
            <v>513579</v>
          </cell>
          <cell r="C1300" t="str">
            <v>Not Listed</v>
          </cell>
        </row>
        <row r="1301">
          <cell r="A1301" t="str">
            <v>FOURTH DIMENSION SOLUTIONS LTD</v>
          </cell>
          <cell r="B1301" t="str">
            <v>Not Listed</v>
          </cell>
          <cell r="C1301" t="str">
            <v>FOURTHDIM</v>
          </cell>
        </row>
        <row r="1302">
          <cell r="A1302" t="str">
            <v>FOURTH GENERATION INFORMATION SYSTEMS LTD</v>
          </cell>
          <cell r="B1302">
            <v>532403</v>
          </cell>
          <cell r="C1302" t="str">
            <v>Not Listed</v>
          </cell>
        </row>
        <row r="1303">
          <cell r="A1303" t="str">
            <v>FRANKLIN INDUSTRIES LTD</v>
          </cell>
          <cell r="B1303">
            <v>540190</v>
          </cell>
          <cell r="C1303" t="str">
            <v>Not Listed</v>
          </cell>
        </row>
        <row r="1304">
          <cell r="A1304" t="str">
            <v>FRANKLIN LEASING AND FINANCE LTD</v>
          </cell>
          <cell r="B1304">
            <v>539839</v>
          </cell>
          <cell r="C1304" t="str">
            <v>Not Listed</v>
          </cell>
        </row>
        <row r="1305">
          <cell r="A1305" t="str">
            <v>Fraser and Company Ltd</v>
          </cell>
          <cell r="B1305">
            <v>539032</v>
          </cell>
          <cell r="C1305" t="str">
            <v>FRASER</v>
          </cell>
        </row>
        <row r="1306">
          <cell r="A1306" t="str">
            <v>FREDUN PHARMACEUTICALS LTD</v>
          </cell>
          <cell r="B1306">
            <v>539730</v>
          </cell>
          <cell r="C1306" t="str">
            <v>Not Listed</v>
          </cell>
        </row>
        <row r="1307">
          <cell r="A1307" t="str">
            <v>FRESHTROP FRUITS LTD</v>
          </cell>
          <cell r="B1307">
            <v>530077</v>
          </cell>
          <cell r="C1307" t="str">
            <v>Not Listed</v>
          </cell>
        </row>
        <row r="1308">
          <cell r="A1308" t="str">
            <v>FRONTIER CAPITAL LTD</v>
          </cell>
          <cell r="B1308">
            <v>508980</v>
          </cell>
          <cell r="C1308" t="str">
            <v>Not Listed</v>
          </cell>
        </row>
        <row r="1309">
          <cell r="A1309" t="str">
            <v>FRONTIER SPRINGS LTD</v>
          </cell>
          <cell r="B1309">
            <v>522195</v>
          </cell>
          <cell r="C1309" t="str">
            <v>Not Listed</v>
          </cell>
        </row>
        <row r="1310">
          <cell r="A1310" t="str">
            <v>FRONTLINE BUSINESS SOLUTIONS LTD.</v>
          </cell>
          <cell r="B1310">
            <v>521167</v>
          </cell>
          <cell r="C1310" t="str">
            <v>FRONTBUSS</v>
          </cell>
        </row>
        <row r="1311">
          <cell r="A1311" t="str">
            <v>FRONTLINE CORPORATION LTD</v>
          </cell>
          <cell r="B1311">
            <v>532042</v>
          </cell>
          <cell r="C1311" t="str">
            <v>Not Listed</v>
          </cell>
        </row>
        <row r="1312">
          <cell r="A1312" t="str">
            <v>FRONTLINE SECURITIES LTD</v>
          </cell>
          <cell r="B1312">
            <v>533213</v>
          </cell>
          <cell r="C1312" t="str">
            <v>Not Listed</v>
          </cell>
        </row>
        <row r="1313">
          <cell r="A1313" t="str">
            <v>FRUITION VENTURE LTD</v>
          </cell>
          <cell r="B1313">
            <v>538568</v>
          </cell>
          <cell r="C1313" t="str">
            <v>Not Listed</v>
          </cell>
        </row>
        <row r="1314">
          <cell r="A1314" t="str">
            <v>FUNNY SOFTWARE LTD</v>
          </cell>
          <cell r="B1314">
            <v>539169</v>
          </cell>
          <cell r="C1314" t="str">
            <v>Not Listed</v>
          </cell>
        </row>
        <row r="1315">
          <cell r="A1315" t="str">
            <v>FUTURE CONSUMER LTD</v>
          </cell>
          <cell r="B1315">
            <v>533400</v>
          </cell>
          <cell r="C1315" t="str">
            <v>FCONSUMER</v>
          </cell>
        </row>
        <row r="1316">
          <cell r="A1316" t="str">
            <v>FUTURE ENTERPRISES LTD</v>
          </cell>
          <cell r="B1316">
            <v>523574</v>
          </cell>
          <cell r="C1316" t="str">
            <v>FEL</v>
          </cell>
        </row>
        <row r="1317">
          <cell r="A1317" t="str">
            <v>FUTURE ENTERPRISES LTD</v>
          </cell>
          <cell r="B1317">
            <v>570002</v>
          </cell>
          <cell r="C1317" t="str">
            <v>FELDVR</v>
          </cell>
        </row>
        <row r="1318">
          <cell r="A1318" t="str">
            <v>FUTURE LIFESTYLE FASHIONS LTD</v>
          </cell>
          <cell r="B1318">
            <v>536507</v>
          </cell>
          <cell r="C1318" t="str">
            <v>FLFL</v>
          </cell>
        </row>
        <row r="1319">
          <cell r="A1319" t="str">
            <v>FUTURE MARKET NETWORKS LTD</v>
          </cell>
          <cell r="B1319">
            <v>533296</v>
          </cell>
          <cell r="C1319" t="str">
            <v>FMNL</v>
          </cell>
        </row>
        <row r="1320">
          <cell r="A1320" t="str">
            <v>FUTURE RETAIL LTD</v>
          </cell>
          <cell r="B1320">
            <v>540064</v>
          </cell>
          <cell r="C1320" t="str">
            <v>FRETAIL</v>
          </cell>
        </row>
        <row r="1321">
          <cell r="A1321" t="str">
            <v>FUTURE SUPPLY CHAIN SOLUTIONS LTD</v>
          </cell>
          <cell r="B1321">
            <v>540798</v>
          </cell>
          <cell r="C1321" t="str">
            <v>FSC</v>
          </cell>
        </row>
        <row r="1322">
          <cell r="A1322" t="str">
            <v>FUTURISTIC SECURITIES LTD</v>
          </cell>
          <cell r="B1322">
            <v>523113</v>
          </cell>
          <cell r="C1322" t="str">
            <v>Not Listed</v>
          </cell>
        </row>
        <row r="1323">
          <cell r="A1323" t="str">
            <v>FUTURISTIC SOLUTIONS LTD</v>
          </cell>
          <cell r="B1323">
            <v>534063</v>
          </cell>
          <cell r="C1323" t="str">
            <v>Not Listed</v>
          </cell>
        </row>
        <row r="1324">
          <cell r="A1324" t="str">
            <v>G D TRADING &amp; AGENCIES LTD</v>
          </cell>
          <cell r="B1324">
            <v>504346</v>
          </cell>
          <cell r="C1324" t="str">
            <v>Not Listed</v>
          </cell>
        </row>
        <row r="1325">
          <cell r="A1325" t="str">
            <v>G G DANDEKAR MACHINE WORKS LTD</v>
          </cell>
          <cell r="B1325">
            <v>505250</v>
          </cell>
          <cell r="C1325" t="str">
            <v>Not Listed</v>
          </cell>
        </row>
        <row r="1326">
          <cell r="A1326" t="str">
            <v>G G ENGINEERING LTD</v>
          </cell>
          <cell r="B1326">
            <v>540614</v>
          </cell>
          <cell r="C1326" t="str">
            <v>Not Listed</v>
          </cell>
        </row>
        <row r="1327">
          <cell r="A1327" t="str">
            <v>G K CONSULTANTS LTD</v>
          </cell>
          <cell r="B1327">
            <v>531758</v>
          </cell>
          <cell r="C1327" t="str">
            <v>Not Listed</v>
          </cell>
        </row>
        <row r="1328">
          <cell r="A1328" t="str">
            <v>G S AUTO INTERNATIONAL LTD</v>
          </cell>
          <cell r="B1328">
            <v>513059</v>
          </cell>
          <cell r="C1328" t="str">
            <v>Not Listed</v>
          </cell>
        </row>
        <row r="1329">
          <cell r="A1329" t="str">
            <v>G. K. P. Printing &amp;amp; Packaging Ltd</v>
          </cell>
          <cell r="B1329">
            <v>542666</v>
          </cell>
          <cell r="C1329" t="str">
            <v>GKP</v>
          </cell>
        </row>
        <row r="1330">
          <cell r="A1330" t="str">
            <v>GABRIEL (INDIA) LTD</v>
          </cell>
          <cell r="B1330">
            <v>505714</v>
          </cell>
          <cell r="C1330" t="str">
            <v>GABRIEL</v>
          </cell>
        </row>
        <row r="1331">
          <cell r="A1331" t="str">
            <v>GABRIEL INDIA LTD</v>
          </cell>
          <cell r="B1331">
            <v>505714</v>
          </cell>
          <cell r="C1331" t="str">
            <v>GABRIEL</v>
          </cell>
        </row>
        <row r="1332">
          <cell r="A1332" t="str">
            <v>GAGAN GASES LTD.</v>
          </cell>
          <cell r="B1332">
            <v>524624</v>
          </cell>
          <cell r="C1332" t="str">
            <v>GAGAN</v>
          </cell>
        </row>
        <row r="1333">
          <cell r="A1333" t="str">
            <v>GAGAN POLYCOT (INDIA) LTD</v>
          </cell>
          <cell r="B1333">
            <v>531196</v>
          </cell>
          <cell r="C1333" t="str">
            <v>Not Listed</v>
          </cell>
        </row>
        <row r="1334">
          <cell r="A1334" t="str">
            <v>GAGAN POLYCOT INDIA LTD</v>
          </cell>
          <cell r="B1334">
            <v>531196</v>
          </cell>
          <cell r="C1334" t="str">
            <v>Not Listed</v>
          </cell>
        </row>
        <row r="1335">
          <cell r="A1335" t="str">
            <v>GAIL (INDIA) LTD</v>
          </cell>
          <cell r="B1335">
            <v>532155</v>
          </cell>
          <cell r="C1335" t="str">
            <v>GAIL</v>
          </cell>
        </row>
        <row r="1336">
          <cell r="A1336" t="str">
            <v>GAIL INDIA LTD</v>
          </cell>
          <cell r="B1336">
            <v>532155</v>
          </cell>
          <cell r="C1336" t="str">
            <v>GAIL</v>
          </cell>
        </row>
        <row r="1337">
          <cell r="A1337" t="str">
            <v>GAJANAN SECURITIES SERVICES LTD</v>
          </cell>
          <cell r="B1337">
            <v>538609</v>
          </cell>
          <cell r="C1337" t="str">
            <v>Not Listed</v>
          </cell>
        </row>
        <row r="1338">
          <cell r="A1338" t="str">
            <v>GAJRA BEVEL GEARS LTD</v>
          </cell>
          <cell r="B1338">
            <v>505711</v>
          </cell>
          <cell r="C1338" t="str">
            <v>Not Listed</v>
          </cell>
        </row>
        <row r="1339">
          <cell r="A1339" t="str">
            <v>GALA GLOBAL PRODUCTS LTD</v>
          </cell>
          <cell r="B1339">
            <v>539228</v>
          </cell>
          <cell r="C1339" t="str">
            <v>Not Listed</v>
          </cell>
        </row>
        <row r="1340">
          <cell r="A1340" t="str">
            <v>GALADA FINANCE LTD</v>
          </cell>
          <cell r="B1340">
            <v>538881</v>
          </cell>
          <cell r="C1340" t="str">
            <v>Not Listed</v>
          </cell>
        </row>
        <row r="1341">
          <cell r="A1341" t="str">
            <v>GALADA POWER &amp; TELECOMMUNICATION LTD</v>
          </cell>
          <cell r="B1341">
            <v>504697</v>
          </cell>
          <cell r="C1341" t="str">
            <v>Not Listed</v>
          </cell>
        </row>
        <row r="1342">
          <cell r="A1342" t="str">
            <v>GALAXY AGRICO EXPORTS LTD</v>
          </cell>
          <cell r="B1342">
            <v>531911</v>
          </cell>
          <cell r="C1342" t="str">
            <v>Not Listed</v>
          </cell>
        </row>
        <row r="1343">
          <cell r="A1343" t="str">
            <v>GALAXY BEARINGS LTD</v>
          </cell>
          <cell r="B1343">
            <v>526073</v>
          </cell>
          <cell r="C1343" t="str">
            <v>Not Listed</v>
          </cell>
        </row>
        <row r="1344">
          <cell r="A1344" t="str">
            <v>GALAXY ENTERTAINMENT CORPORATION LTD</v>
          </cell>
          <cell r="B1344">
            <v>506186</v>
          </cell>
          <cell r="C1344" t="str">
            <v>Not Listed</v>
          </cell>
        </row>
        <row r="1345">
          <cell r="A1345" t="str">
            <v>GALAXY SURFACTANTS LTD</v>
          </cell>
          <cell r="B1345">
            <v>540935</v>
          </cell>
          <cell r="C1345" t="str">
            <v>GALAXYSURF</v>
          </cell>
        </row>
        <row r="1346">
          <cell r="A1346" t="str">
            <v>GALLANTT ISPAT LTD</v>
          </cell>
          <cell r="B1346">
            <v>533265</v>
          </cell>
          <cell r="C1346" t="str">
            <v>GALLISPAT</v>
          </cell>
        </row>
        <row r="1347">
          <cell r="A1347" t="str">
            <v>GALLANTT METAL LTD</v>
          </cell>
          <cell r="B1347">
            <v>532726</v>
          </cell>
          <cell r="C1347" t="str">
            <v>GALLANTT</v>
          </cell>
        </row>
        <row r="1348">
          <cell r="A1348" t="str">
            <v>GALLOPS ENTERPRISE LTD.</v>
          </cell>
          <cell r="B1348">
            <v>531902</v>
          </cell>
          <cell r="C1348" t="str">
            <v>GALLOPENT</v>
          </cell>
        </row>
        <row r="1349">
          <cell r="A1349" t="str">
            <v>GAMMON INFRASTRUCTURE PROJECTS LTD</v>
          </cell>
          <cell r="B1349">
            <v>532959</v>
          </cell>
          <cell r="C1349" t="str">
            <v>GAMMNINFRA</v>
          </cell>
        </row>
        <row r="1350">
          <cell r="A1350" t="str">
            <v>GANDHI SPECIAL TUBES LTD</v>
          </cell>
          <cell r="B1350">
            <v>513108</v>
          </cell>
          <cell r="C1350" t="str">
            <v>GANDHITUBE</v>
          </cell>
        </row>
        <row r="1351">
          <cell r="A1351" t="str">
            <v>GANESH BENZOPLAST LTD</v>
          </cell>
          <cell r="B1351">
            <v>500153</v>
          </cell>
          <cell r="C1351" t="str">
            <v>Not Listed</v>
          </cell>
        </row>
        <row r="1352">
          <cell r="A1352" t="str">
            <v>GANESH FILMS (INDIA) LTD</v>
          </cell>
          <cell r="B1352">
            <v>541703</v>
          </cell>
          <cell r="C1352" t="str">
            <v>Not Listed</v>
          </cell>
        </row>
        <row r="1353">
          <cell r="A1353" t="str">
            <v>GANESH FILMS INDIA LTD</v>
          </cell>
          <cell r="B1353">
            <v>541703</v>
          </cell>
          <cell r="C1353" t="str">
            <v>Not Listed</v>
          </cell>
        </row>
        <row r="1354">
          <cell r="A1354" t="str">
            <v>GANESH HOLDINGS LTD</v>
          </cell>
          <cell r="B1354">
            <v>504397</v>
          </cell>
          <cell r="C1354" t="str">
            <v>Not Listed</v>
          </cell>
        </row>
        <row r="1355">
          <cell r="A1355" t="str">
            <v>GANESH HOUSING CORPORATION LTD</v>
          </cell>
          <cell r="B1355">
            <v>526367</v>
          </cell>
          <cell r="C1355" t="str">
            <v>GANESHHOUC</v>
          </cell>
        </row>
        <row r="1356">
          <cell r="A1356" t="str">
            <v>GANESHA ECOSPHERE LTD</v>
          </cell>
          <cell r="B1356">
            <v>514167</v>
          </cell>
          <cell r="C1356" t="str">
            <v>GANECOS</v>
          </cell>
        </row>
        <row r="1357">
          <cell r="A1357" t="str">
            <v>GANGA FORGING LTD</v>
          </cell>
          <cell r="B1357" t="str">
            <v>Not Listed</v>
          </cell>
          <cell r="C1357" t="str">
            <v>GANGAFORGE</v>
          </cell>
        </row>
        <row r="1358">
          <cell r="A1358" t="str">
            <v>GANGA PAPERS (INDIA) LTD</v>
          </cell>
          <cell r="B1358">
            <v>531813</v>
          </cell>
          <cell r="C1358" t="str">
            <v>Not Listed</v>
          </cell>
        </row>
        <row r="1359">
          <cell r="A1359" t="str">
            <v>GANGA PAPERS INDIA LTD</v>
          </cell>
          <cell r="B1359">
            <v>531813</v>
          </cell>
          <cell r="C1359" t="str">
            <v>Not Listed</v>
          </cell>
        </row>
        <row r="1360">
          <cell r="A1360" t="str">
            <v>GANGA PHARMACEUTICALS LTD</v>
          </cell>
          <cell r="B1360">
            <v>539680</v>
          </cell>
          <cell r="C1360" t="str">
            <v>Not Listed</v>
          </cell>
        </row>
        <row r="1361">
          <cell r="A1361" t="str">
            <v>GANGES SECURITIES LTD</v>
          </cell>
          <cell r="B1361">
            <v>540647</v>
          </cell>
          <cell r="C1361" t="str">
            <v>GANGESSECU</v>
          </cell>
        </row>
        <row r="1362">
          <cell r="A1362" t="str">
            <v>GANGOTRI TEXTILES LTD</v>
          </cell>
          <cell r="B1362">
            <v>521176</v>
          </cell>
          <cell r="C1362" t="str">
            <v>GANGOTRI</v>
          </cell>
        </row>
        <row r="1363">
          <cell r="A1363" t="str">
            <v>GANON PRODUCTS LTD</v>
          </cell>
          <cell r="B1363">
            <v>512443</v>
          </cell>
          <cell r="C1363" t="str">
            <v>Not Listed</v>
          </cell>
        </row>
        <row r="1364">
          <cell r="A1364" t="str">
            <v>GARBI FINVEST LTD</v>
          </cell>
          <cell r="B1364">
            <v>539492</v>
          </cell>
          <cell r="C1364" t="str">
            <v>Not Listed</v>
          </cell>
        </row>
        <row r="1365">
          <cell r="A1365" t="str">
            <v>GARDEN REACH SHIPBUILDERS &amp; ENGINEERS LTD</v>
          </cell>
          <cell r="B1365">
            <v>542011</v>
          </cell>
          <cell r="C1365" t="str">
            <v>GRSE</v>
          </cell>
        </row>
        <row r="1366">
          <cell r="A1366" t="str">
            <v>GARDEN SILK MILLS LTD</v>
          </cell>
          <cell r="B1366">
            <v>500155</v>
          </cell>
          <cell r="C1366" t="str">
            <v>GARDENSILK</v>
          </cell>
        </row>
        <row r="1367">
          <cell r="A1367" t="str">
            <v>GARG FURNACE LTD</v>
          </cell>
          <cell r="B1367">
            <v>530615</v>
          </cell>
          <cell r="C1367" t="str">
            <v>Not Listed</v>
          </cell>
        </row>
        <row r="1368">
          <cell r="A1368" t="str">
            <v>GARNET CONSTRUCTION LTD</v>
          </cell>
          <cell r="B1368">
            <v>526727</v>
          </cell>
          <cell r="C1368" t="str">
            <v>Not Listed</v>
          </cell>
        </row>
        <row r="1369">
          <cell r="A1369" t="str">
            <v>GARNET INTERNATIONAL LTD</v>
          </cell>
          <cell r="B1369">
            <v>512493</v>
          </cell>
          <cell r="C1369" t="str">
            <v>Not Listed</v>
          </cell>
        </row>
        <row r="1370">
          <cell r="A1370" t="str">
            <v>GARODIA CHEMICALS LTD</v>
          </cell>
          <cell r="B1370">
            <v>530161</v>
          </cell>
          <cell r="C1370" t="str">
            <v>Not Listed</v>
          </cell>
        </row>
        <row r="1371">
          <cell r="A1371" t="str">
            <v>GARV INDUSTRIES LTD</v>
          </cell>
          <cell r="B1371">
            <v>541276</v>
          </cell>
          <cell r="C1371" t="str">
            <v>Not Listed</v>
          </cell>
        </row>
        <row r="1372">
          <cell r="A1372" t="str">
            <v>GARWARE MARINE INDUSTRIES LTD</v>
          </cell>
          <cell r="B1372">
            <v>509563</v>
          </cell>
          <cell r="C1372" t="str">
            <v>Not Listed</v>
          </cell>
        </row>
        <row r="1373">
          <cell r="A1373" t="str">
            <v>GARWARE POLYESTER LTD</v>
          </cell>
          <cell r="B1373">
            <v>500655</v>
          </cell>
          <cell r="C1373" t="str">
            <v>Not Listed</v>
          </cell>
        </row>
        <row r="1374">
          <cell r="A1374" t="str">
            <v>GARWARE SYNTHETICS LTD</v>
          </cell>
          <cell r="B1374">
            <v>514400</v>
          </cell>
          <cell r="C1374" t="str">
            <v>Not Listed</v>
          </cell>
        </row>
        <row r="1375">
          <cell r="A1375" t="str">
            <v>GARWARE TECHNICAL FIBRES LTD</v>
          </cell>
          <cell r="B1375">
            <v>509557</v>
          </cell>
          <cell r="C1375" t="str">
            <v>GARFIBRES</v>
          </cell>
        </row>
        <row r="1376">
          <cell r="A1376" t="str">
            <v>GATEWAY DISTRIPARKS LTD</v>
          </cell>
          <cell r="B1376">
            <v>532622</v>
          </cell>
          <cell r="C1376" t="str">
            <v>GDL</v>
          </cell>
        </row>
        <row r="1377">
          <cell r="A1377" t="str">
            <v>GATI LTD</v>
          </cell>
          <cell r="B1377">
            <v>532345</v>
          </cell>
          <cell r="C1377" t="str">
            <v>GATI</v>
          </cell>
        </row>
        <row r="1378">
          <cell r="A1378" t="str">
            <v>GAURAV MERCANTILES LTD</v>
          </cell>
          <cell r="B1378">
            <v>539515</v>
          </cell>
          <cell r="C1378" t="str">
            <v>Not Listed</v>
          </cell>
        </row>
        <row r="1379">
          <cell r="A1379" t="str">
            <v>GAUTAM EXIM LTD</v>
          </cell>
          <cell r="B1379">
            <v>540613</v>
          </cell>
          <cell r="C1379" t="str">
            <v>Not Listed</v>
          </cell>
        </row>
        <row r="1380">
          <cell r="A1380" t="str">
            <v>GAUTAM GEMS LTD</v>
          </cell>
          <cell r="B1380">
            <v>540936</v>
          </cell>
          <cell r="C1380" t="str">
            <v>Not Listed</v>
          </cell>
        </row>
        <row r="1381">
          <cell r="A1381" t="str">
            <v>GAYATRI BIOORGANICS LTD</v>
          </cell>
          <cell r="B1381">
            <v>524564</v>
          </cell>
          <cell r="C1381" t="str">
            <v>Not Listed</v>
          </cell>
        </row>
        <row r="1382">
          <cell r="A1382" t="str">
            <v>GAYATRI HIGHWAYS LTD</v>
          </cell>
          <cell r="B1382">
            <v>541546</v>
          </cell>
          <cell r="C1382" t="str">
            <v>GAYAHWS</v>
          </cell>
        </row>
        <row r="1383">
          <cell r="A1383" t="str">
            <v>GAYATRI PROJECTS LTD</v>
          </cell>
          <cell r="B1383">
            <v>532767</v>
          </cell>
          <cell r="C1383" t="str">
            <v>GAYAPROJ</v>
          </cell>
        </row>
        <row r="1384">
          <cell r="A1384" t="str">
            <v>GAYATRI SUGARS LTD</v>
          </cell>
          <cell r="B1384">
            <v>532183</v>
          </cell>
          <cell r="C1384" t="str">
            <v>Not Listed</v>
          </cell>
        </row>
        <row r="1385">
          <cell r="A1385" t="str">
            <v>GBL INDUSTRIES LTD</v>
          </cell>
          <cell r="B1385">
            <v>539009</v>
          </cell>
          <cell r="C1385" t="str">
            <v>Not Listed</v>
          </cell>
        </row>
        <row r="1386">
          <cell r="A1386" t="str">
            <v>GCM CAPITAL ADVISORS LTD</v>
          </cell>
          <cell r="B1386">
            <v>538319</v>
          </cell>
          <cell r="C1386" t="str">
            <v>Not Listed</v>
          </cell>
        </row>
        <row r="1387">
          <cell r="A1387" t="str">
            <v>GCM COMMODITY &amp; DERIVATIVES LTD</v>
          </cell>
          <cell r="B1387">
            <v>535917</v>
          </cell>
          <cell r="C1387" t="str">
            <v>Not Listed</v>
          </cell>
        </row>
        <row r="1388">
          <cell r="A1388" t="str">
            <v>GCM SECURITIES LTD</v>
          </cell>
          <cell r="B1388">
            <v>535431</v>
          </cell>
          <cell r="C1388" t="str">
            <v>Not Listed</v>
          </cell>
        </row>
        <row r="1389">
          <cell r="A1389" t="str">
            <v>GDL LEASING &amp; FINANCE LTD</v>
          </cell>
          <cell r="B1389">
            <v>530855</v>
          </cell>
          <cell r="C1389" t="str">
            <v>Not Listed</v>
          </cell>
        </row>
        <row r="1390">
          <cell r="A1390" t="str">
            <v>GE POWER (INDIA) LTD</v>
          </cell>
          <cell r="B1390">
            <v>532309</v>
          </cell>
          <cell r="C1390" t="str">
            <v>GEPIL</v>
          </cell>
        </row>
        <row r="1391">
          <cell r="A1391" t="str">
            <v>GE POWER INDIA LTD</v>
          </cell>
          <cell r="B1391">
            <v>532309</v>
          </cell>
          <cell r="C1391" t="str">
            <v>GEPIL</v>
          </cell>
        </row>
        <row r="1392">
          <cell r="A1392" t="str">
            <v>GE T&amp;D (INDIA) LTD</v>
          </cell>
          <cell r="B1392">
            <v>522275</v>
          </cell>
          <cell r="C1392" t="str">
            <v>GET&amp;D</v>
          </cell>
        </row>
        <row r="1393">
          <cell r="A1393" t="str">
            <v>GE T&amp;D INDIA LTD</v>
          </cell>
          <cell r="B1393">
            <v>522275</v>
          </cell>
          <cell r="C1393" t="str">
            <v>GET&amp;D</v>
          </cell>
        </row>
        <row r="1394">
          <cell r="A1394" t="str">
            <v>GEE LTD</v>
          </cell>
          <cell r="B1394">
            <v>504028</v>
          </cell>
          <cell r="C1394" t="str">
            <v>Not Listed</v>
          </cell>
        </row>
        <row r="1395">
          <cell r="A1395" t="str">
            <v>GEECEE VENTURES LTD</v>
          </cell>
          <cell r="B1395">
            <v>532764</v>
          </cell>
          <cell r="C1395" t="str">
            <v>GEECEE</v>
          </cell>
        </row>
        <row r="1396">
          <cell r="A1396" t="str">
            <v>GEEFCEE FINANCE LTD</v>
          </cell>
          <cell r="B1396">
            <v>530389</v>
          </cell>
          <cell r="C1396" t="str">
            <v>Not Listed</v>
          </cell>
        </row>
        <row r="1397">
          <cell r="A1397" t="str">
            <v>GEEKAY WIRES LTD</v>
          </cell>
          <cell r="B1397" t="str">
            <v>Not Listed</v>
          </cell>
          <cell r="C1397" t="str">
            <v>GEEKAYWIRE</v>
          </cell>
        </row>
        <row r="1398">
          <cell r="A1398" t="str">
            <v>GEETANJALI CREDIT AND CAPITAL LTD</v>
          </cell>
          <cell r="B1398">
            <v>539486</v>
          </cell>
          <cell r="C1398" t="str">
            <v>Not Listed</v>
          </cell>
        </row>
        <row r="1399">
          <cell r="A1399" t="str">
            <v>GEM SPINNERS (INDIA) LTD</v>
          </cell>
          <cell r="B1399">
            <v>521133</v>
          </cell>
          <cell r="C1399" t="str">
            <v>Not Listed</v>
          </cell>
        </row>
        <row r="1400">
          <cell r="A1400" t="str">
            <v>GEM SPINNERS INDIA LTD</v>
          </cell>
          <cell r="B1400">
            <v>521133</v>
          </cell>
          <cell r="C1400" t="str">
            <v>Not Listed</v>
          </cell>
        </row>
        <row r="1401">
          <cell r="A1401" t="str">
            <v>GEMINI COMMUNICATION LTD</v>
          </cell>
          <cell r="B1401">
            <v>532318</v>
          </cell>
          <cell r="C1401" t="str">
            <v>GEMINI</v>
          </cell>
        </row>
        <row r="1402">
          <cell r="A1402" t="str">
            <v>GEMSTONE INVESTMENTS LTD</v>
          </cell>
          <cell r="B1402">
            <v>531137</v>
          </cell>
          <cell r="C1402" t="str">
            <v>Not Listed</v>
          </cell>
        </row>
        <row r="1403">
          <cell r="A1403" t="str">
            <v>GENERA AGRI CORP LTD</v>
          </cell>
          <cell r="B1403">
            <v>541999</v>
          </cell>
          <cell r="C1403" t="str">
            <v>Not Listed</v>
          </cell>
        </row>
        <row r="1404">
          <cell r="A1404" t="str">
            <v>GENERAL INSURANCE CORPORATION OF INDIA</v>
          </cell>
          <cell r="B1404">
            <v>540755</v>
          </cell>
          <cell r="C1404" t="str">
            <v>GICRE</v>
          </cell>
        </row>
        <row r="1405">
          <cell r="A1405" t="str">
            <v>GENERIC ENGINEERING CONSTRUCTION AND PROJECTS LTD</v>
          </cell>
          <cell r="B1405">
            <v>539407</v>
          </cell>
          <cell r="C1405" t="str">
            <v>Not Listed</v>
          </cell>
        </row>
        <row r="1406">
          <cell r="A1406" t="str">
            <v>GENESIS IBRC (INDIA) LTD</v>
          </cell>
          <cell r="B1406">
            <v>514336</v>
          </cell>
          <cell r="C1406" t="str">
            <v>Not Listed</v>
          </cell>
        </row>
        <row r="1407">
          <cell r="A1407" t="str">
            <v>GENESIS IBRC INDIA LTD</v>
          </cell>
          <cell r="B1407">
            <v>514336</v>
          </cell>
          <cell r="C1407" t="str">
            <v>Not Listed</v>
          </cell>
        </row>
        <row r="1408">
          <cell r="A1408" t="str">
            <v>GENESYS INTERNATIONAL CORPORATION LTD</v>
          </cell>
          <cell r="B1408">
            <v>506109</v>
          </cell>
          <cell r="C1408" t="str">
            <v>GENESYS</v>
          </cell>
        </row>
        <row r="1409">
          <cell r="A1409" t="str">
            <v>GENNEX LABORATORIES LTD</v>
          </cell>
          <cell r="B1409">
            <v>531739</v>
          </cell>
          <cell r="C1409" t="str">
            <v>Not Listed</v>
          </cell>
        </row>
        <row r="1410">
          <cell r="A1410" t="str">
            <v>GENOMIC VALLEY BIOTECH LTD</v>
          </cell>
          <cell r="B1410">
            <v>539206</v>
          </cell>
          <cell r="C1410" t="str">
            <v>Not Listed</v>
          </cell>
        </row>
        <row r="1411">
          <cell r="A1411" t="str">
            <v>GENUS PAPER &amp; BOARDS LTD</v>
          </cell>
          <cell r="B1411">
            <v>538961</v>
          </cell>
          <cell r="C1411" t="str">
            <v>GENUSPAPER</v>
          </cell>
        </row>
        <row r="1412">
          <cell r="A1412" t="str">
            <v>GENUS POWER INFRASTRUCTURES LTD</v>
          </cell>
          <cell r="B1412">
            <v>530343</v>
          </cell>
          <cell r="C1412" t="str">
            <v>GENUSPOWER</v>
          </cell>
        </row>
        <row r="1413">
          <cell r="A1413" t="str">
            <v>GEOJIT FINANCIAL SERVICES LTD</v>
          </cell>
          <cell r="B1413">
            <v>532285</v>
          </cell>
          <cell r="C1413" t="str">
            <v>GEOJITFSL</v>
          </cell>
        </row>
        <row r="1414">
          <cell r="A1414" t="str">
            <v>GHCL LTD</v>
          </cell>
          <cell r="B1414">
            <v>500171</v>
          </cell>
          <cell r="C1414" t="str">
            <v>GHCL</v>
          </cell>
        </row>
        <row r="1415">
          <cell r="A1415" t="str">
            <v>GI ENGINEERING SOLUTIONS LTD</v>
          </cell>
          <cell r="B1415">
            <v>533048</v>
          </cell>
          <cell r="C1415" t="str">
            <v>GISOLUTION</v>
          </cell>
        </row>
        <row r="1416">
          <cell r="A1416" t="str">
            <v>GIC HOUSING FINANCE LTD</v>
          </cell>
          <cell r="B1416">
            <v>511676</v>
          </cell>
          <cell r="C1416" t="str">
            <v>GICHSGFIN</v>
          </cell>
        </row>
        <row r="1417">
          <cell r="A1417" t="str">
            <v>GILADA FINANCE &amp; INVESTMENTS LTD</v>
          </cell>
          <cell r="B1417">
            <v>538788</v>
          </cell>
          <cell r="C1417" t="str">
            <v>Not Listed</v>
          </cell>
        </row>
        <row r="1418">
          <cell r="A1418" t="str">
            <v>GILLANDERS ARBUTHNOT &amp; COMPANY LTD</v>
          </cell>
          <cell r="B1418">
            <v>532716</v>
          </cell>
          <cell r="C1418" t="str">
            <v>GILLANDERS</v>
          </cell>
        </row>
        <row r="1419">
          <cell r="A1419" t="str">
            <v>GILLETTE (INDIA) LTD</v>
          </cell>
          <cell r="B1419">
            <v>507815</v>
          </cell>
          <cell r="C1419" t="str">
            <v>GILLETTE</v>
          </cell>
        </row>
        <row r="1420">
          <cell r="A1420" t="str">
            <v>GILLETTE INDIA LTD</v>
          </cell>
          <cell r="B1420">
            <v>507815</v>
          </cell>
          <cell r="C1420" t="str">
            <v>GILLETTE</v>
          </cell>
        </row>
        <row r="1421">
          <cell r="A1421" t="str">
            <v>GINI SILK MILLS LTD</v>
          </cell>
          <cell r="B1421">
            <v>531744</v>
          </cell>
          <cell r="C1421" t="str">
            <v>Not Listed</v>
          </cell>
        </row>
        <row r="1422">
          <cell r="A1422" t="str">
            <v>GINNI FILAMENTS LTD</v>
          </cell>
          <cell r="B1422">
            <v>590025</v>
          </cell>
          <cell r="C1422" t="str">
            <v>GINNIFILA</v>
          </cell>
        </row>
        <row r="1423">
          <cell r="A1423" t="str">
            <v>GIRDHARILAL SUGAR &amp; ALLIED INDUSTRIES LTD</v>
          </cell>
          <cell r="B1423">
            <v>507506</v>
          </cell>
          <cell r="C1423" t="str">
            <v>Not Listed</v>
          </cell>
        </row>
        <row r="1424">
          <cell r="A1424" t="str">
            <v>GIRIRAJ CIVIL DEVELOPERS LTD</v>
          </cell>
          <cell r="B1424" t="str">
            <v>Not Listed</v>
          </cell>
          <cell r="C1424" t="str">
            <v>GIRIRAJ</v>
          </cell>
        </row>
        <row r="1425">
          <cell r="A1425" t="str">
            <v>GITA RENEWABLE ENERGY LTD</v>
          </cell>
          <cell r="B1425">
            <v>539013</v>
          </cell>
          <cell r="C1425" t="str">
            <v>Not Listed</v>
          </cell>
        </row>
        <row r="1426">
          <cell r="A1426" t="str">
            <v>GKB OPHTHALMICS LTD</v>
          </cell>
          <cell r="B1426">
            <v>533212</v>
          </cell>
          <cell r="C1426" t="str">
            <v>Not Listed</v>
          </cell>
        </row>
        <row r="1427">
          <cell r="A1427" t="str">
            <v>GKW LTD</v>
          </cell>
          <cell r="B1427" t="str">
            <v>Not Listed</v>
          </cell>
          <cell r="C1427" t="str">
            <v>GKWLIMITED</v>
          </cell>
        </row>
        <row r="1428">
          <cell r="A1428" t="str">
            <v>GLANCE FINANCE LTD</v>
          </cell>
          <cell r="B1428">
            <v>531199</v>
          </cell>
          <cell r="C1428" t="str">
            <v>Not Listed</v>
          </cell>
        </row>
        <row r="1429">
          <cell r="A1429" t="str">
            <v>GLAXOSMITHKLINE CONSUMER HEALTHCARE LTD</v>
          </cell>
          <cell r="B1429">
            <v>500676</v>
          </cell>
          <cell r="C1429" t="str">
            <v>GSKCONS</v>
          </cell>
        </row>
        <row r="1430">
          <cell r="A1430" t="str">
            <v>GLAXOSMITHKLINE PHARMACEUTICALS LTD</v>
          </cell>
          <cell r="B1430">
            <v>500660</v>
          </cell>
          <cell r="C1430" t="str">
            <v>GLAXO</v>
          </cell>
        </row>
        <row r="1431">
          <cell r="A1431" t="str">
            <v>Gleam Fabmat Ltd</v>
          </cell>
          <cell r="B1431">
            <v>542477</v>
          </cell>
          <cell r="C1431" t="str">
            <v>GLEAM</v>
          </cell>
        </row>
        <row r="1432">
          <cell r="A1432" t="str">
            <v>GLENMARK PHARMACEUTICALS LTD</v>
          </cell>
          <cell r="B1432">
            <v>532296</v>
          </cell>
          <cell r="C1432" t="str">
            <v>GLENMARK</v>
          </cell>
        </row>
        <row r="1433">
          <cell r="A1433" t="str">
            <v>GLITTEK GRANITES LTD</v>
          </cell>
          <cell r="B1433">
            <v>513528</v>
          </cell>
          <cell r="C1433" t="str">
            <v>Not Listed</v>
          </cell>
        </row>
        <row r="1434">
          <cell r="A1434" t="str">
            <v>GLOBAL CAPITAL MARKETS LTD</v>
          </cell>
          <cell r="B1434">
            <v>530263</v>
          </cell>
          <cell r="C1434" t="str">
            <v>Not Listed</v>
          </cell>
        </row>
        <row r="1435">
          <cell r="A1435" t="str">
            <v>GLOBAL EDUCATION LTD</v>
          </cell>
          <cell r="B1435" t="str">
            <v>Not Listed</v>
          </cell>
          <cell r="C1435" t="str">
            <v>GLOBAL</v>
          </cell>
        </row>
        <row r="1436">
          <cell r="A1436" t="str">
            <v>GLOBAL INFRATECH &amp; FINANCE LTD</v>
          </cell>
          <cell r="B1436">
            <v>531463</v>
          </cell>
          <cell r="C1436" t="str">
            <v>Not Listed</v>
          </cell>
        </row>
        <row r="1437">
          <cell r="A1437" t="str">
            <v>GLOBAL LAND MASTERS CORPORATION LTD</v>
          </cell>
          <cell r="B1437">
            <v>531479</v>
          </cell>
          <cell r="C1437" t="str">
            <v>Not Listed</v>
          </cell>
        </row>
        <row r="1438">
          <cell r="A1438" t="str">
            <v>GLOBAL OFFSHORE SERVICES LTD</v>
          </cell>
          <cell r="B1438">
            <v>501848</v>
          </cell>
          <cell r="C1438" t="str">
            <v>GLOBOFFS</v>
          </cell>
        </row>
        <row r="1439">
          <cell r="A1439" t="str">
            <v>GLOBAL VECTRA HELICORP LTD</v>
          </cell>
          <cell r="B1439">
            <v>532773</v>
          </cell>
          <cell r="C1439" t="str">
            <v>GLOBALVECT</v>
          </cell>
        </row>
        <row r="1440">
          <cell r="A1440" t="str">
            <v>GLOBALSPACE TECHNOLOGIES LTD</v>
          </cell>
          <cell r="B1440">
            <v>540654</v>
          </cell>
          <cell r="C1440" t="str">
            <v>Not Listed</v>
          </cell>
        </row>
        <row r="1441">
          <cell r="A1441" t="str">
            <v>GLOBE COMMERCIALS LTD</v>
          </cell>
          <cell r="B1441">
            <v>540266</v>
          </cell>
          <cell r="C1441" t="str">
            <v>Not Listed</v>
          </cell>
        </row>
        <row r="1442">
          <cell r="A1442" t="str">
            <v>GLOBE INTERNATIONAL CARRIERS LTD</v>
          </cell>
          <cell r="B1442" t="str">
            <v>Not Listed</v>
          </cell>
          <cell r="C1442" t="str">
            <v>GICL</v>
          </cell>
        </row>
        <row r="1443">
          <cell r="A1443" t="str">
            <v>GLOBE TEXTILES (INDIA) LTD</v>
          </cell>
          <cell r="B1443" t="str">
            <v>Not Listed</v>
          </cell>
          <cell r="C1443" t="str">
            <v>GLOBE</v>
          </cell>
        </row>
        <row r="1444">
          <cell r="A1444" t="str">
            <v>GLOBE TEXTILES INDIA LTD</v>
          </cell>
          <cell r="B1444" t="str">
            <v>Not Listed</v>
          </cell>
          <cell r="C1444" t="str">
            <v>GLOBE</v>
          </cell>
        </row>
        <row r="1445">
          <cell r="A1445" t="str">
            <v>GLOBUS CONSTRUCTORS &amp; DEVELOPERS LTD</v>
          </cell>
          <cell r="B1445">
            <v>526025</v>
          </cell>
          <cell r="C1445" t="str">
            <v>Not Listed</v>
          </cell>
        </row>
        <row r="1446">
          <cell r="A1446" t="str">
            <v>GLOBUS CORPORATION LTD.-$</v>
          </cell>
          <cell r="B1446">
            <v>531904</v>
          </cell>
          <cell r="C1446" t="str">
            <v>GLOBUSCOR</v>
          </cell>
        </row>
        <row r="1447">
          <cell r="A1447" t="str">
            <v>GLOBUS SPIRITS LTD</v>
          </cell>
          <cell r="B1447">
            <v>533104</v>
          </cell>
          <cell r="C1447" t="str">
            <v>GLOBUSSPR</v>
          </cell>
        </row>
        <row r="1448">
          <cell r="A1448" t="str">
            <v>Gloster Ltd</v>
          </cell>
          <cell r="B1448">
            <v>542351</v>
          </cell>
          <cell r="C1448" t="str">
            <v>GLOSTERLTD</v>
          </cell>
        </row>
        <row r="1449">
          <cell r="A1449" t="str">
            <v>GM BREWERIES LTD</v>
          </cell>
          <cell r="B1449">
            <v>507488</v>
          </cell>
          <cell r="C1449" t="str">
            <v>GMBREW</v>
          </cell>
        </row>
        <row r="1450">
          <cell r="A1450" t="str">
            <v>GMM PFAUDLER LTD</v>
          </cell>
          <cell r="B1450">
            <v>505255</v>
          </cell>
          <cell r="C1450" t="str">
            <v>GMMPFAUDLR</v>
          </cell>
        </row>
        <row r="1451">
          <cell r="A1451" t="str">
            <v>GMR INFRASTRUCTURE LTD</v>
          </cell>
          <cell r="B1451">
            <v>532754</v>
          </cell>
          <cell r="C1451" t="str">
            <v>GMRINFRA</v>
          </cell>
        </row>
        <row r="1452">
          <cell r="A1452" t="str">
            <v>GNA AXLES LTD</v>
          </cell>
          <cell r="B1452">
            <v>540124</v>
          </cell>
          <cell r="C1452" t="str">
            <v>GNA</v>
          </cell>
        </row>
        <row r="1453">
          <cell r="A1453" t="str">
            <v>GOA CARBON LTD</v>
          </cell>
          <cell r="B1453">
            <v>509567</v>
          </cell>
          <cell r="C1453" t="str">
            <v>GOACARBON</v>
          </cell>
        </row>
        <row r="1454">
          <cell r="A1454" t="str">
            <v>GOCL CORPORATION LTD</v>
          </cell>
          <cell r="B1454">
            <v>506480</v>
          </cell>
          <cell r="C1454" t="str">
            <v>GOCLCORP</v>
          </cell>
        </row>
        <row r="1455">
          <cell r="A1455" t="str">
            <v>GODAVARI DRUGS LTD</v>
          </cell>
          <cell r="B1455">
            <v>530317</v>
          </cell>
          <cell r="C1455" t="str">
            <v>Not Listed</v>
          </cell>
        </row>
        <row r="1456">
          <cell r="A1456" t="str">
            <v>GODAWARI POWER AND ISPAT LTD</v>
          </cell>
          <cell r="B1456">
            <v>532734</v>
          </cell>
          <cell r="C1456" t="str">
            <v>GPIL</v>
          </cell>
        </row>
        <row r="1457">
          <cell r="A1457" t="str">
            <v>GODFREY PHILLIPS (INDIA) LTD</v>
          </cell>
          <cell r="B1457">
            <v>500163</v>
          </cell>
          <cell r="C1457" t="str">
            <v>GODFRYPHLP</v>
          </cell>
        </row>
        <row r="1458">
          <cell r="A1458" t="str">
            <v>GODFREY PHILLIPS INDIA LTD</v>
          </cell>
          <cell r="B1458">
            <v>500163</v>
          </cell>
          <cell r="C1458" t="str">
            <v>GODFRYPHLP</v>
          </cell>
        </row>
        <row r="1459">
          <cell r="A1459" t="str">
            <v>GODHA CABCON &amp; INSULATION LTD</v>
          </cell>
          <cell r="B1459" t="str">
            <v>Not Listed</v>
          </cell>
          <cell r="C1459" t="str">
            <v>GODHA</v>
          </cell>
        </row>
        <row r="1460">
          <cell r="A1460" t="str">
            <v>GODREJ AGROVET LTD</v>
          </cell>
          <cell r="B1460">
            <v>540743</v>
          </cell>
          <cell r="C1460" t="str">
            <v>GODREJAGRO</v>
          </cell>
        </row>
        <row r="1461">
          <cell r="A1461" t="str">
            <v>GODREJ CONSUMER PRODUCTS LTD</v>
          </cell>
          <cell r="B1461">
            <v>532424</v>
          </cell>
          <cell r="C1461" t="str">
            <v>GODREJCP</v>
          </cell>
        </row>
        <row r="1462">
          <cell r="A1462" t="str">
            <v>GODREJ INDUSTRIES LTD</v>
          </cell>
          <cell r="B1462">
            <v>500164</v>
          </cell>
          <cell r="C1462" t="str">
            <v>GODREJIND</v>
          </cell>
        </row>
        <row r="1463">
          <cell r="A1463" t="str">
            <v>GODREJ PROPERTIES LTD</v>
          </cell>
          <cell r="B1463">
            <v>533150</v>
          </cell>
          <cell r="C1463" t="str">
            <v>GODREJPROP</v>
          </cell>
        </row>
        <row r="1464">
          <cell r="A1464" t="str">
            <v>GOENKA BUSINESS &amp; FINANCE LTD</v>
          </cell>
          <cell r="B1464">
            <v>538787</v>
          </cell>
          <cell r="C1464" t="str">
            <v>Not Listed</v>
          </cell>
        </row>
        <row r="1465">
          <cell r="A1465" t="str">
            <v>GOENKA DIAMOND AND JEWELS LTD</v>
          </cell>
          <cell r="B1465">
            <v>533189</v>
          </cell>
          <cell r="C1465" t="str">
            <v>GOENKA</v>
          </cell>
        </row>
        <row r="1466">
          <cell r="A1466" t="str">
            <v>GOGIA CAPITAL SERVICES LTD</v>
          </cell>
          <cell r="B1466">
            <v>531600</v>
          </cell>
          <cell r="C1466" t="str">
            <v>Not Listed</v>
          </cell>
        </row>
        <row r="1467">
          <cell r="A1467" t="str">
            <v>GOKAK TEXTILES LTD</v>
          </cell>
          <cell r="B1467">
            <v>532957</v>
          </cell>
          <cell r="C1467" t="str">
            <v>Not Listed</v>
          </cell>
        </row>
        <row r="1468">
          <cell r="A1468" t="str">
            <v>GOKALDAS EXPORTS LTD</v>
          </cell>
          <cell r="B1468">
            <v>532630</v>
          </cell>
          <cell r="C1468" t="str">
            <v>GOKEX</v>
          </cell>
        </row>
        <row r="1469">
          <cell r="A1469" t="str">
            <v>GOKUL AGRO RESOURCES LTD</v>
          </cell>
          <cell r="B1469">
            <v>539725</v>
          </cell>
          <cell r="C1469" t="str">
            <v>GOKULAGRO</v>
          </cell>
        </row>
        <row r="1470">
          <cell r="A1470" t="str">
            <v>GOKUL REFOILS AND SOLVENT LTD</v>
          </cell>
          <cell r="B1470">
            <v>532980</v>
          </cell>
          <cell r="C1470" t="str">
            <v>GOKUL</v>
          </cell>
        </row>
        <row r="1471">
          <cell r="A1471" t="str">
            <v>GOKUL SOLUTIONS LTD</v>
          </cell>
          <cell r="B1471">
            <v>780012</v>
          </cell>
          <cell r="C1471" t="str">
            <v>Not Listed</v>
          </cell>
        </row>
        <row r="1472">
          <cell r="A1472" t="str">
            <v>GOLD COIN HEALTH FOODS LTD</v>
          </cell>
          <cell r="B1472">
            <v>538542</v>
          </cell>
          <cell r="C1472" t="str">
            <v>Not Listed</v>
          </cell>
        </row>
        <row r="1473">
          <cell r="A1473" t="str">
            <v>Gold Line International Finvest Ltd</v>
          </cell>
          <cell r="B1473">
            <v>538180</v>
          </cell>
          <cell r="C1473" t="str">
            <v>GOLDLINE</v>
          </cell>
        </row>
        <row r="1474">
          <cell r="A1474" t="str">
            <v>GOLDCREST CORPORATION LTD</v>
          </cell>
          <cell r="B1474">
            <v>505576</v>
          </cell>
          <cell r="C1474" t="str">
            <v>Not Listed</v>
          </cell>
        </row>
        <row r="1475">
          <cell r="A1475" t="str">
            <v>GOLDEN CARPETS LTD</v>
          </cell>
          <cell r="B1475">
            <v>531928</v>
          </cell>
          <cell r="C1475" t="str">
            <v>Not Listed</v>
          </cell>
        </row>
        <row r="1476">
          <cell r="A1476" t="str">
            <v>GOLDEN CREST EDUCATION &amp; SERVICES LTD</v>
          </cell>
          <cell r="B1476">
            <v>540062</v>
          </cell>
          <cell r="C1476" t="str">
            <v>Not Listed</v>
          </cell>
        </row>
        <row r="1477">
          <cell r="A1477" t="str">
            <v>GOLDEN GOENKA FINCORP LTD</v>
          </cell>
          <cell r="B1477">
            <v>530579</v>
          </cell>
          <cell r="C1477" t="str">
            <v>Not Listed</v>
          </cell>
        </row>
        <row r="1478">
          <cell r="A1478" t="str">
            <v>GOLDEN TOBACCO LTD</v>
          </cell>
          <cell r="B1478">
            <v>500151</v>
          </cell>
          <cell r="C1478" t="str">
            <v>GOLDENTOBC</v>
          </cell>
        </row>
        <row r="1479">
          <cell r="A1479" t="str">
            <v>GOLDIAM INTERNATIONAL LTD</v>
          </cell>
          <cell r="B1479">
            <v>526729</v>
          </cell>
          <cell r="C1479" t="str">
            <v>GOLDIAM</v>
          </cell>
        </row>
        <row r="1480">
          <cell r="A1480" t="str">
            <v>GOLDSTAR POWER LTD</v>
          </cell>
          <cell r="B1480" t="str">
            <v>Not Listed</v>
          </cell>
          <cell r="C1480" t="str">
            <v>GOLDSTAR</v>
          </cell>
        </row>
        <row r="1481">
          <cell r="A1481" t="str">
            <v>GOLDSTONE TECHNOLOGIES LTD</v>
          </cell>
          <cell r="B1481">
            <v>531439</v>
          </cell>
          <cell r="C1481" t="str">
            <v>GOLDTECH</v>
          </cell>
        </row>
        <row r="1482">
          <cell r="A1482" t="str">
            <v>GOLECHHA GLOBAL FINANCE LTD</v>
          </cell>
          <cell r="B1482">
            <v>531360</v>
          </cell>
          <cell r="C1482" t="str">
            <v>Not Listed</v>
          </cell>
        </row>
        <row r="1483">
          <cell r="A1483" t="str">
            <v>GOLKONDA ALUMINIUM EXTRUSIONS LTD</v>
          </cell>
          <cell r="B1483">
            <v>513309</v>
          </cell>
          <cell r="C1483" t="str">
            <v>Not Listed</v>
          </cell>
        </row>
        <row r="1484">
          <cell r="A1484" t="str">
            <v>GOLKUNDA DIAMONDS &amp; JEWELLERY LTD</v>
          </cell>
          <cell r="B1484">
            <v>523676</v>
          </cell>
          <cell r="C1484" t="str">
            <v>Not Listed</v>
          </cell>
        </row>
        <row r="1485">
          <cell r="A1485" t="str">
            <v>GOODLUCK (INDIA) LTD</v>
          </cell>
          <cell r="B1485">
            <v>530655</v>
          </cell>
          <cell r="C1485" t="str">
            <v>GOODLUCK</v>
          </cell>
        </row>
        <row r="1486">
          <cell r="A1486" t="str">
            <v>GOODLUCK INDIA LTD</v>
          </cell>
          <cell r="B1486">
            <v>530655</v>
          </cell>
          <cell r="C1486" t="str">
            <v>GOODLUCK</v>
          </cell>
        </row>
        <row r="1487">
          <cell r="A1487" t="str">
            <v>GOODRICKE GROUP LTD</v>
          </cell>
          <cell r="B1487">
            <v>500166</v>
          </cell>
          <cell r="C1487" t="str">
            <v>Not Listed</v>
          </cell>
        </row>
        <row r="1488">
          <cell r="A1488" t="str">
            <v>GOODYEAR (INDIA) LTD</v>
          </cell>
          <cell r="B1488">
            <v>500168</v>
          </cell>
          <cell r="C1488" t="str">
            <v>Not Listed</v>
          </cell>
        </row>
        <row r="1489">
          <cell r="A1489" t="str">
            <v>GOODYEAR INDIA LTD</v>
          </cell>
          <cell r="B1489">
            <v>500168</v>
          </cell>
          <cell r="C1489" t="str">
            <v>Not Listed</v>
          </cell>
        </row>
        <row r="1490">
          <cell r="A1490" t="str">
            <v>GOPAL IRON &amp; STEELS CO GUJARAT LTD</v>
          </cell>
          <cell r="B1490">
            <v>531913</v>
          </cell>
          <cell r="C1490" t="str">
            <v>Not Listed</v>
          </cell>
        </row>
        <row r="1491">
          <cell r="A1491" t="str">
            <v>GOPALA POLYPLAST LTD</v>
          </cell>
          <cell r="B1491">
            <v>526717</v>
          </cell>
          <cell r="C1491" t="str">
            <v>Not Listed</v>
          </cell>
        </row>
        <row r="1492">
          <cell r="A1492" t="str">
            <v>GORANI INDUSTRIES LTD</v>
          </cell>
          <cell r="B1492">
            <v>531608</v>
          </cell>
          <cell r="C1492" t="str">
            <v>Not Listed</v>
          </cell>
        </row>
        <row r="1493">
          <cell r="A1493" t="str">
            <v>GOTHI PLASCON (INDIA) LTD</v>
          </cell>
          <cell r="B1493">
            <v>531111</v>
          </cell>
          <cell r="C1493" t="str">
            <v>Not Listed</v>
          </cell>
        </row>
        <row r="1494">
          <cell r="A1494" t="str">
            <v>GOTHI PLASCON INDIA LTD</v>
          </cell>
          <cell r="B1494">
            <v>531111</v>
          </cell>
          <cell r="C1494" t="str">
            <v>Not Listed</v>
          </cell>
        </row>
        <row r="1495">
          <cell r="A1495" t="str">
            <v>GOVIND RUBBER LTD</v>
          </cell>
          <cell r="B1495">
            <v>509148</v>
          </cell>
          <cell r="C1495" t="str">
            <v>Not Listed</v>
          </cell>
        </row>
        <row r="1496">
          <cell r="A1496" t="str">
            <v>GOWRA LEASING &amp; FINANCE LTD</v>
          </cell>
          <cell r="B1496">
            <v>530709</v>
          </cell>
          <cell r="C1496" t="str">
            <v>Not Listed</v>
          </cell>
        </row>
        <row r="1497">
          <cell r="A1497" t="str">
            <v>GOYAL ASSOCIATES LTD</v>
          </cell>
          <cell r="B1497">
            <v>530663</v>
          </cell>
          <cell r="C1497" t="str">
            <v>Not Listed</v>
          </cell>
        </row>
        <row r="1498">
          <cell r="A1498" t="str">
            <v>GP PETROLEUMS LTD</v>
          </cell>
          <cell r="B1498">
            <v>532543</v>
          </cell>
          <cell r="C1498" t="str">
            <v>GULFPETRO</v>
          </cell>
        </row>
        <row r="1499">
          <cell r="A1499" t="str">
            <v>GPT INFRAPROJECTS LTD</v>
          </cell>
          <cell r="B1499">
            <v>533761</v>
          </cell>
          <cell r="C1499" t="str">
            <v>GPTINFRA</v>
          </cell>
        </row>
        <row r="1500">
          <cell r="A1500" t="str">
            <v>GRACIOUS SOFTWARE LTD</v>
          </cell>
          <cell r="B1500">
            <v>780002</v>
          </cell>
          <cell r="C1500" t="str">
            <v>Not Listed</v>
          </cell>
        </row>
        <row r="1501">
          <cell r="A1501" t="str">
            <v>GRADIENTE INFOTAINMENT LTD</v>
          </cell>
          <cell r="B1501">
            <v>590126</v>
          </cell>
          <cell r="C1501" t="str">
            <v>Not Listed</v>
          </cell>
        </row>
        <row r="1502">
          <cell r="A1502" t="str">
            <v>GRANDEUR PRODUCTS LTD</v>
          </cell>
          <cell r="B1502">
            <v>539235</v>
          </cell>
          <cell r="C1502" t="str">
            <v>Not Listed</v>
          </cell>
        </row>
        <row r="1503">
          <cell r="A1503" t="str">
            <v>GRANULES (INDIA) LTD</v>
          </cell>
          <cell r="B1503">
            <v>532482</v>
          </cell>
          <cell r="C1503" t="str">
            <v>GRANULES</v>
          </cell>
        </row>
        <row r="1504">
          <cell r="A1504" t="str">
            <v>GRANULES INDIA LTD</v>
          </cell>
          <cell r="B1504">
            <v>532482</v>
          </cell>
          <cell r="C1504" t="str">
            <v>GRANULES</v>
          </cell>
        </row>
        <row r="1505">
          <cell r="A1505" t="str">
            <v>GRAPHITE (INDIA) LTD</v>
          </cell>
          <cell r="B1505">
            <v>509488</v>
          </cell>
          <cell r="C1505" t="str">
            <v>GRAPHITE</v>
          </cell>
        </row>
        <row r="1506">
          <cell r="A1506" t="str">
            <v>GRAPHITE INDIA LTD</v>
          </cell>
          <cell r="B1506">
            <v>509488</v>
          </cell>
          <cell r="C1506" t="str">
            <v>GRAPHITE</v>
          </cell>
        </row>
        <row r="1507">
          <cell r="A1507" t="str">
            <v>GRASIM INDUSTRIES LTD</v>
          </cell>
          <cell r="B1507">
            <v>500300</v>
          </cell>
          <cell r="C1507" t="str">
            <v>GRASIM</v>
          </cell>
        </row>
        <row r="1508">
          <cell r="A1508" t="str">
            <v>GRATEX INDUSTRIES LTD</v>
          </cell>
          <cell r="B1508">
            <v>526751</v>
          </cell>
          <cell r="C1508" t="str">
            <v>Not Listed</v>
          </cell>
        </row>
        <row r="1509">
          <cell r="A1509" t="str">
            <v>GRAUER &amp; WEIL (INDIA) LTD</v>
          </cell>
          <cell r="B1509">
            <v>505710</v>
          </cell>
          <cell r="C1509" t="str">
            <v>Not Listed</v>
          </cell>
        </row>
        <row r="1510">
          <cell r="A1510" t="str">
            <v>GRAUER &amp; WEIL INDIA LTD</v>
          </cell>
          <cell r="B1510">
            <v>505710</v>
          </cell>
          <cell r="C1510" t="str">
            <v>Not Listed</v>
          </cell>
        </row>
        <row r="1511">
          <cell r="A1511" t="str">
            <v>GRAVISS HOSPITALITY LTD</v>
          </cell>
          <cell r="B1511">
            <v>509546</v>
          </cell>
          <cell r="C1511" t="str">
            <v>Not Listed</v>
          </cell>
        </row>
        <row r="1512">
          <cell r="A1512" t="str">
            <v>GRAVITA (INDIA) LTD</v>
          </cell>
          <cell r="B1512">
            <v>533282</v>
          </cell>
          <cell r="C1512" t="str">
            <v>GRAVITA</v>
          </cell>
        </row>
        <row r="1513">
          <cell r="A1513" t="str">
            <v>GRAVITA INDIA LTD</v>
          </cell>
          <cell r="B1513">
            <v>533282</v>
          </cell>
          <cell r="C1513" t="str">
            <v>GRAVITA</v>
          </cell>
        </row>
        <row r="1514">
          <cell r="A1514" t="str">
            <v>GRAVITY (INDIA) LTD</v>
          </cell>
          <cell r="B1514">
            <v>532015</v>
          </cell>
          <cell r="C1514" t="str">
            <v>Not Listed</v>
          </cell>
        </row>
        <row r="1515">
          <cell r="A1515" t="str">
            <v>GRAVITY INDIA LTD</v>
          </cell>
          <cell r="B1515">
            <v>532015</v>
          </cell>
          <cell r="C1515" t="str">
            <v>Not Listed</v>
          </cell>
        </row>
        <row r="1516">
          <cell r="A1516" t="str">
            <v>GREAVES COTTON LTD</v>
          </cell>
          <cell r="B1516">
            <v>501455</v>
          </cell>
          <cell r="C1516" t="str">
            <v>GREAVESCOT</v>
          </cell>
        </row>
        <row r="1517">
          <cell r="A1517" t="str">
            <v>GREENCREST FINANCIAL SERVICES LTD</v>
          </cell>
          <cell r="B1517">
            <v>531737</v>
          </cell>
          <cell r="C1517" t="str">
            <v>Not Listed</v>
          </cell>
        </row>
        <row r="1518">
          <cell r="A1518" t="str">
            <v>GREENLAM INDUSTRIES LTD</v>
          </cell>
          <cell r="B1518">
            <v>538979</v>
          </cell>
          <cell r="C1518" t="str">
            <v>GREENLAM</v>
          </cell>
        </row>
        <row r="1519">
          <cell r="A1519" t="str">
            <v>GREENPLY INDUSTRIES LTD</v>
          </cell>
          <cell r="B1519">
            <v>526797</v>
          </cell>
          <cell r="C1519" t="str">
            <v>GREENPLY</v>
          </cell>
        </row>
        <row r="1520">
          <cell r="A1520" t="str">
            <v>GRETEX INDUSTRIES LTD</v>
          </cell>
          <cell r="B1520" t="str">
            <v>Not Listed</v>
          </cell>
          <cell r="C1520" t="str">
            <v>GRETEX</v>
          </cell>
        </row>
        <row r="1521">
          <cell r="A1521" t="str">
            <v>GREYCELLS EDUCATION LTD</v>
          </cell>
          <cell r="B1521">
            <v>508918</v>
          </cell>
          <cell r="C1521" t="str">
            <v>Not Listed</v>
          </cell>
        </row>
        <row r="1522">
          <cell r="A1522" t="str">
            <v>GRINDWELL NORTON LTD</v>
          </cell>
          <cell r="B1522">
            <v>506076</v>
          </cell>
          <cell r="C1522" t="str">
            <v>GRINDWELL</v>
          </cell>
        </row>
        <row r="1523">
          <cell r="A1523" t="str">
            <v>GRM OVERSEAS LTD</v>
          </cell>
          <cell r="B1523">
            <v>531449</v>
          </cell>
          <cell r="C1523" t="str">
            <v>Not Listed</v>
          </cell>
        </row>
        <row r="1524">
          <cell r="A1524" t="str">
            <v>GROMO TRADE &amp; CONSULTANCY LTD</v>
          </cell>
          <cell r="B1524">
            <v>501314</v>
          </cell>
          <cell r="C1524" t="str">
            <v>Not Listed</v>
          </cell>
        </row>
        <row r="1525">
          <cell r="A1525" t="str">
            <v>GROVY (INDIA) LTD</v>
          </cell>
          <cell r="B1525">
            <v>539522</v>
          </cell>
          <cell r="C1525" t="str">
            <v>Not Listed</v>
          </cell>
        </row>
        <row r="1526">
          <cell r="A1526" t="str">
            <v>GROVY INDIA LTD</v>
          </cell>
          <cell r="B1526">
            <v>539522</v>
          </cell>
          <cell r="C1526" t="str">
            <v>Not Listed</v>
          </cell>
        </row>
        <row r="1527">
          <cell r="A1527" t="str">
            <v>GRP LTD</v>
          </cell>
          <cell r="B1527">
            <v>509152</v>
          </cell>
          <cell r="C1527" t="str">
            <v>GRPLTD</v>
          </cell>
        </row>
        <row r="1528">
          <cell r="A1528" t="str">
            <v>GRUH FINANCE LTD</v>
          </cell>
          <cell r="B1528">
            <v>511288</v>
          </cell>
          <cell r="C1528" t="str">
            <v>GRUH</v>
          </cell>
        </row>
        <row r="1529">
          <cell r="A1529" t="str">
            <v>GSB FINANCE LTD</v>
          </cell>
          <cell r="B1529">
            <v>511543</v>
          </cell>
          <cell r="C1529" t="str">
            <v>Not Listed</v>
          </cell>
        </row>
        <row r="1530">
          <cell r="A1530" t="str">
            <v>GSL NOVA PETROCHEMICALS LTD</v>
          </cell>
          <cell r="B1530">
            <v>530605</v>
          </cell>
          <cell r="C1530" t="str">
            <v>Not Listed</v>
          </cell>
        </row>
        <row r="1531">
          <cell r="A1531" t="str">
            <v>GSL SECURITIES LTD</v>
          </cell>
          <cell r="B1531">
            <v>530469</v>
          </cell>
          <cell r="C1531" t="str">
            <v>Not Listed</v>
          </cell>
        </row>
        <row r="1532">
          <cell r="A1532" t="str">
            <v>GSS INFOTECH LTD</v>
          </cell>
          <cell r="B1532">
            <v>532951</v>
          </cell>
          <cell r="C1532" t="str">
            <v>GSS</v>
          </cell>
        </row>
        <row r="1533">
          <cell r="A1533" t="str">
            <v>G-TECH INFO-TRAINING LTD</v>
          </cell>
          <cell r="B1533">
            <v>532139</v>
          </cell>
          <cell r="C1533" t="str">
            <v>Not Listed</v>
          </cell>
        </row>
        <row r="1534">
          <cell r="A1534" t="str">
            <v>GTL INFRASTRUCTURE LTD</v>
          </cell>
          <cell r="B1534">
            <v>532775</v>
          </cell>
          <cell r="C1534" t="str">
            <v>GTLINFRA</v>
          </cell>
        </row>
        <row r="1535">
          <cell r="A1535" t="str">
            <v>GTL LTD</v>
          </cell>
          <cell r="B1535">
            <v>500160</v>
          </cell>
          <cell r="C1535" t="str">
            <v>GTL</v>
          </cell>
        </row>
        <row r="1536">
          <cell r="A1536" t="str">
            <v>GTN INDUSTRIES LTD</v>
          </cell>
          <cell r="B1536">
            <v>500170</v>
          </cell>
          <cell r="C1536" t="str">
            <v>GTNIND</v>
          </cell>
        </row>
        <row r="1537">
          <cell r="A1537" t="str">
            <v>GTN TEXTILES LTD</v>
          </cell>
          <cell r="B1537">
            <v>532744</v>
          </cell>
          <cell r="C1537" t="str">
            <v>GTNTEX</v>
          </cell>
        </row>
        <row r="1538">
          <cell r="A1538" t="str">
            <v>GTPL HATHWAY LTD</v>
          </cell>
          <cell r="B1538">
            <v>540602</v>
          </cell>
          <cell r="C1538" t="str">
            <v>GTPL</v>
          </cell>
        </row>
        <row r="1539">
          <cell r="A1539" t="str">
            <v>GTV ENGINEERING LTD</v>
          </cell>
          <cell r="B1539">
            <v>539479</v>
          </cell>
          <cell r="C1539" t="str">
            <v>Not Listed</v>
          </cell>
        </row>
        <row r="1540">
          <cell r="A1540" t="str">
            <v>GUFIC BIOSCIENCES LTD</v>
          </cell>
          <cell r="B1540">
            <v>509079</v>
          </cell>
          <cell r="C1540" t="str">
            <v>GUFICBIO</v>
          </cell>
        </row>
        <row r="1541">
          <cell r="A1541" t="str">
            <v>GUJARAT ALKALIES AND CHEMICALS LTD</v>
          </cell>
          <cell r="B1541">
            <v>530001</v>
          </cell>
          <cell r="C1541" t="str">
            <v>GUJALKALI</v>
          </cell>
        </row>
        <row r="1542">
          <cell r="A1542" t="str">
            <v>GUJARAT AMBUJA EXPORTS LTD</v>
          </cell>
          <cell r="B1542">
            <v>524226</v>
          </cell>
          <cell r="C1542" t="str">
            <v>GAEL</v>
          </cell>
        </row>
        <row r="1543">
          <cell r="A1543" t="str">
            <v>GUJARAT APOLLO INDUSTRIES LTD</v>
          </cell>
          <cell r="B1543">
            <v>522217</v>
          </cell>
          <cell r="C1543" t="str">
            <v>GUJAPOLLO</v>
          </cell>
        </row>
        <row r="1544">
          <cell r="A1544" t="str">
            <v>GUJARAT BOROSIL LTD</v>
          </cell>
          <cell r="B1544">
            <v>523768</v>
          </cell>
          <cell r="C1544" t="str">
            <v>Not Listed</v>
          </cell>
        </row>
        <row r="1545">
          <cell r="A1545" t="str">
            <v>GUJARAT CONTAINERS LTD</v>
          </cell>
          <cell r="B1545">
            <v>513507</v>
          </cell>
          <cell r="C1545" t="str">
            <v>Not Listed</v>
          </cell>
        </row>
        <row r="1546">
          <cell r="A1546" t="str">
            <v>GUJARAT COTEX LTD</v>
          </cell>
          <cell r="B1546">
            <v>514386</v>
          </cell>
          <cell r="C1546" t="str">
            <v>Not Listed</v>
          </cell>
        </row>
        <row r="1547">
          <cell r="A1547" t="str">
            <v>GUJARAT CRAFT INDUSTRIES LTD</v>
          </cell>
          <cell r="B1547">
            <v>526965</v>
          </cell>
          <cell r="C1547" t="str">
            <v>Not Listed</v>
          </cell>
        </row>
        <row r="1548">
          <cell r="A1548" t="str">
            <v>GUJARAT CREDIT CORPORATION LTD</v>
          </cell>
          <cell r="B1548">
            <v>511441</v>
          </cell>
          <cell r="C1548" t="str">
            <v>Not Listed</v>
          </cell>
        </row>
        <row r="1549">
          <cell r="A1549" t="str">
            <v>GUJARAT FLUOROCHEMICALS LTD</v>
          </cell>
          <cell r="B1549">
            <v>500173</v>
          </cell>
          <cell r="C1549" t="str">
            <v>GUJFLUORO</v>
          </cell>
        </row>
        <row r="1550">
          <cell r="A1550" t="str">
            <v>GUJARAT FOILS LTD</v>
          </cell>
          <cell r="B1550">
            <v>531410</v>
          </cell>
          <cell r="C1550" t="str">
            <v>Not Listed</v>
          </cell>
        </row>
        <row r="1551">
          <cell r="A1551" t="str">
            <v>GUJARAT GAS LTD</v>
          </cell>
          <cell r="B1551">
            <v>539336</v>
          </cell>
          <cell r="C1551" t="str">
            <v>GUJGASLTD</v>
          </cell>
        </row>
        <row r="1552">
          <cell r="A1552" t="str">
            <v>GUJARAT HOTELS LTD</v>
          </cell>
          <cell r="B1552">
            <v>507960</v>
          </cell>
          <cell r="C1552" t="str">
            <v>Not Listed</v>
          </cell>
        </row>
        <row r="1553">
          <cell r="A1553" t="str">
            <v>GUJARAT HY-SPIN LTD</v>
          </cell>
          <cell r="B1553">
            <v>540938</v>
          </cell>
          <cell r="C1553" t="str">
            <v>Not Listed</v>
          </cell>
        </row>
        <row r="1554">
          <cell r="A1554" t="str">
            <v>GUJARAT INDUSTRIES POWER COMPANY LTD</v>
          </cell>
          <cell r="B1554">
            <v>517300</v>
          </cell>
          <cell r="C1554" t="str">
            <v>GIPCL</v>
          </cell>
        </row>
        <row r="1555">
          <cell r="A1555" t="str">
            <v>GUJARAT INTRUX LTD</v>
          </cell>
          <cell r="B1555">
            <v>517372</v>
          </cell>
          <cell r="C1555" t="str">
            <v>Not Listed</v>
          </cell>
        </row>
        <row r="1556">
          <cell r="A1556" t="str">
            <v>GUJARAT INVESTA LTD</v>
          </cell>
          <cell r="B1556">
            <v>531341</v>
          </cell>
          <cell r="C1556" t="str">
            <v>Not Listed</v>
          </cell>
        </row>
        <row r="1557">
          <cell r="A1557" t="str">
            <v>GUJARAT LEASE FINANCING LTD</v>
          </cell>
          <cell r="B1557">
            <v>500174</v>
          </cell>
          <cell r="C1557" t="str">
            <v>GLFL</v>
          </cell>
        </row>
        <row r="1558">
          <cell r="A1558" t="str">
            <v>GUJARAT MEDITECH LTD</v>
          </cell>
          <cell r="B1558">
            <v>524754</v>
          </cell>
          <cell r="C1558" t="str">
            <v>Not Listed</v>
          </cell>
        </row>
        <row r="1559">
          <cell r="A1559" t="str">
            <v>GUJARAT METALLIC COAL &amp; COKE LTD</v>
          </cell>
          <cell r="B1559">
            <v>531881</v>
          </cell>
          <cell r="C1559" t="str">
            <v>Not Listed</v>
          </cell>
        </row>
        <row r="1560">
          <cell r="A1560" t="str">
            <v>GUJARAT MINERAL DEVELOPMENT CORPORATION LTD</v>
          </cell>
          <cell r="B1560">
            <v>532181</v>
          </cell>
          <cell r="C1560" t="str">
            <v>GMDCLTD</v>
          </cell>
        </row>
        <row r="1561">
          <cell r="A1561" t="str">
            <v>GUJARAT NARMADA VALLEY FERTILIZERS AND CHEMICALS LTD</v>
          </cell>
          <cell r="B1561">
            <v>500670</v>
          </cell>
          <cell r="C1561" t="str">
            <v>GNFC</v>
          </cell>
        </row>
        <row r="1562">
          <cell r="A1562" t="str">
            <v>GUJARAT NATURAL RESOURCES LTD</v>
          </cell>
          <cell r="B1562">
            <v>513536</v>
          </cell>
          <cell r="C1562" t="str">
            <v>Not Listed</v>
          </cell>
        </row>
        <row r="1563">
          <cell r="A1563" t="str">
            <v>GUJARAT PETROSYNTHESE LTD</v>
          </cell>
          <cell r="B1563">
            <v>506858</v>
          </cell>
          <cell r="C1563" t="str">
            <v>Not Listed</v>
          </cell>
        </row>
        <row r="1564">
          <cell r="A1564" t="str">
            <v>GUJARAT PIPAVAV PORT LTD</v>
          </cell>
          <cell r="B1564">
            <v>533248</v>
          </cell>
          <cell r="C1564" t="str">
            <v>GPPL</v>
          </cell>
        </row>
        <row r="1565">
          <cell r="A1565" t="str">
            <v>GUJARAT POLY ELECTRONICS LTD</v>
          </cell>
          <cell r="B1565">
            <v>517288</v>
          </cell>
          <cell r="C1565" t="str">
            <v>Not Listed</v>
          </cell>
        </row>
        <row r="1566">
          <cell r="A1566" t="str">
            <v>GUJARAT RAFFIA INDUSTRIES LTD</v>
          </cell>
          <cell r="B1566">
            <v>523836</v>
          </cell>
          <cell r="C1566" t="str">
            <v>GUJRAFFIA</v>
          </cell>
        </row>
        <row r="1567">
          <cell r="A1567" t="str">
            <v>GUJARAT SIDHEE CEMENT LTD</v>
          </cell>
          <cell r="B1567">
            <v>518029</v>
          </cell>
          <cell r="C1567" t="str">
            <v>GSCLCEMENT</v>
          </cell>
        </row>
        <row r="1568">
          <cell r="A1568" t="str">
            <v>GUJARAT STATE FERTILIZERS &amp; CHEMICALS LTD</v>
          </cell>
          <cell r="B1568">
            <v>500690</v>
          </cell>
          <cell r="C1568" t="str">
            <v>GSFC</v>
          </cell>
        </row>
        <row r="1569">
          <cell r="A1569" t="str">
            <v>GUJARAT STATE FINANCIAL CORPORATION LTD</v>
          </cell>
          <cell r="B1569">
            <v>532160</v>
          </cell>
          <cell r="C1569" t="str">
            <v>Not Listed</v>
          </cell>
        </row>
        <row r="1570">
          <cell r="A1570" t="str">
            <v>GUJARAT STATE PETRONET LTD</v>
          </cell>
          <cell r="B1570">
            <v>532702</v>
          </cell>
          <cell r="C1570" t="str">
            <v>GSPL</v>
          </cell>
        </row>
        <row r="1571">
          <cell r="A1571" t="str">
            <v>GUJARAT TERCE LABORATORIES LTD</v>
          </cell>
          <cell r="B1571">
            <v>524314</v>
          </cell>
          <cell r="C1571" t="str">
            <v>Not Listed</v>
          </cell>
        </row>
        <row r="1572">
          <cell r="A1572" t="str">
            <v>GUJARAT THEMIS BIOSYN LTD</v>
          </cell>
          <cell r="B1572">
            <v>506879</v>
          </cell>
          <cell r="C1572" t="str">
            <v>Not Listed</v>
          </cell>
        </row>
        <row r="1573">
          <cell r="A1573" t="str">
            <v>GUJARAT TOOLROOM LTD</v>
          </cell>
          <cell r="B1573">
            <v>513337</v>
          </cell>
          <cell r="C1573" t="str">
            <v>Not Listed</v>
          </cell>
        </row>
        <row r="1574">
          <cell r="A1574" t="str">
            <v>GUJCHEM DISTILLERS (INDIA) LTD</v>
          </cell>
          <cell r="B1574">
            <v>506640</v>
          </cell>
          <cell r="C1574" t="str">
            <v>Not Listed</v>
          </cell>
        </row>
        <row r="1575">
          <cell r="A1575" t="str">
            <v>GUJCHEM DISTILLERS INDIA LTD</v>
          </cell>
          <cell r="B1575">
            <v>506640</v>
          </cell>
          <cell r="C1575" t="str">
            <v>Not Listed</v>
          </cell>
        </row>
        <row r="1576">
          <cell r="A1576" t="str">
            <v>GULF OIL LUBRICANTS (INDIA) LTD</v>
          </cell>
          <cell r="B1576">
            <v>538567</v>
          </cell>
          <cell r="C1576" t="str">
            <v>GULFOILLUB</v>
          </cell>
        </row>
        <row r="1577">
          <cell r="A1577" t="str">
            <v>GULF OIL LUBRICANTS INDIA LTD</v>
          </cell>
          <cell r="B1577">
            <v>538567</v>
          </cell>
          <cell r="C1577" t="str">
            <v>GULFOILLUB</v>
          </cell>
        </row>
        <row r="1578">
          <cell r="A1578" t="str">
            <v>GULSHAN CHEMFILL LTD</v>
          </cell>
          <cell r="B1578">
            <v>532425</v>
          </cell>
          <cell r="C1578" t="str">
            <v>Not Listed</v>
          </cell>
        </row>
        <row r="1579">
          <cell r="A1579" t="str">
            <v>GULSHAN POLYOLS LTD</v>
          </cell>
          <cell r="B1579">
            <v>532457</v>
          </cell>
          <cell r="C1579" t="str">
            <v>GULPOLY</v>
          </cell>
        </row>
        <row r="1580">
          <cell r="A1580" t="str">
            <v>GV FILMS LTD</v>
          </cell>
          <cell r="B1580">
            <v>523277</v>
          </cell>
          <cell r="C1580" t="str">
            <v>Not Listed</v>
          </cell>
        </row>
        <row r="1581">
          <cell r="A1581" t="str">
            <v>GVK POWER &amp; INFRASTRUCTURE LTD</v>
          </cell>
          <cell r="B1581">
            <v>532708</v>
          </cell>
          <cell r="C1581" t="str">
            <v>GVKPIL</v>
          </cell>
        </row>
        <row r="1582">
          <cell r="A1582" t="str">
            <v>GYAN DEVELOPERS &amp; BUILDERS LTD</v>
          </cell>
          <cell r="B1582">
            <v>530141</v>
          </cell>
          <cell r="C1582" t="str">
            <v>Not Listed</v>
          </cell>
        </row>
        <row r="1583">
          <cell r="A1583" t="str">
            <v>GYSCOAL ALLOYS LTD</v>
          </cell>
          <cell r="B1583">
            <v>533275</v>
          </cell>
          <cell r="C1583" t="str">
            <v>GAL</v>
          </cell>
        </row>
        <row r="1584">
          <cell r="A1584" t="str">
            <v>H G INFRA ENGINEERING LTD</v>
          </cell>
          <cell r="B1584">
            <v>541019</v>
          </cell>
          <cell r="C1584" t="str">
            <v>HGINFRA</v>
          </cell>
        </row>
        <row r="1585">
          <cell r="A1585" t="str">
            <v>H K  TRADE INTERNATIONAL LTD</v>
          </cell>
          <cell r="B1585">
            <v>539337</v>
          </cell>
          <cell r="C1585" t="str">
            <v>Not Listed</v>
          </cell>
        </row>
        <row r="1586">
          <cell r="A1586" t="str">
            <v>H P COTTON TEXTILE MILLS LTD</v>
          </cell>
          <cell r="B1586">
            <v>502873</v>
          </cell>
          <cell r="C1586" t="str">
            <v>Not Listed</v>
          </cell>
        </row>
        <row r="1587">
          <cell r="A1587" t="str">
            <v>H S (INDIA) LTD</v>
          </cell>
          <cell r="B1587">
            <v>532145</v>
          </cell>
          <cell r="C1587" t="str">
            <v>Not Listed</v>
          </cell>
        </row>
        <row r="1588">
          <cell r="A1588" t="str">
            <v>H S INDIA LTD</v>
          </cell>
          <cell r="B1588">
            <v>532145</v>
          </cell>
          <cell r="C1588" t="str">
            <v>Not Listed</v>
          </cell>
        </row>
        <row r="1589">
          <cell r="A1589" t="str">
            <v>HALDER VENTURE LTD</v>
          </cell>
          <cell r="B1589">
            <v>539854</v>
          </cell>
          <cell r="C1589" t="str">
            <v>Not Listed</v>
          </cell>
        </row>
        <row r="1590">
          <cell r="A1590" t="str">
            <v>HALDYN GLASS LTD</v>
          </cell>
          <cell r="B1590">
            <v>515147</v>
          </cell>
          <cell r="C1590" t="str">
            <v>Not Listed</v>
          </cell>
        </row>
        <row r="1591">
          <cell r="A1591" t="str">
            <v>HARDCASTLE &amp; WAUD MFG CO LTD</v>
          </cell>
          <cell r="B1591">
            <v>509597</v>
          </cell>
          <cell r="C1591" t="str">
            <v>Not Listed</v>
          </cell>
        </row>
        <row r="1592">
          <cell r="A1592" t="str">
            <v>HARI GOVIND INTERNATIONAL LTD</v>
          </cell>
          <cell r="B1592">
            <v>531971</v>
          </cell>
          <cell r="C1592" t="str">
            <v>Not Listed</v>
          </cell>
        </row>
        <row r="1593">
          <cell r="A1593" t="str">
            <v>HARIA APPARELS LTD</v>
          </cell>
          <cell r="B1593">
            <v>538081</v>
          </cell>
          <cell r="C1593" t="str">
            <v>Not Listed</v>
          </cell>
        </row>
        <row r="1594">
          <cell r="A1594" t="str">
            <v>HARIA EXPORTS LTD</v>
          </cell>
          <cell r="B1594">
            <v>512604</v>
          </cell>
          <cell r="C1594" t="str">
            <v>Not Listed</v>
          </cell>
        </row>
        <row r="1595">
          <cell r="A1595" t="str">
            <v>Harish Textile Engineers Ltd</v>
          </cell>
          <cell r="B1595">
            <v>542682</v>
          </cell>
          <cell r="C1595" t="str">
            <v>HARISH</v>
          </cell>
        </row>
        <row r="1596">
          <cell r="A1596" t="str">
            <v>HARITA SEATING SYSTEMS LTD</v>
          </cell>
          <cell r="B1596">
            <v>590043</v>
          </cell>
          <cell r="C1596" t="str">
            <v>HARITASEAT</v>
          </cell>
        </row>
        <row r="1597">
          <cell r="A1597" t="str">
            <v>HARIYANA METALS LTD</v>
          </cell>
          <cell r="B1597">
            <v>506024</v>
          </cell>
          <cell r="C1597" t="str">
            <v>Not Listed</v>
          </cell>
        </row>
        <row r="1598">
          <cell r="A1598" t="str">
            <v>HARIYANA SHIP BREAKERS LTD</v>
          </cell>
          <cell r="B1598">
            <v>526931</v>
          </cell>
          <cell r="C1598" t="str">
            <v>Not Listed</v>
          </cell>
        </row>
        <row r="1599">
          <cell r="A1599" t="str">
            <v>HARMONY CAPITAL SERVICES LTD</v>
          </cell>
          <cell r="B1599">
            <v>530055</v>
          </cell>
          <cell r="C1599" t="str">
            <v>Not Listed</v>
          </cell>
        </row>
        <row r="1600">
          <cell r="A1600" t="str">
            <v>HARRISONS MALAYALAM LTD</v>
          </cell>
          <cell r="B1600">
            <v>500467</v>
          </cell>
          <cell r="C1600" t="str">
            <v>HARRMALAYA</v>
          </cell>
        </row>
        <row r="1601">
          <cell r="A1601" t="str">
            <v>HARYANA CAPFIN LTD</v>
          </cell>
          <cell r="B1601">
            <v>532855</v>
          </cell>
          <cell r="C1601" t="str">
            <v>Not Listed</v>
          </cell>
        </row>
        <row r="1602">
          <cell r="A1602" t="str">
            <v>HARYANA FINANCIAL CORPORATION LTD</v>
          </cell>
          <cell r="B1602">
            <v>530927</v>
          </cell>
          <cell r="C1602" t="str">
            <v>Not Listed</v>
          </cell>
        </row>
        <row r="1603">
          <cell r="A1603" t="str">
            <v>HARYANA LEATHER CHEMICALS LTD</v>
          </cell>
          <cell r="B1603">
            <v>524080</v>
          </cell>
          <cell r="C1603" t="str">
            <v>Not Listed</v>
          </cell>
        </row>
        <row r="1604">
          <cell r="A1604" t="str">
            <v>HAS LIFESTYLE LTD</v>
          </cell>
          <cell r="B1604">
            <v>780014</v>
          </cell>
          <cell r="C1604" t="str">
            <v>Not Listed</v>
          </cell>
        </row>
        <row r="1605">
          <cell r="A1605" t="str">
            <v>HASTI FINANCE LTD</v>
          </cell>
          <cell r="B1605">
            <v>531387</v>
          </cell>
          <cell r="C1605" t="str">
            <v>Not Listed</v>
          </cell>
        </row>
        <row r="1606">
          <cell r="A1606" t="str">
            <v>HATHWAY BHAWANI CABLETEL &amp;amp; DATACOM LTD.</v>
          </cell>
          <cell r="B1606">
            <v>509073</v>
          </cell>
          <cell r="C1606" t="str">
            <v>HATHWAYB</v>
          </cell>
        </row>
        <row r="1607">
          <cell r="A1607" t="str">
            <v>HATHWAY CABLE &amp; DATACOM LTD</v>
          </cell>
          <cell r="B1607">
            <v>533162</v>
          </cell>
          <cell r="C1607" t="str">
            <v>HATHWAY</v>
          </cell>
        </row>
        <row r="1608">
          <cell r="A1608" t="str">
            <v>HATSUN AGRO PRODUCT LTD</v>
          </cell>
          <cell r="B1608">
            <v>531531</v>
          </cell>
          <cell r="C1608" t="str">
            <v>HATSUN</v>
          </cell>
        </row>
        <row r="1609">
          <cell r="A1609" t="str">
            <v>HAVELLS (INDIA) LTD</v>
          </cell>
          <cell r="B1609">
            <v>517354</v>
          </cell>
          <cell r="C1609" t="str">
            <v>HAVELLS</v>
          </cell>
        </row>
        <row r="1610">
          <cell r="A1610" t="str">
            <v>HAVELLS INDIA LTD</v>
          </cell>
          <cell r="B1610">
            <v>517354</v>
          </cell>
          <cell r="C1610" t="str">
            <v>HAVELLS</v>
          </cell>
        </row>
        <row r="1611">
          <cell r="A1611" t="str">
            <v>HAWA ENGINEERS LTD</v>
          </cell>
          <cell r="B1611">
            <v>539176</v>
          </cell>
          <cell r="C1611" t="str">
            <v>Not Listed</v>
          </cell>
        </row>
        <row r="1612">
          <cell r="A1612" t="str">
            <v>HAWKINS COOKERS LTD</v>
          </cell>
          <cell r="B1612">
            <v>508486</v>
          </cell>
          <cell r="C1612" t="str">
            <v>Not Listed</v>
          </cell>
        </row>
        <row r="1613">
          <cell r="A1613" t="str">
            <v>HAZOOR MULTI PROJECTS LTD</v>
          </cell>
          <cell r="B1613">
            <v>532467</v>
          </cell>
          <cell r="C1613" t="str">
            <v>Not Listed</v>
          </cell>
        </row>
        <row r="1614">
          <cell r="A1614" t="str">
            <v>HB ESTATE DEVELOPERS LTD</v>
          </cell>
          <cell r="B1614">
            <v>532334</v>
          </cell>
          <cell r="C1614" t="str">
            <v>Not Listed</v>
          </cell>
        </row>
        <row r="1615">
          <cell r="A1615" t="str">
            <v>HB LEASING &amp; FINANCE CO LTD</v>
          </cell>
          <cell r="B1615">
            <v>508956</v>
          </cell>
          <cell r="C1615" t="str">
            <v>Not Listed</v>
          </cell>
        </row>
        <row r="1616">
          <cell r="A1616" t="str">
            <v>HB PORTFOLIO LTD</v>
          </cell>
          <cell r="B1616">
            <v>532333</v>
          </cell>
          <cell r="C1616" t="str">
            <v>Not Listed</v>
          </cell>
        </row>
        <row r="1617">
          <cell r="A1617" t="str">
            <v>HB STOCKHOLDINGS LTD</v>
          </cell>
          <cell r="B1617">
            <v>532216</v>
          </cell>
          <cell r="C1617" t="str">
            <v>HBSL</v>
          </cell>
        </row>
        <row r="1618">
          <cell r="A1618" t="str">
            <v>HBL POWER SYSTEMS LTD</v>
          </cell>
          <cell r="B1618">
            <v>517271</v>
          </cell>
          <cell r="C1618" t="str">
            <v>HBLPOWER</v>
          </cell>
        </row>
        <row r="1619">
          <cell r="A1619" t="str">
            <v>HCKK VENTURES LTD</v>
          </cell>
          <cell r="B1619">
            <v>539224</v>
          </cell>
          <cell r="C1619" t="str">
            <v>Not Listed</v>
          </cell>
        </row>
        <row r="1620">
          <cell r="A1620" t="str">
            <v>HCL INFOSYSTEMS LTD</v>
          </cell>
          <cell r="B1620">
            <v>500179</v>
          </cell>
          <cell r="C1620" t="str">
            <v>HCL-INSYS</v>
          </cell>
        </row>
        <row r="1621">
          <cell r="A1621" t="str">
            <v>HCL TECHNOLOGIES LTD</v>
          </cell>
          <cell r="B1621">
            <v>532281</v>
          </cell>
          <cell r="C1621" t="str">
            <v>HCLTECH</v>
          </cell>
        </row>
        <row r="1622">
          <cell r="A1622" t="str">
            <v>HDFC ASSET MANAGEMENT COMPANY LTD</v>
          </cell>
          <cell r="B1622">
            <v>541729</v>
          </cell>
          <cell r="C1622" t="str">
            <v>HDFCAMC</v>
          </cell>
        </row>
        <row r="1623">
          <cell r="A1623" t="str">
            <v>HDFC BANK LTD</v>
          </cell>
          <cell r="B1623">
            <v>500180</v>
          </cell>
          <cell r="C1623" t="str">
            <v>HDFCBANK</v>
          </cell>
        </row>
        <row r="1624">
          <cell r="A1624" t="str">
            <v>HDFC Mutual Fund - HDFC Gold Exchange Traded Fund</v>
          </cell>
          <cell r="B1624">
            <v>533230</v>
          </cell>
          <cell r="C1624" t="str">
            <v>HDFCMFGETF</v>
          </cell>
        </row>
        <row r="1625">
          <cell r="A1625" t="str">
            <v>HDFC STANDARD LIFE INSURANCE COMPANY LTD</v>
          </cell>
          <cell r="B1625">
            <v>540777</v>
          </cell>
          <cell r="C1625" t="str">
            <v>HDFCLIFE</v>
          </cell>
        </row>
        <row r="1626">
          <cell r="A1626" t="str">
            <v>HEALTHCARE GLOBAL ENTERPRISES LTD</v>
          </cell>
          <cell r="B1626">
            <v>539787</v>
          </cell>
          <cell r="C1626" t="str">
            <v>HCG</v>
          </cell>
        </row>
        <row r="1627">
          <cell r="A1627" t="str">
            <v>HEALTHY INVESTMENTS LTD</v>
          </cell>
          <cell r="B1627">
            <v>503689</v>
          </cell>
          <cell r="C1627" t="str">
            <v>Not Listed</v>
          </cell>
        </row>
        <row r="1628">
          <cell r="A1628" t="str">
            <v>HEC INFRA PROJECTS LTD</v>
          </cell>
          <cell r="B1628" t="str">
            <v>Not Listed</v>
          </cell>
          <cell r="C1628" t="str">
            <v>HECPROJECT</v>
          </cell>
        </row>
        <row r="1629">
          <cell r="A1629" t="str">
            <v>HEERA ISPAT LTD</v>
          </cell>
          <cell r="B1629">
            <v>526967</v>
          </cell>
          <cell r="C1629" t="str">
            <v>Not Listed</v>
          </cell>
        </row>
        <row r="1630">
          <cell r="A1630" t="str">
            <v>HEG LTD</v>
          </cell>
          <cell r="B1630">
            <v>509631</v>
          </cell>
          <cell r="C1630" t="str">
            <v>HEG</v>
          </cell>
        </row>
        <row r="1631">
          <cell r="A1631" t="str">
            <v>HEIDELBERGCEMENT (INDIA) LTD</v>
          </cell>
          <cell r="B1631">
            <v>500292</v>
          </cell>
          <cell r="C1631" t="str">
            <v>HEIDELBERG</v>
          </cell>
        </row>
        <row r="1632">
          <cell r="A1632" t="str">
            <v>HEIDELBERGCEMENT INDIA LTD</v>
          </cell>
          <cell r="B1632">
            <v>500292</v>
          </cell>
          <cell r="C1632" t="str">
            <v>HEIDELBERG</v>
          </cell>
        </row>
        <row r="1633">
          <cell r="A1633" t="str">
            <v>Helpage Finlease Ltd</v>
          </cell>
          <cell r="B1633">
            <v>539174</v>
          </cell>
          <cell r="C1633" t="str">
            <v>HELPAGE</v>
          </cell>
        </row>
        <row r="1634">
          <cell r="A1634" t="str">
            <v>HEM HOLDINGS &amp; TRADING LTD</v>
          </cell>
          <cell r="B1634">
            <v>505520</v>
          </cell>
          <cell r="C1634" t="str">
            <v>Not Listed</v>
          </cell>
        </row>
        <row r="1635">
          <cell r="A1635" t="str">
            <v>HEMANG RESOURCES LTD</v>
          </cell>
          <cell r="B1635">
            <v>531178</v>
          </cell>
          <cell r="C1635" t="str">
            <v>Not Listed</v>
          </cell>
        </row>
        <row r="1636">
          <cell r="A1636" t="str">
            <v>HEMO ORGANIC LTD</v>
          </cell>
          <cell r="B1636">
            <v>524590</v>
          </cell>
          <cell r="C1636" t="str">
            <v>Not Listed</v>
          </cell>
        </row>
        <row r="1637">
          <cell r="A1637" t="str">
            <v>HERCULES HOISTS LTD</v>
          </cell>
          <cell r="B1637">
            <v>505720</v>
          </cell>
          <cell r="C1637" t="str">
            <v>HERCULES</v>
          </cell>
        </row>
        <row r="1638">
          <cell r="A1638" t="str">
            <v>HERITAGE FOODS LTD</v>
          </cell>
          <cell r="B1638">
            <v>519552</v>
          </cell>
          <cell r="C1638" t="str">
            <v>HERITGFOOD</v>
          </cell>
        </row>
        <row r="1639">
          <cell r="A1639" t="str">
            <v>HERO MOTOCORP LTD</v>
          </cell>
          <cell r="B1639">
            <v>500182</v>
          </cell>
          <cell r="C1639" t="str">
            <v>HEROMOTOCO</v>
          </cell>
        </row>
        <row r="1640">
          <cell r="A1640" t="str">
            <v>HESTER BIOSCIENCES LTD</v>
          </cell>
          <cell r="B1640">
            <v>524669</v>
          </cell>
          <cell r="C1640" t="str">
            <v>HESTERBIO</v>
          </cell>
        </row>
        <row r="1641">
          <cell r="A1641" t="str">
            <v>HEXA TRADEX LTD</v>
          </cell>
          <cell r="B1641">
            <v>534328</v>
          </cell>
          <cell r="C1641" t="str">
            <v>HEXATRADEX</v>
          </cell>
        </row>
        <row r="1642">
          <cell r="A1642" t="str">
            <v>HEXAWARE TECHNOLOGIES LTD</v>
          </cell>
          <cell r="B1642">
            <v>532129</v>
          </cell>
          <cell r="C1642" t="str">
            <v>HEXAWARE</v>
          </cell>
        </row>
        <row r="1643">
          <cell r="A1643" t="str">
            <v>HIGH ENERGY BATTERIES (INDIA) LTD</v>
          </cell>
          <cell r="B1643">
            <v>504176</v>
          </cell>
          <cell r="C1643" t="str">
            <v>Not Listed</v>
          </cell>
        </row>
        <row r="1644">
          <cell r="A1644" t="str">
            <v>HIGH ENERGY BATTERIES INDIA LTD</v>
          </cell>
          <cell r="B1644">
            <v>504176</v>
          </cell>
          <cell r="C1644" t="str">
            <v>Not Listed</v>
          </cell>
        </row>
        <row r="1645">
          <cell r="A1645" t="str">
            <v>HIGH GROUND ENTERPRISE LTD</v>
          </cell>
          <cell r="B1645">
            <v>517080</v>
          </cell>
          <cell r="C1645" t="str">
            <v>HIGHGROUND</v>
          </cell>
        </row>
        <row r="1646">
          <cell r="A1646" t="str">
            <v>HIGH STREET FILATEX LTD</v>
          </cell>
          <cell r="B1646">
            <v>531301</v>
          </cell>
          <cell r="C1646" t="str">
            <v>Not Listed</v>
          </cell>
        </row>
        <row r="1647">
          <cell r="A1647" t="str">
            <v>HIKAL LTD</v>
          </cell>
          <cell r="B1647">
            <v>524735</v>
          </cell>
          <cell r="C1647" t="str">
            <v>HIKAL</v>
          </cell>
        </row>
        <row r="1648">
          <cell r="A1648" t="str">
            <v>Hi-Klass Trading and Investment Ltd</v>
          </cell>
          <cell r="B1648">
            <v>542332</v>
          </cell>
          <cell r="C1648" t="str">
            <v>HIKLASS</v>
          </cell>
        </row>
        <row r="1649">
          <cell r="A1649" t="str">
            <v>HIL LTD</v>
          </cell>
          <cell r="B1649">
            <v>509675</v>
          </cell>
          <cell r="C1649" t="str">
            <v>HIL</v>
          </cell>
        </row>
        <row r="1650">
          <cell r="A1650" t="str">
            <v>HILTON METAL FORGING LTD</v>
          </cell>
          <cell r="B1650">
            <v>532847</v>
          </cell>
          <cell r="C1650" t="str">
            <v>HILTON</v>
          </cell>
        </row>
        <row r="1651">
          <cell r="A1651" t="str">
            <v>HIM TEKNOFORGE LTD</v>
          </cell>
          <cell r="B1651">
            <v>505712</v>
          </cell>
          <cell r="C1651" t="str">
            <v>Not Listed</v>
          </cell>
        </row>
        <row r="1652">
          <cell r="A1652" t="str">
            <v>HIMACHAL FIBRES LTD</v>
          </cell>
          <cell r="B1652">
            <v>514010</v>
          </cell>
          <cell r="C1652" t="str">
            <v>Not Listed</v>
          </cell>
        </row>
        <row r="1653">
          <cell r="A1653" t="str">
            <v>HIMACHAL FUTURISTIC COMMUNICATIONS LTD</v>
          </cell>
          <cell r="B1653">
            <v>500183</v>
          </cell>
          <cell r="C1653" t="str">
            <v>HFCL</v>
          </cell>
        </row>
        <row r="1654">
          <cell r="A1654" t="str">
            <v>HIMADRI SPECIALITY CHEMICAL LTD</v>
          </cell>
          <cell r="B1654">
            <v>500184</v>
          </cell>
          <cell r="C1654" t="str">
            <v>HSCL</v>
          </cell>
        </row>
        <row r="1655">
          <cell r="A1655" t="str">
            <v>HIMALAYA FOOD INTERNATIONAL LTD</v>
          </cell>
          <cell r="B1655">
            <v>526899</v>
          </cell>
          <cell r="C1655" t="str">
            <v>Not Listed</v>
          </cell>
        </row>
        <row r="1656">
          <cell r="A1656" t="str">
            <v>HIMALAYA GRANITES LTD</v>
          </cell>
          <cell r="B1656">
            <v>513723</v>
          </cell>
          <cell r="C1656" t="str">
            <v>Not Listed</v>
          </cell>
        </row>
        <row r="1657">
          <cell r="A1657" t="str">
            <v>HIMALCHULI FOOD PRODUCTS LTD</v>
          </cell>
          <cell r="B1657">
            <v>511169</v>
          </cell>
          <cell r="C1657" t="str">
            <v>Not Listed</v>
          </cell>
        </row>
        <row r="1658">
          <cell r="A1658" t="str">
            <v>HIMATSINGKA SEIDE LTD</v>
          </cell>
          <cell r="B1658">
            <v>514043</v>
          </cell>
          <cell r="C1658" t="str">
            <v>HIMATSEIDE</v>
          </cell>
        </row>
        <row r="1659">
          <cell r="A1659" t="str">
            <v>HIND ALUMINIUM INDUSTRIES LTD</v>
          </cell>
          <cell r="B1659">
            <v>531979</v>
          </cell>
          <cell r="C1659" t="str">
            <v>Not Listed</v>
          </cell>
        </row>
        <row r="1660">
          <cell r="A1660" t="str">
            <v>HIND COMMERCE LTD</v>
          </cell>
          <cell r="B1660">
            <v>538652</v>
          </cell>
          <cell r="C1660" t="str">
            <v>Not Listed</v>
          </cell>
        </row>
        <row r="1661">
          <cell r="A1661" t="str">
            <v>HIND RECTIFIERS LTD</v>
          </cell>
          <cell r="B1661">
            <v>504036</v>
          </cell>
          <cell r="C1661" t="str">
            <v>HIRECT</v>
          </cell>
        </row>
        <row r="1662">
          <cell r="A1662" t="str">
            <v>HIND SECURITIES &amp; CREDITS LTD</v>
          </cell>
          <cell r="B1662">
            <v>539114</v>
          </cell>
          <cell r="C1662" t="str">
            <v>Not Listed</v>
          </cell>
        </row>
        <row r="1663">
          <cell r="A1663" t="str">
            <v>HIND SYNTEX LTD</v>
          </cell>
          <cell r="B1663">
            <v>503881</v>
          </cell>
          <cell r="C1663" t="str">
            <v>HINDSYNTEX</v>
          </cell>
        </row>
        <row r="1664">
          <cell r="A1664" t="str">
            <v>HINDALCO INDUSTRIES LTD</v>
          </cell>
          <cell r="B1664">
            <v>500440</v>
          </cell>
          <cell r="C1664" t="str">
            <v>HINDALCO</v>
          </cell>
        </row>
        <row r="1665">
          <cell r="A1665" t="str">
            <v>HINDCON CHEMICALS LTD</v>
          </cell>
          <cell r="B1665" t="str">
            <v>Not Listed</v>
          </cell>
          <cell r="C1665" t="str">
            <v>HINDCON</v>
          </cell>
        </row>
        <row r="1666">
          <cell r="A1666" t="str">
            <v>HINDOOSTAN MILLS LTD</v>
          </cell>
          <cell r="B1666">
            <v>509895</v>
          </cell>
          <cell r="C1666" t="str">
            <v>Not Listed</v>
          </cell>
        </row>
        <row r="1667">
          <cell r="A1667" t="str">
            <v>HINDUJA GLOBAL SOLUTIONS LTD</v>
          </cell>
          <cell r="B1667">
            <v>532859</v>
          </cell>
          <cell r="C1667" t="str">
            <v>HGS</v>
          </cell>
        </row>
        <row r="1668">
          <cell r="A1668" t="str">
            <v>HINDUJA VENTURES LTD</v>
          </cell>
          <cell r="B1668">
            <v>500189</v>
          </cell>
          <cell r="C1668" t="str">
            <v>HINDUJAVEN</v>
          </cell>
        </row>
        <row r="1669">
          <cell r="A1669" t="str">
            <v>HINDUSTAN ADHESIVES LTD</v>
          </cell>
          <cell r="B1669">
            <v>514428</v>
          </cell>
          <cell r="C1669" t="str">
            <v>Not Listed</v>
          </cell>
        </row>
        <row r="1670">
          <cell r="A1670" t="str">
            <v>HINDUSTAN AERONAUTICS LTD</v>
          </cell>
          <cell r="B1670">
            <v>541154</v>
          </cell>
          <cell r="C1670" t="str">
            <v>HAL</v>
          </cell>
        </row>
        <row r="1671">
          <cell r="A1671" t="str">
            <v>HINDUSTAN APPLIANCES LTD</v>
          </cell>
          <cell r="B1671">
            <v>531918</v>
          </cell>
          <cell r="C1671" t="str">
            <v>Not Listed</v>
          </cell>
        </row>
        <row r="1672">
          <cell r="A1672" t="str">
            <v>HINDUSTAN BIO SCIENCES LTD.</v>
          </cell>
          <cell r="B1672">
            <v>532041</v>
          </cell>
          <cell r="C1672" t="str">
            <v>HINDBIO</v>
          </cell>
        </row>
        <row r="1673">
          <cell r="A1673" t="str">
            <v>HINDUSTAN COMPOSITES LTD</v>
          </cell>
          <cell r="B1673">
            <v>509635</v>
          </cell>
          <cell r="C1673" t="str">
            <v>HINDCOMPOS</v>
          </cell>
        </row>
        <row r="1674">
          <cell r="A1674" t="str">
            <v>HINDUSTAN CONSTRUCTION COMPANY LTD</v>
          </cell>
          <cell r="B1674">
            <v>500185</v>
          </cell>
          <cell r="C1674" t="str">
            <v>HCC</v>
          </cell>
        </row>
        <row r="1675">
          <cell r="A1675" t="str">
            <v>HINDUSTAN COPPER LTD</v>
          </cell>
          <cell r="B1675">
            <v>513599</v>
          </cell>
          <cell r="C1675" t="str">
            <v>HINDCOPPER</v>
          </cell>
        </row>
        <row r="1676">
          <cell r="A1676" t="str">
            <v>HINDUSTAN EVEREST TOOLS LTD.</v>
          </cell>
          <cell r="B1676">
            <v>505725</v>
          </cell>
          <cell r="C1676" t="str">
            <v>HINDEVER</v>
          </cell>
        </row>
        <row r="1677">
          <cell r="A1677" t="str">
            <v>HINDUSTAN FLUOROCARBONS LTD</v>
          </cell>
          <cell r="B1677">
            <v>524013</v>
          </cell>
          <cell r="C1677" t="str">
            <v>Not Listed</v>
          </cell>
        </row>
        <row r="1678">
          <cell r="A1678" t="str">
            <v>HINDUSTAN FOODS LTD</v>
          </cell>
          <cell r="B1678">
            <v>519126</v>
          </cell>
          <cell r="C1678" t="str">
            <v>Not Listed</v>
          </cell>
        </row>
        <row r="1679">
          <cell r="A1679" t="str">
            <v>HINDUSTAN HARDY SPICER LTD</v>
          </cell>
          <cell r="B1679">
            <v>505893</v>
          </cell>
          <cell r="C1679" t="str">
            <v>Not Listed</v>
          </cell>
        </row>
        <row r="1680">
          <cell r="A1680" t="str">
            <v>HINDUSTAN HOUSING CO LTD</v>
          </cell>
          <cell r="B1680">
            <v>509650</v>
          </cell>
          <cell r="C1680" t="str">
            <v>Not Listed</v>
          </cell>
        </row>
        <row r="1681">
          <cell r="A1681" t="str">
            <v>HINDUSTAN MEDIA VENTURES LTD</v>
          </cell>
          <cell r="B1681">
            <v>533217</v>
          </cell>
          <cell r="C1681" t="str">
            <v>HMVL</v>
          </cell>
        </row>
        <row r="1682">
          <cell r="A1682" t="str">
            <v>HINDUSTAN MOTORS LTD</v>
          </cell>
          <cell r="B1682">
            <v>500500</v>
          </cell>
          <cell r="C1682" t="str">
            <v>HINDMOTORS</v>
          </cell>
        </row>
        <row r="1683">
          <cell r="A1683" t="str">
            <v>HINDUSTAN OIL EXPLORATION COMPANY LTD</v>
          </cell>
          <cell r="B1683">
            <v>500186</v>
          </cell>
          <cell r="C1683" t="str">
            <v>HINDOILEXP</v>
          </cell>
        </row>
        <row r="1684">
          <cell r="A1684" t="str">
            <v>HINDUSTAN ORGANIC CHEMICALS LTD</v>
          </cell>
          <cell r="B1684">
            <v>500449</v>
          </cell>
          <cell r="C1684" t="str">
            <v>Not Listed</v>
          </cell>
        </row>
        <row r="1685">
          <cell r="A1685" t="str">
            <v>HINDUSTAN PETROLEUM CORPORATION LTD</v>
          </cell>
          <cell r="B1685">
            <v>500104</v>
          </cell>
          <cell r="C1685" t="str">
            <v>HINDPETRO</v>
          </cell>
        </row>
        <row r="1686">
          <cell r="A1686" t="str">
            <v>HINDUSTAN TIN WORKS LTD</v>
          </cell>
          <cell r="B1686">
            <v>530315</v>
          </cell>
          <cell r="C1686" t="str">
            <v>Not Listed</v>
          </cell>
        </row>
        <row r="1687">
          <cell r="A1687" t="str">
            <v>HINDUSTAN UNILEVER LTD</v>
          </cell>
          <cell r="B1687">
            <v>500696</v>
          </cell>
          <cell r="C1687" t="str">
            <v>HINDUNILVR</v>
          </cell>
        </row>
        <row r="1688">
          <cell r="A1688" t="str">
            <v>HINDUSTAN WIRES LTD</v>
          </cell>
          <cell r="B1688">
            <v>504713</v>
          </cell>
          <cell r="C1688" t="str">
            <v>Not Listed</v>
          </cell>
        </row>
        <row r="1689">
          <cell r="A1689" t="str">
            <v>HINDUSTAN ZINC LTD</v>
          </cell>
          <cell r="B1689">
            <v>500188</v>
          </cell>
          <cell r="C1689" t="str">
            <v>HINDZINC</v>
          </cell>
        </row>
        <row r="1690">
          <cell r="A1690" t="str">
            <v>HINDUSTHAN NATIONAL GLASS &amp; INDUSTRIES LTD</v>
          </cell>
          <cell r="B1690">
            <v>515145</v>
          </cell>
          <cell r="C1690" t="str">
            <v>HINDNATGLS</v>
          </cell>
        </row>
        <row r="1691">
          <cell r="A1691" t="str">
            <v>HINDUSTHAN UDYOG LTD</v>
          </cell>
          <cell r="B1691">
            <v>513039</v>
          </cell>
          <cell r="C1691" t="str">
            <v>Not Listed</v>
          </cell>
        </row>
        <row r="1692">
          <cell r="A1692" t="str">
            <v>HINDUSTHAN URBAN INFRASTRUCTURE LTD</v>
          </cell>
          <cell r="B1692">
            <v>539984</v>
          </cell>
          <cell r="C1692" t="str">
            <v>Not Listed</v>
          </cell>
        </row>
        <row r="1693">
          <cell r="A1693" t="str">
            <v>HIPOLIN LTD</v>
          </cell>
          <cell r="B1693">
            <v>530853</v>
          </cell>
          <cell r="C1693" t="str">
            <v>Not Listed</v>
          </cell>
        </row>
        <row r="1694">
          <cell r="A1694" t="str">
            <v>HIRA AUTOMOBILES LTD</v>
          </cell>
          <cell r="B1694">
            <v>531743</v>
          </cell>
          <cell r="C1694" t="str">
            <v>Not Listed</v>
          </cell>
        </row>
        <row r="1695">
          <cell r="A1695" t="str">
            <v>HISAR METAL INDUSTRIES LTD</v>
          </cell>
          <cell r="B1695">
            <v>590018</v>
          </cell>
          <cell r="C1695" t="str">
            <v>HISARMETAL</v>
          </cell>
        </row>
        <row r="1696">
          <cell r="A1696" t="str">
            <v>HISAR SPINNING MILLS LTD</v>
          </cell>
          <cell r="B1696">
            <v>521068</v>
          </cell>
          <cell r="C1696" t="str">
            <v>Not Listed</v>
          </cell>
        </row>
        <row r="1697">
          <cell r="A1697" t="str">
            <v>HIT KIT GLOBAL SOLUTIONS LTD</v>
          </cell>
          <cell r="B1697">
            <v>532359</v>
          </cell>
          <cell r="C1697" t="str">
            <v>Not Listed</v>
          </cell>
        </row>
        <row r="1698">
          <cell r="A1698" t="str">
            <v>HITECH CORPORATION LTD</v>
          </cell>
          <cell r="B1698">
            <v>526217</v>
          </cell>
          <cell r="C1698" t="str">
            <v>HITECHCORP</v>
          </cell>
        </row>
        <row r="1699">
          <cell r="A1699" t="str">
            <v>HI-TECH PIPES LTD</v>
          </cell>
          <cell r="B1699" t="str">
            <v>Not Listed</v>
          </cell>
          <cell r="C1699" t="str">
            <v>HITECH</v>
          </cell>
        </row>
        <row r="1700">
          <cell r="A1700" t="str">
            <v>Hi-Tech Winding Systems Ltd</v>
          </cell>
          <cell r="B1700">
            <v>541627</v>
          </cell>
          <cell r="C1700" t="str">
            <v>HITECHWIND</v>
          </cell>
        </row>
        <row r="1701">
          <cell r="A1701" t="str">
            <v>HITTCO TOOLS LTD</v>
          </cell>
          <cell r="B1701">
            <v>531661</v>
          </cell>
          <cell r="C1701" t="str">
            <v>Not Listed</v>
          </cell>
        </row>
        <row r="1702">
          <cell r="A1702" t="str">
            <v>HMT LTD</v>
          </cell>
          <cell r="B1702">
            <v>500191</v>
          </cell>
          <cell r="C1702" t="str">
            <v>HMT</v>
          </cell>
        </row>
        <row r="1703">
          <cell r="A1703" t="str">
            <v>HONDA SIEL POWER PRODUCTS LTD</v>
          </cell>
          <cell r="B1703">
            <v>522064</v>
          </cell>
          <cell r="C1703" t="str">
            <v>HONDAPOWER</v>
          </cell>
        </row>
        <row r="1704">
          <cell r="A1704" t="str">
            <v>HONEYWELL AUTOMATION (INDIA) LTD</v>
          </cell>
          <cell r="B1704">
            <v>517174</v>
          </cell>
          <cell r="C1704" t="str">
            <v>HONAUT</v>
          </cell>
        </row>
        <row r="1705">
          <cell r="A1705" t="str">
            <v>HONEYWELL AUTOMATION INDIA LTD</v>
          </cell>
          <cell r="B1705">
            <v>517174</v>
          </cell>
          <cell r="C1705" t="str">
            <v>HONAUT</v>
          </cell>
        </row>
        <row r="1706">
          <cell r="A1706" t="str">
            <v>HOTEL LEELA VENTURE LTD</v>
          </cell>
          <cell r="B1706">
            <v>500193</v>
          </cell>
          <cell r="C1706" t="str">
            <v>HOTELEELA</v>
          </cell>
        </row>
        <row r="1707">
          <cell r="A1707" t="str">
            <v>HOTEL RUGBY LTD</v>
          </cell>
          <cell r="B1707">
            <v>526683</v>
          </cell>
          <cell r="C1707" t="str">
            <v>HOTELRUGBY</v>
          </cell>
        </row>
        <row r="1708">
          <cell r="A1708" t="str">
            <v>HOUSING &amp; URBAN DEVELOPMENT CORPORATION LTD</v>
          </cell>
          <cell r="B1708">
            <v>540530</v>
          </cell>
          <cell r="C1708" t="str">
            <v>HUDCO</v>
          </cell>
        </row>
        <row r="1709">
          <cell r="A1709" t="str">
            <v>HOUSING DEVELOPMENT AND INFRASTRUCTURE LTD</v>
          </cell>
          <cell r="B1709">
            <v>532873</v>
          </cell>
          <cell r="C1709" t="str">
            <v>HDIL</v>
          </cell>
        </row>
        <row r="1710">
          <cell r="A1710" t="str">
            <v>HOUSING DEVELOPMENT FINANCE CORPORATION LTD</v>
          </cell>
          <cell r="B1710">
            <v>500010</v>
          </cell>
          <cell r="C1710" t="str">
            <v>HDFC</v>
          </cell>
        </row>
        <row r="1711">
          <cell r="A1711" t="str">
            <v>HOV SERVICES LTD</v>
          </cell>
          <cell r="B1711">
            <v>532761</v>
          </cell>
          <cell r="C1711" t="str">
            <v>HOVS</v>
          </cell>
        </row>
        <row r="1712">
          <cell r="A1712" t="str">
            <v>HOWARD HOTELS LTD</v>
          </cell>
          <cell r="B1712">
            <v>526761</v>
          </cell>
          <cell r="C1712" t="str">
            <v>Not Listed</v>
          </cell>
        </row>
        <row r="1713">
          <cell r="A1713" t="str">
            <v>HPC BIOSCIENCES LTD</v>
          </cell>
          <cell r="B1713">
            <v>535217</v>
          </cell>
          <cell r="C1713" t="str">
            <v>Not Listed</v>
          </cell>
        </row>
        <row r="1714">
          <cell r="A1714" t="str">
            <v>HPL ELECTRIC &amp; POWER LTD</v>
          </cell>
          <cell r="B1714">
            <v>540136</v>
          </cell>
          <cell r="C1714" t="str">
            <v>HPL</v>
          </cell>
        </row>
        <row r="1715">
          <cell r="A1715" t="str">
            <v>HRB FLORICULTURE LTD</v>
          </cell>
          <cell r="B1715">
            <v>531724</v>
          </cell>
          <cell r="C1715" t="str">
            <v>Not Listed</v>
          </cell>
        </row>
        <row r="1716">
          <cell r="A1716" t="str">
            <v>HSIL LTD</v>
          </cell>
          <cell r="B1716">
            <v>500187</v>
          </cell>
          <cell r="C1716" t="str">
            <v>HSIL</v>
          </cell>
        </row>
        <row r="1717">
          <cell r="A1717" t="str">
            <v>HT MEDIA LTD</v>
          </cell>
          <cell r="B1717">
            <v>532662</v>
          </cell>
          <cell r="C1717" t="str">
            <v>HTMEDIA</v>
          </cell>
        </row>
        <row r="1718">
          <cell r="A1718" t="str">
            <v>HUBTOWN LTD</v>
          </cell>
          <cell r="B1718">
            <v>532799</v>
          </cell>
          <cell r="C1718" t="str">
            <v>HUBTOWN</v>
          </cell>
        </row>
        <row r="1719">
          <cell r="A1719" t="str">
            <v>HUHTAMAKI PPL LTD</v>
          </cell>
          <cell r="B1719">
            <v>509820</v>
          </cell>
          <cell r="C1719" t="str">
            <v>PAPERPROD</v>
          </cell>
        </row>
        <row r="1720">
          <cell r="A1720" t="str">
            <v>Humming Bird Education Ltd</v>
          </cell>
          <cell r="B1720">
            <v>542592</v>
          </cell>
          <cell r="C1720" t="str">
            <v>HBEL</v>
          </cell>
        </row>
        <row r="1721">
          <cell r="A1721" t="str">
            <v>HUSYS CONSULTING LTD</v>
          </cell>
          <cell r="B1721" t="str">
            <v>Not Listed</v>
          </cell>
          <cell r="C1721" t="str">
            <v>HUSYSLTD</v>
          </cell>
        </row>
        <row r="1722">
          <cell r="A1722" t="str">
            <v>HYPERSOFT TECHNOLOGIES LTD</v>
          </cell>
          <cell r="B1722">
            <v>539724</v>
          </cell>
          <cell r="C1722" t="str">
            <v>Not Listed</v>
          </cell>
        </row>
        <row r="1723">
          <cell r="A1723" t="str">
            <v>IB INFOTECH ENTERPRISES LTD</v>
          </cell>
          <cell r="B1723">
            <v>519463</v>
          </cell>
          <cell r="C1723" t="str">
            <v>Not Listed</v>
          </cell>
        </row>
        <row r="1724">
          <cell r="A1724" t="str">
            <v>ICE MAKE REFRIGERATION LTD</v>
          </cell>
          <cell r="B1724" t="str">
            <v>Not Listed</v>
          </cell>
          <cell r="C1724" t="str">
            <v>ICEMAKE</v>
          </cell>
        </row>
        <row r="1725">
          <cell r="A1725" t="str">
            <v>ICICI BANK LTD</v>
          </cell>
          <cell r="B1725">
            <v>532174</v>
          </cell>
          <cell r="C1725" t="str">
            <v>ICICIBANK</v>
          </cell>
        </row>
        <row r="1726">
          <cell r="A1726" t="str">
            <v>ICICI LOMBARD GENERAL INSURANCE COMPANY LTD</v>
          </cell>
          <cell r="B1726">
            <v>540716</v>
          </cell>
          <cell r="C1726" t="str">
            <v>ICICIGI</v>
          </cell>
        </row>
        <row r="1727">
          <cell r="A1727" t="str">
            <v>ICICI Prudential Gold ETF</v>
          </cell>
          <cell r="B1727">
            <v>533244</v>
          </cell>
          <cell r="C1727" t="str">
            <v>ICICIGOLD</v>
          </cell>
        </row>
        <row r="1728">
          <cell r="A1728" t="str">
            <v>ICICI PRUDENTIAL LIFE INSURANCE COMPANY LTD</v>
          </cell>
          <cell r="B1728">
            <v>540133</v>
          </cell>
          <cell r="C1728" t="str">
            <v>ICICIPRULI</v>
          </cell>
        </row>
        <row r="1729">
          <cell r="A1729" t="str">
            <v>ICICI Prudential Sensex ETF</v>
          </cell>
          <cell r="B1729">
            <v>555555</v>
          </cell>
          <cell r="C1729" t="str">
            <v>ICICISENSX</v>
          </cell>
        </row>
        <row r="1730">
          <cell r="A1730" t="str">
            <v>ICICI SECURITIES LTD</v>
          </cell>
          <cell r="B1730">
            <v>541179</v>
          </cell>
          <cell r="C1730" t="str">
            <v>ISEC</v>
          </cell>
        </row>
        <row r="1731">
          <cell r="A1731" t="str">
            <v>ICRA LTD</v>
          </cell>
          <cell r="B1731">
            <v>532835</v>
          </cell>
          <cell r="C1731" t="str">
            <v>ICRA</v>
          </cell>
        </row>
        <row r="1732">
          <cell r="A1732" t="str">
            <v>ICSA (INDIA) LTD</v>
          </cell>
          <cell r="B1732">
            <v>531524</v>
          </cell>
          <cell r="C1732" t="str">
            <v>ICSA</v>
          </cell>
        </row>
        <row r="1733">
          <cell r="A1733" t="str">
            <v>ICSA INDIA LTD</v>
          </cell>
          <cell r="B1733">
            <v>531524</v>
          </cell>
          <cell r="C1733" t="str">
            <v>ICSA</v>
          </cell>
        </row>
        <row r="1734">
          <cell r="A1734" t="str">
            <v>IDBI BANK LTD</v>
          </cell>
          <cell r="B1734">
            <v>500116</v>
          </cell>
          <cell r="C1734" t="str">
            <v>IDBI</v>
          </cell>
        </row>
        <row r="1735">
          <cell r="A1735" t="str">
            <v>IDFC BANK LTD</v>
          </cell>
          <cell r="B1735">
            <v>539437</v>
          </cell>
          <cell r="C1735" t="str">
            <v>IDFCBANK</v>
          </cell>
        </row>
        <row r="1736">
          <cell r="A1736" t="str">
            <v>IDFC First Bank LTD</v>
          </cell>
          <cell r="B1736" t="str">
            <v>Not Listed</v>
          </cell>
          <cell r="C1736" t="str">
            <v>IDFCFIRSTB</v>
          </cell>
        </row>
        <row r="1737">
          <cell r="A1737" t="str">
            <v>IDFC LTD</v>
          </cell>
          <cell r="B1737">
            <v>532659</v>
          </cell>
          <cell r="C1737" t="str">
            <v>IDFC</v>
          </cell>
        </row>
        <row r="1738">
          <cell r="A1738" t="str">
            <v>IFB AGRO INDUSTRIES LTD</v>
          </cell>
          <cell r="B1738">
            <v>507438</v>
          </cell>
          <cell r="C1738" t="str">
            <v>IFBAGRO</v>
          </cell>
        </row>
        <row r="1739">
          <cell r="A1739" t="str">
            <v>IFB INDUSTRIES LTD</v>
          </cell>
          <cell r="B1739">
            <v>505726</v>
          </cell>
          <cell r="C1739" t="str">
            <v>IFBIND</v>
          </cell>
        </row>
        <row r="1740">
          <cell r="A1740" t="str">
            <v>IFCI LTD</v>
          </cell>
          <cell r="B1740">
            <v>500106</v>
          </cell>
          <cell r="C1740" t="str">
            <v>IFCI</v>
          </cell>
        </row>
        <row r="1741">
          <cell r="A1741" t="str">
            <v>IFGL REFRACTORIES LTD</v>
          </cell>
          <cell r="B1741">
            <v>540774</v>
          </cell>
          <cell r="C1741" t="str">
            <v>IFGLEXPOR</v>
          </cell>
        </row>
        <row r="1742">
          <cell r="A1742" t="str">
            <v>IFL ENTERPRISES LTD</v>
          </cell>
          <cell r="B1742">
            <v>540377</v>
          </cell>
          <cell r="C1742" t="str">
            <v>Not Listed</v>
          </cell>
        </row>
        <row r="1743">
          <cell r="A1743" t="str">
            <v>IFM IMPEX GLOBAL LTD</v>
          </cell>
          <cell r="B1743">
            <v>522289</v>
          </cell>
          <cell r="C1743" t="str">
            <v>Not Listed</v>
          </cell>
        </row>
        <row r="1744">
          <cell r="A1744" t="str">
            <v>IG PETROCHEMICALS LTD</v>
          </cell>
          <cell r="B1744">
            <v>500199</v>
          </cell>
          <cell r="C1744" t="str">
            <v>IGPL</v>
          </cell>
        </row>
        <row r="1745">
          <cell r="A1745" t="str">
            <v>IGARASHI MOTORS (INDIA) LTD</v>
          </cell>
          <cell r="B1745">
            <v>517380</v>
          </cell>
          <cell r="C1745" t="str">
            <v>IGARASHI</v>
          </cell>
        </row>
        <row r="1746">
          <cell r="A1746" t="str">
            <v>IGARASHI MOTORS INDIA LTD</v>
          </cell>
          <cell r="B1746">
            <v>517380</v>
          </cell>
          <cell r="C1746" t="str">
            <v>IGARASHI</v>
          </cell>
        </row>
        <row r="1747">
          <cell r="A1747" t="str">
            <v>IGC INDUSTRIES LTD</v>
          </cell>
          <cell r="B1747">
            <v>539449</v>
          </cell>
          <cell r="C1747" t="str">
            <v>Not Listed</v>
          </cell>
        </row>
        <row r="1748">
          <cell r="A1748" t="str">
            <v>IIFL HOLDINGS LTD</v>
          </cell>
          <cell r="B1748">
            <v>532636</v>
          </cell>
          <cell r="C1748" t="str">
            <v>IIFL</v>
          </cell>
        </row>
        <row r="1749">
          <cell r="A1749" t="str">
            <v>IITL PROJECTS LTD</v>
          </cell>
          <cell r="B1749">
            <v>531968</v>
          </cell>
          <cell r="C1749" t="str">
            <v>IITLPROJ</v>
          </cell>
        </row>
        <row r="1750">
          <cell r="A1750" t="str">
            <v>IKAB SECURITIES &amp; INVESTMENT LTD</v>
          </cell>
          <cell r="B1750">
            <v>514238</v>
          </cell>
          <cell r="C1750" t="str">
            <v>Not Listed</v>
          </cell>
        </row>
        <row r="1751">
          <cell r="A1751" t="str">
            <v>IKF TECHNOLOGIES LTD</v>
          </cell>
          <cell r="B1751">
            <v>532414</v>
          </cell>
          <cell r="C1751" t="str">
            <v>Not Listed</v>
          </cell>
        </row>
        <row r="1752">
          <cell r="A1752" t="str">
            <v>IL&amp;FS ENGINEERING AND CONSTRUCTION COMPANY LTD</v>
          </cell>
          <cell r="B1752">
            <v>532907</v>
          </cell>
          <cell r="C1752" t="str">
            <v>IL&amp;FSENGG</v>
          </cell>
        </row>
        <row r="1753">
          <cell r="A1753" t="str">
            <v>IL&amp;FS INVESTMENT MANAGERS LTD</v>
          </cell>
          <cell r="B1753">
            <v>511208</v>
          </cell>
          <cell r="C1753" t="str">
            <v>IVC</v>
          </cell>
        </row>
        <row r="1754">
          <cell r="A1754" t="str">
            <v>IL&amp;FS TRANSPORTATION NETWORKS LTD</v>
          </cell>
          <cell r="B1754">
            <v>533177</v>
          </cell>
          <cell r="C1754" t="str">
            <v>IL&amp;FSTRANS</v>
          </cell>
        </row>
        <row r="1755">
          <cell r="A1755" t="str">
            <v>IM+ CAPITALS LTD</v>
          </cell>
          <cell r="B1755">
            <v>511628</v>
          </cell>
          <cell r="C1755" t="str">
            <v>Not Listed</v>
          </cell>
        </row>
        <row r="1756">
          <cell r="A1756" t="str">
            <v>IMC FINANCE LTD</v>
          </cell>
          <cell r="B1756">
            <v>505539</v>
          </cell>
          <cell r="C1756" t="str">
            <v>Not Listed</v>
          </cell>
        </row>
        <row r="1757">
          <cell r="A1757" t="str">
            <v>IMEC SERVICES LTD</v>
          </cell>
          <cell r="B1757">
            <v>513295</v>
          </cell>
          <cell r="C1757" t="str">
            <v>Not Listed</v>
          </cell>
        </row>
        <row r="1758">
          <cell r="A1758" t="str">
            <v>IMP POWERS LTD</v>
          </cell>
          <cell r="B1758">
            <v>517571</v>
          </cell>
          <cell r="C1758" t="str">
            <v>INDLMETER</v>
          </cell>
        </row>
        <row r="1759">
          <cell r="A1759" t="str">
            <v>IMPEX FERRO TECH LTD</v>
          </cell>
          <cell r="B1759">
            <v>532614</v>
          </cell>
          <cell r="C1759" t="str">
            <v>IMPEXFERRO</v>
          </cell>
        </row>
        <row r="1760">
          <cell r="A1760" t="str">
            <v>INANI MARBLES &amp; INDUSTRIES LTD</v>
          </cell>
          <cell r="B1760">
            <v>531129</v>
          </cell>
          <cell r="C1760" t="str">
            <v>Not Listed</v>
          </cell>
        </row>
        <row r="1761">
          <cell r="A1761" t="str">
            <v>INANI SECURITIES LTD</v>
          </cell>
          <cell r="B1761">
            <v>531672</v>
          </cell>
          <cell r="C1761" t="str">
            <v>Not Listed</v>
          </cell>
        </row>
        <row r="1762">
          <cell r="A1762" t="str">
            <v>INCAP LTD</v>
          </cell>
          <cell r="B1762">
            <v>517370</v>
          </cell>
          <cell r="C1762" t="str">
            <v>Not Listed</v>
          </cell>
        </row>
        <row r="1763">
          <cell r="A1763" t="str">
            <v>INCEPTUM ENTERPRISES LTD</v>
          </cell>
          <cell r="B1763">
            <v>538541</v>
          </cell>
          <cell r="C1763" t="str">
            <v>Not Listed</v>
          </cell>
        </row>
        <row r="1764">
          <cell r="A1764" t="str">
            <v>INCON ENGINEERS LTD</v>
          </cell>
          <cell r="B1764">
            <v>531594</v>
          </cell>
          <cell r="C1764" t="str">
            <v>Not Listed</v>
          </cell>
        </row>
        <row r="1765">
          <cell r="A1765" t="str">
            <v>IND BANK HOUSING LTD</v>
          </cell>
          <cell r="B1765">
            <v>523465</v>
          </cell>
          <cell r="C1765" t="str">
            <v>Not Listed</v>
          </cell>
        </row>
        <row r="1766">
          <cell r="A1766" t="str">
            <v>IND RENEWABLE ENERGY LTD</v>
          </cell>
          <cell r="B1766">
            <v>536709</v>
          </cell>
          <cell r="C1766" t="str">
            <v>Not Listed</v>
          </cell>
        </row>
        <row r="1767">
          <cell r="A1767" t="str">
            <v>INDAG RUBBER LTD</v>
          </cell>
          <cell r="B1767">
            <v>509162</v>
          </cell>
          <cell r="C1767" t="str">
            <v>Not Listed</v>
          </cell>
        </row>
        <row r="1768">
          <cell r="A1768" t="str">
            <v>IND-AGIV COMMERCE LTD</v>
          </cell>
          <cell r="B1768">
            <v>517077</v>
          </cell>
          <cell r="C1768" t="str">
            <v>Not Listed</v>
          </cell>
        </row>
        <row r="1769">
          <cell r="A1769" t="str">
            <v>INDBANK MERCHANT BANKING SERVICES LTD</v>
          </cell>
          <cell r="B1769">
            <v>511473</v>
          </cell>
          <cell r="C1769" t="str">
            <v>INDBANK</v>
          </cell>
        </row>
        <row r="1770">
          <cell r="A1770" t="str">
            <v>INDERGIRI FINANCE LTD</v>
          </cell>
          <cell r="B1770">
            <v>531505</v>
          </cell>
          <cell r="C1770" t="str">
            <v>Not Listed</v>
          </cell>
        </row>
        <row r="1771">
          <cell r="A1771" t="str">
            <v>INDIA CEMENTS CAPITAL LTD</v>
          </cell>
          <cell r="B1771">
            <v>511355</v>
          </cell>
          <cell r="C1771" t="str">
            <v>Not Listed</v>
          </cell>
        </row>
        <row r="1772">
          <cell r="A1772" t="str">
            <v>INDIA FINSEC LTD</v>
          </cell>
          <cell r="B1772">
            <v>535667</v>
          </cell>
          <cell r="C1772" t="str">
            <v>Not Listed</v>
          </cell>
        </row>
        <row r="1773">
          <cell r="A1773" t="str">
            <v>INDIA GELATINE &amp; CHEMICALS LTD</v>
          </cell>
          <cell r="B1773">
            <v>531253</v>
          </cell>
          <cell r="C1773" t="str">
            <v>Not Listed</v>
          </cell>
        </row>
        <row r="1774">
          <cell r="A1774" t="str">
            <v>INDIA GLYCOLS LTD</v>
          </cell>
          <cell r="B1774">
            <v>500201</v>
          </cell>
          <cell r="C1774" t="str">
            <v>INDIAGLYCO</v>
          </cell>
        </row>
        <row r="1775">
          <cell r="A1775" t="str">
            <v>INDIA GREEN REALITY LTD</v>
          </cell>
          <cell r="B1775">
            <v>540152</v>
          </cell>
          <cell r="C1775" t="str">
            <v>Not Listed</v>
          </cell>
        </row>
        <row r="1776">
          <cell r="A1776" t="str">
            <v>India Grid Trust</v>
          </cell>
          <cell r="B1776">
            <v>540565</v>
          </cell>
          <cell r="C1776" t="str">
            <v>INDIGRID</v>
          </cell>
        </row>
        <row r="1777">
          <cell r="A1777" t="str">
            <v>INDIA HOME LOAN LTD</v>
          </cell>
          <cell r="B1777">
            <v>530979</v>
          </cell>
          <cell r="C1777" t="str">
            <v>Not Listed</v>
          </cell>
        </row>
        <row r="1778">
          <cell r="A1778" t="str">
            <v>INDIA INFRASPACE LTD</v>
          </cell>
          <cell r="B1778">
            <v>531343</v>
          </cell>
          <cell r="C1778" t="str">
            <v>Not Listed</v>
          </cell>
        </row>
        <row r="1779">
          <cell r="A1779" t="str">
            <v>INDIA MOTOR PARTS AND ACCESSORIES LTD</v>
          </cell>
          <cell r="B1779">
            <v>590065</v>
          </cell>
          <cell r="C1779" t="str">
            <v>IMPAL</v>
          </cell>
        </row>
        <row r="1780">
          <cell r="A1780" t="str">
            <v>INDIA NIPPON ELECTRICALS LTD</v>
          </cell>
          <cell r="B1780">
            <v>532240</v>
          </cell>
          <cell r="C1780" t="str">
            <v>INDNIPPON</v>
          </cell>
        </row>
        <row r="1781">
          <cell r="A1781" t="str">
            <v>INDIA STEEL WORKS LTD</v>
          </cell>
          <cell r="B1781">
            <v>513361</v>
          </cell>
          <cell r="C1781" t="str">
            <v>Not Listed</v>
          </cell>
        </row>
        <row r="1782">
          <cell r="A1782" t="str">
            <v>INDIA TOURISM DEVELOPMENT CORPORATION LTD</v>
          </cell>
          <cell r="B1782">
            <v>532189</v>
          </cell>
          <cell r="C1782" t="str">
            <v>ITDC</v>
          </cell>
        </row>
        <row r="1783">
          <cell r="A1783" t="str">
            <v>INDIABULLS HOUSING FINANCE LTD</v>
          </cell>
          <cell r="B1783">
            <v>535789</v>
          </cell>
          <cell r="C1783" t="str">
            <v>IBULHSGFIN</v>
          </cell>
        </row>
        <row r="1784">
          <cell r="A1784" t="str">
            <v>INDIABULLS INTEGRATED SERVICES LTD</v>
          </cell>
          <cell r="B1784">
            <v>533520</v>
          </cell>
          <cell r="C1784" t="str">
            <v>IBULISL</v>
          </cell>
        </row>
        <row r="1785">
          <cell r="A1785" t="str">
            <v>INDIABULLS REAL ESTATE LTD</v>
          </cell>
          <cell r="B1785">
            <v>532832</v>
          </cell>
          <cell r="C1785" t="str">
            <v>IBREALEST</v>
          </cell>
        </row>
        <row r="1786">
          <cell r="A1786" t="str">
            <v>INDIABULLS VENTURES LTD</v>
          </cell>
          <cell r="B1786">
            <v>532960</v>
          </cell>
          <cell r="C1786" t="str">
            <v>IBVENTURES</v>
          </cell>
        </row>
        <row r="1787">
          <cell r="A1787" t="str">
            <v>INDIAN ACRYLICS LTD</v>
          </cell>
          <cell r="B1787">
            <v>514165</v>
          </cell>
          <cell r="C1787" t="str">
            <v>Not Listed</v>
          </cell>
        </row>
        <row r="1788">
          <cell r="A1788" t="str">
            <v>INDIAN BANK</v>
          </cell>
          <cell r="B1788">
            <v>532814</v>
          </cell>
          <cell r="C1788" t="str">
            <v>INDIANB</v>
          </cell>
        </row>
        <row r="1789">
          <cell r="A1789" t="str">
            <v>INDIAN BRIGHT STEEL CO LTD</v>
          </cell>
          <cell r="B1789">
            <v>504731</v>
          </cell>
          <cell r="C1789" t="str">
            <v>Not Listed</v>
          </cell>
        </row>
        <row r="1790">
          <cell r="A1790" t="str">
            <v>INDIAN CARD CLOTHING COMPANY LTD</v>
          </cell>
          <cell r="B1790">
            <v>509692</v>
          </cell>
          <cell r="C1790" t="str">
            <v>INDIANCARD</v>
          </cell>
        </row>
        <row r="1791">
          <cell r="A1791" t="str">
            <v>INDIAN ENERGY EXCHANGE LTD</v>
          </cell>
          <cell r="B1791">
            <v>540750</v>
          </cell>
          <cell r="C1791" t="str">
            <v>IEX</v>
          </cell>
        </row>
        <row r="1792">
          <cell r="A1792" t="str">
            <v>INDIAN EXTRACTIONS LTD</v>
          </cell>
          <cell r="B1792">
            <v>524614</v>
          </cell>
          <cell r="C1792" t="str">
            <v>Not Listed</v>
          </cell>
        </row>
        <row r="1793">
          <cell r="A1793" t="str">
            <v>INDIAN HUME PIPE COMPANY LTD</v>
          </cell>
          <cell r="B1793">
            <v>504741</v>
          </cell>
          <cell r="C1793" t="str">
            <v>INDIANHUME</v>
          </cell>
        </row>
        <row r="1794">
          <cell r="A1794" t="str">
            <v>INDIAN INFOTECH &amp; SOFTWARE LTD</v>
          </cell>
          <cell r="B1794">
            <v>509051</v>
          </cell>
          <cell r="C1794" t="str">
            <v>Not Listed</v>
          </cell>
        </row>
        <row r="1795">
          <cell r="A1795" t="str">
            <v>INDIAN LINK CHAIN MANUFACTURES LTD</v>
          </cell>
          <cell r="B1795">
            <v>504746</v>
          </cell>
          <cell r="C1795" t="str">
            <v>Not Listed</v>
          </cell>
        </row>
        <row r="1796">
          <cell r="A1796" t="str">
            <v>INDIAN METALS &amp; FERRO ALLOYS LTD</v>
          </cell>
          <cell r="B1796">
            <v>533047</v>
          </cell>
          <cell r="C1796" t="str">
            <v>IMFA</v>
          </cell>
        </row>
        <row r="1797">
          <cell r="A1797" t="str">
            <v>INDIAN OIL CORPORATION LTD</v>
          </cell>
          <cell r="B1797">
            <v>530965</v>
          </cell>
          <cell r="C1797" t="str">
            <v>IOC</v>
          </cell>
        </row>
        <row r="1798">
          <cell r="A1798" t="str">
            <v>INDIAN OVERSEAS BANK</v>
          </cell>
          <cell r="B1798">
            <v>532388</v>
          </cell>
          <cell r="C1798" t="str">
            <v>IOB</v>
          </cell>
        </row>
        <row r="1799">
          <cell r="A1799" t="str">
            <v>INDIAN SUCROSE LTD</v>
          </cell>
          <cell r="B1799">
            <v>500319</v>
          </cell>
          <cell r="C1799" t="str">
            <v>Not Listed</v>
          </cell>
        </row>
        <row r="1800">
          <cell r="A1800" t="str">
            <v>INDIAN TERRAIN FASHIONS LTD</v>
          </cell>
          <cell r="B1800">
            <v>533329</v>
          </cell>
          <cell r="C1800" t="str">
            <v>INDTERRAIN</v>
          </cell>
        </row>
        <row r="1801">
          <cell r="A1801" t="str">
            <v>INDIAN TONERS &amp; DEVELOPERS LTD</v>
          </cell>
          <cell r="B1801">
            <v>523586</v>
          </cell>
          <cell r="C1801" t="str">
            <v>Not Listed</v>
          </cell>
        </row>
        <row r="1802">
          <cell r="A1802" t="str">
            <v>INDIANIVESH LTD</v>
          </cell>
          <cell r="B1802">
            <v>501700</v>
          </cell>
          <cell r="C1802" t="str">
            <v>Not Listed</v>
          </cell>
        </row>
        <row r="1803">
          <cell r="A1803" t="str">
            <v>INDITRADE CAPITAL LTD</v>
          </cell>
          <cell r="B1803">
            <v>532745</v>
          </cell>
          <cell r="C1803" t="str">
            <v>Not Listed</v>
          </cell>
        </row>
        <row r="1804">
          <cell r="A1804" t="str">
            <v>INDO AMINES LTD</v>
          </cell>
          <cell r="B1804">
            <v>524648</v>
          </cell>
          <cell r="C1804" t="str">
            <v>Not Listed</v>
          </cell>
        </row>
        <row r="1805">
          <cell r="A1805" t="str">
            <v>INDO ASIAN FINANCE LTD</v>
          </cell>
          <cell r="B1805">
            <v>530747</v>
          </cell>
          <cell r="C1805" t="str">
            <v>Not Listed</v>
          </cell>
        </row>
        <row r="1806">
          <cell r="A1806" t="str">
            <v>INDO BORAX &amp; CHEMICALS LTD</v>
          </cell>
          <cell r="B1806">
            <v>524342</v>
          </cell>
          <cell r="C1806" t="str">
            <v>Not Listed</v>
          </cell>
        </row>
        <row r="1807">
          <cell r="A1807" t="str">
            <v>INDO COTSPIN LTD</v>
          </cell>
          <cell r="B1807">
            <v>538838</v>
          </cell>
          <cell r="C1807" t="str">
            <v>Not Listed</v>
          </cell>
        </row>
        <row r="1808">
          <cell r="A1808" t="str">
            <v>INDO COUNT INDUSTRIES LTD</v>
          </cell>
          <cell r="B1808">
            <v>521016</v>
          </cell>
          <cell r="C1808" t="str">
            <v>ICIL</v>
          </cell>
        </row>
        <row r="1809">
          <cell r="A1809" t="str">
            <v>INDO CREDIT CAPITAL LTD</v>
          </cell>
          <cell r="B1809">
            <v>526887</v>
          </cell>
          <cell r="C1809" t="str">
            <v>Not Listed</v>
          </cell>
        </row>
        <row r="1810">
          <cell r="A1810" t="str">
            <v>INDO EURO INDCHEM LTD</v>
          </cell>
          <cell r="B1810">
            <v>524458</v>
          </cell>
          <cell r="C1810" t="str">
            <v>Not Listed</v>
          </cell>
        </row>
        <row r="1811">
          <cell r="A1811" t="str">
            <v>INDO GULF INDUSTRIES LTD</v>
          </cell>
          <cell r="B1811">
            <v>506945</v>
          </cell>
          <cell r="C1811" t="str">
            <v>Not Listed</v>
          </cell>
        </row>
        <row r="1812">
          <cell r="A1812" t="str">
            <v>INDO PACIFIC PROJECTS LTD</v>
          </cell>
          <cell r="B1812">
            <v>531565</v>
          </cell>
          <cell r="C1812" t="str">
            <v>Not Listed</v>
          </cell>
        </row>
        <row r="1813">
          <cell r="A1813" t="str">
            <v>INDO RAMA SYNTHETICS (INDIA) LTD</v>
          </cell>
          <cell r="B1813">
            <v>500207</v>
          </cell>
          <cell r="C1813" t="str">
            <v>INDORAMA</v>
          </cell>
        </row>
        <row r="1814">
          <cell r="A1814" t="str">
            <v>INDO RAMA SYNTHETICS INDIA LTD</v>
          </cell>
          <cell r="B1814">
            <v>500207</v>
          </cell>
          <cell r="C1814" t="str">
            <v>INDORAMA</v>
          </cell>
        </row>
        <row r="1815">
          <cell r="A1815" t="str">
            <v>INDO TECH TRANSFORMERS LTD</v>
          </cell>
          <cell r="B1815">
            <v>532717</v>
          </cell>
          <cell r="C1815" t="str">
            <v>INDOTECH</v>
          </cell>
        </row>
        <row r="1816">
          <cell r="A1816" t="str">
            <v>INDO THAI SECURITIES LTD</v>
          </cell>
          <cell r="B1816">
            <v>533676</v>
          </cell>
          <cell r="C1816" t="str">
            <v>INDOTHAI</v>
          </cell>
        </row>
        <row r="1817">
          <cell r="A1817" t="str">
            <v>INDO US BIO-TECH LTD</v>
          </cell>
          <cell r="B1817">
            <v>541304</v>
          </cell>
          <cell r="C1817" t="str">
            <v>Not Listed</v>
          </cell>
        </row>
        <row r="1818">
          <cell r="A1818" t="str">
            <v>INDO-CITY INFOTECH LTD</v>
          </cell>
          <cell r="B1818">
            <v>532100</v>
          </cell>
          <cell r="C1818" t="str">
            <v>Not Listed</v>
          </cell>
        </row>
        <row r="1819">
          <cell r="A1819" t="str">
            <v>INDOCO REMEDIES LTD</v>
          </cell>
          <cell r="B1819">
            <v>532612</v>
          </cell>
          <cell r="C1819" t="str">
            <v>INDOCO</v>
          </cell>
        </row>
        <row r="1820">
          <cell r="A1820" t="str">
            <v>INDO-GLOBAL ENTERPRISES LTD</v>
          </cell>
          <cell r="B1820">
            <v>539433</v>
          </cell>
          <cell r="C1820" t="str">
            <v>Not Listed</v>
          </cell>
        </row>
        <row r="1821">
          <cell r="A1821" t="str">
            <v>INDOKEM LTD</v>
          </cell>
          <cell r="B1821">
            <v>504092</v>
          </cell>
          <cell r="C1821" t="str">
            <v>Not Listed</v>
          </cell>
        </row>
        <row r="1822">
          <cell r="A1822" t="str">
            <v>INDO-NATIONAL LTD</v>
          </cell>
          <cell r="B1822">
            <v>504058</v>
          </cell>
          <cell r="C1822" t="str">
            <v>NIPPOBATRY</v>
          </cell>
        </row>
        <row r="1823">
          <cell r="A1823" t="str">
            <v>INDOSOLAR LTD</v>
          </cell>
          <cell r="B1823">
            <v>533257</v>
          </cell>
          <cell r="C1823" t="str">
            <v>INDOSOLAR</v>
          </cell>
        </row>
        <row r="1824">
          <cell r="A1824" t="str">
            <v>INDOSTAR CAPITAL FINANCE LTD</v>
          </cell>
          <cell r="B1824">
            <v>541336</v>
          </cell>
          <cell r="C1824" t="str">
            <v>INDOSTAR</v>
          </cell>
        </row>
        <row r="1825">
          <cell r="A1825" t="str">
            <v>INDOVATION TECHNOLOGIES LTD</v>
          </cell>
          <cell r="B1825">
            <v>521005</v>
          </cell>
          <cell r="C1825" t="str">
            <v>Not Listed</v>
          </cell>
        </row>
        <row r="1826">
          <cell r="A1826" t="str">
            <v>INDOWIND ENERGY LTD</v>
          </cell>
          <cell r="B1826">
            <v>532894</v>
          </cell>
          <cell r="C1826" t="str">
            <v>INDOWIND</v>
          </cell>
        </row>
        <row r="1827">
          <cell r="A1827" t="str">
            <v>INDRA INDUSTRIES LTD</v>
          </cell>
          <cell r="B1827">
            <v>539175</v>
          </cell>
          <cell r="C1827" t="str">
            <v>Not Listed</v>
          </cell>
        </row>
        <row r="1828">
          <cell r="A1828" t="str">
            <v>INDRAPRASTHA GAS LTD</v>
          </cell>
          <cell r="B1828">
            <v>532514</v>
          </cell>
          <cell r="C1828" t="str">
            <v>IGL</v>
          </cell>
        </row>
        <row r="1829">
          <cell r="A1829" t="str">
            <v>INDRAPRASTHA MEDICAL CORPORATION LTD</v>
          </cell>
          <cell r="B1829">
            <v>532150</v>
          </cell>
          <cell r="C1829" t="str">
            <v>INDRAMEDCO</v>
          </cell>
        </row>
        <row r="1830">
          <cell r="A1830" t="str">
            <v>INDRAYANI BIOTECH LTD.</v>
          </cell>
          <cell r="B1830">
            <v>526445</v>
          </cell>
          <cell r="C1830" t="str">
            <v>INDRANIB</v>
          </cell>
        </row>
        <row r="1831">
          <cell r="A1831" t="str">
            <v>INDSIL HYDRO POWER AND MANGANESE LTD</v>
          </cell>
          <cell r="B1831">
            <v>522165</v>
          </cell>
          <cell r="C1831" t="str">
            <v>Not Listed</v>
          </cell>
        </row>
        <row r="1832">
          <cell r="A1832" t="str">
            <v>INDSOYA LTD</v>
          </cell>
          <cell r="B1832">
            <v>503639</v>
          </cell>
          <cell r="C1832" t="str">
            <v>Not Listed</v>
          </cell>
        </row>
        <row r="1833">
          <cell r="A1833" t="str">
            <v>IND-SWIFT LABORATORIES LTD</v>
          </cell>
          <cell r="B1833">
            <v>532305</v>
          </cell>
          <cell r="C1833" t="str">
            <v>INDSWFTLAB</v>
          </cell>
        </row>
        <row r="1834">
          <cell r="A1834" t="str">
            <v>IND-SWIFT LTD</v>
          </cell>
          <cell r="B1834">
            <v>524652</v>
          </cell>
          <cell r="C1834" t="str">
            <v>INDSWFTLTD</v>
          </cell>
        </row>
        <row r="1835">
          <cell r="A1835" t="str">
            <v>INDUCTO STEEL LTD</v>
          </cell>
          <cell r="B1835">
            <v>532001</v>
          </cell>
          <cell r="C1835" t="str">
            <v>Not Listed</v>
          </cell>
        </row>
        <row r="1836">
          <cell r="A1836" t="str">
            <v>INDUS FINANCE LTD</v>
          </cell>
          <cell r="B1836">
            <v>531841</v>
          </cell>
          <cell r="C1836" t="str">
            <v>Not Listed</v>
          </cell>
        </row>
        <row r="1837">
          <cell r="A1837" t="str">
            <v>INDUSIND BANK LTD</v>
          </cell>
          <cell r="B1837">
            <v>532187</v>
          </cell>
          <cell r="C1837" t="str">
            <v>INDUSINDBK</v>
          </cell>
        </row>
        <row r="1838">
          <cell r="A1838" t="str">
            <v>INDUSTRIAL &amp; PRUDENTIAL INVESTMENTS CO LTD</v>
          </cell>
          <cell r="B1838">
            <v>501298</v>
          </cell>
          <cell r="C1838" t="str">
            <v>Not Listed</v>
          </cell>
        </row>
        <row r="1839">
          <cell r="A1839" t="str">
            <v>INDUSTRIAL INVESTMENT TRUST LTD</v>
          </cell>
          <cell r="B1839">
            <v>501295</v>
          </cell>
          <cell r="C1839" t="str">
            <v>IITL</v>
          </cell>
        </row>
        <row r="1840">
          <cell r="A1840" t="str">
            <v>INEOS STYROLUTION (INDIA) LTD</v>
          </cell>
          <cell r="B1840">
            <v>506222</v>
          </cell>
          <cell r="C1840" t="str">
            <v>INEOSSTYRO</v>
          </cell>
        </row>
        <row r="1841">
          <cell r="A1841" t="str">
            <v>INEOS STYROLUTION INDIA LTD</v>
          </cell>
          <cell r="B1841">
            <v>506222</v>
          </cell>
          <cell r="C1841" t="str">
            <v>INEOSSTYRO</v>
          </cell>
        </row>
        <row r="1842">
          <cell r="A1842" t="str">
            <v>INERTIA STEEL LTD</v>
          </cell>
          <cell r="B1842">
            <v>512025</v>
          </cell>
          <cell r="C1842" t="str">
            <v>Not Listed</v>
          </cell>
        </row>
        <row r="1843">
          <cell r="A1843" t="str">
            <v>INFIBEAM AVENUES LTD</v>
          </cell>
          <cell r="B1843">
            <v>539807</v>
          </cell>
          <cell r="C1843" t="str">
            <v>INFIBEAM</v>
          </cell>
        </row>
        <row r="1844">
          <cell r="A1844" t="str">
            <v>INFINITE COMPUTER SOLUTIONS (INDIA) LTD</v>
          </cell>
          <cell r="B1844">
            <v>533154</v>
          </cell>
          <cell r="C1844" t="str">
            <v>INFINITE</v>
          </cell>
        </row>
        <row r="1845">
          <cell r="A1845" t="str">
            <v>INFINITE COMPUTER SOLUTIONS INDIA LTD</v>
          </cell>
          <cell r="B1845">
            <v>533154</v>
          </cell>
          <cell r="C1845" t="str">
            <v>INFINITE</v>
          </cell>
        </row>
        <row r="1846">
          <cell r="A1846" t="str">
            <v>INFLAME APPLIANCES LTD</v>
          </cell>
          <cell r="B1846">
            <v>541083</v>
          </cell>
          <cell r="C1846" t="str">
            <v>Not Listed</v>
          </cell>
        </row>
        <row r="1847">
          <cell r="A1847" t="str">
            <v>INFO EDGE (INDIA) LTD</v>
          </cell>
          <cell r="B1847">
            <v>532777</v>
          </cell>
          <cell r="C1847" t="str">
            <v>NAUKRI</v>
          </cell>
        </row>
        <row r="1848">
          <cell r="A1848" t="str">
            <v>INFO EDGE INDIA LTD</v>
          </cell>
          <cell r="B1848">
            <v>532777</v>
          </cell>
          <cell r="C1848" t="str">
            <v>NAUKRI</v>
          </cell>
        </row>
        <row r="1849">
          <cell r="A1849" t="str">
            <v>INFOBEANS TECHNOLOGIES LTD</v>
          </cell>
          <cell r="B1849" t="str">
            <v>Not Listed</v>
          </cell>
          <cell r="C1849" t="str">
            <v>INFOBEAN</v>
          </cell>
        </row>
        <row r="1850">
          <cell r="A1850" t="str">
            <v>INFORMED TECHNOLOGIES (INDIA) LTD</v>
          </cell>
          <cell r="B1850">
            <v>504810</v>
          </cell>
          <cell r="C1850" t="str">
            <v>Not Listed</v>
          </cell>
        </row>
        <row r="1851">
          <cell r="A1851" t="str">
            <v>INFORMED TECHNOLOGIES INDIA LTD</v>
          </cell>
          <cell r="B1851">
            <v>504810</v>
          </cell>
          <cell r="C1851" t="str">
            <v>Not Listed</v>
          </cell>
        </row>
        <row r="1852">
          <cell r="A1852" t="str">
            <v>INFOSYS LTD</v>
          </cell>
          <cell r="B1852">
            <v>500209</v>
          </cell>
          <cell r="C1852" t="str">
            <v>INFY</v>
          </cell>
        </row>
        <row r="1853">
          <cell r="A1853" t="str">
            <v>INFRA INDUSTRIES LTD</v>
          </cell>
          <cell r="B1853">
            <v>530777</v>
          </cell>
          <cell r="C1853" t="str">
            <v>Not Listed</v>
          </cell>
        </row>
        <row r="1854">
          <cell r="A1854" t="str">
            <v>INFRONICS SYSTEMS LTD</v>
          </cell>
          <cell r="B1854">
            <v>537985</v>
          </cell>
          <cell r="C1854" t="str">
            <v>Not Listed</v>
          </cell>
        </row>
        <row r="1855">
          <cell r="A1855" t="str">
            <v>INGERSOLL RAND (INDIA) LTD</v>
          </cell>
          <cell r="B1855">
            <v>500210</v>
          </cell>
          <cell r="C1855" t="str">
            <v>INGERRAND</v>
          </cell>
        </row>
        <row r="1856">
          <cell r="A1856" t="str">
            <v>INGERSOLL RAND INDIA LTD</v>
          </cell>
          <cell r="B1856">
            <v>500210</v>
          </cell>
          <cell r="C1856" t="str">
            <v>INGERRAND</v>
          </cell>
        </row>
        <row r="1857">
          <cell r="A1857" t="str">
            <v>INLAND PRINTERS LTD</v>
          </cell>
          <cell r="B1857">
            <v>530787</v>
          </cell>
          <cell r="C1857" t="str">
            <v>Not Listed</v>
          </cell>
        </row>
        <row r="1858">
          <cell r="A1858" t="str">
            <v>INNOCORP LTD.</v>
          </cell>
          <cell r="B1858">
            <v>531929</v>
          </cell>
          <cell r="C1858" t="str">
            <v>INNOCORP</v>
          </cell>
        </row>
        <row r="1859">
          <cell r="A1859" t="str">
            <v>INNOVANA THINKLABS LTD</v>
          </cell>
          <cell r="B1859" t="str">
            <v>Not Listed</v>
          </cell>
          <cell r="C1859" t="str">
            <v>INNOVANA</v>
          </cell>
        </row>
        <row r="1860">
          <cell r="A1860" t="str">
            <v>INNOVASSYNTH INVESTMENTS LTD</v>
          </cell>
          <cell r="B1860">
            <v>533315</v>
          </cell>
          <cell r="C1860" t="str">
            <v>Not Listed</v>
          </cell>
        </row>
        <row r="1861">
          <cell r="A1861" t="str">
            <v>INNOVATION SOFTWARE EXPORTS LTD</v>
          </cell>
          <cell r="B1861">
            <v>517433</v>
          </cell>
          <cell r="C1861" t="str">
            <v>Not Listed</v>
          </cell>
        </row>
        <row r="1862">
          <cell r="A1862" t="str">
            <v>INNOVATIVE IDEALS AND SERVICES (INDIA) LTD</v>
          </cell>
          <cell r="B1862">
            <v>541983</v>
          </cell>
          <cell r="C1862" t="str">
            <v>Not Listed</v>
          </cell>
        </row>
        <row r="1863">
          <cell r="A1863" t="str">
            <v>INNOVATIVE IDEALS AND SERVICES INDIA LTD</v>
          </cell>
          <cell r="B1863">
            <v>541983</v>
          </cell>
          <cell r="C1863" t="str">
            <v>Not Listed</v>
          </cell>
        </row>
        <row r="1864">
          <cell r="A1864" t="str">
            <v>INNOVATIVE TECH PACK LTD</v>
          </cell>
          <cell r="B1864">
            <v>523840</v>
          </cell>
          <cell r="C1864" t="str">
            <v>Not Listed</v>
          </cell>
        </row>
        <row r="1865">
          <cell r="A1865" t="str">
            <v>INNOVATIVE TYRES AND TUBES LTD</v>
          </cell>
          <cell r="B1865" t="str">
            <v>Not Listed</v>
          </cell>
          <cell r="C1865" t="str">
            <v>INNOVATIVE</v>
          </cell>
        </row>
        <row r="1866">
          <cell r="A1866" t="str">
            <v>INNOVATORS FACADE SYSTEMS LTD</v>
          </cell>
          <cell r="B1866">
            <v>541353</v>
          </cell>
          <cell r="C1866" t="str">
            <v>Not Listed</v>
          </cell>
        </row>
        <row r="1867">
          <cell r="A1867" t="str">
            <v>INOX LEISURE LTD</v>
          </cell>
          <cell r="B1867">
            <v>532706</v>
          </cell>
          <cell r="C1867" t="str">
            <v>INOXLEISUR</v>
          </cell>
        </row>
        <row r="1868">
          <cell r="A1868" t="str">
            <v>INOX WIND LTD</v>
          </cell>
          <cell r="B1868">
            <v>539083</v>
          </cell>
          <cell r="C1868" t="str">
            <v>INOXWIND</v>
          </cell>
        </row>
        <row r="1869">
          <cell r="A1869" t="str">
            <v>INSECTICIDES (INDIA) LTD</v>
          </cell>
          <cell r="B1869">
            <v>532851</v>
          </cell>
          <cell r="C1869" t="str">
            <v>INSECTICID</v>
          </cell>
        </row>
        <row r="1870">
          <cell r="A1870" t="str">
            <v>INSECTICIDES INDIA LTD</v>
          </cell>
          <cell r="B1870">
            <v>532851</v>
          </cell>
          <cell r="C1870" t="str">
            <v>INSECTICID</v>
          </cell>
        </row>
        <row r="1871">
          <cell r="A1871" t="str">
            <v>INSILCO LTD</v>
          </cell>
          <cell r="B1871">
            <v>500211</v>
          </cell>
          <cell r="C1871" t="str">
            <v>Not Listed</v>
          </cell>
        </row>
        <row r="1872">
          <cell r="A1872" t="str">
            <v>INSPIRISYS SOLUTIONS LTD</v>
          </cell>
          <cell r="B1872">
            <v>532774</v>
          </cell>
          <cell r="C1872" t="str">
            <v>INSPIRISYS</v>
          </cell>
        </row>
        <row r="1873">
          <cell r="A1873" t="str">
            <v>INTEC CAPITAL LTD</v>
          </cell>
          <cell r="B1873">
            <v>526871</v>
          </cell>
          <cell r="C1873" t="str">
            <v>Not Listed</v>
          </cell>
        </row>
        <row r="1874">
          <cell r="A1874" t="str">
            <v>INTEGRA CAPITAL MANAGEMENT LTD.</v>
          </cell>
          <cell r="B1874">
            <v>531314</v>
          </cell>
          <cell r="C1874" t="str">
            <v>INTCAPM</v>
          </cell>
        </row>
        <row r="1875">
          <cell r="A1875" t="str">
            <v>INTEGRA ENGINEERING (INDIA) LTD</v>
          </cell>
          <cell r="B1875">
            <v>505358</v>
          </cell>
          <cell r="C1875" t="str">
            <v>Not Listed</v>
          </cell>
        </row>
        <row r="1876">
          <cell r="A1876" t="str">
            <v>INTEGRA ENGINEERING INDIA LTD</v>
          </cell>
          <cell r="B1876">
            <v>505358</v>
          </cell>
          <cell r="C1876" t="str">
            <v>Not Listed</v>
          </cell>
        </row>
        <row r="1877">
          <cell r="A1877" t="str">
            <v>INTEGRA GARMENTS AND TEXTILES LTD</v>
          </cell>
          <cell r="B1877">
            <v>535958</v>
          </cell>
          <cell r="C1877" t="str">
            <v>INTEGRA</v>
          </cell>
        </row>
        <row r="1878">
          <cell r="A1878" t="str">
            <v>INTEGRA SWITCHGEAR LTD</v>
          </cell>
          <cell r="B1878">
            <v>517423</v>
          </cell>
          <cell r="C1878" t="str">
            <v>Not Listed</v>
          </cell>
        </row>
        <row r="1879">
          <cell r="A1879" t="str">
            <v>INTEGRA TELECOMMUNICATION &amp; SOFTWARE LTD</v>
          </cell>
          <cell r="B1879">
            <v>536868</v>
          </cell>
          <cell r="C1879" t="str">
            <v>Not Listed</v>
          </cell>
        </row>
        <row r="1880">
          <cell r="A1880" t="str">
            <v>INTEGRATED CAPITAL SERVICES LTD</v>
          </cell>
          <cell r="B1880">
            <v>539149</v>
          </cell>
          <cell r="C1880" t="str">
            <v>Not Listed</v>
          </cell>
        </row>
        <row r="1881">
          <cell r="A1881" t="str">
            <v>INTEGRATED FINANCIAL SERVICES LTD</v>
          </cell>
          <cell r="B1881">
            <v>500212</v>
          </cell>
          <cell r="C1881" t="str">
            <v>Not Listed</v>
          </cell>
        </row>
        <row r="1882">
          <cell r="A1882" t="str">
            <v>INTEGRATED PROTEINS LTD</v>
          </cell>
          <cell r="B1882">
            <v>519606</v>
          </cell>
          <cell r="C1882" t="str">
            <v>Not Listed</v>
          </cell>
        </row>
        <row r="1883">
          <cell r="A1883" t="str">
            <v>INTEGRATED TECHNOLOGIES LTD</v>
          </cell>
          <cell r="B1883">
            <v>531889</v>
          </cell>
          <cell r="C1883" t="str">
            <v>Not Listed</v>
          </cell>
        </row>
        <row r="1884">
          <cell r="A1884" t="str">
            <v>INTEGRATED THERMOPLASTICS LTD</v>
          </cell>
          <cell r="B1884">
            <v>530921</v>
          </cell>
          <cell r="C1884" t="str">
            <v>Not Listed</v>
          </cell>
        </row>
        <row r="1885">
          <cell r="A1885" t="str">
            <v>INTELLECT DESIGN ARENA LTD</v>
          </cell>
          <cell r="B1885">
            <v>538835</v>
          </cell>
          <cell r="C1885" t="str">
            <v>INTELLECT</v>
          </cell>
        </row>
        <row r="1886">
          <cell r="A1886" t="str">
            <v>INTELLIVATE CAPITAL ADVISORS LTD</v>
          </cell>
          <cell r="B1886">
            <v>534732</v>
          </cell>
          <cell r="C1886" t="str">
            <v>Not Listed</v>
          </cell>
        </row>
        <row r="1887">
          <cell r="A1887" t="str">
            <v>INTELLIVATE CAPITAL VENTURES LTD</v>
          </cell>
          <cell r="B1887">
            <v>506134</v>
          </cell>
          <cell r="C1887" t="str">
            <v>Not Listed</v>
          </cell>
        </row>
        <row r="1888">
          <cell r="A1888" t="str">
            <v>INTENSE TECHNOLOGIES LTD</v>
          </cell>
          <cell r="B1888">
            <v>532326</v>
          </cell>
          <cell r="C1888" t="str">
            <v>INTENTECH</v>
          </cell>
        </row>
        <row r="1889">
          <cell r="A1889" t="str">
            <v>INTER GLOBE FINANCE LTD</v>
          </cell>
          <cell r="B1889">
            <v>511391</v>
          </cell>
          <cell r="C1889" t="str">
            <v>Not Listed</v>
          </cell>
        </row>
        <row r="1890">
          <cell r="A1890" t="str">
            <v>INTER STATE OIL CARRIER LTD</v>
          </cell>
          <cell r="B1890">
            <v>530259</v>
          </cell>
          <cell r="C1890" t="str">
            <v>Not Listed</v>
          </cell>
        </row>
        <row r="1891">
          <cell r="A1891" t="str">
            <v>INTERACTIVE FINANCIAL SERVICES LTD</v>
          </cell>
          <cell r="B1891">
            <v>539692</v>
          </cell>
          <cell r="C1891" t="str">
            <v>Not Listed</v>
          </cell>
        </row>
        <row r="1892">
          <cell r="A1892" t="str">
            <v>INTERGLOBE AVIATION LTD</v>
          </cell>
          <cell r="B1892">
            <v>539448</v>
          </cell>
          <cell r="C1892" t="str">
            <v>INDIGO</v>
          </cell>
        </row>
        <row r="1893">
          <cell r="A1893" t="str">
            <v>INTERLINK PETROLEUM LTD</v>
          </cell>
          <cell r="B1893">
            <v>526512</v>
          </cell>
          <cell r="C1893" t="str">
            <v>Not Listed</v>
          </cell>
        </row>
        <row r="1894">
          <cell r="A1894" t="str">
            <v>INTERNATIONAL COMBUSTION (INDIA) LTD</v>
          </cell>
          <cell r="B1894">
            <v>505737</v>
          </cell>
          <cell r="C1894" t="str">
            <v>Not Listed</v>
          </cell>
        </row>
        <row r="1895">
          <cell r="A1895" t="str">
            <v>INTERNATIONAL COMBUSTION INDIA LTD</v>
          </cell>
          <cell r="B1895">
            <v>505737</v>
          </cell>
          <cell r="C1895" t="str">
            <v>Not Listed</v>
          </cell>
        </row>
        <row r="1896">
          <cell r="A1896" t="str">
            <v>INTERNATIONAL CONSTRUCTIONS LTD</v>
          </cell>
          <cell r="B1896" t="str">
            <v>Not Listed</v>
          </cell>
          <cell r="C1896" t="str">
            <v>SUBCAPCITY</v>
          </cell>
        </row>
        <row r="1897">
          <cell r="A1897" t="str">
            <v>INTERNATIONAL CONVEYORS LTD</v>
          </cell>
          <cell r="B1897">
            <v>509709</v>
          </cell>
          <cell r="C1897" t="str">
            <v>Not Listed</v>
          </cell>
        </row>
        <row r="1898">
          <cell r="A1898" t="str">
            <v>INTERNATIONAL DATA MANAGEMENT LTD</v>
          </cell>
          <cell r="B1898">
            <v>517044</v>
          </cell>
          <cell r="C1898" t="str">
            <v>Not Listed</v>
          </cell>
        </row>
        <row r="1899">
          <cell r="A1899" t="str">
            <v>INTERNATIONAL HOUSING FINANCE CORPORATION LTD</v>
          </cell>
          <cell r="B1899">
            <v>530781</v>
          </cell>
          <cell r="C1899" t="str">
            <v>Not Listed</v>
          </cell>
        </row>
        <row r="1900">
          <cell r="A1900" t="str">
            <v>INTERNATIONAL PAPER APPM LTD</v>
          </cell>
          <cell r="B1900">
            <v>502330</v>
          </cell>
          <cell r="C1900" t="str">
            <v>IPAPPM</v>
          </cell>
        </row>
        <row r="1901">
          <cell r="A1901" t="str">
            <v>INTERNATIONAL TRAVEL HOUSE LTD</v>
          </cell>
          <cell r="B1901">
            <v>500213</v>
          </cell>
          <cell r="C1901" t="str">
            <v>Not Listed</v>
          </cell>
        </row>
        <row r="1902">
          <cell r="A1902" t="str">
            <v>INTERWORLD DIGITAL LTD</v>
          </cell>
          <cell r="B1902">
            <v>532072</v>
          </cell>
          <cell r="C1902" t="str">
            <v>Not Listed</v>
          </cell>
        </row>
        <row r="1903">
          <cell r="A1903" t="str">
            <v>INTRASOFT TECHNOLOGIES LTD</v>
          </cell>
          <cell r="B1903">
            <v>533181</v>
          </cell>
          <cell r="C1903" t="str">
            <v>ISFT</v>
          </cell>
        </row>
        <row r="1904">
          <cell r="A1904" t="str">
            <v>INVENTURE GROWTH &amp; SECURITIES LTD</v>
          </cell>
          <cell r="B1904">
            <v>533506</v>
          </cell>
          <cell r="C1904" t="str">
            <v>INVENTURE</v>
          </cell>
        </row>
        <row r="1905">
          <cell r="A1905" t="str">
            <v>Invesco India Gold Exchange Traded Fund</v>
          </cell>
          <cell r="B1905">
            <v>533172</v>
          </cell>
          <cell r="C1905" t="str">
            <v>IVZINGOLD</v>
          </cell>
        </row>
        <row r="1906">
          <cell r="A1906" t="str">
            <v>INVESTMENT &amp; PRECISION CASTINGS LTD</v>
          </cell>
          <cell r="B1906">
            <v>504786</v>
          </cell>
          <cell r="C1906" t="str">
            <v>Not Listed</v>
          </cell>
        </row>
        <row r="1907">
          <cell r="A1907" t="str">
            <v>INVICTA MEDITEK LTD</v>
          </cell>
          <cell r="B1907">
            <v>523844</v>
          </cell>
          <cell r="C1907" t="str">
            <v>Not Listed</v>
          </cell>
        </row>
        <row r="1908">
          <cell r="A1908" t="str">
            <v>IO SYSTEM LTD</v>
          </cell>
          <cell r="B1908">
            <v>523752</v>
          </cell>
          <cell r="C1908" t="str">
            <v>Not Listed</v>
          </cell>
        </row>
        <row r="1909">
          <cell r="A1909" t="str">
            <v>IOL CHEMICALS AND PHARMACEUTICALS LTD</v>
          </cell>
          <cell r="B1909">
            <v>524164</v>
          </cell>
          <cell r="C1909" t="str">
            <v>IOLCP</v>
          </cell>
        </row>
        <row r="1910">
          <cell r="A1910" t="str">
            <v>ION EXCHANGE (INDIA) LTD</v>
          </cell>
          <cell r="B1910">
            <v>500214</v>
          </cell>
          <cell r="C1910" t="str">
            <v>Not Listed</v>
          </cell>
        </row>
        <row r="1911">
          <cell r="A1911" t="str">
            <v>ION EXCHANGE INDIA LTD</v>
          </cell>
          <cell r="B1911">
            <v>500214</v>
          </cell>
          <cell r="C1911" t="str">
            <v>Not Listed</v>
          </cell>
        </row>
        <row r="1912">
          <cell r="A1912" t="str">
            <v>IP RINGS LTD</v>
          </cell>
          <cell r="B1912">
            <v>523638</v>
          </cell>
          <cell r="C1912" t="str">
            <v>Not Listed</v>
          </cell>
        </row>
        <row r="1913">
          <cell r="A1913" t="str">
            <v>IPCA LABORATORIES LTD</v>
          </cell>
          <cell r="B1913">
            <v>524494</v>
          </cell>
          <cell r="C1913" t="str">
            <v>IPCALAB</v>
          </cell>
        </row>
        <row r="1914">
          <cell r="A1914" t="str">
            <v>I-POWER SOLUTIONS (INDIA) LTD</v>
          </cell>
          <cell r="B1914">
            <v>512405</v>
          </cell>
          <cell r="C1914" t="str">
            <v>Not Listed</v>
          </cell>
        </row>
        <row r="1915">
          <cell r="A1915" t="str">
            <v>I-POWER SOLUTIONS INDIA LTD</v>
          </cell>
          <cell r="B1915">
            <v>512405</v>
          </cell>
          <cell r="C1915" t="str">
            <v>Not Listed</v>
          </cell>
        </row>
        <row r="1916">
          <cell r="A1916" t="str">
            <v>IRB INFRASTRUCTURE DEVELOPERS LTD</v>
          </cell>
          <cell r="B1916">
            <v>532947</v>
          </cell>
          <cell r="C1916" t="str">
            <v>IRB</v>
          </cell>
        </row>
        <row r="1917">
          <cell r="A1917" t="str">
            <v>IRB InvIT Fund</v>
          </cell>
          <cell r="B1917">
            <v>540526</v>
          </cell>
          <cell r="C1917" t="str">
            <v>IRBINVIT</v>
          </cell>
        </row>
        <row r="1918">
          <cell r="A1918" t="str">
            <v>IRCON INTERNATIONAL LTD</v>
          </cell>
          <cell r="B1918">
            <v>541956</v>
          </cell>
          <cell r="C1918" t="str">
            <v>IRCON</v>
          </cell>
        </row>
        <row r="1919">
          <cell r="A1919" t="str">
            <v>IRIS BUSINESS SERVICES LTD</v>
          </cell>
          <cell r="B1919">
            <v>540735</v>
          </cell>
          <cell r="C1919" t="str">
            <v>Not Listed</v>
          </cell>
        </row>
        <row r="1920">
          <cell r="A1920" t="str">
            <v>IRIS CLOTHINGS LTD</v>
          </cell>
          <cell r="B1920" t="str">
            <v>Not Listed</v>
          </cell>
          <cell r="C1920" t="str">
            <v>IRISDOREME</v>
          </cell>
        </row>
        <row r="1921">
          <cell r="A1921" t="str">
            <v>IRIS MEDIAWORKS LTD</v>
          </cell>
          <cell r="B1921">
            <v>531337</v>
          </cell>
          <cell r="C1921" t="str">
            <v>Not Listed</v>
          </cell>
        </row>
        <row r="1922">
          <cell r="A1922" t="str">
            <v>ISF LTD</v>
          </cell>
          <cell r="B1922">
            <v>526859</v>
          </cell>
          <cell r="C1922" t="str">
            <v>Not Listed</v>
          </cell>
        </row>
        <row r="1923">
          <cell r="A1923" t="str">
            <v>ISGEC HEAVY ENGINEERING LTD</v>
          </cell>
          <cell r="B1923">
            <v>533033</v>
          </cell>
          <cell r="C1923" t="str">
            <v>Not Listed</v>
          </cell>
        </row>
        <row r="1924">
          <cell r="A1924" t="str">
            <v>ISHAAN INFRASTRUCTURES AND SHELTERS LTD</v>
          </cell>
          <cell r="B1924">
            <v>540134</v>
          </cell>
          <cell r="C1924" t="str">
            <v>Not Listed</v>
          </cell>
        </row>
        <row r="1925">
          <cell r="A1925" t="str">
            <v>ISHAN DYES &amp; CHEMICALS LTD</v>
          </cell>
          <cell r="B1925">
            <v>531109</v>
          </cell>
          <cell r="C1925" t="str">
            <v>Not Listed</v>
          </cell>
        </row>
        <row r="1926">
          <cell r="A1926" t="str">
            <v>ISHITA DRUGS &amp; INDUSTRIES LTD</v>
          </cell>
          <cell r="B1926">
            <v>524400</v>
          </cell>
          <cell r="C1926" t="str">
            <v>Not Listed</v>
          </cell>
        </row>
        <row r="1927">
          <cell r="A1927" t="str">
            <v>ISHWARSHAKTI HOLDINGS &amp; TRADERS LTD</v>
          </cell>
          <cell r="B1927">
            <v>506161</v>
          </cell>
          <cell r="C1927" t="str">
            <v>Not Listed</v>
          </cell>
        </row>
        <row r="1928">
          <cell r="A1928" t="str">
            <v>ISL CONSULTING LTD</v>
          </cell>
          <cell r="B1928">
            <v>511609</v>
          </cell>
          <cell r="C1928" t="str">
            <v>Not Listed</v>
          </cell>
        </row>
        <row r="1929">
          <cell r="A1929" t="str">
            <v>ISMT LTD</v>
          </cell>
          <cell r="B1929">
            <v>532479</v>
          </cell>
          <cell r="C1929" t="str">
            <v>ISMTLTD</v>
          </cell>
        </row>
        <row r="1930">
          <cell r="A1930" t="str">
            <v>IST LTD</v>
          </cell>
          <cell r="B1930">
            <v>508807</v>
          </cell>
          <cell r="C1930" t="str">
            <v>Not Listed</v>
          </cell>
        </row>
        <row r="1931">
          <cell r="A1931" t="str">
            <v>ISTREET NETWORK LTD</v>
          </cell>
          <cell r="B1931">
            <v>524622</v>
          </cell>
          <cell r="C1931" t="str">
            <v>Not Listed</v>
          </cell>
        </row>
        <row r="1932">
          <cell r="A1932" t="str">
            <v>ITC LTD</v>
          </cell>
          <cell r="B1932">
            <v>500875</v>
          </cell>
          <cell r="C1932" t="str">
            <v>ITC</v>
          </cell>
        </row>
        <row r="1933">
          <cell r="A1933" t="str">
            <v>ITD CEMENTATION (INDIA) LTD</v>
          </cell>
          <cell r="B1933">
            <v>509496</v>
          </cell>
          <cell r="C1933" t="str">
            <v>ITDCEM</v>
          </cell>
        </row>
        <row r="1934">
          <cell r="A1934" t="str">
            <v>ITD CEMENTATION INDIA LTD</v>
          </cell>
          <cell r="B1934">
            <v>509496</v>
          </cell>
          <cell r="C1934" t="str">
            <v>ITDCEM</v>
          </cell>
        </row>
        <row r="1935">
          <cell r="A1935" t="str">
            <v>ITI LTD</v>
          </cell>
          <cell r="B1935">
            <v>523610</v>
          </cell>
          <cell r="C1935" t="str">
            <v>ITI</v>
          </cell>
        </row>
        <row r="1936">
          <cell r="A1936" t="str">
            <v>ITL INDUSTRIES LTD</v>
          </cell>
          <cell r="B1936">
            <v>522183</v>
          </cell>
          <cell r="C1936" t="str">
            <v>Not Listed</v>
          </cell>
        </row>
        <row r="1937">
          <cell r="A1937" t="str">
            <v>IVP LTD</v>
          </cell>
          <cell r="B1937">
            <v>507580</v>
          </cell>
          <cell r="C1937" t="str">
            <v>IVP</v>
          </cell>
        </row>
        <row r="1938">
          <cell r="A1938" t="str">
            <v>IVRCL LTD</v>
          </cell>
          <cell r="B1938">
            <v>530773</v>
          </cell>
          <cell r="C1938" t="str">
            <v>IVRCLINFRA</v>
          </cell>
        </row>
        <row r="1939">
          <cell r="A1939" t="str">
            <v>IYKOT HITECH TOOLROOM LTD</v>
          </cell>
          <cell r="B1939">
            <v>522245</v>
          </cell>
          <cell r="C1939" t="str">
            <v>Not Listed</v>
          </cell>
        </row>
        <row r="1940">
          <cell r="A1940" t="str">
            <v>IZMO LTD</v>
          </cell>
          <cell r="B1940">
            <v>532341</v>
          </cell>
          <cell r="C1940" t="str">
            <v>IZMO</v>
          </cell>
        </row>
        <row r="1941">
          <cell r="A1941" t="str">
            <v>J  TAPARIA PROJECTS LTD</v>
          </cell>
          <cell r="B1941">
            <v>538539</v>
          </cell>
          <cell r="C1941" t="str">
            <v>Not Listed</v>
          </cell>
        </row>
        <row r="1942">
          <cell r="A1942" t="str">
            <v>J J EXPORTERS LTD</v>
          </cell>
          <cell r="B1942">
            <v>530049</v>
          </cell>
          <cell r="C1942" t="str">
            <v>Not Listed</v>
          </cell>
        </row>
        <row r="1943">
          <cell r="A1943" t="str">
            <v>J J FINANCE CORPORATION LTD</v>
          </cell>
          <cell r="B1943">
            <v>523062</v>
          </cell>
          <cell r="C1943" t="str">
            <v>Not Listed</v>
          </cell>
        </row>
        <row r="1944">
          <cell r="A1944" t="str">
            <v>J KUMAR INFRAPROJECTS LTD</v>
          </cell>
          <cell r="B1944">
            <v>532940</v>
          </cell>
          <cell r="C1944" t="str">
            <v>JKIL</v>
          </cell>
        </row>
        <row r="1945">
          <cell r="A1945" t="str">
            <v>J L MORISON (INDIA) LTD</v>
          </cell>
          <cell r="B1945">
            <v>506522</v>
          </cell>
          <cell r="C1945" t="str">
            <v>Not Listed</v>
          </cell>
        </row>
        <row r="1946">
          <cell r="A1946" t="str">
            <v>J L MORISON INDIA LTD</v>
          </cell>
          <cell r="B1946">
            <v>506522</v>
          </cell>
          <cell r="C1946" t="str">
            <v>Not Listed</v>
          </cell>
        </row>
        <row r="1947">
          <cell r="A1947" t="str">
            <v>J R FOODS LTD</v>
          </cell>
          <cell r="B1947">
            <v>530915</v>
          </cell>
          <cell r="C1947" t="str">
            <v>Not Listed</v>
          </cell>
        </row>
        <row r="1948">
          <cell r="A1948" t="str">
            <v>JACKSON INVESTMENTS LTD</v>
          </cell>
          <cell r="B1948">
            <v>538422</v>
          </cell>
          <cell r="C1948" t="str">
            <v>Not Listed</v>
          </cell>
        </row>
        <row r="1949">
          <cell r="A1949" t="str">
            <v>JAGAN LAMPS LTD</v>
          </cell>
          <cell r="B1949">
            <v>530711</v>
          </cell>
          <cell r="C1949" t="str">
            <v>Not Listed</v>
          </cell>
        </row>
        <row r="1950">
          <cell r="A1950" t="str">
            <v>JAGATJIT INDUSTRIES LTD</v>
          </cell>
          <cell r="B1950">
            <v>507155</v>
          </cell>
          <cell r="C1950" t="str">
            <v>Not Listed</v>
          </cell>
        </row>
        <row r="1951">
          <cell r="A1951" t="str">
            <v>JAGJANANI TEXTILES LTD</v>
          </cell>
          <cell r="B1951">
            <v>532825</v>
          </cell>
          <cell r="C1951" t="str">
            <v>Not Listed</v>
          </cell>
        </row>
        <row r="1952">
          <cell r="A1952" t="str">
            <v>JAGRAN PRAKASHAN LTD</v>
          </cell>
          <cell r="B1952">
            <v>532705</v>
          </cell>
          <cell r="C1952" t="str">
            <v>JAGRAN</v>
          </cell>
        </row>
        <row r="1953">
          <cell r="A1953" t="str">
            <v>JAGSON AIRLINES LTD</v>
          </cell>
          <cell r="B1953">
            <v>520139</v>
          </cell>
          <cell r="C1953" t="str">
            <v>Not Listed</v>
          </cell>
        </row>
        <row r="1954">
          <cell r="A1954" t="str">
            <v>JAGSONPAL FINANCE &amp; LEASING LTD</v>
          </cell>
          <cell r="B1954">
            <v>530601</v>
          </cell>
          <cell r="C1954" t="str">
            <v>Not Listed</v>
          </cell>
        </row>
        <row r="1955">
          <cell r="A1955" t="str">
            <v>JAGSONPAL PHARMACEUTICALS LTD</v>
          </cell>
          <cell r="B1955">
            <v>507789</v>
          </cell>
          <cell r="C1955" t="str">
            <v>JAGSNPHARM</v>
          </cell>
        </row>
        <row r="1956">
          <cell r="A1956" t="str">
            <v>JAI BALAJI INDUSTRIES LTD</v>
          </cell>
          <cell r="B1956">
            <v>532976</v>
          </cell>
          <cell r="C1956" t="str">
            <v>JAIBALAJI</v>
          </cell>
        </row>
        <row r="1957">
          <cell r="A1957" t="str">
            <v>JAI CORP LTD</v>
          </cell>
          <cell r="B1957">
            <v>512237</v>
          </cell>
          <cell r="C1957" t="str">
            <v>JAICORPLTD</v>
          </cell>
        </row>
        <row r="1958">
          <cell r="A1958" t="str">
            <v>JAI MATA GLASS LTD</v>
          </cell>
          <cell r="B1958">
            <v>523467</v>
          </cell>
          <cell r="C1958" t="str">
            <v>Not Listed</v>
          </cell>
        </row>
        <row r="1959">
          <cell r="A1959" t="str">
            <v>JAIHIND PROJECTS LTD</v>
          </cell>
          <cell r="B1959">
            <v>531339</v>
          </cell>
          <cell r="C1959" t="str">
            <v>JAIHINDPRO</v>
          </cell>
        </row>
        <row r="1960">
          <cell r="A1960" t="str">
            <v>JAIHIND SYNTHETICS LTD</v>
          </cell>
          <cell r="B1960">
            <v>514312</v>
          </cell>
          <cell r="C1960" t="str">
            <v>Not Listed</v>
          </cell>
        </row>
        <row r="1961">
          <cell r="A1961" t="str">
            <v>JAIN IRRIGATION SYSTEMS LTD</v>
          </cell>
          <cell r="B1961">
            <v>500219</v>
          </cell>
          <cell r="C1961" t="str">
            <v>JISLJALEQS</v>
          </cell>
        </row>
        <row r="1962">
          <cell r="A1962" t="str">
            <v>JAIN IRRIGATION SYSTEMS LTD</v>
          </cell>
          <cell r="B1962">
            <v>570004</v>
          </cell>
          <cell r="C1962" t="str">
            <v>JISLDVREQS</v>
          </cell>
        </row>
        <row r="1963">
          <cell r="A1963" t="str">
            <v>JAIN MARMO INDUSTRIES LTD</v>
          </cell>
          <cell r="B1963">
            <v>539119</v>
          </cell>
          <cell r="C1963" t="str">
            <v>Not Listed</v>
          </cell>
        </row>
        <row r="1964">
          <cell r="A1964" t="str">
            <v>JAIN STUDIOS LTD</v>
          </cell>
          <cell r="B1964">
            <v>532033</v>
          </cell>
          <cell r="C1964" t="str">
            <v>JAINSTUDIO</v>
          </cell>
        </row>
        <row r="1965">
          <cell r="A1965" t="str">
            <v>JAINCO PROJECTS (INDIA) LTD</v>
          </cell>
          <cell r="B1965">
            <v>526865</v>
          </cell>
          <cell r="C1965" t="str">
            <v>Not Listed</v>
          </cell>
        </row>
        <row r="1966">
          <cell r="A1966" t="str">
            <v>JAINCO PROJECTS INDIA LTD</v>
          </cell>
          <cell r="B1966">
            <v>526865</v>
          </cell>
          <cell r="C1966" t="str">
            <v>Not Listed</v>
          </cell>
        </row>
        <row r="1967">
          <cell r="A1967" t="str">
            <v>JAINEX AAMCOL LTD</v>
          </cell>
          <cell r="B1967">
            <v>505212</v>
          </cell>
          <cell r="C1967" t="str">
            <v>Not Listed</v>
          </cell>
        </row>
        <row r="1968">
          <cell r="A1968" t="str">
            <v>JAIPAN INDUSTRIES LTD</v>
          </cell>
          <cell r="B1968">
            <v>505840</v>
          </cell>
          <cell r="C1968" t="str">
            <v>Not Listed</v>
          </cell>
        </row>
        <row r="1969">
          <cell r="A1969" t="str">
            <v>JAIPRAKASH ASSOCIATES LTD</v>
          </cell>
          <cell r="B1969">
            <v>532532</v>
          </cell>
          <cell r="C1969" t="str">
            <v>JPASSOCIAT</v>
          </cell>
        </row>
        <row r="1970">
          <cell r="A1970" t="str">
            <v>JAIPRAKASH POWER VENTURES LTD</v>
          </cell>
          <cell r="B1970">
            <v>532627</v>
          </cell>
          <cell r="C1970" t="str">
            <v>JPPOWER</v>
          </cell>
        </row>
        <row r="1971">
          <cell r="A1971" t="str">
            <v>JAISUKH DEALERS LTD</v>
          </cell>
          <cell r="B1971">
            <v>780001</v>
          </cell>
          <cell r="C1971" t="str">
            <v>Not Listed</v>
          </cell>
        </row>
        <row r="1972">
          <cell r="A1972" t="str">
            <v>JAKHARIA FABRIC LTD</v>
          </cell>
          <cell r="B1972" t="str">
            <v>Not Listed</v>
          </cell>
          <cell r="C1972" t="str">
            <v>JAKHARIA</v>
          </cell>
        </row>
        <row r="1973">
          <cell r="A1973" t="str">
            <v>JALAN TRANSOLUTIONS (INDIA) LTD</v>
          </cell>
          <cell r="B1973" t="str">
            <v>Not Listed</v>
          </cell>
          <cell r="C1973" t="str">
            <v>JALAN</v>
          </cell>
        </row>
        <row r="1974">
          <cell r="A1974" t="str">
            <v>JALAN TRANSOLUTIONS INDIA LTD</v>
          </cell>
          <cell r="B1974" t="str">
            <v>Not Listed</v>
          </cell>
          <cell r="C1974" t="str">
            <v>JALAN</v>
          </cell>
        </row>
        <row r="1975">
          <cell r="A1975" t="str">
            <v>JAMES WARREN TEA LTD</v>
          </cell>
          <cell r="B1975">
            <v>538564</v>
          </cell>
          <cell r="C1975" t="str">
            <v>Not Listed</v>
          </cell>
        </row>
        <row r="1976">
          <cell r="A1976" t="str">
            <v>JAMNA AUTO INDUSTRIES LTD</v>
          </cell>
          <cell r="B1976">
            <v>520051</v>
          </cell>
          <cell r="C1976" t="str">
            <v>JAMNAAUTO</v>
          </cell>
        </row>
        <row r="1977">
          <cell r="A1977" t="str">
            <v>JAMSHRI RANJITSINGHJI SPG  &amp; WVG  MILLS CO LTD</v>
          </cell>
          <cell r="B1977">
            <v>502901</v>
          </cell>
          <cell r="C1977" t="str">
            <v>Not Listed</v>
          </cell>
        </row>
        <row r="1978">
          <cell r="A1978" t="str">
            <v>JASCH INDUSTRIES LTD</v>
          </cell>
          <cell r="B1978">
            <v>500220</v>
          </cell>
          <cell r="C1978" t="str">
            <v>Not Listed</v>
          </cell>
        </row>
        <row r="1979">
          <cell r="A1979" t="str">
            <v>JASH DEALMARK LTD</v>
          </cell>
          <cell r="B1979">
            <v>540394</v>
          </cell>
          <cell r="C1979" t="str">
            <v>Not Listed</v>
          </cell>
        </row>
        <row r="1980">
          <cell r="A1980" t="str">
            <v>JASH ENGINEERING LTD</v>
          </cell>
          <cell r="B1980" t="str">
            <v>Not Listed</v>
          </cell>
          <cell r="C1980" t="str">
            <v>JASH</v>
          </cell>
        </row>
        <row r="1981">
          <cell r="A1981" t="str">
            <v>JATTASHANKAR INDUSTIES LTD</v>
          </cell>
          <cell r="B1981">
            <v>514318</v>
          </cell>
          <cell r="C1981" t="str">
            <v>Not Listed</v>
          </cell>
        </row>
        <row r="1982">
          <cell r="A1982" t="str">
            <v>JAUSS POLYMERS LTD</v>
          </cell>
          <cell r="B1982">
            <v>526001</v>
          </cell>
          <cell r="C1982" t="str">
            <v>Not Listed</v>
          </cell>
        </row>
        <row r="1983">
          <cell r="A1983" t="str">
            <v>JAY BHARAT MARUTI LTD</v>
          </cell>
          <cell r="B1983">
            <v>520066</v>
          </cell>
          <cell r="C1983" t="str">
            <v>JAYBARMARU</v>
          </cell>
        </row>
        <row r="1984">
          <cell r="A1984" t="str">
            <v>JAY SHREE TEA &amp; INDUSTRIES LTD</v>
          </cell>
          <cell r="B1984">
            <v>509715</v>
          </cell>
          <cell r="C1984" t="str">
            <v>Not Listed</v>
          </cell>
        </row>
        <row r="1985">
          <cell r="A1985" t="str">
            <v>JAY USHIN LTD</v>
          </cell>
          <cell r="B1985">
            <v>513252</v>
          </cell>
          <cell r="C1985" t="str">
            <v>Not Listed</v>
          </cell>
        </row>
        <row r="1986">
          <cell r="A1986" t="str">
            <v>JAYANT AGRO ORGANICS LTD</v>
          </cell>
          <cell r="B1986">
            <v>524330</v>
          </cell>
          <cell r="C1986" t="str">
            <v>JAYAGROGN</v>
          </cell>
        </row>
        <row r="1987">
          <cell r="A1987" t="str">
            <v>JAYASWAL NECO INDUSTRIES LTD</v>
          </cell>
          <cell r="B1987">
            <v>522285</v>
          </cell>
          <cell r="C1987" t="str">
            <v>JAYNECOIND</v>
          </cell>
        </row>
        <row r="1988">
          <cell r="A1988" t="str">
            <v>JAYATMA ENTERPRISES LTD</v>
          </cell>
          <cell r="B1988">
            <v>539005</v>
          </cell>
          <cell r="C1988" t="str">
            <v>Not Listed</v>
          </cell>
        </row>
        <row r="1989">
          <cell r="A1989" t="str">
            <v>JAYATMA INDUSTRIES LTD</v>
          </cell>
          <cell r="B1989">
            <v>531323</v>
          </cell>
          <cell r="C1989" t="str">
            <v>Not Listed</v>
          </cell>
        </row>
        <row r="1990">
          <cell r="A1990" t="str">
            <v>JAYBHARAT TEXTILES &amp; REAL ESTATE LTD</v>
          </cell>
          <cell r="B1990">
            <v>512233</v>
          </cell>
          <cell r="C1990" t="str">
            <v>Not Listed</v>
          </cell>
        </row>
        <row r="1991">
          <cell r="A1991" t="str">
            <v>JAYKAY ENTERPRISES LTD</v>
          </cell>
          <cell r="B1991">
            <v>500306</v>
          </cell>
          <cell r="C1991" t="str">
            <v>Not Listed</v>
          </cell>
        </row>
        <row r="1992">
          <cell r="A1992" t="str">
            <v>JAYPEE INFRATECH LTD</v>
          </cell>
          <cell r="B1992">
            <v>533207</v>
          </cell>
          <cell r="C1992" t="str">
            <v>JPINFRATEC</v>
          </cell>
        </row>
        <row r="1993">
          <cell r="A1993" t="str">
            <v>JAYSHREE CHEMICALS LTD</v>
          </cell>
          <cell r="B1993">
            <v>506520</v>
          </cell>
          <cell r="C1993" t="str">
            <v>Not Listed</v>
          </cell>
        </row>
        <row r="1994">
          <cell r="A1994" t="str">
            <v>JAYSHREE TEA &amp; INDUSTRIES LTD</v>
          </cell>
          <cell r="B1994" t="str">
            <v>Not Listed</v>
          </cell>
          <cell r="C1994" t="str">
            <v>JAYSREETEA</v>
          </cell>
        </row>
        <row r="1995">
          <cell r="A1995" t="str">
            <v>JAYSYNTH DYESTUFF (INDIA) LTD</v>
          </cell>
          <cell r="B1995">
            <v>506910</v>
          </cell>
          <cell r="C1995" t="str">
            <v>Not Listed</v>
          </cell>
        </row>
        <row r="1996">
          <cell r="A1996" t="str">
            <v>JAYSYNTH DYESTUFF INDIA LTD</v>
          </cell>
          <cell r="B1996">
            <v>506910</v>
          </cell>
          <cell r="C1996" t="str">
            <v>Not Listed</v>
          </cell>
        </row>
        <row r="1997">
          <cell r="A1997" t="str">
            <v>JB CHEMICALS &amp; PHARMACEUTICALS LTD</v>
          </cell>
          <cell r="B1997">
            <v>506943</v>
          </cell>
          <cell r="C1997" t="str">
            <v>JBCHEPHARM</v>
          </cell>
        </row>
        <row r="1998">
          <cell r="A1998" t="str">
            <v>JBF INDUSTRIES LTD</v>
          </cell>
          <cell r="B1998">
            <v>514034</v>
          </cell>
          <cell r="C1998" t="str">
            <v>JBFIND</v>
          </cell>
        </row>
        <row r="1999">
          <cell r="A1999" t="str">
            <v>JBM AUTO LTD</v>
          </cell>
          <cell r="B1999">
            <v>532605</v>
          </cell>
          <cell r="C1999" t="str">
            <v>JBMA</v>
          </cell>
        </row>
        <row r="2000">
          <cell r="A2000" t="str">
            <v>JCT LTD</v>
          </cell>
          <cell r="B2000">
            <v>500223</v>
          </cell>
          <cell r="C2000" t="str">
            <v>Not Listed</v>
          </cell>
        </row>
        <row r="2001">
          <cell r="A2001" t="str">
            <v>JD ORGOCHEM LTD</v>
          </cell>
          <cell r="B2001">
            <v>524592</v>
          </cell>
          <cell r="C2001" t="str">
            <v>Not Listed</v>
          </cell>
        </row>
        <row r="2002">
          <cell r="A2002" t="str">
            <v>JEEVAN SCIENTIFIC TECHNOLOGY LTD</v>
          </cell>
          <cell r="B2002">
            <v>538837</v>
          </cell>
          <cell r="C2002" t="str">
            <v>Not Listed</v>
          </cell>
        </row>
        <row r="2003">
          <cell r="A2003" t="str">
            <v>JENBURKT PHARMACEUTICALS LTD</v>
          </cell>
          <cell r="B2003">
            <v>524731</v>
          </cell>
          <cell r="C2003" t="str">
            <v>Not Listed</v>
          </cell>
        </row>
        <row r="2004">
          <cell r="A2004" t="str">
            <v>JET AIRWAYS (INDIA) LTD</v>
          </cell>
          <cell r="B2004">
            <v>532617</v>
          </cell>
          <cell r="C2004" t="str">
            <v>JETAIRWAYS</v>
          </cell>
        </row>
        <row r="2005">
          <cell r="A2005" t="str">
            <v>JET AIRWAYS INDIA LTD</v>
          </cell>
          <cell r="B2005">
            <v>532617</v>
          </cell>
          <cell r="C2005" t="str">
            <v>JETAIRWAYS</v>
          </cell>
        </row>
        <row r="2006">
          <cell r="A2006" t="str">
            <v>JET FREIGHT LOGISTICS LTD</v>
          </cell>
          <cell r="B2006" t="str">
            <v>Not Listed</v>
          </cell>
          <cell r="C2006" t="str">
            <v>JETFREIGHT</v>
          </cell>
        </row>
        <row r="2007">
          <cell r="A2007" t="str">
            <v>JET INFRAVENTURE LTD</v>
          </cell>
          <cell r="B2007">
            <v>538794</v>
          </cell>
          <cell r="C2007" t="str">
            <v>Not Listed</v>
          </cell>
        </row>
        <row r="2008">
          <cell r="A2008" t="str">
            <v>JET KNITWEARS LTD</v>
          </cell>
          <cell r="B2008" t="str">
            <v>Not Listed</v>
          </cell>
          <cell r="C2008" t="str">
            <v>JETKNIT</v>
          </cell>
        </row>
        <row r="2009">
          <cell r="A2009" t="str">
            <v>JETKING INFOTRAIN LTD</v>
          </cell>
          <cell r="B2009">
            <v>517063</v>
          </cell>
          <cell r="C2009" t="str">
            <v>Not Listed</v>
          </cell>
        </row>
        <row r="2010">
          <cell r="A2010" t="str">
            <v>JHANDEWALAS FOODS LTD</v>
          </cell>
          <cell r="B2010">
            <v>540850</v>
          </cell>
          <cell r="C2010" t="str">
            <v>Not Listed</v>
          </cell>
        </row>
        <row r="2011">
          <cell r="A2011" t="str">
            <v>JHAVERI CREDITS &amp; CAPITAL LTD</v>
          </cell>
          <cell r="B2011">
            <v>531550</v>
          </cell>
          <cell r="C2011" t="str">
            <v>Not Listed</v>
          </cell>
        </row>
        <row r="2012">
          <cell r="A2012" t="str">
            <v>JHS SVENDGAARD LABORATORIES LTD</v>
          </cell>
          <cell r="B2012">
            <v>532771</v>
          </cell>
          <cell r="C2012" t="str">
            <v>JHS</v>
          </cell>
        </row>
        <row r="2013">
          <cell r="A2013" t="str">
            <v>JIGAR CABLES LTD</v>
          </cell>
          <cell r="B2013">
            <v>540651</v>
          </cell>
          <cell r="C2013" t="str">
            <v>Not Listed</v>
          </cell>
        </row>
        <row r="2014">
          <cell r="A2014" t="str">
            <v>JIGYASA INFRASTRUCTURE LTD</v>
          </cell>
          <cell r="B2014">
            <v>780019</v>
          </cell>
          <cell r="C2014" t="str">
            <v>Not Listed</v>
          </cell>
        </row>
        <row r="2015">
          <cell r="A2015" t="str">
            <v>JIK INDUSTRIES LTD</v>
          </cell>
          <cell r="B2015">
            <v>511618</v>
          </cell>
          <cell r="C2015" t="str">
            <v>JIKIND</v>
          </cell>
        </row>
        <row r="2016">
          <cell r="A2016" t="str">
            <v>Jinaams Dress Ltd</v>
          </cell>
          <cell r="B2016">
            <v>542653</v>
          </cell>
          <cell r="C2016" t="str">
            <v>JINAAM</v>
          </cell>
        </row>
        <row r="2017">
          <cell r="A2017" t="str">
            <v>JINDAL CAPITAL LTD</v>
          </cell>
          <cell r="B2017">
            <v>530405</v>
          </cell>
          <cell r="C2017" t="str">
            <v>Not Listed</v>
          </cell>
        </row>
        <row r="2018">
          <cell r="A2018" t="str">
            <v>JINDAL COTEX LTD</v>
          </cell>
          <cell r="B2018">
            <v>533103</v>
          </cell>
          <cell r="C2018" t="str">
            <v>JINDCOT</v>
          </cell>
        </row>
        <row r="2019">
          <cell r="A2019" t="str">
            <v>JINDAL DRILLING AND INDUSTRIES LTD</v>
          </cell>
          <cell r="B2019">
            <v>511034</v>
          </cell>
          <cell r="C2019" t="str">
            <v>JINDRILL</v>
          </cell>
        </row>
        <row r="2020">
          <cell r="A2020" t="str">
            <v>JINDAL HOTELS LTD</v>
          </cell>
          <cell r="B2020">
            <v>507981</v>
          </cell>
          <cell r="C2020" t="str">
            <v>Not Listed</v>
          </cell>
        </row>
        <row r="2021">
          <cell r="A2021" t="str">
            <v>JINDAL LEASEFIN LTD</v>
          </cell>
          <cell r="B2021">
            <v>539947</v>
          </cell>
          <cell r="C2021" t="str">
            <v>Not Listed</v>
          </cell>
        </row>
        <row r="2022">
          <cell r="A2022" t="str">
            <v>JINDAL PHOTO LTD</v>
          </cell>
          <cell r="B2022">
            <v>532624</v>
          </cell>
          <cell r="C2022" t="str">
            <v>JINDALPHOT</v>
          </cell>
        </row>
        <row r="2023">
          <cell r="A2023" t="str">
            <v>JINDAL POLY FILMS LTD</v>
          </cell>
          <cell r="B2023">
            <v>500227</v>
          </cell>
          <cell r="C2023" t="str">
            <v>JINDALPOLY</v>
          </cell>
        </row>
        <row r="2024">
          <cell r="A2024" t="str">
            <v>JINDAL POLY INVESTMENT AND FINANCE COMPANY LTD</v>
          </cell>
          <cell r="B2024">
            <v>536773</v>
          </cell>
          <cell r="C2024" t="str">
            <v>JPOLYINVST</v>
          </cell>
        </row>
        <row r="2025">
          <cell r="A2025" t="str">
            <v>JINDAL SAW LTD</v>
          </cell>
          <cell r="B2025">
            <v>500378</v>
          </cell>
          <cell r="C2025" t="str">
            <v>JINDALSAW</v>
          </cell>
        </row>
        <row r="2026">
          <cell r="A2026" t="str">
            <v>JINDAL STAINLESS HISAR LTD</v>
          </cell>
          <cell r="B2026">
            <v>539597</v>
          </cell>
          <cell r="C2026" t="str">
            <v>JSLHISAR</v>
          </cell>
        </row>
        <row r="2027">
          <cell r="A2027" t="str">
            <v>JINDAL STAINLESS LTD</v>
          </cell>
          <cell r="B2027">
            <v>532508</v>
          </cell>
          <cell r="C2027" t="str">
            <v>JSL</v>
          </cell>
        </row>
        <row r="2028">
          <cell r="A2028" t="str">
            <v>JINDAL STEEL &amp; POWER LTD</v>
          </cell>
          <cell r="B2028">
            <v>532286</v>
          </cell>
          <cell r="C2028" t="str">
            <v>JINDALSTEL</v>
          </cell>
        </row>
        <row r="2029">
          <cell r="A2029" t="str">
            <v>JINDAL WORLDWIDE LTD</v>
          </cell>
          <cell r="B2029">
            <v>531543</v>
          </cell>
          <cell r="C2029" t="str">
            <v>JINDWORLD</v>
          </cell>
        </row>
        <row r="2030">
          <cell r="A2030" t="str">
            <v>JITF INFRALOGISTICS LTD</v>
          </cell>
          <cell r="B2030">
            <v>540311</v>
          </cell>
          <cell r="C2030" t="str">
            <v>JITFINFRA</v>
          </cell>
        </row>
        <row r="2031">
          <cell r="A2031" t="str">
            <v>JIYA ECO-PRODUCTS LTD</v>
          </cell>
          <cell r="B2031">
            <v>539225</v>
          </cell>
          <cell r="C2031" t="str">
            <v>Not Listed</v>
          </cell>
        </row>
        <row r="2032">
          <cell r="A2032" t="str">
            <v>JK AGRI GENETICS LTD</v>
          </cell>
          <cell r="B2032">
            <v>536493</v>
          </cell>
          <cell r="C2032" t="str">
            <v>Not Listed</v>
          </cell>
        </row>
        <row r="2033">
          <cell r="A2033" t="str">
            <v>JK CEMENT LTD</v>
          </cell>
          <cell r="B2033">
            <v>532644</v>
          </cell>
          <cell r="C2033" t="str">
            <v>JKCEMENT</v>
          </cell>
        </row>
        <row r="2034">
          <cell r="A2034" t="str">
            <v>JK LAKSHMI CEMENT LTD</v>
          </cell>
          <cell r="B2034">
            <v>500380</v>
          </cell>
          <cell r="C2034" t="str">
            <v>JKLAKSHMI</v>
          </cell>
        </row>
        <row r="2035">
          <cell r="A2035" t="str">
            <v>JK PAPER LTD</v>
          </cell>
          <cell r="B2035">
            <v>532162</v>
          </cell>
          <cell r="C2035" t="str">
            <v>JKPAPER</v>
          </cell>
        </row>
        <row r="2036">
          <cell r="A2036" t="str">
            <v>JK TYRE &amp; INDUSTRIES LTD</v>
          </cell>
          <cell r="B2036">
            <v>530007</v>
          </cell>
          <cell r="C2036" t="str">
            <v>JKTYRE</v>
          </cell>
        </row>
        <row r="2037">
          <cell r="A2037" t="str">
            <v>JLA INFRAVILLE SHOPPERS LTD</v>
          </cell>
          <cell r="B2037">
            <v>538765</v>
          </cell>
          <cell r="C2037" t="str">
            <v>Not Listed</v>
          </cell>
        </row>
        <row r="2038">
          <cell r="A2038" t="str">
            <v>JM FINANCIAL LTD</v>
          </cell>
          <cell r="B2038">
            <v>523405</v>
          </cell>
          <cell r="C2038" t="str">
            <v>JMFINANCIL</v>
          </cell>
        </row>
        <row r="2039">
          <cell r="A2039" t="str">
            <v>JMC PROJECTS (INDIA) LTD</v>
          </cell>
          <cell r="B2039">
            <v>522263</v>
          </cell>
          <cell r="C2039" t="str">
            <v>JMCPROJECT</v>
          </cell>
        </row>
        <row r="2040">
          <cell r="A2040" t="str">
            <v>JMC PROJECTS INDIA LTD</v>
          </cell>
          <cell r="B2040">
            <v>522263</v>
          </cell>
          <cell r="C2040" t="str">
            <v>JMCPROJECT</v>
          </cell>
        </row>
        <row r="2041">
          <cell r="A2041" t="str">
            <v>JMD VENTURES LTD</v>
          </cell>
          <cell r="B2041">
            <v>511092</v>
          </cell>
          <cell r="C2041" t="str">
            <v>Not Listed</v>
          </cell>
        </row>
        <row r="2042">
          <cell r="A2042" t="str">
            <v>JMG CORPORATION LTD</v>
          </cell>
          <cell r="B2042">
            <v>523712</v>
          </cell>
          <cell r="C2042" t="str">
            <v>Not Listed</v>
          </cell>
        </row>
        <row r="2043">
          <cell r="A2043" t="str">
            <v>JMT AUTO LTD</v>
          </cell>
          <cell r="B2043">
            <v>513691</v>
          </cell>
          <cell r="C2043" t="str">
            <v>JMTAUTOLTD</v>
          </cell>
        </row>
        <row r="2044">
          <cell r="A2044" t="str">
            <v>JOCIL LTD</v>
          </cell>
          <cell r="B2044" t="str">
            <v>Not Listed</v>
          </cell>
          <cell r="C2044" t="str">
            <v>JOCIL</v>
          </cell>
        </row>
        <row r="2045">
          <cell r="A2045" t="str">
            <v>JOHNSON CONTROLS – HITACHI AIR CONDITIONING (INDIA) LTD</v>
          </cell>
          <cell r="B2045">
            <v>523398</v>
          </cell>
          <cell r="C2045" t="str">
            <v>JCHAC</v>
          </cell>
        </row>
        <row r="2046">
          <cell r="A2046" t="str">
            <v>JOHNSON CONTROLS – HITACHI AIR CONDITIONING INDIA LTD</v>
          </cell>
          <cell r="B2046">
            <v>523398</v>
          </cell>
          <cell r="C2046" t="str">
            <v>JCHAC</v>
          </cell>
        </row>
        <row r="2047">
          <cell r="A2047" t="str">
            <v>JOINDRE CAPITAL SERVICES LTD</v>
          </cell>
          <cell r="B2047">
            <v>531861</v>
          </cell>
          <cell r="C2047" t="str">
            <v>Not Listed</v>
          </cell>
        </row>
        <row r="2048">
          <cell r="A2048" t="str">
            <v>JOINTECA EDUCATION SOLUTIONS LTD</v>
          </cell>
          <cell r="B2048">
            <v>534659</v>
          </cell>
          <cell r="C2048" t="str">
            <v>Not Listed</v>
          </cell>
        </row>
        <row r="2049">
          <cell r="A2049" t="str">
            <v>Jonjua Overseas Ltd</v>
          </cell>
          <cell r="B2049">
            <v>542446</v>
          </cell>
          <cell r="C2049" t="str">
            <v>JONJUA</v>
          </cell>
        </row>
        <row r="2050">
          <cell r="A2050" t="str">
            <v>JOONKTOLLEE TEA &amp; INDUSTRIES LTD</v>
          </cell>
          <cell r="B2050">
            <v>538092</v>
          </cell>
          <cell r="C2050" t="str">
            <v>Not Listed</v>
          </cell>
        </row>
        <row r="2051">
          <cell r="A2051" t="str">
            <v>JOST'S ENGINEERING CO LTD</v>
          </cell>
          <cell r="B2051">
            <v>505750</v>
          </cell>
          <cell r="C2051" t="str">
            <v>Not Listed</v>
          </cell>
        </row>
        <row r="2052">
          <cell r="A2052" t="str">
            <v>JOY REALTY LTD</v>
          </cell>
          <cell r="B2052">
            <v>508929</v>
          </cell>
          <cell r="C2052" t="str">
            <v>Not Listed</v>
          </cell>
        </row>
        <row r="2053">
          <cell r="A2053" t="str">
            <v>JPT SECURITIES LTD</v>
          </cell>
          <cell r="B2053">
            <v>530985</v>
          </cell>
          <cell r="C2053" t="str">
            <v>Not Listed</v>
          </cell>
        </row>
        <row r="2054">
          <cell r="A2054" t="str">
            <v>JRI INDUSTRIES &amp; INFRASTRUCTURE LTD</v>
          </cell>
          <cell r="B2054">
            <v>506016</v>
          </cell>
          <cell r="C2054" t="str">
            <v>Not Listed</v>
          </cell>
        </row>
        <row r="2055">
          <cell r="A2055" t="str">
            <v>JSL INDUSTRIES LTD</v>
          </cell>
          <cell r="B2055">
            <v>504080</v>
          </cell>
          <cell r="C2055" t="str">
            <v>Not Listed</v>
          </cell>
        </row>
        <row r="2056">
          <cell r="A2056" t="str">
            <v>JSW ENERGY LTD</v>
          </cell>
          <cell r="B2056">
            <v>533148</v>
          </cell>
          <cell r="C2056" t="str">
            <v>JSWENERGY</v>
          </cell>
        </row>
        <row r="2057">
          <cell r="A2057" t="str">
            <v>JSW HOLDINGS LTD</v>
          </cell>
          <cell r="B2057">
            <v>532642</v>
          </cell>
          <cell r="C2057" t="str">
            <v>JSWHL</v>
          </cell>
        </row>
        <row r="2058">
          <cell r="A2058" t="str">
            <v>JSW STEEL LTD</v>
          </cell>
          <cell r="B2058">
            <v>500228</v>
          </cell>
          <cell r="C2058" t="str">
            <v>JSWSTEEL</v>
          </cell>
        </row>
        <row r="2059">
          <cell r="A2059" t="str">
            <v>JTEKT (INDIA) LTD</v>
          </cell>
          <cell r="B2059">
            <v>520057</v>
          </cell>
          <cell r="C2059" t="str">
            <v>JTEKT(INDIA)</v>
          </cell>
        </row>
        <row r="2060">
          <cell r="A2060" t="str">
            <v>JTEKT INDIA LTD</v>
          </cell>
          <cell r="B2060">
            <v>520057</v>
          </cell>
          <cell r="C2060" t="str">
            <v>JTEKTINDIA</v>
          </cell>
        </row>
        <row r="2061">
          <cell r="A2061" t="str">
            <v>JTL INFRA LTD</v>
          </cell>
          <cell r="B2061">
            <v>534600</v>
          </cell>
          <cell r="C2061" t="str">
            <v>Not Listed</v>
          </cell>
        </row>
        <row r="2062">
          <cell r="A2062" t="str">
            <v>JUBILANT FOODWORKS LTD</v>
          </cell>
          <cell r="B2062">
            <v>533155</v>
          </cell>
          <cell r="C2062" t="str">
            <v>JUBLFOOD</v>
          </cell>
        </row>
        <row r="2063">
          <cell r="A2063" t="str">
            <v>JUBILANT INDUSTRIES LTD</v>
          </cell>
          <cell r="B2063">
            <v>533320</v>
          </cell>
          <cell r="C2063" t="str">
            <v>JUBLINDS</v>
          </cell>
        </row>
        <row r="2064">
          <cell r="A2064" t="str">
            <v>JUBILANT LIFE SCIENCES LTD</v>
          </cell>
          <cell r="B2064">
            <v>530019</v>
          </cell>
          <cell r="C2064" t="str">
            <v>JUBILANT</v>
          </cell>
        </row>
        <row r="2065">
          <cell r="A2065" t="str">
            <v>JULLUNDUR MOTOR AGENCY DELHI LTD</v>
          </cell>
          <cell r="B2065" t="str">
            <v>Not Listed</v>
          </cell>
          <cell r="C2065" t="str">
            <v>JMA</v>
          </cell>
        </row>
        <row r="2066">
          <cell r="A2066" t="str">
            <v>JUMBO BAG LTD</v>
          </cell>
          <cell r="B2066">
            <v>516078</v>
          </cell>
          <cell r="C2066" t="str">
            <v>Not Listed</v>
          </cell>
        </row>
        <row r="2067">
          <cell r="A2067" t="str">
            <v>JUMBO FINANCE LTD</v>
          </cell>
          <cell r="B2067">
            <v>511060</v>
          </cell>
          <cell r="C2067" t="str">
            <v>Not Listed</v>
          </cell>
        </row>
        <row r="2068">
          <cell r="A2068" t="str">
            <v>JUNCTION FABRICS AND APPARELS LTD</v>
          </cell>
          <cell r="B2068">
            <v>539216</v>
          </cell>
          <cell r="C2068" t="str">
            <v>Not Listed</v>
          </cell>
        </row>
        <row r="2069">
          <cell r="A2069" t="str">
            <v>JUPITER INDUSTRIES &amp; LEASING LTD</v>
          </cell>
          <cell r="B2069">
            <v>507987</v>
          </cell>
          <cell r="C2069" t="str">
            <v>Not Listed</v>
          </cell>
        </row>
        <row r="2070">
          <cell r="A2070" t="str">
            <v>JUPITER INFOMEDIA LTD</v>
          </cell>
          <cell r="B2070">
            <v>534623</v>
          </cell>
          <cell r="C2070" t="str">
            <v>Not Listed</v>
          </cell>
        </row>
        <row r="2071">
          <cell r="A2071" t="str">
            <v>JUST DIAL LTD</v>
          </cell>
          <cell r="B2071">
            <v>535648</v>
          </cell>
          <cell r="C2071" t="str">
            <v>JUSTDIAL</v>
          </cell>
        </row>
        <row r="2072">
          <cell r="A2072" t="str">
            <v>JUSTRIDE ENTERPRISES LTD</v>
          </cell>
          <cell r="B2072">
            <v>531035</v>
          </cell>
          <cell r="C2072" t="str">
            <v>Not Listed</v>
          </cell>
        </row>
        <row r="2073">
          <cell r="A2073" t="str">
            <v>JVL AGRO INDUSTRIES LTD</v>
          </cell>
          <cell r="B2073">
            <v>519248</v>
          </cell>
          <cell r="C2073" t="str">
            <v>JVLAGRO</v>
          </cell>
        </row>
        <row r="2074">
          <cell r="A2074" t="str">
            <v>Jyot International Marketing Ltd</v>
          </cell>
          <cell r="B2074">
            <v>542544</v>
          </cell>
          <cell r="C2074" t="str">
            <v>JYOTIN</v>
          </cell>
        </row>
        <row r="2075">
          <cell r="A2075" t="str">
            <v>JYOTHY LABORATORIES LTD</v>
          </cell>
          <cell r="B2075">
            <v>532926</v>
          </cell>
          <cell r="C2075" t="str">
            <v>JYOTHYLAB</v>
          </cell>
        </row>
        <row r="2076">
          <cell r="A2076" t="str">
            <v>JYOTI LTD</v>
          </cell>
          <cell r="B2076">
            <v>504076</v>
          </cell>
          <cell r="C2076" t="str">
            <v>Not Listed</v>
          </cell>
        </row>
        <row r="2077">
          <cell r="A2077" t="str">
            <v>JYOTI RESINS &amp; ADHESIVES LTD</v>
          </cell>
          <cell r="B2077">
            <v>514448</v>
          </cell>
          <cell r="C2077" t="str">
            <v>Not Listed</v>
          </cell>
        </row>
        <row r="2078">
          <cell r="A2078" t="str">
            <v>JYOTI STRUCTURES LTD</v>
          </cell>
          <cell r="B2078">
            <v>513250</v>
          </cell>
          <cell r="C2078" t="str">
            <v>JYOTISTRUC</v>
          </cell>
        </row>
        <row r="2079">
          <cell r="A2079" t="str">
            <v>JYOTIRGAMYA ENTERPRISES LTD</v>
          </cell>
          <cell r="B2079">
            <v>539246</v>
          </cell>
          <cell r="C2079" t="str">
            <v>Not Listed</v>
          </cell>
        </row>
        <row r="2080">
          <cell r="A2080" t="str">
            <v>K M SUGAR MILLS LTD</v>
          </cell>
          <cell r="B2080">
            <v>532673</v>
          </cell>
          <cell r="C2080" t="str">
            <v>KMSUGAR</v>
          </cell>
        </row>
        <row r="2081">
          <cell r="A2081" t="str">
            <v>K P  ENERGY LTD</v>
          </cell>
          <cell r="B2081">
            <v>539686</v>
          </cell>
          <cell r="C2081" t="str">
            <v>Not Listed</v>
          </cell>
        </row>
        <row r="2082">
          <cell r="A2082" t="str">
            <v>K P R MILL LTD</v>
          </cell>
          <cell r="B2082">
            <v>532889</v>
          </cell>
          <cell r="C2082" t="str">
            <v>KPRMILL</v>
          </cell>
        </row>
        <row r="2083">
          <cell r="A2083" t="str">
            <v>K Z LEASING &amp; FINANCE LTD</v>
          </cell>
          <cell r="B2083">
            <v>511728</v>
          </cell>
          <cell r="C2083" t="str">
            <v>Not Listed</v>
          </cell>
        </row>
        <row r="2084">
          <cell r="A2084" t="str">
            <v>K&amp;R RAIL ENGINEERING LTD</v>
          </cell>
          <cell r="B2084">
            <v>514360</v>
          </cell>
          <cell r="C2084" t="str">
            <v>Not Listed</v>
          </cell>
        </row>
        <row r="2085">
          <cell r="A2085" t="str">
            <v>K.P.I. Global Infrastructure Ltd</v>
          </cell>
          <cell r="B2085">
            <v>542323</v>
          </cell>
          <cell r="C2085" t="str">
            <v>KPIGLOBAL</v>
          </cell>
        </row>
        <row r="2086">
          <cell r="A2086" t="str">
            <v>KAARYA FACILITIES AND SERVICES LTD</v>
          </cell>
          <cell r="B2086">
            <v>540756</v>
          </cell>
          <cell r="C2086" t="str">
            <v>Not Listed</v>
          </cell>
        </row>
        <row r="2087">
          <cell r="A2087" t="str">
            <v>KABRA COMMERCIAL LTD</v>
          </cell>
          <cell r="B2087">
            <v>539393</v>
          </cell>
          <cell r="C2087" t="str">
            <v>Not Listed</v>
          </cell>
        </row>
        <row r="2088">
          <cell r="A2088" t="str">
            <v>KABRA DRUGS LTD</v>
          </cell>
          <cell r="B2088">
            <v>524322</v>
          </cell>
          <cell r="C2088" t="str">
            <v>Not Listed</v>
          </cell>
        </row>
        <row r="2089">
          <cell r="A2089" t="str">
            <v>KABRA EXTRUSION TECHNIK LTD</v>
          </cell>
          <cell r="B2089">
            <v>524109</v>
          </cell>
          <cell r="C2089" t="str">
            <v>KABRAEXTRU</v>
          </cell>
        </row>
        <row r="2090">
          <cell r="A2090" t="str">
            <v>KABSONS INDUSTRIES LTD</v>
          </cell>
          <cell r="B2090">
            <v>524675</v>
          </cell>
          <cell r="C2090" t="str">
            <v>Not Listed</v>
          </cell>
        </row>
        <row r="2091">
          <cell r="A2091" t="str">
            <v>KACHCHH MINERALS LTD</v>
          </cell>
          <cell r="B2091">
            <v>531778</v>
          </cell>
          <cell r="C2091" t="str">
            <v>Not Listed</v>
          </cell>
        </row>
        <row r="2092">
          <cell r="A2092" t="str">
            <v>KAIRA CAN CO LTD</v>
          </cell>
          <cell r="B2092">
            <v>504840</v>
          </cell>
          <cell r="C2092" t="str">
            <v>Not Listed</v>
          </cell>
        </row>
        <row r="2093">
          <cell r="A2093" t="str">
            <v>KAISER CORPORATION LTD</v>
          </cell>
          <cell r="B2093">
            <v>531780</v>
          </cell>
          <cell r="C2093" t="str">
            <v>Not Listed</v>
          </cell>
        </row>
        <row r="2094">
          <cell r="A2094" t="str">
            <v>KAJARIA CERAMICS LTD</v>
          </cell>
          <cell r="B2094">
            <v>500233</v>
          </cell>
          <cell r="C2094" t="str">
            <v>KAJARIACER</v>
          </cell>
        </row>
        <row r="2095">
          <cell r="A2095" t="str">
            <v>KAKATIYA CEMENT SUGAR &amp; INDUSTRIES LTD</v>
          </cell>
          <cell r="B2095">
            <v>500234</v>
          </cell>
          <cell r="C2095" t="str">
            <v>KAKATCEM</v>
          </cell>
        </row>
        <row r="2096">
          <cell r="A2096" t="str">
            <v>KAKATIYA TEXTILES LTD</v>
          </cell>
          <cell r="B2096">
            <v>521054</v>
          </cell>
          <cell r="C2096" t="str">
            <v>Not Listed</v>
          </cell>
        </row>
        <row r="2097">
          <cell r="A2097" t="str">
            <v>KALLAM TEXTILES LTD</v>
          </cell>
          <cell r="B2097">
            <v>530201</v>
          </cell>
          <cell r="C2097" t="str">
            <v>Not Listed</v>
          </cell>
        </row>
        <row r="2098">
          <cell r="A2098" t="str">
            <v>KALPA COMMERCIAL LTD</v>
          </cell>
          <cell r="B2098">
            <v>539014</v>
          </cell>
          <cell r="C2098" t="str">
            <v>Not Listed</v>
          </cell>
        </row>
        <row r="2099">
          <cell r="A2099" t="str">
            <v>KALPATARU POWER TRANSMISSION LTD</v>
          </cell>
          <cell r="B2099">
            <v>522287</v>
          </cell>
          <cell r="C2099" t="str">
            <v>KALPATPOWR</v>
          </cell>
        </row>
        <row r="2100">
          <cell r="A2100" t="str">
            <v>KALYANI COMMERCIALS LTD</v>
          </cell>
          <cell r="B2100" t="str">
            <v>Not Listed</v>
          </cell>
          <cell r="C2100" t="str">
            <v>KALYANI</v>
          </cell>
        </row>
        <row r="2101">
          <cell r="A2101" t="str">
            <v>KALYANI FORGE LTD</v>
          </cell>
          <cell r="B2101">
            <v>513509</v>
          </cell>
          <cell r="C2101" t="str">
            <v>KALYANIFRG</v>
          </cell>
        </row>
        <row r="2102">
          <cell r="A2102" t="str">
            <v>KALYANI INVESTMENT COMPANY LTD</v>
          </cell>
          <cell r="B2102">
            <v>533302</v>
          </cell>
          <cell r="C2102" t="str">
            <v>KICL</v>
          </cell>
        </row>
        <row r="2103">
          <cell r="A2103" t="str">
            <v>KALYANI STEELS LTD</v>
          </cell>
          <cell r="B2103">
            <v>500235</v>
          </cell>
          <cell r="C2103" t="str">
            <v>KSL</v>
          </cell>
        </row>
        <row r="2104">
          <cell r="A2104" t="str">
            <v>KAMA HOLDINGS LTD</v>
          </cell>
          <cell r="B2104">
            <v>532468</v>
          </cell>
          <cell r="C2104" t="str">
            <v>Not Listed</v>
          </cell>
        </row>
        <row r="2105">
          <cell r="A2105" t="str">
            <v>KAMADGIRI FASHION LTD</v>
          </cell>
          <cell r="B2105">
            <v>514322</v>
          </cell>
          <cell r="C2105" t="str">
            <v>Not Listed</v>
          </cell>
        </row>
        <row r="2106">
          <cell r="A2106" t="str">
            <v>KAMANWALA HOUSING CONSTRUCTION LTD</v>
          </cell>
          <cell r="B2106">
            <v>511131</v>
          </cell>
          <cell r="C2106" t="str">
            <v>Not Listed</v>
          </cell>
        </row>
        <row r="2107">
          <cell r="A2107" t="str">
            <v>KAMAT HOTELS I LTD</v>
          </cell>
          <cell r="B2107">
            <v>526668</v>
          </cell>
          <cell r="C2107" t="str">
            <v>KAMATHOTEL</v>
          </cell>
        </row>
        <row r="2108">
          <cell r="A2108" t="str">
            <v>KAMDHENU LTD</v>
          </cell>
          <cell r="B2108">
            <v>532741</v>
          </cell>
          <cell r="C2108" t="str">
            <v>KAMDHENU</v>
          </cell>
        </row>
        <row r="2109">
          <cell r="A2109" t="str">
            <v>KAMRON LABORATORIES LTD</v>
          </cell>
          <cell r="B2109">
            <v>524604</v>
          </cell>
          <cell r="C2109" t="str">
            <v>Not Listed</v>
          </cell>
        </row>
        <row r="2110">
          <cell r="A2110" t="str">
            <v>KANAK KRISHI IMPLEMENTS LTD</v>
          </cell>
          <cell r="B2110">
            <v>780003</v>
          </cell>
          <cell r="C2110" t="str">
            <v>Not Listed</v>
          </cell>
        </row>
        <row r="2111">
          <cell r="A2111" t="str">
            <v>KANANI INDUSTRIES LTD</v>
          </cell>
          <cell r="B2111">
            <v>506184</v>
          </cell>
          <cell r="C2111" t="str">
            <v>KANANIIND</v>
          </cell>
        </row>
        <row r="2112">
          <cell r="A2112" t="str">
            <v>KANCHI KARPOORAM LTD</v>
          </cell>
          <cell r="B2112">
            <v>538896</v>
          </cell>
          <cell r="C2112" t="str">
            <v>Not Listed</v>
          </cell>
        </row>
        <row r="2113">
          <cell r="A2113" t="str">
            <v>KANCO TEA &amp; INDUSTRIES LTD</v>
          </cell>
          <cell r="B2113">
            <v>541005</v>
          </cell>
          <cell r="C2113" t="str">
            <v>Not Listed</v>
          </cell>
        </row>
        <row r="2114">
          <cell r="A2114" t="str">
            <v>KANDAGIRI SPINNING MILLS LTD</v>
          </cell>
          <cell r="B2114">
            <v>521242</v>
          </cell>
          <cell r="C2114" t="str">
            <v>Not Listed</v>
          </cell>
        </row>
        <row r="2115">
          <cell r="A2115" t="str">
            <v>Kanel Industries LTD</v>
          </cell>
          <cell r="B2115">
            <v>500236</v>
          </cell>
          <cell r="C2115" t="str">
            <v>KANELIND</v>
          </cell>
        </row>
        <row r="2116">
          <cell r="A2116" t="str">
            <v>KANISHK STEEL INDUSTRIES LTD</v>
          </cell>
          <cell r="B2116">
            <v>513456</v>
          </cell>
          <cell r="C2116" t="str">
            <v>Not Listed</v>
          </cell>
        </row>
        <row r="2117">
          <cell r="A2117" t="str">
            <v>KANORIA CHEMICALS &amp; INDUSTRIES LTD</v>
          </cell>
          <cell r="B2117">
            <v>506525</v>
          </cell>
          <cell r="C2117" t="str">
            <v>KANORICHEM</v>
          </cell>
        </row>
        <row r="2118">
          <cell r="A2118" t="str">
            <v>KANPUR PLASTIPACK LTD</v>
          </cell>
          <cell r="B2118">
            <v>507779</v>
          </cell>
          <cell r="C2118" t="str">
            <v>Not Listed</v>
          </cell>
        </row>
        <row r="2119">
          <cell r="A2119" t="str">
            <v>KANSAI NEROLAC PAINTS LTD</v>
          </cell>
          <cell r="B2119">
            <v>500165</v>
          </cell>
          <cell r="C2119" t="str">
            <v>KANSAINER</v>
          </cell>
        </row>
        <row r="2120">
          <cell r="A2120" t="str">
            <v>KANUNGO FINANCIERS LTD</v>
          </cell>
          <cell r="B2120">
            <v>540515</v>
          </cell>
          <cell r="C2120" t="str">
            <v>Not Listed</v>
          </cell>
        </row>
        <row r="2121">
          <cell r="A2121" t="str">
            <v>KAPASHI COMMERCIALS LTD</v>
          </cell>
          <cell r="B2121">
            <v>512399</v>
          </cell>
          <cell r="C2121" t="str">
            <v>Not Listed</v>
          </cell>
        </row>
        <row r="2122">
          <cell r="A2122" t="str">
            <v>KAPIL COTEX LTD</v>
          </cell>
          <cell r="B2122">
            <v>512036</v>
          </cell>
          <cell r="C2122" t="str">
            <v>Not Listed</v>
          </cell>
        </row>
        <row r="2123">
          <cell r="A2123" t="str">
            <v>KAPIL RAJ FINANCE LTD</v>
          </cell>
          <cell r="B2123">
            <v>539679</v>
          </cell>
          <cell r="C2123" t="str">
            <v>Not Listed</v>
          </cell>
        </row>
        <row r="2124">
          <cell r="A2124" t="str">
            <v>KAPSTON FACILITIES MANAGEMENT LTD</v>
          </cell>
          <cell r="B2124" t="str">
            <v>Not Listed</v>
          </cell>
          <cell r="C2124" t="str">
            <v>KAPSTON</v>
          </cell>
        </row>
        <row r="2125">
          <cell r="A2125" t="str">
            <v>KARAN WOO-SIN LTD</v>
          </cell>
          <cell r="B2125">
            <v>526115</v>
          </cell>
          <cell r="C2125" t="str">
            <v>Not Listed</v>
          </cell>
        </row>
        <row r="2126">
          <cell r="A2126" t="str">
            <v>KARDA CONSTRUCTIONS LTD</v>
          </cell>
          <cell r="B2126">
            <v>541161</v>
          </cell>
          <cell r="C2126" t="str">
            <v>KARDA</v>
          </cell>
        </row>
        <row r="2127">
          <cell r="A2127" t="str">
            <v>KARMA ENERGY LTD</v>
          </cell>
          <cell r="B2127">
            <v>533451</v>
          </cell>
          <cell r="C2127" t="str">
            <v>KARMAENG</v>
          </cell>
        </row>
        <row r="2128">
          <cell r="A2128" t="str">
            <v>KARNAVATI FINANCE LTD</v>
          </cell>
          <cell r="B2128">
            <v>538928</v>
          </cell>
          <cell r="C2128" t="str">
            <v>Not Listed</v>
          </cell>
        </row>
        <row r="2129">
          <cell r="A2129" t="str">
            <v>KARNIMATA COLD STORAGE LTD</v>
          </cell>
          <cell r="B2129">
            <v>537784</v>
          </cell>
          <cell r="C2129" t="str">
            <v>Not Listed</v>
          </cell>
        </row>
        <row r="2130">
          <cell r="A2130" t="str">
            <v>KARUR VYSYA BANK LTD</v>
          </cell>
          <cell r="B2130">
            <v>590003</v>
          </cell>
          <cell r="C2130" t="str">
            <v>KARURVYSYA</v>
          </cell>
        </row>
        <row r="2131">
          <cell r="A2131" t="str">
            <v>KARUTURI GLOBAL LTD</v>
          </cell>
          <cell r="B2131">
            <v>531687</v>
          </cell>
          <cell r="C2131" t="str">
            <v>KGL</v>
          </cell>
        </row>
        <row r="2132">
          <cell r="A2132" t="str">
            <v>KASHIRAM JAIN AND COMPANY LTD</v>
          </cell>
          <cell r="B2132">
            <v>539533</v>
          </cell>
          <cell r="C2132" t="str">
            <v>Not Listed</v>
          </cell>
        </row>
        <row r="2133">
          <cell r="A2133" t="str">
            <v>KATARE SPINNING MILLS LTD</v>
          </cell>
          <cell r="B2133">
            <v>502933</v>
          </cell>
          <cell r="C2133" t="str">
            <v>Not Listed</v>
          </cell>
        </row>
        <row r="2134">
          <cell r="A2134" t="str">
            <v>KAUSHALYA INFRASTRUCTURE DEVELOPMENT CORPORATION LTD</v>
          </cell>
          <cell r="B2134">
            <v>532925</v>
          </cell>
          <cell r="C2134" t="str">
            <v>KAUSHALYA</v>
          </cell>
        </row>
        <row r="2135">
          <cell r="A2135" t="str">
            <v>KAVERI SEED COMPANY LTD</v>
          </cell>
          <cell r="B2135">
            <v>532899</v>
          </cell>
          <cell r="C2135" t="str">
            <v>KSCL</v>
          </cell>
        </row>
        <row r="2136">
          <cell r="A2136" t="str">
            <v>KAVIT INDUSTRIES LTD</v>
          </cell>
          <cell r="B2136">
            <v>524444</v>
          </cell>
          <cell r="C2136" t="str">
            <v>Not Listed</v>
          </cell>
        </row>
        <row r="2137">
          <cell r="A2137" t="str">
            <v>KAVITA FABRICS LTD</v>
          </cell>
          <cell r="B2137">
            <v>535136</v>
          </cell>
          <cell r="C2137" t="str">
            <v>Not Listed</v>
          </cell>
        </row>
        <row r="2138">
          <cell r="A2138" t="str">
            <v>KAVVERI TELECOM PRODUCTS LTD</v>
          </cell>
          <cell r="B2138">
            <v>590041</v>
          </cell>
          <cell r="C2138" t="str">
            <v>KAVVERITEL</v>
          </cell>
        </row>
        <row r="2139">
          <cell r="A2139" t="str">
            <v>KAY POWER AND PAPER LTD</v>
          </cell>
          <cell r="B2139">
            <v>530255</v>
          </cell>
          <cell r="C2139" t="str">
            <v>Not Listed</v>
          </cell>
        </row>
        <row r="2140">
          <cell r="A2140" t="str">
            <v>KAYA LTD</v>
          </cell>
          <cell r="B2140">
            <v>539276</v>
          </cell>
          <cell r="C2140" t="str">
            <v>KAYA</v>
          </cell>
        </row>
        <row r="2141">
          <cell r="A2141" t="str">
            <v>KAYCEE INDUSTRIES LTD</v>
          </cell>
          <cell r="B2141">
            <v>504084</v>
          </cell>
          <cell r="C2141" t="str">
            <v>Not Listed</v>
          </cell>
        </row>
        <row r="2142">
          <cell r="A2142" t="str">
            <v>KAYEL SECURITIES LTD</v>
          </cell>
          <cell r="B2142">
            <v>539562</v>
          </cell>
          <cell r="C2142" t="str">
            <v>Not Listed</v>
          </cell>
        </row>
        <row r="2143">
          <cell r="A2143" t="str">
            <v>KBS (INDIA) LTD</v>
          </cell>
          <cell r="B2143">
            <v>530357</v>
          </cell>
          <cell r="C2143" t="str">
            <v>Not Listed</v>
          </cell>
        </row>
        <row r="2144">
          <cell r="A2144" t="str">
            <v>KBS INDIA LTD</v>
          </cell>
          <cell r="B2144">
            <v>530357</v>
          </cell>
          <cell r="C2144" t="str">
            <v>Not Listed</v>
          </cell>
        </row>
        <row r="2145">
          <cell r="A2145" t="str">
            <v>KCCL PLASTIC LTD</v>
          </cell>
          <cell r="B2145">
            <v>526067</v>
          </cell>
          <cell r="C2145" t="str">
            <v>Not Listed</v>
          </cell>
        </row>
        <row r="2146">
          <cell r="A2146" t="str">
            <v>KCL INFRA PROJECTS LTD</v>
          </cell>
          <cell r="B2146">
            <v>531784</v>
          </cell>
          <cell r="C2146" t="str">
            <v>Not Listed</v>
          </cell>
        </row>
        <row r="2147">
          <cell r="A2147" t="str">
            <v>KCP LTD</v>
          </cell>
          <cell r="B2147">
            <v>590066</v>
          </cell>
          <cell r="C2147" t="str">
            <v>KCP</v>
          </cell>
        </row>
        <row r="2148">
          <cell r="A2148" t="str">
            <v>KCP SUGAR AND INDUSTRIES CORPORATION LTD</v>
          </cell>
          <cell r="B2148">
            <v>533192</v>
          </cell>
          <cell r="C2148" t="str">
            <v>KCPSUGIND</v>
          </cell>
        </row>
        <row r="2149">
          <cell r="A2149" t="str">
            <v>KD LEISURES LTD</v>
          </cell>
          <cell r="B2149">
            <v>540385</v>
          </cell>
          <cell r="C2149" t="str">
            <v>Not Listed</v>
          </cell>
        </row>
        <row r="2150">
          <cell r="A2150" t="str">
            <v>KDDL LTD</v>
          </cell>
          <cell r="B2150">
            <v>532054</v>
          </cell>
          <cell r="C2150" t="str">
            <v>KDDL</v>
          </cell>
        </row>
        <row r="2151">
          <cell r="A2151" t="str">
            <v>KEC INTERNATIONAL LTD</v>
          </cell>
          <cell r="B2151">
            <v>532714</v>
          </cell>
          <cell r="C2151" t="str">
            <v>KEC</v>
          </cell>
        </row>
        <row r="2152">
          <cell r="A2152" t="str">
            <v>KEDIA CONSTRUCTION CO LTD</v>
          </cell>
          <cell r="B2152">
            <v>508993</v>
          </cell>
          <cell r="C2152" t="str">
            <v>Not Listed</v>
          </cell>
        </row>
        <row r="2153">
          <cell r="A2153" t="str">
            <v>KEERTHI INDUSTRIES LTD</v>
          </cell>
          <cell r="B2153">
            <v>518011</v>
          </cell>
          <cell r="C2153" t="str">
            <v>Not Listed</v>
          </cell>
        </row>
        <row r="2154">
          <cell r="A2154" t="str">
            <v>KEERTI KNOWLEDGE AND SKILLS LTD</v>
          </cell>
          <cell r="B2154" t="str">
            <v>Not Listed</v>
          </cell>
          <cell r="C2154" t="str">
            <v>KEERTI</v>
          </cell>
        </row>
        <row r="2155">
          <cell r="A2155" t="str">
            <v>KEI INDUSTRIES LTD</v>
          </cell>
          <cell r="B2155">
            <v>517569</v>
          </cell>
          <cell r="C2155" t="str">
            <v>KEI</v>
          </cell>
        </row>
        <row r="2156">
          <cell r="A2156" t="str">
            <v>KELLTON TECH SOLUTIONS LTD</v>
          </cell>
          <cell r="B2156">
            <v>519602</v>
          </cell>
          <cell r="C2156" t="str">
            <v>KELLTONTEC</v>
          </cell>
        </row>
        <row r="2157">
          <cell r="A2157" t="str">
            <v>KELTECH ENERGIES LTD</v>
          </cell>
          <cell r="B2157">
            <v>506528</v>
          </cell>
          <cell r="C2157" t="str">
            <v>Not Listed</v>
          </cell>
        </row>
        <row r="2158">
          <cell r="A2158" t="str">
            <v>Kemistar Corporation LTD</v>
          </cell>
          <cell r="B2158">
            <v>531163</v>
          </cell>
          <cell r="C2158" t="str">
            <v>KEMISTAR</v>
          </cell>
        </row>
        <row r="2159">
          <cell r="A2159" t="str">
            <v>KEMP &amp; COMPANY LTD</v>
          </cell>
          <cell r="B2159">
            <v>506530</v>
          </cell>
          <cell r="C2159" t="str">
            <v>Not Listed</v>
          </cell>
        </row>
        <row r="2160">
          <cell r="A2160" t="str">
            <v>KENNAMETAL (INDIA) LTD</v>
          </cell>
          <cell r="B2160">
            <v>505890</v>
          </cell>
          <cell r="C2160" t="str">
            <v>Not Listed</v>
          </cell>
        </row>
        <row r="2161">
          <cell r="A2161" t="str">
            <v>KENNAMETAL INDIA LTD</v>
          </cell>
          <cell r="B2161">
            <v>505890</v>
          </cell>
          <cell r="C2161" t="str">
            <v>Not Listed</v>
          </cell>
        </row>
        <row r="2162">
          <cell r="A2162" t="str">
            <v>KENVI JEWELS LTD</v>
          </cell>
          <cell r="B2162">
            <v>540953</v>
          </cell>
          <cell r="C2162" t="str">
            <v>Not Listed</v>
          </cell>
        </row>
        <row r="2163">
          <cell r="A2163" t="str">
            <v>KERALA AYURVEDA LTD</v>
          </cell>
          <cell r="B2163">
            <v>530163</v>
          </cell>
          <cell r="C2163" t="str">
            <v>Not Listed</v>
          </cell>
        </row>
        <row r="2164">
          <cell r="A2164" t="str">
            <v>KERNEX MICROSYSTEMS (INDIA) LTD</v>
          </cell>
          <cell r="B2164">
            <v>532686</v>
          </cell>
          <cell r="C2164" t="str">
            <v>KERNEX</v>
          </cell>
        </row>
        <row r="2165">
          <cell r="A2165" t="str">
            <v>KERNEX MICROSYSTEMS INDIA LTD</v>
          </cell>
          <cell r="B2165">
            <v>532686</v>
          </cell>
          <cell r="C2165" t="str">
            <v>KERNEX</v>
          </cell>
        </row>
        <row r="2166">
          <cell r="A2166" t="str">
            <v>KESAR ENTERPRISES LTD</v>
          </cell>
          <cell r="B2166">
            <v>507180</v>
          </cell>
          <cell r="C2166" t="str">
            <v>KESARENT</v>
          </cell>
        </row>
        <row r="2167">
          <cell r="A2167" t="str">
            <v>KESAR PETROPRODUCTS LTD</v>
          </cell>
          <cell r="B2167">
            <v>524174</v>
          </cell>
          <cell r="C2167" t="str">
            <v>Not Listed</v>
          </cell>
        </row>
        <row r="2168">
          <cell r="A2168" t="str">
            <v>KESAR TERMINALS &amp; INFRASTRUCTURE LTD</v>
          </cell>
          <cell r="B2168">
            <v>533289</v>
          </cell>
          <cell r="C2168" t="str">
            <v>KTIL</v>
          </cell>
        </row>
        <row r="2169">
          <cell r="A2169" t="str">
            <v>KESORAM INDUSTRIES LTD</v>
          </cell>
          <cell r="B2169">
            <v>502937</v>
          </cell>
          <cell r="C2169" t="str">
            <v>KESORAMIND</v>
          </cell>
        </row>
        <row r="2170">
          <cell r="A2170" t="str">
            <v>KEWAL KIRAN CLOTHING LTD</v>
          </cell>
          <cell r="B2170">
            <v>532732</v>
          </cell>
          <cell r="C2170" t="str">
            <v>KKCL</v>
          </cell>
        </row>
        <row r="2171">
          <cell r="A2171" t="str">
            <v>KEY CORP LTD</v>
          </cell>
          <cell r="B2171">
            <v>507948</v>
          </cell>
          <cell r="C2171" t="str">
            <v>Not Listed</v>
          </cell>
        </row>
        <row r="2172">
          <cell r="A2172" t="str">
            <v>KEYNOTE CORPORATE SERVICES LTD</v>
          </cell>
          <cell r="B2172">
            <v>512597</v>
          </cell>
          <cell r="C2172" t="str">
            <v>KEYCORPSER</v>
          </cell>
        </row>
        <row r="2173">
          <cell r="A2173" t="str">
            <v>Keynote Financial Services LTD</v>
          </cell>
          <cell r="B2173" t="str">
            <v>Not Listed</v>
          </cell>
          <cell r="C2173" t="str">
            <v>KEYFINSERV</v>
          </cell>
        </row>
        <row r="2174">
          <cell r="A2174" t="str">
            <v>KG DENIM LTD</v>
          </cell>
          <cell r="B2174">
            <v>500239</v>
          </cell>
          <cell r="C2174" t="str">
            <v>Not Listed</v>
          </cell>
        </row>
        <row r="2175">
          <cell r="A2175" t="str">
            <v>KG PETROCHEM LTD</v>
          </cell>
          <cell r="B2175">
            <v>531609</v>
          </cell>
          <cell r="C2175" t="str">
            <v>Not Listed</v>
          </cell>
        </row>
        <row r="2176">
          <cell r="A2176" t="str">
            <v>KHADIM (INDIA) LTD</v>
          </cell>
          <cell r="B2176">
            <v>540775</v>
          </cell>
          <cell r="C2176" t="str">
            <v>KHADIM</v>
          </cell>
        </row>
        <row r="2177">
          <cell r="A2177" t="str">
            <v>KHADIM INDIA LTD</v>
          </cell>
          <cell r="B2177">
            <v>540775</v>
          </cell>
          <cell r="C2177" t="str">
            <v>KHADIM</v>
          </cell>
        </row>
        <row r="2178">
          <cell r="A2178" t="str">
            <v>KHAITAN (INDIA) LTD</v>
          </cell>
          <cell r="B2178">
            <v>590068</v>
          </cell>
          <cell r="C2178" t="str">
            <v>KHAITANLTD</v>
          </cell>
        </row>
        <row r="2179">
          <cell r="A2179" t="str">
            <v>KHAITAN CHEMICALS &amp; FERTILIZERS LTD</v>
          </cell>
          <cell r="B2179">
            <v>507794</v>
          </cell>
          <cell r="C2179" t="str">
            <v>Not Listed</v>
          </cell>
        </row>
        <row r="2180">
          <cell r="A2180" t="str">
            <v>KHAITAN ELECTRICALS LTD.</v>
          </cell>
          <cell r="B2180">
            <v>504269</v>
          </cell>
          <cell r="C2180" t="str">
            <v>KHAITANELE</v>
          </cell>
        </row>
        <row r="2181">
          <cell r="A2181" t="str">
            <v>KHAITAN INDIA LTD</v>
          </cell>
          <cell r="B2181">
            <v>590068</v>
          </cell>
          <cell r="C2181" t="str">
            <v>KHAITANLTD</v>
          </cell>
        </row>
        <row r="2182">
          <cell r="A2182" t="str">
            <v>KHANDELWAL EXTRACTION LTD</v>
          </cell>
          <cell r="B2182">
            <v>519064</v>
          </cell>
          <cell r="C2182" t="str">
            <v>Not Listed</v>
          </cell>
        </row>
        <row r="2183">
          <cell r="A2183" t="str">
            <v>KHANDWALA SECURITIES LTD</v>
          </cell>
          <cell r="B2183">
            <v>531892</v>
          </cell>
          <cell r="C2183" t="str">
            <v>KHANDSE</v>
          </cell>
        </row>
        <row r="2184">
          <cell r="A2184" t="str">
            <v>KHATAU EXIM LTD</v>
          </cell>
          <cell r="B2184">
            <v>506178</v>
          </cell>
          <cell r="C2184" t="str">
            <v>Not Listed</v>
          </cell>
        </row>
        <row r="2185">
          <cell r="A2185" t="str">
            <v>KHATOR FIBRE &amp; FABRICS LTD</v>
          </cell>
          <cell r="B2185">
            <v>521127</v>
          </cell>
          <cell r="C2185" t="str">
            <v>Not Listed</v>
          </cell>
        </row>
        <row r="2186">
          <cell r="A2186" t="str">
            <v>KHEMANI DISTRIBUTORS &amp; MARKETING LTD</v>
          </cell>
          <cell r="B2186">
            <v>539788</v>
          </cell>
          <cell r="C2186" t="str">
            <v>Not Listed</v>
          </cell>
        </row>
        <row r="2187">
          <cell r="A2187" t="str">
            <v>KHODAY (INDIA) LTD</v>
          </cell>
          <cell r="B2187">
            <v>507435</v>
          </cell>
          <cell r="C2187" t="str">
            <v>Not Listed</v>
          </cell>
        </row>
        <row r="2188">
          <cell r="A2188" t="str">
            <v>KHODAY INDIA LTD</v>
          </cell>
          <cell r="B2188">
            <v>507435</v>
          </cell>
          <cell r="C2188" t="str">
            <v>Not Listed</v>
          </cell>
        </row>
        <row r="2189">
          <cell r="A2189" t="str">
            <v>KHOOBSURAT LTD</v>
          </cell>
          <cell r="B2189">
            <v>535730</v>
          </cell>
          <cell r="C2189" t="str">
            <v>Not Listed</v>
          </cell>
        </row>
        <row r="2190">
          <cell r="A2190" t="str">
            <v>KHYATI MULTIMEDIA-ENTERTAINMENT LTD</v>
          </cell>
          <cell r="B2190">
            <v>531692</v>
          </cell>
          <cell r="C2190" t="str">
            <v>Not Listed</v>
          </cell>
        </row>
        <row r="2191">
          <cell r="A2191" t="str">
            <v>KIC METALIKS LTD</v>
          </cell>
          <cell r="B2191">
            <v>513693</v>
          </cell>
          <cell r="C2191" t="str">
            <v>Not Listed</v>
          </cell>
        </row>
        <row r="2192">
          <cell r="A2192" t="str">
            <v>KIDS MEDICAL SYSTEMS LTD</v>
          </cell>
          <cell r="B2192">
            <v>540812</v>
          </cell>
          <cell r="C2192" t="str">
            <v>Not Listed</v>
          </cell>
        </row>
        <row r="2193">
          <cell r="A2193" t="str">
            <v>KIDUJA (INDIA) LTD</v>
          </cell>
          <cell r="B2193">
            <v>507946</v>
          </cell>
          <cell r="C2193" t="str">
            <v>Not Listed</v>
          </cell>
        </row>
        <row r="2194">
          <cell r="A2194" t="str">
            <v>KIDUJA INDIA LTD</v>
          </cell>
          <cell r="B2194">
            <v>507946</v>
          </cell>
          <cell r="C2194" t="str">
            <v>Not Listed</v>
          </cell>
        </row>
        <row r="2195">
          <cell r="A2195" t="str">
            <v>KIFS FINANCIAL SERVICES LTD</v>
          </cell>
          <cell r="B2195">
            <v>535566</v>
          </cell>
          <cell r="C2195" t="str">
            <v>Not Listed</v>
          </cell>
        </row>
        <row r="2196">
          <cell r="A2196" t="str">
            <v>KILBURN CHEMICALS LTD</v>
          </cell>
          <cell r="B2196">
            <v>524699</v>
          </cell>
          <cell r="C2196" t="str">
            <v>Not Listed</v>
          </cell>
        </row>
        <row r="2197">
          <cell r="A2197" t="str">
            <v>KILBURN ENGINEERING LTD</v>
          </cell>
          <cell r="B2197">
            <v>522101</v>
          </cell>
          <cell r="C2197" t="str">
            <v>Not Listed</v>
          </cell>
        </row>
        <row r="2198">
          <cell r="A2198" t="str">
            <v>KILBURN OFFICE AUTOMATION LTD.</v>
          </cell>
          <cell r="B2198">
            <v>523218</v>
          </cell>
          <cell r="C2198" t="str">
            <v>KILBURN</v>
          </cell>
        </row>
        <row r="2199">
          <cell r="A2199" t="str">
            <v>KILITCH DRUGS (INDIA) LTD</v>
          </cell>
          <cell r="B2199">
            <v>524500</v>
          </cell>
          <cell r="C2199" t="str">
            <v>KILITCH</v>
          </cell>
        </row>
        <row r="2200">
          <cell r="A2200" t="str">
            <v>KILITCH DRUGS INDIA LTD</v>
          </cell>
          <cell r="B2200">
            <v>524500</v>
          </cell>
          <cell r="C2200" t="str">
            <v>KILITCH</v>
          </cell>
        </row>
        <row r="2201">
          <cell r="A2201" t="str">
            <v>KILPEST (INDIA) LTD</v>
          </cell>
          <cell r="B2201">
            <v>532067</v>
          </cell>
          <cell r="C2201" t="str">
            <v>Not Listed</v>
          </cell>
        </row>
        <row r="2202">
          <cell r="A2202" t="str">
            <v>KILPEST INDIA LTD</v>
          </cell>
          <cell r="B2202">
            <v>532067</v>
          </cell>
          <cell r="C2202" t="str">
            <v>Not Listed</v>
          </cell>
        </row>
        <row r="2203">
          <cell r="A2203" t="str">
            <v>Kimia Biosciences Ltd</v>
          </cell>
          <cell r="B2203">
            <v>530313</v>
          </cell>
          <cell r="C2203" t="str">
            <v>KIMIABL</v>
          </cell>
        </row>
        <row r="2204">
          <cell r="A2204" t="str">
            <v>KINETIC ENGINEERING LTD</v>
          </cell>
          <cell r="B2204">
            <v>500240</v>
          </cell>
          <cell r="C2204" t="str">
            <v>Not Listed</v>
          </cell>
        </row>
        <row r="2205">
          <cell r="A2205" t="str">
            <v>KINETIC TRUST LTD</v>
          </cell>
          <cell r="B2205">
            <v>531274</v>
          </cell>
          <cell r="C2205" t="str">
            <v>Not Listed</v>
          </cell>
        </row>
        <row r="2206">
          <cell r="A2206" t="str">
            <v>KINGFA SCIENCE &amp; TECHNOLOGY (INDIA) LTD</v>
          </cell>
          <cell r="B2206">
            <v>524019</v>
          </cell>
          <cell r="C2206" t="str">
            <v>KINGFA</v>
          </cell>
        </row>
        <row r="2207">
          <cell r="A2207" t="str">
            <v>KINGFA SCIENCE &amp; TECHNOLOGY INDIA LTD</v>
          </cell>
          <cell r="B2207">
            <v>524019</v>
          </cell>
          <cell r="C2207" t="str">
            <v>KINGFA</v>
          </cell>
        </row>
        <row r="2208">
          <cell r="A2208" t="str">
            <v>KINGS INFRA VENTURES LTD</v>
          </cell>
          <cell r="B2208">
            <v>530215</v>
          </cell>
          <cell r="C2208" t="str">
            <v>Not Listed</v>
          </cell>
        </row>
        <row r="2209">
          <cell r="A2209" t="str">
            <v>KINTECH RENEWABLES LTD</v>
          </cell>
          <cell r="B2209">
            <v>512329</v>
          </cell>
          <cell r="C2209" t="str">
            <v>Not Listed</v>
          </cell>
        </row>
        <row r="2210">
          <cell r="A2210" t="str">
            <v>KIOCL LTD</v>
          </cell>
          <cell r="B2210">
            <v>540680</v>
          </cell>
          <cell r="C2210" t="str">
            <v>KIOCL</v>
          </cell>
        </row>
        <row r="2211">
          <cell r="A2211" t="str">
            <v>KIRAN PRINT-PACK LTD</v>
          </cell>
          <cell r="B2211">
            <v>531413</v>
          </cell>
          <cell r="C2211" t="str">
            <v>Not Listed</v>
          </cell>
        </row>
        <row r="2212">
          <cell r="A2212" t="str">
            <v>KIRAN VYAPAR LTD</v>
          </cell>
          <cell r="B2212">
            <v>537750</v>
          </cell>
          <cell r="C2212" t="str">
            <v>Not Listed</v>
          </cell>
        </row>
        <row r="2213">
          <cell r="A2213" t="str">
            <v>KIRI INDUSTRIES LTD</v>
          </cell>
          <cell r="B2213">
            <v>532967</v>
          </cell>
          <cell r="C2213" t="str">
            <v>KIRIINDUS</v>
          </cell>
        </row>
        <row r="2214">
          <cell r="A2214" t="str">
            <v>KIRLOSKAR BROTHERS LTD</v>
          </cell>
          <cell r="B2214">
            <v>500241</v>
          </cell>
          <cell r="C2214" t="str">
            <v>KIRLOSBROS</v>
          </cell>
        </row>
        <row r="2215">
          <cell r="A2215" t="str">
            <v>KIRLOSKAR ELECTRIC COMPANY LTD</v>
          </cell>
          <cell r="B2215">
            <v>533193</v>
          </cell>
          <cell r="C2215" t="str">
            <v>KECL</v>
          </cell>
        </row>
        <row r="2216">
          <cell r="A2216" t="str">
            <v>KIRLOSKAR FERROUS INDUSTRIES LTD</v>
          </cell>
          <cell r="B2216">
            <v>500245</v>
          </cell>
          <cell r="C2216" t="str">
            <v>Not Listed</v>
          </cell>
        </row>
        <row r="2217">
          <cell r="A2217" t="str">
            <v>KIRLOSKAR INDUSTRIES LTD</v>
          </cell>
          <cell r="B2217">
            <v>500243</v>
          </cell>
          <cell r="C2217" t="str">
            <v>KIRLOSIND</v>
          </cell>
        </row>
        <row r="2218">
          <cell r="A2218" t="str">
            <v>KIRLOSKAR OIL ENGINES LTD</v>
          </cell>
          <cell r="B2218">
            <v>533293</v>
          </cell>
          <cell r="C2218" t="str">
            <v>KIRLOSENG</v>
          </cell>
        </row>
        <row r="2219">
          <cell r="A2219" t="str">
            <v>KIRLOSKAR PNEUMATIC CO LTD</v>
          </cell>
          <cell r="B2219">
            <v>505283</v>
          </cell>
          <cell r="C2219" t="str">
            <v>Not Listed</v>
          </cell>
        </row>
        <row r="2220">
          <cell r="A2220" t="str">
            <v>KISAN MOULDINGS LTD</v>
          </cell>
          <cell r="B2220">
            <v>530145</v>
          </cell>
          <cell r="C2220" t="str">
            <v>Not Listed</v>
          </cell>
        </row>
        <row r="2221">
          <cell r="A2221" t="str">
            <v>KITEX GARMENTS LTD</v>
          </cell>
          <cell r="B2221">
            <v>521248</v>
          </cell>
          <cell r="C2221" t="str">
            <v>KITEX</v>
          </cell>
        </row>
        <row r="2222">
          <cell r="A2222" t="str">
            <v>KJMC CORPORATE ADVISORS (INDIA) LTD</v>
          </cell>
          <cell r="B2222">
            <v>532304</v>
          </cell>
          <cell r="C2222" t="str">
            <v>Not Listed</v>
          </cell>
        </row>
        <row r="2223">
          <cell r="A2223" t="str">
            <v>KJMC CORPORATE ADVISORS INDIA LTD</v>
          </cell>
          <cell r="B2223">
            <v>532304</v>
          </cell>
          <cell r="C2223" t="str">
            <v>Not Listed</v>
          </cell>
        </row>
        <row r="2224">
          <cell r="A2224" t="str">
            <v>KJMC FINANCIAL SERVICES LTD</v>
          </cell>
          <cell r="B2224">
            <v>530235</v>
          </cell>
          <cell r="C2224" t="str">
            <v>Not Listed</v>
          </cell>
        </row>
        <row r="2225">
          <cell r="A2225" t="str">
            <v>KKALPANA INDUSTRIES (INDIA) LTD</v>
          </cell>
          <cell r="B2225">
            <v>526409</v>
          </cell>
          <cell r="C2225" t="str">
            <v>Not Listed</v>
          </cell>
        </row>
        <row r="2226">
          <cell r="A2226" t="str">
            <v>KKALPANA INDUSTRIES INDIA LTD</v>
          </cell>
          <cell r="B2226">
            <v>526409</v>
          </cell>
          <cell r="C2226" t="str">
            <v>Not Listed</v>
          </cell>
        </row>
        <row r="2227">
          <cell r="A2227" t="str">
            <v>KKALPANA PLASTICK LTD</v>
          </cell>
          <cell r="B2227">
            <v>523652</v>
          </cell>
          <cell r="C2227" t="str">
            <v>Not Listed</v>
          </cell>
        </row>
        <row r="2228">
          <cell r="A2228" t="str">
            <v>KKRRAFTON DEVELOPERS LTD</v>
          </cell>
          <cell r="B2228">
            <v>521238</v>
          </cell>
          <cell r="C2228" t="str">
            <v>Not Listed</v>
          </cell>
        </row>
        <row r="2229">
          <cell r="A2229" t="str">
            <v>KKV AGRO POWERS LTD</v>
          </cell>
          <cell r="B2229" t="str">
            <v>Not Listed</v>
          </cell>
          <cell r="C2229" t="str">
            <v>KKVAPOW</v>
          </cell>
        </row>
        <row r="2230">
          <cell r="A2230" t="str">
            <v>KLG CAPITAL SERVICES LTD</v>
          </cell>
          <cell r="B2230">
            <v>530771</v>
          </cell>
          <cell r="C2230" t="str">
            <v>Not Listed</v>
          </cell>
        </row>
        <row r="2231">
          <cell r="A2231" t="str">
            <v>K-LIFESTYLE &amp; INDUSTRIES LTD</v>
          </cell>
          <cell r="B2231">
            <v>514221</v>
          </cell>
          <cell r="C2231" t="str">
            <v>Not Listed</v>
          </cell>
        </row>
        <row r="2232">
          <cell r="A2232" t="str">
            <v>KLK Electrical Ltd</v>
          </cell>
          <cell r="B2232">
            <v>517170</v>
          </cell>
          <cell r="C2232" t="str">
            <v>KLKELEC</v>
          </cell>
        </row>
        <row r="2233">
          <cell r="A2233" t="str">
            <v>KMC SPECIALITY HOSPITALS (INDIA) LTD</v>
          </cell>
          <cell r="B2233">
            <v>524520</v>
          </cell>
          <cell r="C2233" t="str">
            <v>Not Listed</v>
          </cell>
        </row>
        <row r="2234">
          <cell r="A2234" t="str">
            <v>KMC SPECIALITY HOSPITALS INDIA LTD</v>
          </cell>
          <cell r="B2234">
            <v>524520</v>
          </cell>
          <cell r="C2234" t="str">
            <v>Not Listed</v>
          </cell>
        </row>
        <row r="2235">
          <cell r="A2235" t="str">
            <v>KMF BUILDERS &amp; DEVELOPERS LTD</v>
          </cell>
          <cell r="B2235">
            <v>531578</v>
          </cell>
          <cell r="C2235" t="str">
            <v>Not Listed</v>
          </cell>
        </row>
        <row r="2236">
          <cell r="A2236" t="str">
            <v>KMG MILK FOOD LTD</v>
          </cell>
          <cell r="B2236">
            <v>519415</v>
          </cell>
          <cell r="C2236" t="str">
            <v>Not Listed</v>
          </cell>
        </row>
        <row r="2237">
          <cell r="A2237" t="str">
            <v>KMS MEDISURGI LTD</v>
          </cell>
          <cell r="B2237">
            <v>540468</v>
          </cell>
          <cell r="C2237" t="str">
            <v>Not Listed</v>
          </cell>
        </row>
        <row r="2238">
          <cell r="A2238" t="str">
            <v>KNR CONSTRUCTIONS LTD</v>
          </cell>
          <cell r="B2238">
            <v>532942</v>
          </cell>
          <cell r="C2238" t="str">
            <v>KNRCON</v>
          </cell>
        </row>
        <row r="2239">
          <cell r="A2239" t="str">
            <v>KOHINOOR FOODS LTD</v>
          </cell>
          <cell r="B2239">
            <v>512559</v>
          </cell>
          <cell r="C2239" t="str">
            <v>KOHINOOR</v>
          </cell>
        </row>
        <row r="2240">
          <cell r="A2240" t="str">
            <v>KOKUYO CAMLIN LTD</v>
          </cell>
          <cell r="B2240">
            <v>523207</v>
          </cell>
          <cell r="C2240" t="str">
            <v>KOKUYOCMLN</v>
          </cell>
        </row>
        <row r="2241">
          <cell r="A2241" t="str">
            <v>KOLTE - PATIL DEVELOPERS LTD</v>
          </cell>
          <cell r="B2241">
            <v>532924</v>
          </cell>
          <cell r="C2241" t="str">
            <v>KOLTEPATIL</v>
          </cell>
        </row>
        <row r="2242">
          <cell r="A2242" t="str">
            <v>KOME-ON COMMUNICATION LTD</v>
          </cell>
          <cell r="B2242">
            <v>539910</v>
          </cell>
          <cell r="C2242" t="str">
            <v>Not Listed</v>
          </cell>
        </row>
        <row r="2243">
          <cell r="A2243" t="str">
            <v>KONARK SYNTHETIC LTD</v>
          </cell>
          <cell r="B2243">
            <v>514128</v>
          </cell>
          <cell r="C2243" t="str">
            <v>Not Listed</v>
          </cell>
        </row>
        <row r="2244">
          <cell r="A2244" t="str">
            <v>KOPRAN LTD</v>
          </cell>
          <cell r="B2244">
            <v>524280</v>
          </cell>
          <cell r="C2244" t="str">
            <v>KOPRAN</v>
          </cell>
        </row>
        <row r="2245">
          <cell r="A2245" t="str">
            <v>KOTAK MAHINDRA BANK LTD</v>
          </cell>
          <cell r="B2245">
            <v>500247</v>
          </cell>
          <cell r="C2245" t="str">
            <v>KOTAKBANK</v>
          </cell>
        </row>
        <row r="2246">
          <cell r="A2246" t="str">
            <v>KOTAK MAHINDRA MUTUAL FUND - KOTAK GOLD EXCHANGE TRADED FUND</v>
          </cell>
          <cell r="B2246">
            <v>590097</v>
          </cell>
          <cell r="C2246" t="str">
            <v>KOTAKGOLD</v>
          </cell>
        </row>
        <row r="2247">
          <cell r="A2247" t="str">
            <v>KOTAK MAHINDRA MUTUAL FUND - KOTAK PSU BANK ETF</v>
          </cell>
          <cell r="B2247">
            <v>590107</v>
          </cell>
          <cell r="C2247" t="str">
            <v>KOTAKPSUBK</v>
          </cell>
        </row>
        <row r="2248">
          <cell r="A2248" t="str">
            <v>KOTAK SENSEX ETF</v>
          </cell>
          <cell r="B2248">
            <v>532985</v>
          </cell>
          <cell r="C2248" t="str">
            <v>KTKSENSEX</v>
          </cell>
        </row>
        <row r="2249">
          <cell r="A2249" t="str">
            <v>KOTHARI FERMENTATION &amp; BIOCHEM LTD</v>
          </cell>
          <cell r="B2249">
            <v>507474</v>
          </cell>
          <cell r="C2249" t="str">
            <v>Not Listed</v>
          </cell>
        </row>
        <row r="2250">
          <cell r="A2250" t="str">
            <v>KOTHARI PETROCHEMICALS LTD</v>
          </cell>
          <cell r="B2250" t="str">
            <v>Not Listed</v>
          </cell>
          <cell r="C2250" t="str">
            <v>KOTHARIPET</v>
          </cell>
        </row>
        <row r="2251">
          <cell r="A2251" t="str">
            <v>KOTHARI PRODUCTS LTD</v>
          </cell>
          <cell r="B2251">
            <v>530299</v>
          </cell>
          <cell r="C2251" t="str">
            <v>KOTHARIPRO</v>
          </cell>
        </row>
        <row r="2252">
          <cell r="A2252" t="str">
            <v>KOTHARI SUGARS AND CHEMICALS LTD</v>
          </cell>
          <cell r="B2252" t="str">
            <v>Not Listed</v>
          </cell>
          <cell r="C2252" t="str">
            <v>KOTARISUG</v>
          </cell>
        </row>
        <row r="2253">
          <cell r="A2253" t="str">
            <v>KOTHARI WORLD FINANCE LTD</v>
          </cell>
          <cell r="B2253">
            <v>511138</v>
          </cell>
          <cell r="C2253" t="str">
            <v>Not Listed</v>
          </cell>
        </row>
        <row r="2254">
          <cell r="A2254" t="str">
            <v>KOTIA ENTERPRISES LTD</v>
          </cell>
          <cell r="B2254">
            <v>539599</v>
          </cell>
          <cell r="C2254" t="str">
            <v>Not Listed</v>
          </cell>
        </row>
        <row r="2255">
          <cell r="A2255" t="str">
            <v>KOVAI MEDICAL CENTER &amp; HOSPITAL LTD</v>
          </cell>
          <cell r="B2255">
            <v>523323</v>
          </cell>
          <cell r="C2255" t="str">
            <v>Not Listed</v>
          </cell>
        </row>
        <row r="2256">
          <cell r="A2256" t="str">
            <v>KOVALAM INVESTMENT &amp; TRADING CO LTD</v>
          </cell>
          <cell r="B2256">
            <v>505585</v>
          </cell>
          <cell r="C2256" t="str">
            <v>Not Listed</v>
          </cell>
        </row>
        <row r="2257">
          <cell r="A2257" t="str">
            <v>KOVILPATTI LAKSHMI ROLLER FLOUR MILLS LTD</v>
          </cell>
          <cell r="B2257">
            <v>507598</v>
          </cell>
          <cell r="C2257" t="str">
            <v>Not Listed</v>
          </cell>
        </row>
        <row r="2258">
          <cell r="A2258" t="str">
            <v>KPIT TECHNOLOGIES LTD</v>
          </cell>
          <cell r="B2258">
            <v>532400</v>
          </cell>
          <cell r="C2258" t="str">
            <v>KPIT</v>
          </cell>
        </row>
        <row r="2259">
          <cell r="A2259" t="str">
            <v>KPIT Technologies Ltd</v>
          </cell>
          <cell r="B2259">
            <v>542651</v>
          </cell>
          <cell r="C2259" t="str">
            <v>KPITTECH</v>
          </cell>
        </row>
        <row r="2260">
          <cell r="A2260" t="str">
            <v>Kranti Industries Ltd</v>
          </cell>
          <cell r="B2260">
            <v>542459</v>
          </cell>
          <cell r="C2260" t="str">
            <v>KRANTI</v>
          </cell>
        </row>
        <row r="2261">
          <cell r="A2261" t="str">
            <v>KRATOS ENERGY &amp; INFRASTRUCTURE LTD</v>
          </cell>
          <cell r="B2261">
            <v>501261</v>
          </cell>
          <cell r="C2261" t="str">
            <v>Not Listed</v>
          </cell>
        </row>
        <row r="2262">
          <cell r="A2262" t="str">
            <v>KRBL LTD</v>
          </cell>
          <cell r="B2262">
            <v>530813</v>
          </cell>
          <cell r="C2262" t="str">
            <v>KRBL</v>
          </cell>
        </row>
        <row r="2263">
          <cell r="A2263" t="str">
            <v>KREBS BIOCHEMICALS AND INDUSTRIES LTD</v>
          </cell>
          <cell r="B2263">
            <v>524518</v>
          </cell>
          <cell r="C2263" t="str">
            <v>KREBSBIO</v>
          </cell>
        </row>
        <row r="2264">
          <cell r="A2264" t="str">
            <v>KREON FINNANCIAL SERVICES LTD</v>
          </cell>
          <cell r="B2264">
            <v>530139</v>
          </cell>
          <cell r="C2264" t="str">
            <v>Not Listed</v>
          </cell>
        </row>
        <row r="2265">
          <cell r="A2265" t="str">
            <v>KRETTO SYSCON LTD</v>
          </cell>
          <cell r="B2265">
            <v>531328</v>
          </cell>
          <cell r="C2265" t="str">
            <v>Not Listed</v>
          </cell>
        </row>
        <row r="2266">
          <cell r="A2266" t="str">
            <v>KRIDHAN INFRA LTD</v>
          </cell>
          <cell r="B2266">
            <v>533482</v>
          </cell>
          <cell r="C2266" t="str">
            <v>KRIDHANINF</v>
          </cell>
        </row>
        <row r="2267">
          <cell r="A2267" t="str">
            <v>KRISHANA PHOSCHEM LTD</v>
          </cell>
          <cell r="B2267" t="str">
            <v>Not Listed</v>
          </cell>
          <cell r="C2267" t="str">
            <v>KRISHANA</v>
          </cell>
        </row>
        <row r="2268">
          <cell r="A2268" t="str">
            <v>KRISHNA CAPITAL AND SECURITIES LTD</v>
          </cell>
          <cell r="B2268">
            <v>539384</v>
          </cell>
          <cell r="C2268" t="str">
            <v>Not Listed</v>
          </cell>
        </row>
        <row r="2269">
          <cell r="A2269" t="str">
            <v>KRISHNA VENTURES LTD</v>
          </cell>
          <cell r="B2269">
            <v>504392</v>
          </cell>
          <cell r="C2269" t="str">
            <v>Not Listed</v>
          </cell>
        </row>
        <row r="2270">
          <cell r="A2270" t="str">
            <v>KRITI INDUSTRIES (INDIA) LTD</v>
          </cell>
          <cell r="B2270">
            <v>526423</v>
          </cell>
          <cell r="C2270" t="str">
            <v>Not Listed</v>
          </cell>
        </row>
        <row r="2271">
          <cell r="A2271" t="str">
            <v>KRITI INDUSTRIES INDIA LTD</v>
          </cell>
          <cell r="B2271">
            <v>526423</v>
          </cell>
          <cell r="C2271" t="str">
            <v>Not Listed</v>
          </cell>
        </row>
        <row r="2272">
          <cell r="A2272" t="str">
            <v>KRITI NUTRIENTS LTD</v>
          </cell>
          <cell r="B2272">
            <v>533210</v>
          </cell>
          <cell r="C2272" t="str">
            <v>Not Listed</v>
          </cell>
        </row>
        <row r="2273">
          <cell r="A2273" t="str">
            <v>KRITIKA WIRES LTD</v>
          </cell>
          <cell r="B2273" t="str">
            <v>Not Listed</v>
          </cell>
          <cell r="C2273" t="str">
            <v>KRITIKA</v>
          </cell>
        </row>
        <row r="2274">
          <cell r="A2274" t="str">
            <v>KRYPTON INDUSTRIES LTD</v>
          </cell>
          <cell r="B2274">
            <v>523550</v>
          </cell>
          <cell r="C2274" t="str">
            <v>Not Listed</v>
          </cell>
        </row>
        <row r="2275">
          <cell r="A2275" t="str">
            <v>KSB LTD</v>
          </cell>
          <cell r="B2275">
            <v>500249</v>
          </cell>
          <cell r="C2275" t="str">
            <v>KSB</v>
          </cell>
        </row>
        <row r="2276">
          <cell r="A2276" t="str">
            <v>KSE LTD</v>
          </cell>
          <cell r="B2276">
            <v>519421</v>
          </cell>
          <cell r="C2276" t="str">
            <v>Not Listed</v>
          </cell>
        </row>
        <row r="2277">
          <cell r="A2277" t="str">
            <v>KSHITIJ POLYLINE LTD</v>
          </cell>
          <cell r="B2277" t="str">
            <v>Not Listed</v>
          </cell>
          <cell r="C2277" t="str">
            <v>KSHITIJPOL</v>
          </cell>
        </row>
        <row r="2278">
          <cell r="A2278" t="str">
            <v>KSHITIZ INVESTMENT LTD</v>
          </cell>
          <cell r="B2278">
            <v>503626</v>
          </cell>
          <cell r="C2278" t="str">
            <v>Not Listed</v>
          </cell>
        </row>
        <row r="2279">
          <cell r="A2279" t="str">
            <v>KSK ENERGY VENTURES LTD</v>
          </cell>
          <cell r="B2279">
            <v>532997</v>
          </cell>
          <cell r="C2279" t="str">
            <v>KSK</v>
          </cell>
        </row>
        <row r="2280">
          <cell r="A2280" t="str">
            <v>KSL AND INDUSTRIES LTD</v>
          </cell>
          <cell r="B2280">
            <v>530149</v>
          </cell>
          <cell r="C2280" t="str">
            <v>Not Listed</v>
          </cell>
        </row>
        <row r="2281">
          <cell r="A2281" t="str">
            <v>KSS LTD</v>
          </cell>
          <cell r="B2281">
            <v>532081</v>
          </cell>
          <cell r="C2281" t="str">
            <v>KSERASERA</v>
          </cell>
        </row>
        <row r="2282">
          <cell r="A2282" t="str">
            <v>KUANTUM PAPERS LTD</v>
          </cell>
          <cell r="B2282">
            <v>532937</v>
          </cell>
          <cell r="C2282" t="str">
            <v>Not Listed</v>
          </cell>
        </row>
        <row r="2283">
          <cell r="A2283" t="str">
            <v>KUBER UDYOG LTD</v>
          </cell>
          <cell r="B2283">
            <v>539408</v>
          </cell>
          <cell r="C2283" t="str">
            <v>Not Listed</v>
          </cell>
        </row>
        <row r="2284">
          <cell r="A2284" t="str">
            <v>KULKARNI POWER &amp; TOOLS LTD</v>
          </cell>
          <cell r="B2284">
            <v>505299</v>
          </cell>
          <cell r="C2284" t="str">
            <v>Not Listed</v>
          </cell>
        </row>
        <row r="2285">
          <cell r="A2285" t="str">
            <v>KUMAR WIRE CLOTH MANUFACTURING COMPANY LTD</v>
          </cell>
          <cell r="B2285">
            <v>513703</v>
          </cell>
          <cell r="C2285" t="str">
            <v>Not Listed</v>
          </cell>
        </row>
        <row r="2286">
          <cell r="A2286" t="str">
            <v>KUNSTSTOFFE INDUSTRIES LTD</v>
          </cell>
          <cell r="B2286">
            <v>523594</v>
          </cell>
          <cell r="C2286" t="str">
            <v>Not Listed</v>
          </cell>
        </row>
        <row r="2287">
          <cell r="A2287" t="str">
            <v>KUSAM ELECTRICAL INDUSTRIES LTD</v>
          </cell>
          <cell r="B2287">
            <v>511048</v>
          </cell>
          <cell r="C2287" t="str">
            <v>Not Listed</v>
          </cell>
        </row>
        <row r="2288">
          <cell r="A2288" t="str">
            <v>KUSH INDUSTRIES LTD</v>
          </cell>
          <cell r="B2288">
            <v>514240</v>
          </cell>
          <cell r="C2288" t="str">
            <v>Not Listed</v>
          </cell>
        </row>
        <row r="2289">
          <cell r="A2289" t="str">
            <v>KUSHAL LTD</v>
          </cell>
          <cell r="B2289">
            <v>536170</v>
          </cell>
          <cell r="C2289" t="str">
            <v>Not Listed</v>
          </cell>
        </row>
        <row r="2290">
          <cell r="A2290" t="str">
            <v>KUWER INDUSTRIES LTD</v>
          </cell>
          <cell r="B2290">
            <v>530421</v>
          </cell>
          <cell r="C2290" t="str">
            <v>Not Listed</v>
          </cell>
        </row>
        <row r="2291">
          <cell r="A2291" t="str">
            <v>KWALITY CREDIT &amp; LEASING LTD</v>
          </cell>
          <cell r="B2291">
            <v>531206</v>
          </cell>
          <cell r="C2291" t="str">
            <v>Not Listed</v>
          </cell>
        </row>
        <row r="2292">
          <cell r="A2292" t="str">
            <v>KWALITY LTD</v>
          </cell>
          <cell r="B2292">
            <v>531882</v>
          </cell>
          <cell r="C2292" t="str">
            <v>KWALITY</v>
          </cell>
        </row>
        <row r="2293">
          <cell r="A2293" t="str">
            <v>KWALITY PHARMACEUTICALS LTD</v>
          </cell>
          <cell r="B2293">
            <v>539997</v>
          </cell>
          <cell r="C2293" t="str">
            <v>Not Listed</v>
          </cell>
        </row>
        <row r="2294">
          <cell r="A2294" t="str">
            <v>L  P  NAVAL AND ENGINEERING LTD</v>
          </cell>
          <cell r="B2294">
            <v>537669</v>
          </cell>
          <cell r="C2294" t="str">
            <v>Not Listed</v>
          </cell>
        </row>
        <row r="2295">
          <cell r="A2295" t="str">
            <v>L&amp;T FINANCE HOLDINGS LTD</v>
          </cell>
          <cell r="B2295">
            <v>533519</v>
          </cell>
          <cell r="C2295" t="str">
            <v>L&amp;TFH</v>
          </cell>
        </row>
        <row r="2296">
          <cell r="A2296" t="str">
            <v>L&amp;T TECHNOLOGY SERVICES LTD</v>
          </cell>
          <cell r="B2296">
            <v>540115</v>
          </cell>
          <cell r="C2296" t="str">
            <v>LTTS</v>
          </cell>
        </row>
        <row r="2297">
          <cell r="A2297" t="str">
            <v>LA OPALA RG LTD</v>
          </cell>
          <cell r="B2297">
            <v>526947</v>
          </cell>
          <cell r="C2297" t="str">
            <v>LAOPALA</v>
          </cell>
        </row>
        <row r="2298">
          <cell r="A2298" t="str">
            <v>La Tim Metal &amp;amp; Industries Ltd</v>
          </cell>
          <cell r="B2298">
            <v>505693</v>
          </cell>
          <cell r="C2298" t="str">
            <v>LATIMMETAL</v>
          </cell>
        </row>
        <row r="2299">
          <cell r="A2299" t="str">
            <v>LACTOSE (INDIA) LTD</v>
          </cell>
          <cell r="B2299">
            <v>524202</v>
          </cell>
          <cell r="C2299" t="str">
            <v>Not Listed</v>
          </cell>
        </row>
        <row r="2300">
          <cell r="A2300" t="str">
            <v>LACTOSE INDIA LTD</v>
          </cell>
          <cell r="B2300">
            <v>524202</v>
          </cell>
          <cell r="C2300" t="str">
            <v>Not Listed</v>
          </cell>
        </row>
        <row r="2301">
          <cell r="A2301" t="str">
            <v>LADAM AFFORDABLE HOUSING LTD</v>
          </cell>
          <cell r="B2301">
            <v>540026</v>
          </cell>
          <cell r="C2301" t="str">
            <v>Not Listed</v>
          </cell>
        </row>
        <row r="2302">
          <cell r="A2302" t="str">
            <v>LADDERUP FINANCE LTD</v>
          </cell>
          <cell r="B2302">
            <v>530577</v>
          </cell>
          <cell r="C2302" t="str">
            <v>Not Listed</v>
          </cell>
        </row>
        <row r="2303">
          <cell r="A2303" t="str">
            <v>LAFFANS PETROCHEMICALS LTD</v>
          </cell>
          <cell r="B2303">
            <v>524522</v>
          </cell>
          <cell r="C2303" t="str">
            <v>Not Listed</v>
          </cell>
        </row>
        <row r="2304">
          <cell r="A2304" t="str">
            <v>LAGNAM SPINTEX LTD</v>
          </cell>
          <cell r="B2304" t="str">
            <v>Not Listed</v>
          </cell>
          <cell r="C2304" t="str">
            <v>LAGNAM</v>
          </cell>
        </row>
        <row r="2305">
          <cell r="A2305" t="str">
            <v>LAHOTI OVERSEAS LTD</v>
          </cell>
          <cell r="B2305">
            <v>531842</v>
          </cell>
          <cell r="C2305" t="str">
            <v>Not Listed</v>
          </cell>
        </row>
        <row r="2306">
          <cell r="A2306" t="str">
            <v>LAKHOTIA POLYESTERS (INDIA) LTD</v>
          </cell>
          <cell r="B2306">
            <v>535387</v>
          </cell>
          <cell r="C2306" t="str">
            <v>Not Listed</v>
          </cell>
        </row>
        <row r="2307">
          <cell r="A2307" t="str">
            <v>LAKHOTIA POLYESTERS INDIA LTD</v>
          </cell>
          <cell r="B2307">
            <v>535387</v>
          </cell>
          <cell r="C2307" t="str">
            <v>Not Listed</v>
          </cell>
        </row>
        <row r="2308">
          <cell r="A2308" t="str">
            <v>LAKSHMI AUTOMATIC LOOM WORKS LTD</v>
          </cell>
          <cell r="B2308">
            <v>505302</v>
          </cell>
          <cell r="C2308" t="str">
            <v>Not Listed</v>
          </cell>
        </row>
        <row r="2309">
          <cell r="A2309" t="str">
            <v>LAKSHMI ELECTRICAL CONTROL SYSTEMS LTD</v>
          </cell>
          <cell r="B2309">
            <v>504258</v>
          </cell>
          <cell r="C2309" t="str">
            <v>Not Listed</v>
          </cell>
        </row>
        <row r="2310">
          <cell r="A2310" t="str">
            <v>LAKSHMI FINANCE &amp; INDUSTRIAL CORPORATION LTD</v>
          </cell>
          <cell r="B2310" t="str">
            <v>Not Listed</v>
          </cell>
          <cell r="C2310" t="str">
            <v>LFIC</v>
          </cell>
        </row>
        <row r="2311">
          <cell r="A2311" t="str">
            <v>LAKSHMI MACHINE WORKS LTD</v>
          </cell>
          <cell r="B2311">
            <v>500252</v>
          </cell>
          <cell r="C2311" t="str">
            <v>LAXMIMACH</v>
          </cell>
        </row>
        <row r="2312">
          <cell r="A2312" t="str">
            <v>LAKSHMI MILLS COMPANY LTD</v>
          </cell>
          <cell r="B2312">
            <v>502958</v>
          </cell>
          <cell r="C2312" t="str">
            <v>Not Listed</v>
          </cell>
        </row>
        <row r="2313">
          <cell r="A2313" t="str">
            <v>LAKSHMI PRECISION SCREWS LTD</v>
          </cell>
          <cell r="B2313">
            <v>506079</v>
          </cell>
          <cell r="C2313" t="str">
            <v>LAKPRE</v>
          </cell>
        </row>
        <row r="2314">
          <cell r="A2314" t="str">
            <v>LAKSHMI VILAS BANK LTD</v>
          </cell>
          <cell r="B2314">
            <v>534690</v>
          </cell>
          <cell r="C2314" t="str">
            <v>LAKSHVILAS</v>
          </cell>
        </row>
        <row r="2315">
          <cell r="A2315" t="str">
            <v>LAMBODHARA TEXTILES LTD</v>
          </cell>
          <cell r="B2315">
            <v>590075</v>
          </cell>
          <cell r="C2315" t="str">
            <v>LAMBODHARA</v>
          </cell>
        </row>
        <row r="2316">
          <cell r="A2316" t="str">
            <v>LANCER CONTAINER LINES LTD</v>
          </cell>
          <cell r="B2316">
            <v>539841</v>
          </cell>
          <cell r="C2316" t="str">
            <v>Not Listed</v>
          </cell>
        </row>
        <row r="2317">
          <cell r="A2317" t="str">
            <v>LANCOR HOLDINGS LTD</v>
          </cell>
          <cell r="B2317">
            <v>509048</v>
          </cell>
          <cell r="C2317" t="str">
            <v>Not Listed</v>
          </cell>
        </row>
        <row r="2318">
          <cell r="A2318" t="str">
            <v>LANDMARC LEISURE CORPORATION LTD</v>
          </cell>
          <cell r="B2318">
            <v>532275</v>
          </cell>
          <cell r="C2318" t="str">
            <v>Not Listed</v>
          </cell>
        </row>
        <row r="2319">
          <cell r="A2319" t="str">
            <v>LANDMARK PROPERTY DEVELOPMENT COMPANY LTD</v>
          </cell>
          <cell r="B2319">
            <v>533012</v>
          </cell>
          <cell r="C2319" t="str">
            <v>LPDC</v>
          </cell>
        </row>
        <row r="2320">
          <cell r="A2320" t="str">
            <v>LARSEN &amp; TOUBRO INFOTECH LTD</v>
          </cell>
          <cell r="B2320">
            <v>540005</v>
          </cell>
          <cell r="C2320" t="str">
            <v>LTI</v>
          </cell>
        </row>
        <row r="2321">
          <cell r="A2321" t="str">
            <v>LARSEN &amp; TOUBRO LTD</v>
          </cell>
          <cell r="B2321">
            <v>500510</v>
          </cell>
          <cell r="C2321" t="str">
            <v>LT</v>
          </cell>
        </row>
        <row r="2322">
          <cell r="A2322" t="str">
            <v>LASA SUPERGENERICS LTD</v>
          </cell>
          <cell r="B2322">
            <v>540702</v>
          </cell>
          <cell r="C2322" t="str">
            <v>LASA</v>
          </cell>
        </row>
        <row r="2323">
          <cell r="A2323" t="str">
            <v>LASER DIAMONDS LTD</v>
          </cell>
          <cell r="B2323">
            <v>531164</v>
          </cell>
          <cell r="C2323" t="str">
            <v>Not Listed</v>
          </cell>
        </row>
        <row r="2324">
          <cell r="A2324" t="str">
            <v>LATENT LIGHT FINANCE LTD</v>
          </cell>
          <cell r="B2324">
            <v>539909</v>
          </cell>
          <cell r="C2324" t="str">
            <v>Not Listed</v>
          </cell>
        </row>
        <row r="2325">
          <cell r="A2325" t="str">
            <v>LATTEYS INDUSTRIES LTD</v>
          </cell>
          <cell r="B2325" t="str">
            <v>Not Listed</v>
          </cell>
          <cell r="C2325" t="str">
            <v>LATTEYS</v>
          </cell>
        </row>
        <row r="2326">
          <cell r="A2326" t="str">
            <v>LAURUS LABS LTD</v>
          </cell>
          <cell r="B2326">
            <v>540222</v>
          </cell>
          <cell r="C2326" t="str">
            <v>LAURUSLABS</v>
          </cell>
        </row>
        <row r="2327">
          <cell r="A2327" t="str">
            <v>LAWRESHWAR POLYMERS LTD</v>
          </cell>
          <cell r="B2327">
            <v>532829</v>
          </cell>
          <cell r="C2327" t="str">
            <v>Not Listed</v>
          </cell>
        </row>
        <row r="2328">
          <cell r="A2328" t="str">
            <v>LAXMI COTSPIN LTD</v>
          </cell>
          <cell r="B2328" t="str">
            <v>Not Listed</v>
          </cell>
          <cell r="C2328" t="str">
            <v>LAXMICOT</v>
          </cell>
        </row>
        <row r="2329">
          <cell r="A2329" t="str">
            <v>LEAD FINANCIAL SERVICES LTD</v>
          </cell>
          <cell r="B2329">
            <v>531288</v>
          </cell>
          <cell r="C2329" t="str">
            <v>Not Listed</v>
          </cell>
        </row>
        <row r="2330">
          <cell r="A2330" t="str">
            <v>LEADING LEASING FINANCE AND INVESTMENT COMPANY LTD</v>
          </cell>
          <cell r="B2330">
            <v>540360</v>
          </cell>
          <cell r="C2330" t="str">
            <v>Not Listed</v>
          </cell>
        </row>
        <row r="2331">
          <cell r="A2331" t="str">
            <v>LEDO TEA CO LTD</v>
          </cell>
          <cell r="B2331">
            <v>508306</v>
          </cell>
          <cell r="C2331" t="str">
            <v>Not Listed</v>
          </cell>
        </row>
        <row r="2332">
          <cell r="A2332" t="str">
            <v>LEE &amp; NEE SOFTWARES EXPORTS LTD</v>
          </cell>
          <cell r="B2332">
            <v>517415</v>
          </cell>
          <cell r="C2332" t="str">
            <v>Not Listed</v>
          </cell>
        </row>
        <row r="2333">
          <cell r="A2333" t="str">
            <v>LEEL ELECTRICALS LTD</v>
          </cell>
          <cell r="B2333">
            <v>517518</v>
          </cell>
          <cell r="C2333" t="str">
            <v>LEEL</v>
          </cell>
        </row>
        <row r="2334">
          <cell r="A2334" t="str">
            <v>LEENA CONSULTANCY LTD</v>
          </cell>
          <cell r="B2334">
            <v>509046</v>
          </cell>
          <cell r="C2334" t="str">
            <v>Not Listed</v>
          </cell>
        </row>
        <row r="2335">
          <cell r="A2335" t="str">
            <v>LEGACY MERCANTILE LTD</v>
          </cell>
          <cell r="B2335">
            <v>780021</v>
          </cell>
          <cell r="C2335" t="str">
            <v>Not Listed</v>
          </cell>
        </row>
        <row r="2336">
          <cell r="A2336" t="str">
            <v>LEMON TREE HOTELS LTD</v>
          </cell>
          <cell r="B2336">
            <v>541233</v>
          </cell>
          <cell r="C2336" t="str">
            <v>LEMONTREE</v>
          </cell>
        </row>
        <row r="2337">
          <cell r="A2337" t="str">
            <v>LESHA INDUSTRIES LTD</v>
          </cell>
          <cell r="B2337">
            <v>533602</v>
          </cell>
          <cell r="C2337" t="str">
            <v>Not Listed</v>
          </cell>
        </row>
        <row r="2338">
          <cell r="A2338" t="str">
            <v>LEX NIMBLE SOLUTIONS LTD</v>
          </cell>
          <cell r="B2338">
            <v>541196</v>
          </cell>
          <cell r="C2338" t="str">
            <v>Not Listed</v>
          </cell>
        </row>
        <row r="2339">
          <cell r="A2339" t="str">
            <v>LEXUS GRANITO (INDIA) LTD</v>
          </cell>
          <cell r="B2339" t="str">
            <v>Not Listed</v>
          </cell>
          <cell r="C2339" t="str">
            <v>LEXUS</v>
          </cell>
        </row>
        <row r="2340">
          <cell r="A2340" t="str">
            <v>LEXUS GRANITO INDIA LTD</v>
          </cell>
          <cell r="B2340" t="str">
            <v>Not Listed</v>
          </cell>
          <cell r="C2340" t="str">
            <v>LEXUS</v>
          </cell>
        </row>
        <row r="2341">
          <cell r="A2341" t="str">
            <v>LG BALAKRISHNAN &amp; BROS LTD</v>
          </cell>
          <cell r="B2341">
            <v>500250</v>
          </cell>
          <cell r="C2341" t="str">
            <v>LGBBROSLTD</v>
          </cell>
        </row>
        <row r="2342">
          <cell r="A2342" t="str">
            <v>LGB FORGE LTD.</v>
          </cell>
          <cell r="B2342">
            <v>533007</v>
          </cell>
          <cell r="C2342" t="str">
            <v>LGBFORGE</v>
          </cell>
        </row>
        <row r="2343">
          <cell r="A2343" t="str">
            <v>LIBAS DESIGNS LTD</v>
          </cell>
          <cell r="B2343" t="str">
            <v>Not Listed</v>
          </cell>
          <cell r="C2343" t="str">
            <v>LIBAS</v>
          </cell>
        </row>
        <row r="2344">
          <cell r="A2344" t="str">
            <v>LIBERTY SHOES LTD</v>
          </cell>
          <cell r="B2344">
            <v>526596</v>
          </cell>
          <cell r="C2344" t="str">
            <v>LIBERTSHOE</v>
          </cell>
        </row>
        <row r="2345">
          <cell r="A2345" t="str">
            <v>LIBORD FINANCE LTD</v>
          </cell>
          <cell r="B2345">
            <v>511593</v>
          </cell>
          <cell r="C2345" t="str">
            <v>Not Listed</v>
          </cell>
        </row>
        <row r="2346">
          <cell r="A2346" t="str">
            <v>LIBORD SECURITIES LTD</v>
          </cell>
          <cell r="B2346">
            <v>531027</v>
          </cell>
          <cell r="C2346" t="str">
            <v>Not Listed</v>
          </cell>
        </row>
        <row r="2347">
          <cell r="A2347" t="str">
            <v>LIC HOUSING FINANCE LTD</v>
          </cell>
          <cell r="B2347">
            <v>500253</v>
          </cell>
          <cell r="C2347" t="str">
            <v>LICHSGFIN</v>
          </cell>
        </row>
        <row r="2348">
          <cell r="A2348" t="str">
            <v>LIKHAMI CONSULTING LTD</v>
          </cell>
          <cell r="B2348">
            <v>539927</v>
          </cell>
          <cell r="C2348" t="str">
            <v>Not Listed</v>
          </cell>
        </row>
        <row r="2349">
          <cell r="A2349" t="str">
            <v>LIME CHEMICALS LTD</v>
          </cell>
          <cell r="B2349">
            <v>507759</v>
          </cell>
          <cell r="C2349" t="str">
            <v>Not Listed</v>
          </cell>
        </row>
        <row r="2350">
          <cell r="A2350" t="str">
            <v>LINAKS MICROELECTRONICS LTD.</v>
          </cell>
          <cell r="B2350">
            <v>517463</v>
          </cell>
          <cell r="C2350" t="str">
            <v>LINAKS</v>
          </cell>
        </row>
        <row r="2351">
          <cell r="A2351" t="str">
            <v>LINC PEN &amp; PLASTICS LTD</v>
          </cell>
          <cell r="B2351">
            <v>531241</v>
          </cell>
          <cell r="C2351" t="str">
            <v>LINCPEN</v>
          </cell>
        </row>
        <row r="2352">
          <cell r="A2352" t="str">
            <v>LINCOLN PHARMACEUTICALS LTD</v>
          </cell>
          <cell r="B2352">
            <v>531633</v>
          </cell>
          <cell r="C2352" t="str">
            <v>LINCOLN</v>
          </cell>
        </row>
        <row r="2353">
          <cell r="A2353" t="str">
            <v>LINDE (INDIA) LTD</v>
          </cell>
          <cell r="B2353">
            <v>523457</v>
          </cell>
          <cell r="C2353" t="str">
            <v>LINDE(INDIA)</v>
          </cell>
        </row>
        <row r="2354">
          <cell r="A2354" t="str">
            <v>LINDE INDIA LTD</v>
          </cell>
          <cell r="B2354">
            <v>523457</v>
          </cell>
          <cell r="C2354" t="str">
            <v>LINDEINDIA</v>
          </cell>
        </row>
        <row r="2355">
          <cell r="A2355" t="str">
            <v>LINK PHARMA CHEM LTD</v>
          </cell>
          <cell r="B2355">
            <v>524748</v>
          </cell>
          <cell r="C2355" t="str">
            <v>Not Listed</v>
          </cell>
        </row>
        <row r="2356">
          <cell r="A2356" t="str">
            <v>LIPPI SYSTEMS LTD</v>
          </cell>
          <cell r="B2356">
            <v>526604</v>
          </cell>
          <cell r="C2356" t="str">
            <v>Not Listed</v>
          </cell>
        </row>
        <row r="2357">
          <cell r="A2357" t="str">
            <v>LKP FINANCE LTD</v>
          </cell>
          <cell r="B2357">
            <v>507912</v>
          </cell>
          <cell r="C2357" t="str">
            <v>Not Listed</v>
          </cell>
        </row>
        <row r="2358">
          <cell r="A2358" t="str">
            <v>LKP SECURITIES LTD</v>
          </cell>
          <cell r="B2358">
            <v>540192</v>
          </cell>
          <cell r="C2358" t="str">
            <v>Not Listed</v>
          </cell>
        </row>
        <row r="2359">
          <cell r="A2359" t="str">
            <v>LLOYDS METALS AND ENERGY LTD</v>
          </cell>
          <cell r="B2359">
            <v>512455</v>
          </cell>
          <cell r="C2359" t="str">
            <v>Not Listed</v>
          </cell>
        </row>
        <row r="2360">
          <cell r="A2360" t="str">
            <v>LLOYDS STEELS INDUSTRIES LTD</v>
          </cell>
          <cell r="B2360">
            <v>539992</v>
          </cell>
          <cell r="C2360" t="str">
            <v>LSIL</v>
          </cell>
        </row>
        <row r="2361">
          <cell r="A2361" t="str">
            <v>LOHIA SECURITIES LTD</v>
          </cell>
          <cell r="B2361">
            <v>590082</v>
          </cell>
          <cell r="C2361" t="str">
            <v>Not Listed</v>
          </cell>
        </row>
        <row r="2362">
          <cell r="A2362" t="str">
            <v>LOKESH MACHINES LTD</v>
          </cell>
          <cell r="B2362">
            <v>532740</v>
          </cell>
          <cell r="C2362" t="str">
            <v>LOKESHMACH</v>
          </cell>
        </row>
        <row r="2363">
          <cell r="A2363" t="str">
            <v>LONGVIEW TEA COMPANY LTD</v>
          </cell>
          <cell r="B2363">
            <v>526568</v>
          </cell>
          <cell r="C2363" t="str">
            <v>Not Listed</v>
          </cell>
        </row>
        <row r="2364">
          <cell r="A2364" t="str">
            <v>LOOKS HEALTH SERVICES LTD</v>
          </cell>
          <cell r="B2364">
            <v>534422</v>
          </cell>
          <cell r="C2364" t="str">
            <v>Not Listed</v>
          </cell>
        </row>
        <row r="2365">
          <cell r="A2365" t="str">
            <v>LORDS CHLORO ALKALI LTD</v>
          </cell>
          <cell r="B2365">
            <v>500284</v>
          </cell>
          <cell r="C2365" t="str">
            <v>Not Listed</v>
          </cell>
        </row>
        <row r="2366">
          <cell r="A2366" t="str">
            <v>LORDS ISHWAR HOTELS LTD</v>
          </cell>
          <cell r="B2366">
            <v>530065</v>
          </cell>
          <cell r="C2366" t="str">
            <v>Not Listed</v>
          </cell>
        </row>
        <row r="2367">
          <cell r="A2367" t="str">
            <v>LORENZINI APPARELS LTD</v>
          </cell>
          <cell r="B2367">
            <v>540952</v>
          </cell>
          <cell r="C2367" t="str">
            <v>Not Listed</v>
          </cell>
        </row>
        <row r="2368">
          <cell r="A2368" t="str">
            <v>LOTUS CHOCOLATE CO LTD</v>
          </cell>
          <cell r="B2368">
            <v>523475</v>
          </cell>
          <cell r="C2368" t="str">
            <v>Not Listed</v>
          </cell>
        </row>
        <row r="2369">
          <cell r="A2369" t="str">
            <v>LOTUS EYE HOSPITAL AND INSTITUTE LTD</v>
          </cell>
          <cell r="B2369">
            <v>532998</v>
          </cell>
          <cell r="C2369" t="str">
            <v>LOTUSEYE</v>
          </cell>
        </row>
        <row r="2370">
          <cell r="A2370" t="str">
            <v>LOVABLE LINGERIE LTD</v>
          </cell>
          <cell r="B2370">
            <v>533343</v>
          </cell>
          <cell r="C2370" t="str">
            <v>LOVABLE</v>
          </cell>
        </row>
        <row r="2371">
          <cell r="A2371" t="str">
            <v>LOYAL EQUIPMENTS LTD</v>
          </cell>
          <cell r="B2371">
            <v>539227</v>
          </cell>
          <cell r="C2371" t="str">
            <v>Not Listed</v>
          </cell>
        </row>
        <row r="2372">
          <cell r="A2372" t="str">
            <v>LOYAL TEXTILE MILLS LTD</v>
          </cell>
          <cell r="B2372">
            <v>514036</v>
          </cell>
          <cell r="C2372" t="str">
            <v>Not Listed</v>
          </cell>
        </row>
        <row r="2373">
          <cell r="A2373" t="str">
            <v>LT FOODS LTD</v>
          </cell>
          <cell r="B2373">
            <v>532783</v>
          </cell>
          <cell r="C2373" t="str">
            <v>DAAWAT</v>
          </cell>
        </row>
        <row r="2374">
          <cell r="A2374" t="str">
            <v>LUDLOW JUTE &amp; SPECIALITIES LTD</v>
          </cell>
          <cell r="B2374">
            <v>526179</v>
          </cell>
          <cell r="C2374" t="str">
            <v>Not Listed</v>
          </cell>
        </row>
        <row r="2375">
          <cell r="A2375" t="str">
            <v>LUHARUKA MEDIA &amp; INFRA LTD</v>
          </cell>
          <cell r="B2375">
            <v>512048</v>
          </cell>
          <cell r="C2375" t="str">
            <v>Not Listed</v>
          </cell>
        </row>
        <row r="2376">
          <cell r="A2376" t="str">
            <v>LUMAX AUTO TECHNOLOGIES LTD</v>
          </cell>
          <cell r="B2376">
            <v>532796</v>
          </cell>
          <cell r="C2376" t="str">
            <v>LUMAXTECH</v>
          </cell>
        </row>
        <row r="2377">
          <cell r="A2377" t="str">
            <v>LUMAX INDUSTRIES LTD</v>
          </cell>
          <cell r="B2377">
            <v>517206</v>
          </cell>
          <cell r="C2377" t="str">
            <v>LUMAXIND</v>
          </cell>
        </row>
        <row r="2378">
          <cell r="A2378" t="str">
            <v>LUPIN LTD</v>
          </cell>
          <cell r="B2378">
            <v>500257</v>
          </cell>
          <cell r="C2378" t="str">
            <v>LUPIN</v>
          </cell>
        </row>
        <row r="2379">
          <cell r="A2379" t="str">
            <v>LUX INDUSTRIES LTD</v>
          </cell>
          <cell r="B2379">
            <v>539542</v>
          </cell>
          <cell r="C2379" t="str">
            <v>LUXIND</v>
          </cell>
        </row>
        <row r="2380">
          <cell r="A2380" t="str">
            <v>LWS KNITWEAR LTD</v>
          </cell>
          <cell r="B2380">
            <v>531402</v>
          </cell>
          <cell r="C2380" t="str">
            <v>Not Listed</v>
          </cell>
        </row>
        <row r="2381">
          <cell r="A2381" t="str">
            <v>LYKA LABS LTD</v>
          </cell>
          <cell r="B2381">
            <v>500259</v>
          </cell>
          <cell r="C2381" t="str">
            <v>LYKALABS</v>
          </cell>
        </row>
        <row r="2382">
          <cell r="A2382" t="str">
            <v>LYKIS LTD</v>
          </cell>
          <cell r="B2382">
            <v>530689</v>
          </cell>
          <cell r="C2382" t="str">
            <v>Not Listed</v>
          </cell>
        </row>
        <row r="2383">
          <cell r="A2383" t="str">
            <v>LYNX MACHINERY &amp; COMMERCIALS LTD</v>
          </cell>
          <cell r="B2383">
            <v>505320</v>
          </cell>
          <cell r="C2383" t="str">
            <v>Not Listed</v>
          </cell>
        </row>
        <row r="2384">
          <cell r="A2384" t="str">
            <v>LYPSA GEMS &amp; JEWELLERY LTD</v>
          </cell>
          <cell r="B2384">
            <v>534532</v>
          </cell>
          <cell r="C2384" t="str">
            <v>LYPSAGEMS</v>
          </cell>
        </row>
        <row r="2385">
          <cell r="A2385" t="str">
            <v>M B PARIKH FINSTOCKS LTD</v>
          </cell>
          <cell r="B2385">
            <v>526935</v>
          </cell>
          <cell r="C2385" t="str">
            <v>Not Listed</v>
          </cell>
        </row>
        <row r="2386">
          <cell r="A2386" t="str">
            <v>M K  EXIM (INDIA) LTD</v>
          </cell>
          <cell r="B2386">
            <v>538890</v>
          </cell>
          <cell r="C2386" t="str">
            <v>Not Listed</v>
          </cell>
        </row>
        <row r="2387">
          <cell r="A2387" t="str">
            <v>M K  EXIM INDIA LTD</v>
          </cell>
          <cell r="B2387">
            <v>538890</v>
          </cell>
          <cell r="C2387" t="str">
            <v>Not Listed</v>
          </cell>
        </row>
        <row r="2388">
          <cell r="A2388" t="str">
            <v>M K PROTEINS LTD</v>
          </cell>
          <cell r="B2388" t="str">
            <v>Not Listed</v>
          </cell>
          <cell r="C2388" t="str">
            <v>MKPL</v>
          </cell>
        </row>
        <row r="2389">
          <cell r="A2389" t="str">
            <v>M P AGRO INDUSTRIES LTD</v>
          </cell>
          <cell r="B2389">
            <v>506543</v>
          </cell>
          <cell r="C2389" t="str">
            <v>Not Listed</v>
          </cell>
        </row>
        <row r="2390">
          <cell r="A2390" t="str">
            <v>MAAN ALUMINIUM LTD</v>
          </cell>
          <cell r="B2390">
            <v>532906</v>
          </cell>
          <cell r="C2390" t="str">
            <v>MAANALU</v>
          </cell>
        </row>
        <row r="2391">
          <cell r="A2391" t="str">
            <v>MAC CHARLES (INDIA) LTD</v>
          </cell>
          <cell r="B2391">
            <v>507836</v>
          </cell>
          <cell r="C2391" t="str">
            <v>Not Listed</v>
          </cell>
        </row>
        <row r="2392">
          <cell r="A2392" t="str">
            <v>MAC CHARLES INDIA LTD</v>
          </cell>
          <cell r="B2392">
            <v>507836</v>
          </cell>
          <cell r="C2392" t="str">
            <v>Not Listed</v>
          </cell>
        </row>
        <row r="2393">
          <cell r="A2393" t="str">
            <v>MAC HOTELS LTD</v>
          </cell>
          <cell r="B2393">
            <v>541973</v>
          </cell>
          <cell r="C2393" t="str">
            <v>Not Listed</v>
          </cell>
        </row>
        <row r="2394">
          <cell r="A2394" t="str">
            <v>MACHINO PLASTICS LTD</v>
          </cell>
          <cell r="B2394">
            <v>523248</v>
          </cell>
          <cell r="C2394" t="str">
            <v>Not Listed</v>
          </cell>
        </row>
        <row r="2395">
          <cell r="A2395" t="str">
            <v>MACK TRADING CO LTD</v>
          </cell>
          <cell r="B2395">
            <v>501471</v>
          </cell>
          <cell r="C2395" t="str">
            <v>Not Listed</v>
          </cell>
        </row>
        <row r="2396">
          <cell r="A2396" t="str">
            <v>MACPOWER CNC MACHINES LTD</v>
          </cell>
          <cell r="B2396" t="str">
            <v>Not Listed</v>
          </cell>
          <cell r="C2396" t="str">
            <v>MACPOWER</v>
          </cell>
        </row>
        <row r="2397">
          <cell r="A2397" t="str">
            <v>MACRO INTERNATIONAL EXPORTS LTD</v>
          </cell>
          <cell r="B2397">
            <v>512600</v>
          </cell>
          <cell r="C2397" t="str">
            <v>Not Listed</v>
          </cell>
        </row>
        <row r="2398">
          <cell r="A2398" t="str">
            <v>MADHAV COPPER LTD</v>
          </cell>
          <cell r="B2398" t="str">
            <v>Not Listed</v>
          </cell>
          <cell r="C2398" t="str">
            <v>MCL</v>
          </cell>
        </row>
        <row r="2399">
          <cell r="A2399" t="str">
            <v>MADHAV INFRA PROJECTS LTD</v>
          </cell>
          <cell r="B2399">
            <v>539894</v>
          </cell>
          <cell r="C2399" t="str">
            <v>Not Listed</v>
          </cell>
        </row>
        <row r="2400">
          <cell r="A2400" t="str">
            <v>MADHAV MARBLES AND GRANITES LTD</v>
          </cell>
          <cell r="B2400">
            <v>515093</v>
          </cell>
          <cell r="C2400" t="str">
            <v>MADHAV</v>
          </cell>
        </row>
        <row r="2401">
          <cell r="A2401" t="str">
            <v>MADHUBAN CONSTRUCTIONS LTD</v>
          </cell>
          <cell r="B2401">
            <v>780009</v>
          </cell>
          <cell r="C2401" t="str">
            <v>Not Listed</v>
          </cell>
        </row>
        <row r="2402">
          <cell r="A2402" t="str">
            <v>MADHUCON PROJECTS LTD</v>
          </cell>
          <cell r="B2402">
            <v>531497</v>
          </cell>
          <cell r="C2402" t="str">
            <v>MADHUCON</v>
          </cell>
        </row>
        <row r="2403">
          <cell r="A2403" t="str">
            <v>MADHUR INDUSTRIES LTD</v>
          </cell>
          <cell r="B2403">
            <v>519279</v>
          </cell>
          <cell r="C2403" t="str">
            <v>Not Listed</v>
          </cell>
        </row>
        <row r="2404">
          <cell r="A2404" t="str">
            <v>MADHUSUDAN INDUSTRIES LTD</v>
          </cell>
          <cell r="B2404">
            <v>515059</v>
          </cell>
          <cell r="C2404" t="str">
            <v>Not Listed</v>
          </cell>
        </row>
        <row r="2405">
          <cell r="A2405" t="str">
            <v>MADHUSUDAN SECURITIES LTD</v>
          </cell>
          <cell r="B2405">
            <v>511000</v>
          </cell>
          <cell r="C2405" t="str">
            <v>Not Listed</v>
          </cell>
        </row>
        <row r="2406">
          <cell r="A2406" t="str">
            <v>MADHUVEER COM 18 NETWORK LTD</v>
          </cell>
          <cell r="B2406">
            <v>531910</v>
          </cell>
          <cell r="C2406" t="str">
            <v>Not Listed</v>
          </cell>
        </row>
        <row r="2407">
          <cell r="A2407" t="str">
            <v>MADHYA BHARAT AGRO PRODUCTS LTD</v>
          </cell>
          <cell r="B2407" t="str">
            <v>Not Listed</v>
          </cell>
          <cell r="C2407" t="str">
            <v>MBAPL</v>
          </cell>
        </row>
        <row r="2408">
          <cell r="A2408" t="str">
            <v>MADHYA PRADESH TODAY MEDIA LTD</v>
          </cell>
          <cell r="B2408" t="str">
            <v>Not Listed</v>
          </cell>
          <cell r="C2408" t="str">
            <v>MPTODAY</v>
          </cell>
        </row>
        <row r="2409">
          <cell r="A2409" t="str">
            <v>MADRAS FERTILIZERS LTD</v>
          </cell>
          <cell r="B2409">
            <v>590134</v>
          </cell>
          <cell r="C2409" t="str">
            <v>MADRASFERT</v>
          </cell>
        </row>
        <row r="2410">
          <cell r="A2410" t="str">
            <v>MAESTROS ELECTRONICS &amp; TELECOMMUNICATIONS SYSTEMS LTD</v>
          </cell>
          <cell r="B2410">
            <v>538401</v>
          </cell>
          <cell r="C2410" t="str">
            <v>Not Listed</v>
          </cell>
        </row>
        <row r="2411">
          <cell r="A2411" t="str">
            <v>MAFATLAL INDUSTRIES LTD</v>
          </cell>
          <cell r="B2411">
            <v>500264</v>
          </cell>
          <cell r="C2411" t="str">
            <v>Not Listed</v>
          </cell>
        </row>
        <row r="2412">
          <cell r="A2412" t="str">
            <v>MAGADH SUGAR &amp; ENERGY LTD</v>
          </cell>
          <cell r="B2412">
            <v>540650</v>
          </cell>
          <cell r="C2412" t="str">
            <v>MAGADSUGAR</v>
          </cell>
        </row>
        <row r="2413">
          <cell r="A2413" t="str">
            <v>MAGMA FINCORP LTD</v>
          </cell>
          <cell r="B2413">
            <v>524000</v>
          </cell>
          <cell r="C2413" t="str">
            <v>MAGMA</v>
          </cell>
        </row>
        <row r="2414">
          <cell r="A2414" t="str">
            <v>MAGNA ELECTRO CASTINGS LTD</v>
          </cell>
          <cell r="B2414">
            <v>517449</v>
          </cell>
          <cell r="C2414" t="str">
            <v>Not Listed</v>
          </cell>
        </row>
        <row r="2415">
          <cell r="A2415" t="str">
            <v>MAGNANIMOUS TRADE &amp; FINANCE LTD</v>
          </cell>
          <cell r="B2415">
            <v>512377</v>
          </cell>
          <cell r="C2415" t="str">
            <v>Not Listed</v>
          </cell>
        </row>
        <row r="2416">
          <cell r="A2416" t="str">
            <v>MAGNUM VENTURES LTD</v>
          </cell>
          <cell r="B2416">
            <v>532896</v>
          </cell>
          <cell r="C2416" t="str">
            <v>MAGNUM</v>
          </cell>
        </row>
        <row r="2417">
          <cell r="A2417" t="str">
            <v>MAHA RASHTRA APEX CORPORATION LTD</v>
          </cell>
          <cell r="B2417">
            <v>523384</v>
          </cell>
          <cell r="C2417" t="str">
            <v>MAHAPEXLTD</v>
          </cell>
        </row>
        <row r="2418">
          <cell r="A2418" t="str">
            <v>MAHAAN FOODS LTD</v>
          </cell>
          <cell r="B2418">
            <v>519612</v>
          </cell>
          <cell r="C2418" t="str">
            <v>Not Listed</v>
          </cell>
        </row>
        <row r="2419">
          <cell r="A2419" t="str">
            <v>MAHALAXMI RUBTECH LTD</v>
          </cell>
          <cell r="B2419">
            <v>514450</v>
          </cell>
          <cell r="C2419" t="str">
            <v>Not Listed</v>
          </cell>
        </row>
        <row r="2420">
          <cell r="A2420" t="str">
            <v>MAHALAXMI SEAMLESS LTD</v>
          </cell>
          <cell r="B2420">
            <v>513460</v>
          </cell>
          <cell r="C2420" t="str">
            <v>Not Listed</v>
          </cell>
        </row>
        <row r="2421">
          <cell r="A2421" t="str">
            <v>MAHAMAYA STEEL INDUSTRIES LTD</v>
          </cell>
          <cell r="B2421">
            <v>513554</v>
          </cell>
          <cell r="C2421" t="str">
            <v>MAHASTEEL</v>
          </cell>
        </row>
        <row r="2422">
          <cell r="A2422" t="str">
            <v>MAHAN INDUSTRIES LTD</v>
          </cell>
          <cell r="B2422">
            <v>531515</v>
          </cell>
          <cell r="C2422" t="str">
            <v>Not Listed</v>
          </cell>
        </row>
        <row r="2423">
          <cell r="A2423" t="str">
            <v>MAHANAGAR GAS LTD</v>
          </cell>
          <cell r="B2423">
            <v>539957</v>
          </cell>
          <cell r="C2423" t="str">
            <v>MGL</v>
          </cell>
        </row>
        <row r="2424">
          <cell r="A2424" t="str">
            <v>MAHANAGAR TELEPHONE NIGAM LTD</v>
          </cell>
          <cell r="B2424">
            <v>500108</v>
          </cell>
          <cell r="C2424" t="str">
            <v>MTNL</v>
          </cell>
        </row>
        <row r="2425">
          <cell r="A2425" t="str">
            <v>MAHANIVESH (INDIA) LTD</v>
          </cell>
          <cell r="B2425">
            <v>530441</v>
          </cell>
          <cell r="C2425" t="str">
            <v>Not Listed</v>
          </cell>
        </row>
        <row r="2426">
          <cell r="A2426" t="str">
            <v>MAHANIVESH INDIA LTD</v>
          </cell>
          <cell r="B2426">
            <v>530441</v>
          </cell>
          <cell r="C2426" t="str">
            <v>Not Listed</v>
          </cell>
        </row>
        <row r="2427">
          <cell r="A2427" t="str">
            <v>MAHARASHTRA CORPORATION LTD</v>
          </cell>
          <cell r="B2427">
            <v>505523</v>
          </cell>
          <cell r="C2427" t="str">
            <v>Not Listed</v>
          </cell>
        </row>
        <row r="2428">
          <cell r="A2428" t="str">
            <v>MAHARASHTRA SCOOTERS LTD</v>
          </cell>
          <cell r="B2428">
            <v>500266</v>
          </cell>
          <cell r="C2428" t="str">
            <v>MAHSCOOTER</v>
          </cell>
        </row>
        <row r="2429">
          <cell r="A2429" t="str">
            <v>MAHARASHTRA SEAMLESS LTD</v>
          </cell>
          <cell r="B2429">
            <v>500265</v>
          </cell>
          <cell r="C2429" t="str">
            <v>MAHSEAMLES</v>
          </cell>
        </row>
        <row r="2430">
          <cell r="A2430" t="str">
            <v>MAHASAGAR TRAVELS LTD</v>
          </cell>
          <cell r="B2430">
            <v>526795</v>
          </cell>
          <cell r="C2430" t="str">
            <v>Not Listed</v>
          </cell>
        </row>
        <row r="2431">
          <cell r="A2431" t="str">
            <v>MAHASHREE TRADING LTD</v>
          </cell>
          <cell r="B2431">
            <v>512337</v>
          </cell>
          <cell r="C2431" t="str">
            <v>Not Listed</v>
          </cell>
        </row>
        <row r="2432">
          <cell r="A2432" t="str">
            <v>MAHAVEER INFOWAY LTD</v>
          </cell>
          <cell r="B2432">
            <v>539383</v>
          </cell>
          <cell r="C2432" t="str">
            <v>Not Listed</v>
          </cell>
        </row>
        <row r="2433">
          <cell r="A2433" t="str">
            <v>MAHAVIR INDUSTRIES LTD</v>
          </cell>
          <cell r="B2433">
            <v>531648</v>
          </cell>
          <cell r="C2433" t="str">
            <v>Not Listed</v>
          </cell>
        </row>
        <row r="2434">
          <cell r="A2434" t="str">
            <v>Mahesh Developers Ltd</v>
          </cell>
          <cell r="B2434">
            <v>542677</v>
          </cell>
          <cell r="C2434" t="str">
            <v>MAHESH</v>
          </cell>
        </row>
        <row r="2435">
          <cell r="A2435" t="str">
            <v>MAHESHWARI LOGISTICS LTD</v>
          </cell>
          <cell r="B2435" t="str">
            <v>Not Listed</v>
          </cell>
          <cell r="C2435" t="str">
            <v>MAHESHWARI</v>
          </cell>
        </row>
        <row r="2436">
          <cell r="A2436" t="str">
            <v>MAHICKRA CHEMICALS LTD</v>
          </cell>
          <cell r="B2436" t="str">
            <v>Not Listed</v>
          </cell>
          <cell r="C2436" t="str">
            <v>MAHICKRA</v>
          </cell>
        </row>
        <row r="2437">
          <cell r="A2437" t="str">
            <v>MAHINDRA &amp; MAHINDRA FINANCIAL SERVICES LTD</v>
          </cell>
          <cell r="B2437">
            <v>532720</v>
          </cell>
          <cell r="C2437" t="str">
            <v>M&amp;MFIN</v>
          </cell>
        </row>
        <row r="2438">
          <cell r="A2438" t="str">
            <v>MAHINDRA &amp; MAHINDRA LTD</v>
          </cell>
          <cell r="B2438">
            <v>500520</v>
          </cell>
          <cell r="C2438" t="str">
            <v>M&amp;M</v>
          </cell>
        </row>
        <row r="2439">
          <cell r="A2439" t="str">
            <v>MAHINDRA CIE AUTOMOTIVE LTD</v>
          </cell>
          <cell r="B2439">
            <v>532756</v>
          </cell>
          <cell r="C2439" t="str">
            <v>MAHINDCIE</v>
          </cell>
        </row>
        <row r="2440">
          <cell r="A2440" t="str">
            <v>MAHINDRA HOLIDAYS &amp; RESORTS (INDIA) LTD</v>
          </cell>
          <cell r="B2440">
            <v>533088</v>
          </cell>
          <cell r="C2440" t="str">
            <v>MHRIL</v>
          </cell>
        </row>
        <row r="2441">
          <cell r="A2441" t="str">
            <v>MAHINDRA HOLIDAYS &amp; RESORTS INDIA LTD</v>
          </cell>
          <cell r="B2441">
            <v>533088</v>
          </cell>
          <cell r="C2441" t="str">
            <v>MHRIL</v>
          </cell>
        </row>
        <row r="2442">
          <cell r="A2442" t="str">
            <v>MAHINDRA LIFESPACE DEVELOPERS LTD</v>
          </cell>
          <cell r="B2442">
            <v>532313</v>
          </cell>
          <cell r="C2442" t="str">
            <v>MAHLIFE</v>
          </cell>
        </row>
        <row r="2443">
          <cell r="A2443" t="str">
            <v>MAHINDRA LOGISTICS LTD</v>
          </cell>
          <cell r="B2443">
            <v>540768</v>
          </cell>
          <cell r="C2443" t="str">
            <v>MAHLOG</v>
          </cell>
        </row>
        <row r="2444">
          <cell r="A2444" t="str">
            <v>Mahip Industries Ltd</v>
          </cell>
          <cell r="B2444">
            <v>542503</v>
          </cell>
          <cell r="C2444" t="str">
            <v>MAHIP</v>
          </cell>
        </row>
        <row r="2445">
          <cell r="A2445" t="str">
            <v>MAITHAN ALLOYS LTD</v>
          </cell>
          <cell r="B2445">
            <v>590078</v>
          </cell>
          <cell r="C2445" t="str">
            <v>MAITHANALL</v>
          </cell>
        </row>
        <row r="2446">
          <cell r="A2446" t="str">
            <v>MAITRI ENTERPRISES LTD</v>
          </cell>
          <cell r="B2446">
            <v>513430</v>
          </cell>
          <cell r="C2446" t="str">
            <v>Not Listed</v>
          </cell>
        </row>
        <row r="2447">
          <cell r="A2447" t="str">
            <v>MAJESCO LTD</v>
          </cell>
          <cell r="B2447">
            <v>539289</v>
          </cell>
          <cell r="C2447" t="str">
            <v>MAJESCO</v>
          </cell>
        </row>
        <row r="2448">
          <cell r="A2448" t="str">
            <v>MAJESTIC AUTO LTD</v>
          </cell>
          <cell r="B2448">
            <v>500267</v>
          </cell>
          <cell r="C2448" t="str">
            <v>Not Listed</v>
          </cell>
        </row>
        <row r="2449">
          <cell r="A2449" t="str">
            <v>MAJESTIC RESEARCH SERVICES AND SOLUTIONS LTD</v>
          </cell>
          <cell r="B2449">
            <v>539229</v>
          </cell>
          <cell r="C2449" t="str">
            <v>Not Listed</v>
          </cell>
        </row>
        <row r="2450">
          <cell r="A2450" t="str">
            <v>MAKERS LABORATORIES LTD</v>
          </cell>
          <cell r="B2450">
            <v>506919</v>
          </cell>
          <cell r="C2450" t="str">
            <v>Not Listed</v>
          </cell>
        </row>
        <row r="2451">
          <cell r="A2451" t="str">
            <v>MALLCOM (INDIA) LTD</v>
          </cell>
          <cell r="B2451">
            <v>539400</v>
          </cell>
          <cell r="C2451" t="str">
            <v>Not Listed</v>
          </cell>
        </row>
        <row r="2452">
          <cell r="A2452" t="str">
            <v>MALLCOM INDIA LTD</v>
          </cell>
          <cell r="B2452">
            <v>539400</v>
          </cell>
          <cell r="C2452" t="str">
            <v>Not Listed</v>
          </cell>
        </row>
        <row r="2453">
          <cell r="A2453" t="str">
            <v>MALU PAPER MILLS LTD</v>
          </cell>
          <cell r="B2453">
            <v>532728</v>
          </cell>
          <cell r="C2453" t="str">
            <v>MALUPAPER</v>
          </cell>
        </row>
        <row r="2454">
          <cell r="A2454" t="str">
            <v>MAN INDUSTRIES (INDIA) LTD</v>
          </cell>
          <cell r="B2454">
            <v>513269</v>
          </cell>
          <cell r="C2454" t="str">
            <v>MANINDS</v>
          </cell>
        </row>
        <row r="2455">
          <cell r="A2455" t="str">
            <v>MAN INDUSTRIES INDIA LTD</v>
          </cell>
          <cell r="B2455">
            <v>513269</v>
          </cell>
          <cell r="C2455" t="str">
            <v>MANINDS</v>
          </cell>
        </row>
        <row r="2456">
          <cell r="A2456" t="str">
            <v>MAN INFRACONSTRUCTION LTD</v>
          </cell>
          <cell r="B2456">
            <v>533169</v>
          </cell>
          <cell r="C2456" t="str">
            <v>MANINFRA</v>
          </cell>
        </row>
        <row r="2457">
          <cell r="A2457" t="str">
            <v>MANAKSIA ALUMINIUM COMPANY LTD</v>
          </cell>
          <cell r="B2457">
            <v>539045</v>
          </cell>
          <cell r="C2457" t="str">
            <v>MANAKALUCO</v>
          </cell>
        </row>
        <row r="2458">
          <cell r="A2458" t="str">
            <v>MANAKSIA COATED METALS &amp; INDUSTRIES LTD</v>
          </cell>
          <cell r="B2458">
            <v>539046</v>
          </cell>
          <cell r="C2458" t="str">
            <v>MANAKCOAT</v>
          </cell>
        </row>
        <row r="2459">
          <cell r="A2459" t="str">
            <v>MANAKSIA LTD</v>
          </cell>
          <cell r="B2459">
            <v>532932</v>
          </cell>
          <cell r="C2459" t="str">
            <v>MANAKSIA</v>
          </cell>
        </row>
        <row r="2460">
          <cell r="A2460" t="str">
            <v>MANAKSIA STEELS LTD</v>
          </cell>
          <cell r="B2460">
            <v>539044</v>
          </cell>
          <cell r="C2460" t="str">
            <v>MANAKSTEEL</v>
          </cell>
        </row>
        <row r="2461">
          <cell r="A2461" t="str">
            <v>MANALI PETROCHEMICALS LTD</v>
          </cell>
          <cell r="B2461">
            <v>500268</v>
          </cell>
          <cell r="C2461" t="str">
            <v>MANALIPETC</v>
          </cell>
        </row>
        <row r="2462">
          <cell r="A2462" t="str">
            <v>MANAPPURAM FINANCE LTD</v>
          </cell>
          <cell r="B2462">
            <v>531213</v>
          </cell>
          <cell r="C2462" t="str">
            <v>MANAPPURAM</v>
          </cell>
        </row>
        <row r="2463">
          <cell r="A2463" t="str">
            <v>MANAS PROPERTIES LTD</v>
          </cell>
          <cell r="B2463">
            <v>540402</v>
          </cell>
          <cell r="C2463" t="str">
            <v>Not Listed</v>
          </cell>
        </row>
        <row r="2464">
          <cell r="A2464" t="str">
            <v>MANAV INFRA PROJECTS LTD</v>
          </cell>
          <cell r="B2464" t="str">
            <v>Not Listed</v>
          </cell>
          <cell r="C2464" t="str">
            <v>MANAV</v>
          </cell>
        </row>
        <row r="2465">
          <cell r="A2465" t="str">
            <v>MANDHANA INDUSTRIES LTD</v>
          </cell>
          <cell r="B2465">
            <v>533204</v>
          </cell>
          <cell r="C2465" t="str">
            <v>MANDHANA</v>
          </cell>
        </row>
        <row r="2466">
          <cell r="A2466" t="str">
            <v>MANGAL CREDIT AND FINCORP LTD.</v>
          </cell>
          <cell r="B2466">
            <v>505850</v>
          </cell>
          <cell r="C2466" t="str">
            <v>MANCREDIT</v>
          </cell>
        </row>
        <row r="2467">
          <cell r="A2467" t="str">
            <v>MANGALAM CEMENT LTD</v>
          </cell>
          <cell r="B2467">
            <v>502157</v>
          </cell>
          <cell r="C2467" t="str">
            <v>MANGLMCEM</v>
          </cell>
        </row>
        <row r="2468">
          <cell r="A2468" t="str">
            <v>MANGALAM DRUGS AND ORGANICS LTD</v>
          </cell>
          <cell r="B2468">
            <v>532637</v>
          </cell>
          <cell r="C2468" t="str">
            <v>MANGALAM</v>
          </cell>
        </row>
        <row r="2469">
          <cell r="A2469" t="str">
            <v>MANGALAM INDUSTRIAL FINANCE LTD</v>
          </cell>
          <cell r="B2469">
            <v>537800</v>
          </cell>
          <cell r="C2469" t="str">
            <v>Not Listed</v>
          </cell>
        </row>
        <row r="2470">
          <cell r="A2470" t="str">
            <v>MANGALAM ORGANICS LTD</v>
          </cell>
          <cell r="B2470">
            <v>514418</v>
          </cell>
          <cell r="C2470" t="str">
            <v>Not Listed</v>
          </cell>
        </row>
        <row r="2471">
          <cell r="A2471" t="str">
            <v>MANGALAM SEEDS LTD</v>
          </cell>
          <cell r="B2471">
            <v>539275</v>
          </cell>
          <cell r="C2471" t="str">
            <v>Not Listed</v>
          </cell>
        </row>
        <row r="2472">
          <cell r="A2472" t="str">
            <v>MANGALAM TIMBER PRODUCTS LTD</v>
          </cell>
          <cell r="B2472">
            <v>516007</v>
          </cell>
          <cell r="C2472" t="str">
            <v>MANGTIMBER</v>
          </cell>
        </row>
        <row r="2473">
          <cell r="A2473" t="str">
            <v>MANGALORE CHEMICALS &amp; FERTILIZERS LTD</v>
          </cell>
          <cell r="B2473">
            <v>530011</v>
          </cell>
          <cell r="C2473" t="str">
            <v>MANGCHEFER</v>
          </cell>
        </row>
        <row r="2474">
          <cell r="A2474" t="str">
            <v>MANGALORE REFINERY AND PETROCHEMICALS LTD</v>
          </cell>
          <cell r="B2474">
            <v>500109</v>
          </cell>
          <cell r="C2474" t="str">
            <v>MRPL</v>
          </cell>
        </row>
        <row r="2475">
          <cell r="A2475" t="str">
            <v>MANGALYA SOFT-TECH LTD</v>
          </cell>
          <cell r="B2475">
            <v>530243</v>
          </cell>
          <cell r="C2475" t="str">
            <v>Not Listed</v>
          </cell>
        </row>
        <row r="2476">
          <cell r="A2476" t="str">
            <v>MANIPAL FINANCE CORPORATION LTD</v>
          </cell>
          <cell r="B2476">
            <v>507938</v>
          </cell>
          <cell r="C2476" t="str">
            <v>Not Listed</v>
          </cell>
        </row>
        <row r="2477">
          <cell r="A2477" t="str">
            <v>MANJEERA CONSTRUCTIONS LTD</v>
          </cell>
          <cell r="B2477">
            <v>533078</v>
          </cell>
          <cell r="C2477" t="str">
            <v>Not Listed</v>
          </cell>
        </row>
        <row r="2478">
          <cell r="A2478" t="str">
            <v>MANOMAY TEX (INDIA) LTD</v>
          </cell>
          <cell r="B2478">
            <v>540396</v>
          </cell>
          <cell r="C2478" t="str">
            <v>Not Listed</v>
          </cell>
        </row>
        <row r="2479">
          <cell r="A2479" t="str">
            <v>MANOMAY TEX INDIA LTD</v>
          </cell>
          <cell r="B2479">
            <v>540396</v>
          </cell>
          <cell r="C2479" t="str">
            <v>Not Listed</v>
          </cell>
        </row>
        <row r="2480">
          <cell r="A2480" t="str">
            <v>MANORAMA INDUSTRIES LTD</v>
          </cell>
          <cell r="B2480">
            <v>541974</v>
          </cell>
          <cell r="C2480" t="str">
            <v>Not Listed</v>
          </cell>
        </row>
        <row r="2481">
          <cell r="A2481" t="str">
            <v>MANPASAND BEVERAGES LTD</v>
          </cell>
          <cell r="B2481">
            <v>539207</v>
          </cell>
          <cell r="C2481" t="str">
            <v>MANPASAND</v>
          </cell>
        </row>
        <row r="2482">
          <cell r="A2482" t="str">
            <v>MANRAJ HOUSING FINANCE LTD</v>
          </cell>
          <cell r="B2482">
            <v>530537</v>
          </cell>
          <cell r="C2482" t="str">
            <v>Not Listed</v>
          </cell>
        </row>
        <row r="2483">
          <cell r="A2483" t="str">
            <v>MANSI FINANCE CHENNAI LTD</v>
          </cell>
          <cell r="B2483">
            <v>511758</v>
          </cell>
          <cell r="C2483" t="str">
            <v>Not Listed</v>
          </cell>
        </row>
        <row r="2484">
          <cell r="A2484" t="str">
            <v>MANSOON TRADING CO LTD</v>
          </cell>
          <cell r="B2484">
            <v>512303</v>
          </cell>
          <cell r="C2484" t="str">
            <v>Not Listed</v>
          </cell>
        </row>
        <row r="2485">
          <cell r="A2485" t="str">
            <v>MANUGRAPH (INDIA) LTD</v>
          </cell>
          <cell r="B2485">
            <v>505324</v>
          </cell>
          <cell r="C2485" t="str">
            <v>MANUGRAPH</v>
          </cell>
        </row>
        <row r="2486">
          <cell r="A2486" t="str">
            <v>MANUGRAPH INDIA LTD</v>
          </cell>
          <cell r="B2486">
            <v>505324</v>
          </cell>
          <cell r="C2486" t="str">
            <v>MANUGRAPH</v>
          </cell>
        </row>
        <row r="2487">
          <cell r="A2487" t="str">
            <v>MANVIJAY DEVELOPMENT COMPANY LTD</v>
          </cell>
          <cell r="B2487">
            <v>538970</v>
          </cell>
          <cell r="C2487" t="str">
            <v>Not Listed</v>
          </cell>
        </row>
        <row r="2488">
          <cell r="A2488" t="str">
            <v>MARAL OVERSEAS LTD</v>
          </cell>
          <cell r="B2488">
            <v>521018</v>
          </cell>
          <cell r="C2488" t="str">
            <v>MARALOVER</v>
          </cell>
        </row>
        <row r="2489">
          <cell r="A2489" t="str">
            <v>MARATHON NEXTGEN REALTY LTD</v>
          </cell>
          <cell r="B2489">
            <v>503101</v>
          </cell>
          <cell r="C2489" t="str">
            <v>MARATHON</v>
          </cell>
        </row>
        <row r="2490">
          <cell r="A2490" t="str">
            <v>MARATHWADA REFRACTORIES LTD</v>
          </cell>
          <cell r="B2490">
            <v>502250</v>
          </cell>
          <cell r="C2490" t="str">
            <v>Not Listed</v>
          </cell>
        </row>
        <row r="2491">
          <cell r="A2491" t="str">
            <v>MARDIA SAMYOUNG CAPILLARY TUBES COMPANY LTD</v>
          </cell>
          <cell r="B2491">
            <v>513544</v>
          </cell>
          <cell r="C2491" t="str">
            <v>Not Listed</v>
          </cell>
        </row>
        <row r="2492">
          <cell r="A2492" t="str">
            <v>MARG LTD</v>
          </cell>
          <cell r="B2492">
            <v>530543</v>
          </cell>
          <cell r="C2492" t="str">
            <v>Not Listed</v>
          </cell>
        </row>
        <row r="2493">
          <cell r="A2493" t="str">
            <v>MARG TECHNO PROJECTS LTD</v>
          </cell>
          <cell r="B2493">
            <v>540254</v>
          </cell>
          <cell r="C2493" t="str">
            <v>Not Listed</v>
          </cell>
        </row>
        <row r="2494">
          <cell r="A2494" t="str">
            <v>MARGO FINANCE LTD</v>
          </cell>
          <cell r="B2494">
            <v>500206</v>
          </cell>
          <cell r="C2494" t="str">
            <v>Not Listed</v>
          </cell>
        </row>
        <row r="2495">
          <cell r="A2495" t="str">
            <v>MARICO LTD</v>
          </cell>
          <cell r="B2495">
            <v>531642</v>
          </cell>
          <cell r="C2495" t="str">
            <v>MARICO</v>
          </cell>
        </row>
        <row r="2496">
          <cell r="A2496" t="str">
            <v>MARINE ELECTRICALS (INDIA) LTD</v>
          </cell>
          <cell r="B2496" t="str">
            <v>Not Listed</v>
          </cell>
          <cell r="C2496" t="str">
            <v>MARINE</v>
          </cell>
        </row>
        <row r="2497">
          <cell r="A2497" t="str">
            <v>MARINE ELECTRICALS INDIA LTD</v>
          </cell>
          <cell r="B2497" t="str">
            <v>Not Listed</v>
          </cell>
          <cell r="C2497" t="str">
            <v>MARINE</v>
          </cell>
        </row>
        <row r="2498">
          <cell r="A2498" t="str">
            <v>MARIS SPINNERS LTD</v>
          </cell>
          <cell r="B2498">
            <v>531503</v>
          </cell>
          <cell r="C2498" t="str">
            <v>Not Listed</v>
          </cell>
        </row>
        <row r="2499">
          <cell r="A2499" t="str">
            <v>MARKET CREATORS LTD</v>
          </cell>
          <cell r="B2499">
            <v>526891</v>
          </cell>
          <cell r="C2499" t="str">
            <v>Not Listed</v>
          </cell>
        </row>
        <row r="2500">
          <cell r="A2500" t="str">
            <v>MARKSANS PHARMA LTD</v>
          </cell>
          <cell r="B2500">
            <v>524404</v>
          </cell>
          <cell r="C2500" t="str">
            <v>MARKSANS</v>
          </cell>
        </row>
        <row r="2501">
          <cell r="A2501" t="str">
            <v>MARSHALL MACHINES LTD</v>
          </cell>
          <cell r="B2501" t="str">
            <v>Not Listed</v>
          </cell>
          <cell r="C2501" t="str">
            <v>MARSHALL</v>
          </cell>
        </row>
        <row r="2502">
          <cell r="A2502" t="str">
            <v>MARSONS LTD</v>
          </cell>
          <cell r="B2502">
            <v>517467</v>
          </cell>
          <cell r="C2502" t="str">
            <v>Not Listed</v>
          </cell>
        </row>
        <row r="2503">
          <cell r="A2503" t="str">
            <v>MARTIN BURN LTD</v>
          </cell>
          <cell r="B2503">
            <v>523566</v>
          </cell>
          <cell r="C2503" t="str">
            <v>Not Listed</v>
          </cell>
        </row>
        <row r="2504">
          <cell r="A2504" t="str">
            <v>MARUTI INFRASTRUCTURE LTD</v>
          </cell>
          <cell r="B2504">
            <v>531540</v>
          </cell>
          <cell r="C2504" t="str">
            <v>Not Listed</v>
          </cell>
        </row>
        <row r="2505">
          <cell r="A2505" t="str">
            <v>MARUTI SECURITIES LTD</v>
          </cell>
          <cell r="B2505">
            <v>531319</v>
          </cell>
          <cell r="C2505" t="str">
            <v>Not Listed</v>
          </cell>
        </row>
        <row r="2506">
          <cell r="A2506" t="str">
            <v>MARUTI SUZUKI (INDIA) LTD</v>
          </cell>
          <cell r="B2506">
            <v>532500</v>
          </cell>
          <cell r="C2506" t="str">
            <v>MARUTI</v>
          </cell>
        </row>
        <row r="2507">
          <cell r="A2507" t="str">
            <v>MARUTI SUZUKI INDIA LTD</v>
          </cell>
          <cell r="B2507">
            <v>532500</v>
          </cell>
          <cell r="C2507" t="str">
            <v>MARUTI</v>
          </cell>
        </row>
        <row r="2508">
          <cell r="A2508" t="str">
            <v>MARVEL DECOR LTD</v>
          </cell>
          <cell r="B2508" t="str">
            <v>Not Listed</v>
          </cell>
          <cell r="C2508" t="str">
            <v>MDL</v>
          </cell>
        </row>
        <row r="2509">
          <cell r="A2509" t="str">
            <v>MAS FINANCIAL SERVICES LTD</v>
          </cell>
          <cell r="B2509">
            <v>540749</v>
          </cell>
          <cell r="C2509" t="str">
            <v>MASFIN</v>
          </cell>
        </row>
        <row r="2510">
          <cell r="A2510" t="str">
            <v>MASK INVESTMENTS LTD</v>
          </cell>
          <cell r="B2510" t="str">
            <v>Not Listed</v>
          </cell>
          <cell r="C2510" t="str">
            <v>MASKINVEST</v>
          </cell>
        </row>
        <row r="2511">
          <cell r="A2511" t="str">
            <v>MASTEK LTD</v>
          </cell>
          <cell r="B2511">
            <v>523704</v>
          </cell>
          <cell r="C2511" t="str">
            <v>MASTEK</v>
          </cell>
        </row>
        <row r="2512">
          <cell r="A2512" t="str">
            <v>MASTER CHEMICALS LTD</v>
          </cell>
          <cell r="B2512">
            <v>506867</v>
          </cell>
          <cell r="C2512" t="str">
            <v>Not Listed</v>
          </cell>
        </row>
        <row r="2513">
          <cell r="A2513" t="str">
            <v>MASTER TRUST LTD</v>
          </cell>
          <cell r="B2513">
            <v>511768</v>
          </cell>
          <cell r="C2513" t="str">
            <v>Not Listed</v>
          </cell>
        </row>
        <row r="2514">
          <cell r="A2514" t="str">
            <v>MATHEW EASOW RESEARCH SECURITIES LTD</v>
          </cell>
          <cell r="B2514">
            <v>511688</v>
          </cell>
          <cell r="C2514" t="str">
            <v>Not Listed</v>
          </cell>
        </row>
        <row r="2515">
          <cell r="A2515" t="str">
            <v>MATRIMONY COM LTD</v>
          </cell>
          <cell r="B2515">
            <v>540704</v>
          </cell>
          <cell r="C2515" t="str">
            <v>MATRIMONY</v>
          </cell>
        </row>
        <row r="2516">
          <cell r="A2516" t="str">
            <v>MAURIA UDYOG LTD</v>
          </cell>
          <cell r="B2516">
            <v>539219</v>
          </cell>
          <cell r="C2516" t="str">
            <v>Not Listed</v>
          </cell>
        </row>
        <row r="2517">
          <cell r="A2517" t="str">
            <v>MAVI INDUSTRIES LTD</v>
          </cell>
          <cell r="B2517">
            <v>500248</v>
          </cell>
          <cell r="C2517" t="str">
            <v>Not Listed</v>
          </cell>
        </row>
        <row r="2518">
          <cell r="A2518" t="str">
            <v>MAWANA SUGARS LTD</v>
          </cell>
          <cell r="B2518">
            <v>523371</v>
          </cell>
          <cell r="C2518" t="str">
            <v>MAWANASUG</v>
          </cell>
        </row>
        <row r="2519">
          <cell r="A2519" t="str">
            <v>MAX (INDIA) LTD</v>
          </cell>
          <cell r="B2519">
            <v>539981</v>
          </cell>
          <cell r="C2519" t="str">
            <v>MAX(INDIA)</v>
          </cell>
        </row>
        <row r="2520">
          <cell r="A2520" t="str">
            <v>MAX ALERT SYSTEMS LTD.</v>
          </cell>
          <cell r="B2520">
            <v>534563</v>
          </cell>
          <cell r="C2520" t="str">
            <v>MASL</v>
          </cell>
        </row>
        <row r="2521">
          <cell r="A2521" t="str">
            <v>MAX FINANCIAL SERVICES LTD</v>
          </cell>
          <cell r="B2521">
            <v>500271</v>
          </cell>
          <cell r="C2521" t="str">
            <v>MFSL</v>
          </cell>
        </row>
        <row r="2522">
          <cell r="A2522" t="str">
            <v>MAX INDIA LTD</v>
          </cell>
          <cell r="B2522">
            <v>539981</v>
          </cell>
          <cell r="C2522" t="str">
            <v>MAXINDIA</v>
          </cell>
        </row>
        <row r="2523">
          <cell r="A2523" t="str">
            <v>MAX VENTURES AND INDUSTRIES LTD</v>
          </cell>
          <cell r="B2523">
            <v>539940</v>
          </cell>
          <cell r="C2523" t="str">
            <v>MAXVIL</v>
          </cell>
        </row>
        <row r="2524">
          <cell r="A2524" t="str">
            <v>MAXHEIGHTS INFRASTRUCTURE LTD</v>
          </cell>
          <cell r="B2524">
            <v>534338</v>
          </cell>
          <cell r="C2524" t="str">
            <v>Not Listed</v>
          </cell>
        </row>
        <row r="2525">
          <cell r="A2525" t="str">
            <v>MAXIMAA SYSTEMS LTD</v>
          </cell>
          <cell r="B2525">
            <v>526538</v>
          </cell>
          <cell r="C2525" t="str">
            <v>Not Listed</v>
          </cell>
        </row>
        <row r="2526">
          <cell r="A2526" t="str">
            <v>MAXIMUS INTERNATIONAL LTD</v>
          </cell>
          <cell r="B2526">
            <v>540401</v>
          </cell>
          <cell r="C2526" t="str">
            <v>Not Listed</v>
          </cell>
        </row>
        <row r="2527">
          <cell r="A2527" t="str">
            <v>MAYUKH DEALTRADE LTD</v>
          </cell>
          <cell r="B2527">
            <v>539519</v>
          </cell>
          <cell r="C2527" t="str">
            <v>Not Listed</v>
          </cell>
        </row>
        <row r="2528">
          <cell r="A2528" t="str">
            <v>MAYUR FLOORINGS LTD</v>
          </cell>
          <cell r="B2528">
            <v>531221</v>
          </cell>
          <cell r="C2528" t="str">
            <v>Not Listed</v>
          </cell>
        </row>
        <row r="2529">
          <cell r="A2529" t="str">
            <v>MAYUR LEATHER PRODUCTS LTD</v>
          </cell>
          <cell r="B2529">
            <v>531680</v>
          </cell>
          <cell r="C2529" t="str">
            <v>Not Listed</v>
          </cell>
        </row>
        <row r="2530">
          <cell r="A2530" t="str">
            <v>MAYUR UNIQUOTERS LTD</v>
          </cell>
          <cell r="B2530">
            <v>522249</v>
          </cell>
          <cell r="C2530" t="str">
            <v>MAYURUNIQ</v>
          </cell>
        </row>
        <row r="2531">
          <cell r="A2531" t="str">
            <v>MAZDA LTD</v>
          </cell>
          <cell r="B2531">
            <v>523792</v>
          </cell>
          <cell r="C2531" t="str">
            <v>MAZDA</v>
          </cell>
        </row>
        <row r="2532">
          <cell r="A2532" t="str">
            <v>MBL INFRASTRUCTURES LTD</v>
          </cell>
          <cell r="B2532">
            <v>533152</v>
          </cell>
          <cell r="C2532" t="str">
            <v>MBLINFRA</v>
          </cell>
        </row>
        <row r="2533">
          <cell r="A2533" t="str">
            <v>MCDOWELL HOLDINGS LTD</v>
          </cell>
          <cell r="B2533">
            <v>532852</v>
          </cell>
          <cell r="C2533" t="str">
            <v>MCDHOLDING</v>
          </cell>
        </row>
        <row r="2534">
          <cell r="A2534" t="str">
            <v>MCLEOD RUSSEL (INDIA) LTD</v>
          </cell>
          <cell r="B2534">
            <v>532654</v>
          </cell>
          <cell r="C2534" t="str">
            <v>MCLEODRUSS</v>
          </cell>
        </row>
        <row r="2535">
          <cell r="A2535" t="str">
            <v>MCLEOD RUSSEL INDIA LTD</v>
          </cell>
          <cell r="B2535">
            <v>532654</v>
          </cell>
          <cell r="C2535" t="str">
            <v>MCLEODRUSS</v>
          </cell>
        </row>
        <row r="2536">
          <cell r="A2536" t="str">
            <v>MCNALLY BHARAT ENGINEERING COMPANY LTD</v>
          </cell>
          <cell r="B2536">
            <v>532629</v>
          </cell>
          <cell r="C2536" t="str">
            <v>MBECL</v>
          </cell>
        </row>
        <row r="2537">
          <cell r="A2537" t="str">
            <v>MEDIA MATRIX WORLDWIDE LTD</v>
          </cell>
          <cell r="B2537">
            <v>512267</v>
          </cell>
          <cell r="C2537" t="str">
            <v>Not Listed</v>
          </cell>
        </row>
        <row r="2538">
          <cell r="A2538" t="str">
            <v>MEDICAMEN BIOTECH LTD</v>
          </cell>
          <cell r="B2538">
            <v>531146</v>
          </cell>
          <cell r="C2538" t="str">
            <v>Not Listed</v>
          </cell>
        </row>
        <row r="2539">
          <cell r="A2539" t="str">
            <v>MEDI-CAPS LTD</v>
          </cell>
          <cell r="B2539">
            <v>523144</v>
          </cell>
          <cell r="C2539" t="str">
            <v>Not Listed</v>
          </cell>
        </row>
        <row r="2540">
          <cell r="A2540" t="str">
            <v>Medico Intercontinental Ltd</v>
          </cell>
          <cell r="B2540">
            <v>539938</v>
          </cell>
          <cell r="C2540" t="str">
            <v>MIL</v>
          </cell>
        </row>
        <row r="2541">
          <cell r="A2541" t="str">
            <v>MEDICO REMEDIES LTD</v>
          </cell>
          <cell r="B2541">
            <v>540937</v>
          </cell>
          <cell r="C2541" t="str">
            <v>Not Listed</v>
          </cell>
        </row>
        <row r="2542">
          <cell r="A2542" t="str">
            <v>MEDINOVA DIAGNOSTIC SERVICES LTD</v>
          </cell>
          <cell r="B2542">
            <v>526301</v>
          </cell>
          <cell r="C2542" t="str">
            <v>Not Listed</v>
          </cell>
        </row>
        <row r="2543">
          <cell r="A2543" t="str">
            <v>MEENAKSHI ENTERPRISES LTD</v>
          </cell>
          <cell r="B2543">
            <v>538834</v>
          </cell>
          <cell r="C2543" t="str">
            <v>Not Listed</v>
          </cell>
        </row>
        <row r="2544">
          <cell r="A2544" t="str">
            <v>MEENAKSHI STEEL INDUSTRIES LTD</v>
          </cell>
          <cell r="B2544">
            <v>512505</v>
          </cell>
          <cell r="C2544" t="str">
            <v>Not Listed</v>
          </cell>
        </row>
        <row r="2545">
          <cell r="A2545" t="str">
            <v>MEERA INDUSTRIES LTD</v>
          </cell>
          <cell r="B2545">
            <v>540519</v>
          </cell>
          <cell r="C2545" t="str">
            <v>Not Listed</v>
          </cell>
        </row>
        <row r="2546">
          <cell r="A2546" t="str">
            <v>MEFCOM AGRO INDUSTRIES LTD</v>
          </cell>
          <cell r="B2546">
            <v>511276</v>
          </cell>
          <cell r="C2546" t="str">
            <v>Not Listed</v>
          </cell>
        </row>
        <row r="2547">
          <cell r="A2547" t="str">
            <v>MEFCOM CAPITAL MARKETS LTD</v>
          </cell>
          <cell r="B2547">
            <v>531176</v>
          </cell>
          <cell r="C2547" t="str">
            <v>Not Listed</v>
          </cell>
        </row>
        <row r="2548">
          <cell r="A2548" t="str">
            <v>MEGA CORPORATION LTD</v>
          </cell>
          <cell r="B2548">
            <v>531417</v>
          </cell>
          <cell r="C2548" t="str">
            <v>Not Listed</v>
          </cell>
        </row>
        <row r="2549">
          <cell r="A2549" t="str">
            <v>MEGA FIN (INDIA) LTD</v>
          </cell>
          <cell r="B2549">
            <v>532105</v>
          </cell>
          <cell r="C2549" t="str">
            <v>Not Listed</v>
          </cell>
        </row>
        <row r="2550">
          <cell r="A2550" t="str">
            <v>MEGA FIN INDIA LTD</v>
          </cell>
          <cell r="B2550">
            <v>532105</v>
          </cell>
          <cell r="C2550" t="str">
            <v>Not Listed</v>
          </cell>
        </row>
        <row r="2551">
          <cell r="A2551" t="str">
            <v>MEGA NIRMAN AND INDUSTRIES LTD</v>
          </cell>
          <cell r="B2551">
            <v>539767</v>
          </cell>
          <cell r="C2551" t="str">
            <v>Not Listed</v>
          </cell>
        </row>
        <row r="2552">
          <cell r="A2552" t="str">
            <v>MEGASOFT LTD</v>
          </cell>
          <cell r="B2552">
            <v>532408</v>
          </cell>
          <cell r="C2552" t="str">
            <v>MEGASOFT</v>
          </cell>
        </row>
        <row r="2553">
          <cell r="A2553" t="str">
            <v>MEGASTAR FOODS LTD</v>
          </cell>
          <cell r="B2553">
            <v>541352</v>
          </cell>
          <cell r="C2553" t="str">
            <v>Not Listed</v>
          </cell>
        </row>
        <row r="2554">
          <cell r="A2554" t="str">
            <v>MEGHMANI ORGANICS LTD</v>
          </cell>
          <cell r="B2554">
            <v>532865</v>
          </cell>
          <cell r="C2554" t="str">
            <v>MEGH</v>
          </cell>
        </row>
        <row r="2555">
          <cell r="A2555" t="str">
            <v>MEGLON INFRA-REAL (INDIA) LTD</v>
          </cell>
          <cell r="B2555">
            <v>511367</v>
          </cell>
          <cell r="C2555" t="str">
            <v>Not Listed</v>
          </cell>
        </row>
        <row r="2556">
          <cell r="A2556" t="str">
            <v>MEGLON INFRA-REAL INDIA LTD</v>
          </cell>
          <cell r="B2556">
            <v>511367</v>
          </cell>
          <cell r="C2556" t="str">
            <v>Not Listed</v>
          </cell>
        </row>
        <row r="2557">
          <cell r="A2557" t="str">
            <v>MEGRI SOFT LTD</v>
          </cell>
          <cell r="B2557">
            <v>539012</v>
          </cell>
          <cell r="C2557" t="str">
            <v>Not Listed</v>
          </cell>
        </row>
        <row r="2558">
          <cell r="A2558" t="str">
            <v>MEHAI TECHNOLOGY LTD</v>
          </cell>
          <cell r="B2558">
            <v>540730</v>
          </cell>
          <cell r="C2558" t="str">
            <v>Not Listed</v>
          </cell>
        </row>
        <row r="2559">
          <cell r="A2559" t="str">
            <v>MEHTA HOUSING FINANCE LTD</v>
          </cell>
          <cell r="B2559">
            <v>511740</v>
          </cell>
          <cell r="C2559" t="str">
            <v>Not Listed</v>
          </cell>
        </row>
        <row r="2560">
          <cell r="A2560" t="str">
            <v>MEHTA INTEGRATED FINANCE LTD</v>
          </cell>
          <cell r="B2560">
            <v>511377</v>
          </cell>
          <cell r="C2560" t="str">
            <v>Not Listed</v>
          </cell>
        </row>
        <row r="2561">
          <cell r="A2561" t="str">
            <v>MEHTA SECURITIES LTD</v>
          </cell>
          <cell r="B2561">
            <v>511738</v>
          </cell>
          <cell r="C2561" t="str">
            <v>Not Listed</v>
          </cell>
        </row>
        <row r="2562">
          <cell r="A2562" t="str">
            <v>MELSTAR INFORMATION TECHNOLOGIES LTD</v>
          </cell>
          <cell r="B2562">
            <v>532307</v>
          </cell>
          <cell r="C2562" t="str">
            <v>MELSTAR</v>
          </cell>
        </row>
        <row r="2563">
          <cell r="A2563" t="str">
            <v>MENA MANI INDUSTRIES LTD</v>
          </cell>
          <cell r="B2563">
            <v>531127</v>
          </cell>
          <cell r="C2563" t="str">
            <v>Not Listed</v>
          </cell>
        </row>
        <row r="2564">
          <cell r="A2564" t="str">
            <v>MENON BEARINGS LTD</v>
          </cell>
          <cell r="B2564">
            <v>523828</v>
          </cell>
          <cell r="C2564" t="str">
            <v>MENONBE</v>
          </cell>
        </row>
        <row r="2565">
          <cell r="A2565" t="str">
            <v>MENON PISTONS LTD</v>
          </cell>
          <cell r="B2565">
            <v>531727</v>
          </cell>
          <cell r="C2565" t="str">
            <v>Not Listed</v>
          </cell>
        </row>
        <row r="2566">
          <cell r="A2566" t="str">
            <v>MEP INFRASTRUCTURE DEVELOPERS LTD</v>
          </cell>
          <cell r="B2566">
            <v>539126</v>
          </cell>
          <cell r="C2566" t="str">
            <v>MEP</v>
          </cell>
        </row>
        <row r="2567">
          <cell r="A2567" t="str">
            <v>MERCANTILE VENTURES LTD</v>
          </cell>
          <cell r="B2567">
            <v>538942</v>
          </cell>
          <cell r="C2567" t="str">
            <v>Not Listed</v>
          </cell>
        </row>
        <row r="2568">
          <cell r="A2568" t="str">
            <v>MERCATOR LTD</v>
          </cell>
          <cell r="B2568">
            <v>526235</v>
          </cell>
          <cell r="C2568" t="str">
            <v>MERCATOR</v>
          </cell>
        </row>
        <row r="2569">
          <cell r="A2569" t="str">
            <v>MERCK LTD</v>
          </cell>
          <cell r="B2569">
            <v>500126</v>
          </cell>
          <cell r="C2569" t="str">
            <v>MERCK</v>
          </cell>
        </row>
        <row r="2570">
          <cell r="A2570" t="str">
            <v>MERCURY LABORATORIES LTD</v>
          </cell>
          <cell r="B2570">
            <v>538964</v>
          </cell>
          <cell r="C2570" t="str">
            <v>Not Listed</v>
          </cell>
        </row>
        <row r="2571">
          <cell r="A2571" t="str">
            <v>MERCURY METALS LTD</v>
          </cell>
          <cell r="B2571">
            <v>531357</v>
          </cell>
          <cell r="C2571" t="str">
            <v>Not Listed</v>
          </cell>
        </row>
        <row r="2572">
          <cell r="A2572" t="str">
            <v>MERCURY TRADE LINKS LTD</v>
          </cell>
          <cell r="B2572">
            <v>512415</v>
          </cell>
          <cell r="C2572" t="str">
            <v>Not Listed</v>
          </cell>
        </row>
        <row r="2573">
          <cell r="A2573" t="str">
            <v>MESCO PHARMACEUTICALS LTD</v>
          </cell>
          <cell r="B2573">
            <v>500274</v>
          </cell>
          <cell r="C2573" t="str">
            <v>Not Listed</v>
          </cell>
        </row>
        <row r="2574">
          <cell r="A2574" t="str">
            <v>METAL COATINGS (INDIA) LTD</v>
          </cell>
          <cell r="B2574">
            <v>531810</v>
          </cell>
          <cell r="C2574" t="str">
            <v>Not Listed</v>
          </cell>
        </row>
        <row r="2575">
          <cell r="A2575" t="str">
            <v>METAL COATINGS INDIA LTD</v>
          </cell>
          <cell r="B2575">
            <v>531810</v>
          </cell>
          <cell r="C2575" t="str">
            <v>Not Listed</v>
          </cell>
        </row>
        <row r="2576">
          <cell r="A2576" t="str">
            <v>METALYST FORGINGS LTD</v>
          </cell>
          <cell r="B2576">
            <v>513335</v>
          </cell>
          <cell r="C2576" t="str">
            <v>METALFORGE</v>
          </cell>
        </row>
        <row r="2577">
          <cell r="A2577" t="str">
            <v>METKORE ALLOYS &amp; INDUSTRIES LTD</v>
          </cell>
          <cell r="B2577">
            <v>532990</v>
          </cell>
          <cell r="C2577" t="str">
            <v>METKORE</v>
          </cell>
        </row>
        <row r="2578">
          <cell r="A2578" t="str">
            <v>METROGLOBAL LTD</v>
          </cell>
          <cell r="B2578">
            <v>500159</v>
          </cell>
          <cell r="C2578" t="str">
            <v>Not Listed</v>
          </cell>
        </row>
        <row r="2579">
          <cell r="A2579" t="str">
            <v>Metropolis Healthcare Ltd</v>
          </cell>
          <cell r="B2579">
            <v>542650</v>
          </cell>
          <cell r="C2579" t="str">
            <v>METROPOLIS</v>
          </cell>
        </row>
        <row r="2580">
          <cell r="A2580" t="str">
            <v>MEWAR HI-TECH ENGINEERING LTD</v>
          </cell>
          <cell r="B2580">
            <v>540150</v>
          </cell>
          <cell r="C2580" t="str">
            <v>Not Listed</v>
          </cell>
        </row>
        <row r="2581">
          <cell r="A2581" t="str">
            <v>MEWAT ZINC LTD</v>
          </cell>
          <cell r="B2581">
            <v>513496</v>
          </cell>
          <cell r="C2581" t="str">
            <v>Not Listed</v>
          </cell>
        </row>
        <row r="2582">
          <cell r="A2582" t="str">
            <v>Meyer Apparel Ltd</v>
          </cell>
          <cell r="B2582">
            <v>531613</v>
          </cell>
          <cell r="C2582" t="str">
            <v>MAL</v>
          </cell>
        </row>
        <row r="2583">
          <cell r="A2583" t="str">
            <v>MFL (INDIA) LTD</v>
          </cell>
          <cell r="B2583">
            <v>526622</v>
          </cell>
          <cell r="C2583" t="str">
            <v>Not Listed</v>
          </cell>
        </row>
        <row r="2584">
          <cell r="A2584" t="str">
            <v>MFL INDIA LTD</v>
          </cell>
          <cell r="B2584">
            <v>526622</v>
          </cell>
          <cell r="C2584" t="str">
            <v>Not Listed</v>
          </cell>
        </row>
        <row r="2585">
          <cell r="A2585" t="str">
            <v>MFS INTERCORP LTD</v>
          </cell>
          <cell r="B2585">
            <v>513721</v>
          </cell>
          <cell r="C2585" t="str">
            <v>Not Listed</v>
          </cell>
        </row>
        <row r="2586">
          <cell r="A2586" t="str">
            <v>MIC ELECTRONICS LTD</v>
          </cell>
          <cell r="B2586">
            <v>532850</v>
          </cell>
          <cell r="C2586" t="str">
            <v>MIC</v>
          </cell>
        </row>
        <row r="2587">
          <cell r="A2587" t="str">
            <v>MICROSE (INDIA) LTD</v>
          </cell>
          <cell r="B2587">
            <v>523343</v>
          </cell>
          <cell r="C2587" t="str">
            <v>Not Listed</v>
          </cell>
        </row>
        <row r="2588">
          <cell r="A2588" t="str">
            <v>MICROSE INDIA LTD</v>
          </cell>
          <cell r="B2588">
            <v>523343</v>
          </cell>
          <cell r="C2588" t="str">
            <v>Not Listed</v>
          </cell>
        </row>
        <row r="2589">
          <cell r="A2589" t="str">
            <v>MID EAST PORTFOLIO MANAGEMENT LTD</v>
          </cell>
          <cell r="B2589">
            <v>526251</v>
          </cell>
          <cell r="C2589" t="str">
            <v>Not Listed</v>
          </cell>
        </row>
        <row r="2590">
          <cell r="A2590" t="str">
            <v>MID INDIA INDUSTRIES LTD</v>
          </cell>
          <cell r="B2590">
            <v>500277</v>
          </cell>
          <cell r="C2590" t="str">
            <v>Not Listed</v>
          </cell>
        </row>
        <row r="2591">
          <cell r="A2591" t="str">
            <v>MIDAS INFRA TRADE LTD</v>
          </cell>
          <cell r="B2591">
            <v>531192</v>
          </cell>
          <cell r="C2591" t="str">
            <v>Not Listed</v>
          </cell>
        </row>
        <row r="2592">
          <cell r="A2592" t="str">
            <v>MIDEAST INTEGRATED STEELS LTD</v>
          </cell>
          <cell r="B2592">
            <v>540744</v>
          </cell>
          <cell r="C2592" t="str">
            <v>Not Listed</v>
          </cell>
        </row>
        <row r="2593">
          <cell r="A2593" t="str">
            <v>MIDVALLEY ENTERTAINMENT LTD.</v>
          </cell>
          <cell r="B2593">
            <v>533310</v>
          </cell>
          <cell r="C2593" t="str">
            <v>MIDVAL</v>
          </cell>
        </row>
        <row r="2594">
          <cell r="A2594" t="str">
            <v>MIDWEST GOLD LTD</v>
          </cell>
          <cell r="B2594">
            <v>526570</v>
          </cell>
          <cell r="C2594" t="str">
            <v>Not Listed</v>
          </cell>
        </row>
        <row r="2595">
          <cell r="A2595" t="str">
            <v>MIHIKA INDUSTRIES LTD</v>
          </cell>
          <cell r="B2595">
            <v>538895</v>
          </cell>
          <cell r="C2595" t="str">
            <v>Not Listed</v>
          </cell>
        </row>
        <row r="2596">
          <cell r="A2596" t="str">
            <v>MILESTONE FURNITURE LTD</v>
          </cell>
          <cell r="B2596">
            <v>541337</v>
          </cell>
          <cell r="C2596" t="str">
            <v>Not Listed</v>
          </cell>
        </row>
        <row r="2597">
          <cell r="A2597" t="str">
            <v>MILESTONE GLOBAL LTD</v>
          </cell>
          <cell r="B2597">
            <v>531338</v>
          </cell>
          <cell r="C2597" t="str">
            <v>Not Listed</v>
          </cell>
        </row>
        <row r="2598">
          <cell r="A2598" t="str">
            <v>MILGREY FINANCE &amp; INVESTMENTS LTD</v>
          </cell>
          <cell r="B2598">
            <v>511018</v>
          </cell>
          <cell r="C2598" t="str">
            <v>Not Listed</v>
          </cell>
        </row>
        <row r="2599">
          <cell r="A2599" t="str">
            <v>MILKFOOD LTD</v>
          </cell>
          <cell r="B2599">
            <v>507621</v>
          </cell>
          <cell r="C2599" t="str">
            <v>Not Listed</v>
          </cell>
        </row>
        <row r="2600">
          <cell r="A2600" t="str">
            <v>MILLENNIUM ONLINE SOLUTIONS  INDIA  LTD</v>
          </cell>
          <cell r="B2600">
            <v>511187</v>
          </cell>
          <cell r="C2600" t="str">
            <v>Not Listed</v>
          </cell>
        </row>
        <row r="2601">
          <cell r="A2601" t="str">
            <v>MILTON INDUSTRIES LTD</v>
          </cell>
          <cell r="B2601" t="str">
            <v>Not Listed</v>
          </cell>
          <cell r="C2601" t="str">
            <v>MILTON</v>
          </cell>
        </row>
        <row r="2602">
          <cell r="A2602" t="str">
            <v>MINAXI TEXTILES LTD</v>
          </cell>
          <cell r="B2602">
            <v>531456</v>
          </cell>
          <cell r="C2602" t="str">
            <v>Not Listed</v>
          </cell>
        </row>
        <row r="2603">
          <cell r="A2603" t="str">
            <v>MINDA CORPORATION LTD</v>
          </cell>
          <cell r="B2603">
            <v>538962</v>
          </cell>
          <cell r="C2603" t="str">
            <v>MINDACORP</v>
          </cell>
        </row>
        <row r="2604">
          <cell r="A2604" t="str">
            <v>MINDA FINANCE LTD</v>
          </cell>
          <cell r="B2604">
            <v>539303</v>
          </cell>
          <cell r="C2604" t="str">
            <v>Not Listed</v>
          </cell>
        </row>
        <row r="2605">
          <cell r="A2605" t="str">
            <v>MINDA INDUSTRIES LTD</v>
          </cell>
          <cell r="B2605">
            <v>532539</v>
          </cell>
          <cell r="C2605" t="str">
            <v>MINDAIND</v>
          </cell>
        </row>
        <row r="2606">
          <cell r="A2606" t="str">
            <v>MINDTECK (INDIA) LTD</v>
          </cell>
          <cell r="B2606">
            <v>517344</v>
          </cell>
          <cell r="C2606" t="str">
            <v>MINDTECK</v>
          </cell>
        </row>
        <row r="2607">
          <cell r="A2607" t="str">
            <v>MINDTECK INDIA LTD</v>
          </cell>
          <cell r="B2607">
            <v>517344</v>
          </cell>
          <cell r="C2607" t="str">
            <v>MINDTECK</v>
          </cell>
        </row>
        <row r="2608">
          <cell r="A2608" t="str">
            <v>MINDTREE LTD</v>
          </cell>
          <cell r="B2608">
            <v>532819</v>
          </cell>
          <cell r="C2608" t="str">
            <v>MINDTREE</v>
          </cell>
        </row>
        <row r="2609">
          <cell r="A2609" t="str">
            <v>MINI DIAMONDS (INDIA) LTD</v>
          </cell>
          <cell r="B2609">
            <v>523373</v>
          </cell>
          <cell r="C2609" t="str">
            <v>Not Listed</v>
          </cell>
        </row>
        <row r="2610">
          <cell r="A2610" t="str">
            <v>MINI DIAMONDS INDIA LTD</v>
          </cell>
          <cell r="B2610">
            <v>523373</v>
          </cell>
          <cell r="C2610" t="str">
            <v>Not Listed</v>
          </cell>
        </row>
        <row r="2611">
          <cell r="A2611" t="str">
            <v>MINOLTA FINANCE LTD</v>
          </cell>
          <cell r="B2611">
            <v>532164</v>
          </cell>
          <cell r="C2611" t="str">
            <v>Not Listed</v>
          </cell>
        </row>
        <row r="2612">
          <cell r="A2612" t="str">
            <v>MIPCO SEAMLESS RINGS GUJARAT LTD</v>
          </cell>
          <cell r="B2612">
            <v>505797</v>
          </cell>
          <cell r="C2612" t="str">
            <v>Not Listed</v>
          </cell>
        </row>
        <row r="2613">
          <cell r="A2613" t="str">
            <v>MIRC ELECTRONICS LTD</v>
          </cell>
          <cell r="B2613">
            <v>500279</v>
          </cell>
          <cell r="C2613" t="str">
            <v>MIRCELECTR</v>
          </cell>
        </row>
        <row r="2614">
          <cell r="A2614" t="str">
            <v>MIRCH TECHNOLOGIES (INDIA) LTD</v>
          </cell>
          <cell r="B2614">
            <v>505336</v>
          </cell>
          <cell r="C2614" t="str">
            <v>Not Listed</v>
          </cell>
        </row>
        <row r="2615">
          <cell r="A2615" t="str">
            <v>MIRCH TECHNOLOGIES INDIA LTD</v>
          </cell>
          <cell r="B2615">
            <v>505336</v>
          </cell>
          <cell r="C2615" t="str">
            <v>Not Listed</v>
          </cell>
        </row>
        <row r="2616">
          <cell r="A2616" t="str">
            <v>MIRZA INTERNATIONAL LTD</v>
          </cell>
          <cell r="B2616">
            <v>526642</v>
          </cell>
          <cell r="C2616" t="str">
            <v>MIRZAINT</v>
          </cell>
        </row>
        <row r="2617">
          <cell r="A2617" t="str">
            <v>MISHKA EXIM LTD</v>
          </cell>
          <cell r="B2617">
            <v>539220</v>
          </cell>
          <cell r="C2617" t="str">
            <v>Not Listed</v>
          </cell>
        </row>
        <row r="2618">
          <cell r="A2618" t="str">
            <v>MISHRA DHATU NIGAM LTD</v>
          </cell>
          <cell r="B2618">
            <v>541195</v>
          </cell>
          <cell r="C2618" t="str">
            <v>MIDHANI</v>
          </cell>
        </row>
        <row r="2619">
          <cell r="A2619" t="str">
            <v>MISHTANN FOODS LTD</v>
          </cell>
          <cell r="B2619">
            <v>539594</v>
          </cell>
          <cell r="C2619" t="str">
            <v>Not Listed</v>
          </cell>
        </row>
        <row r="2620">
          <cell r="A2620" t="str">
            <v>MITCON CONSULTANCY &amp; ENGINEERING SERVICES LTD</v>
          </cell>
          <cell r="B2620" t="str">
            <v>Not Listed</v>
          </cell>
          <cell r="C2620" t="str">
            <v>MITCON</v>
          </cell>
        </row>
        <row r="2621">
          <cell r="A2621" t="str">
            <v>MITSHI (INDIA) LTD</v>
          </cell>
          <cell r="B2621">
            <v>523782</v>
          </cell>
          <cell r="C2621" t="str">
            <v>Not Listed</v>
          </cell>
        </row>
        <row r="2622">
          <cell r="A2622" t="str">
            <v>MITSHI INDIA LTD</v>
          </cell>
          <cell r="B2622">
            <v>523782</v>
          </cell>
          <cell r="C2622" t="str">
            <v>Not Listed</v>
          </cell>
        </row>
        <row r="2623">
          <cell r="A2623" t="str">
            <v>MITSU CHEM PLAST LTD</v>
          </cell>
          <cell r="B2623">
            <v>540078</v>
          </cell>
          <cell r="C2623" t="str">
            <v>Not Listed</v>
          </cell>
        </row>
        <row r="2624">
          <cell r="A2624" t="str">
            <v>MITTAL LIFE STYLE LTD</v>
          </cell>
          <cell r="B2624" t="str">
            <v>Not Listed</v>
          </cell>
          <cell r="C2624" t="str">
            <v>MITTAL</v>
          </cell>
        </row>
        <row r="2625">
          <cell r="A2625" t="str">
            <v>MIVEN MACHINE TOOLS LTD.</v>
          </cell>
          <cell r="B2625">
            <v>522036</v>
          </cell>
          <cell r="C2625" t="str">
            <v>MIVENMACH</v>
          </cell>
        </row>
        <row r="2626">
          <cell r="A2626" t="str">
            <v>MM FORGINGS LTD</v>
          </cell>
          <cell r="B2626">
            <v>522241</v>
          </cell>
          <cell r="C2626" t="str">
            <v>MMFL</v>
          </cell>
        </row>
        <row r="2627">
          <cell r="A2627" t="str">
            <v>MM RUBBER COMPANY LTD.</v>
          </cell>
          <cell r="B2627">
            <v>509196</v>
          </cell>
          <cell r="C2627" t="str">
            <v>MMRUBBR-B</v>
          </cell>
        </row>
        <row r="2628">
          <cell r="A2628" t="str">
            <v>MMP INDUSTRIES LTD</v>
          </cell>
          <cell r="B2628" t="str">
            <v>Not Listed</v>
          </cell>
          <cell r="C2628" t="str">
            <v>MMP</v>
          </cell>
        </row>
        <row r="2629">
          <cell r="A2629" t="str">
            <v>MMTC LTD</v>
          </cell>
          <cell r="B2629">
            <v>513377</v>
          </cell>
          <cell r="C2629" t="str">
            <v>MMTC</v>
          </cell>
        </row>
        <row r="2630">
          <cell r="A2630" t="str">
            <v>MODELLA WOOLLENS LTD</v>
          </cell>
          <cell r="B2630">
            <v>503772</v>
          </cell>
          <cell r="C2630" t="str">
            <v>Not Listed</v>
          </cell>
        </row>
        <row r="2631">
          <cell r="A2631" t="str">
            <v>MODERN (INDIA) LTD</v>
          </cell>
          <cell r="B2631">
            <v>503015</v>
          </cell>
          <cell r="C2631" t="str">
            <v>Not Listed</v>
          </cell>
        </row>
        <row r="2632">
          <cell r="A2632" t="str">
            <v>MODERN CONVERTERS LTD</v>
          </cell>
          <cell r="B2632">
            <v>539762</v>
          </cell>
          <cell r="C2632" t="str">
            <v>Not Listed</v>
          </cell>
        </row>
        <row r="2633">
          <cell r="A2633" t="str">
            <v>MODERN DAIRIES LTD</v>
          </cell>
          <cell r="B2633">
            <v>519287</v>
          </cell>
          <cell r="C2633" t="str">
            <v>Not Listed</v>
          </cell>
        </row>
        <row r="2634">
          <cell r="A2634" t="str">
            <v>MODERN INDIA LTD</v>
          </cell>
          <cell r="B2634">
            <v>503015</v>
          </cell>
          <cell r="C2634" t="str">
            <v>Not Listed</v>
          </cell>
        </row>
        <row r="2635">
          <cell r="A2635" t="str">
            <v>MODERN SHARES &amp; STOCKBROKERS LTD</v>
          </cell>
          <cell r="B2635">
            <v>509760</v>
          </cell>
          <cell r="C2635" t="str">
            <v>Not Listed</v>
          </cell>
        </row>
        <row r="2636">
          <cell r="A2636" t="str">
            <v>MODERN STEELS LTD.-$</v>
          </cell>
          <cell r="B2636">
            <v>513303</v>
          </cell>
          <cell r="C2636" t="str">
            <v>MDRNSTL</v>
          </cell>
        </row>
        <row r="2637">
          <cell r="A2637" t="str">
            <v>MODEX INTERNATIONAL SECURITIES LTD</v>
          </cell>
          <cell r="B2637">
            <v>537092</v>
          </cell>
          <cell r="C2637" t="str">
            <v>Not Listed</v>
          </cell>
        </row>
        <row r="2638">
          <cell r="A2638" t="str">
            <v>MODI NATURALS LTD</v>
          </cell>
          <cell r="B2638">
            <v>519003</v>
          </cell>
          <cell r="C2638" t="str">
            <v>Not Listed</v>
          </cell>
        </row>
        <row r="2639">
          <cell r="A2639" t="str">
            <v>MODI RUBBER LTD</v>
          </cell>
          <cell r="B2639">
            <v>500890</v>
          </cell>
          <cell r="C2639" t="str">
            <v>MODIRUBBER</v>
          </cell>
        </row>
        <row r="2640">
          <cell r="A2640" t="str">
            <v>MODIPON LTD</v>
          </cell>
          <cell r="B2640">
            <v>503776</v>
          </cell>
          <cell r="C2640" t="str">
            <v>Not Listed</v>
          </cell>
        </row>
        <row r="2641">
          <cell r="A2641" t="str">
            <v>MODISON METALS LTD</v>
          </cell>
          <cell r="B2641">
            <v>506261</v>
          </cell>
          <cell r="C2641" t="str">
            <v>Not Listed</v>
          </cell>
        </row>
        <row r="2642">
          <cell r="A2642" t="str">
            <v>MOHINI HEALTH &amp; HYGIENE LTD</v>
          </cell>
          <cell r="B2642" t="str">
            <v>Not Listed</v>
          </cell>
          <cell r="C2642" t="str">
            <v>MHHL</v>
          </cell>
        </row>
        <row r="2643">
          <cell r="A2643" t="str">
            <v>MOHIT INDUSTRIES LTD</v>
          </cell>
          <cell r="B2643">
            <v>531453</v>
          </cell>
          <cell r="C2643" t="str">
            <v>MOHITIND</v>
          </cell>
        </row>
        <row r="2644">
          <cell r="A2644" t="str">
            <v>MOHIT PAPER MILLS LTD</v>
          </cell>
          <cell r="B2644">
            <v>530169</v>
          </cell>
          <cell r="C2644" t="str">
            <v>Not Listed</v>
          </cell>
        </row>
        <row r="2645">
          <cell r="A2645" t="str">
            <v>MOHITE INDUSTRIES LTD</v>
          </cell>
          <cell r="B2645">
            <v>532140</v>
          </cell>
          <cell r="C2645" t="str">
            <v>Not Listed</v>
          </cell>
        </row>
        <row r="2646">
          <cell r="A2646" t="str">
            <v>MOHOTA INDUSTRIES LTD</v>
          </cell>
          <cell r="B2646">
            <v>530047</v>
          </cell>
          <cell r="C2646" t="str">
            <v>MOHOTAIND</v>
          </cell>
        </row>
        <row r="2647">
          <cell r="A2647" t="str">
            <v>MOIL LTD</v>
          </cell>
          <cell r="B2647">
            <v>533286</v>
          </cell>
          <cell r="C2647" t="str">
            <v>MOIL</v>
          </cell>
        </row>
        <row r="2648">
          <cell r="A2648" t="str">
            <v>MOKSH ORNAMENTS LTD</v>
          </cell>
          <cell r="B2648" t="str">
            <v>Not Listed</v>
          </cell>
          <cell r="C2648" t="str">
            <v>MOKSH</v>
          </cell>
        </row>
        <row r="2649">
          <cell r="A2649" t="str">
            <v>MOLD-TEK PACKAGING LTD</v>
          </cell>
          <cell r="B2649">
            <v>533080</v>
          </cell>
          <cell r="C2649" t="str">
            <v>MOLDTKPAC</v>
          </cell>
        </row>
        <row r="2650">
          <cell r="A2650" t="str">
            <v>MOLD-TEK TECHNOLOGIES LTD</v>
          </cell>
          <cell r="B2650">
            <v>526263</v>
          </cell>
          <cell r="C2650" t="str">
            <v>MOLDTECH</v>
          </cell>
        </row>
        <row r="2651">
          <cell r="A2651" t="str">
            <v>MONARCH NETWORTH CAPITAL LTD</v>
          </cell>
          <cell r="B2651">
            <v>511551</v>
          </cell>
          <cell r="C2651" t="str">
            <v>Not Listed</v>
          </cell>
        </row>
        <row r="2652">
          <cell r="A2652" t="str">
            <v>MONEY MASTERS LEASING &amp; FINANCE LTD</v>
          </cell>
          <cell r="B2652">
            <v>535910</v>
          </cell>
          <cell r="C2652" t="str">
            <v>Not Listed</v>
          </cell>
        </row>
        <row r="2653">
          <cell r="A2653" t="str">
            <v>MONNET INDUSTRIES LTD</v>
          </cell>
          <cell r="B2653">
            <v>532078</v>
          </cell>
          <cell r="C2653" t="str">
            <v>Not Listed</v>
          </cell>
        </row>
        <row r="2654">
          <cell r="A2654" t="str">
            <v>MONNET ISPAT &amp; ENERGY LTD</v>
          </cell>
          <cell r="B2654">
            <v>513446</v>
          </cell>
          <cell r="C2654" t="str">
            <v>AIONJSW</v>
          </cell>
        </row>
        <row r="2655">
          <cell r="A2655" t="str">
            <v>MONNET PROJECT DEVELOPERS LTD</v>
          </cell>
          <cell r="B2655">
            <v>532723</v>
          </cell>
          <cell r="C2655" t="str">
            <v>Not Listed</v>
          </cell>
        </row>
        <row r="2656">
          <cell r="A2656" t="str">
            <v>MONOTYPE (INDIA) LTD</v>
          </cell>
          <cell r="B2656">
            <v>505343</v>
          </cell>
          <cell r="C2656" t="str">
            <v>Not Listed</v>
          </cell>
        </row>
        <row r="2657">
          <cell r="A2657" t="str">
            <v>MONOTYPE INDIA LTD</v>
          </cell>
          <cell r="B2657">
            <v>505343</v>
          </cell>
          <cell r="C2657" t="str">
            <v>Not Listed</v>
          </cell>
        </row>
        <row r="2658">
          <cell r="A2658" t="str">
            <v>MONSANTO (INDIA) LTD</v>
          </cell>
          <cell r="B2658">
            <v>524084</v>
          </cell>
          <cell r="C2658" t="str">
            <v>MONSANTO</v>
          </cell>
        </row>
        <row r="2659">
          <cell r="A2659" t="str">
            <v>MONSANTO INDIA LTD</v>
          </cell>
          <cell r="B2659">
            <v>524084</v>
          </cell>
          <cell r="C2659" t="str">
            <v>MONSANTO</v>
          </cell>
        </row>
        <row r="2660">
          <cell r="A2660" t="str">
            <v>MONTE CARLO FASHIONS LTD</v>
          </cell>
          <cell r="B2660">
            <v>538836</v>
          </cell>
          <cell r="C2660" t="str">
            <v>MONTECARLO</v>
          </cell>
        </row>
        <row r="2661">
          <cell r="A2661" t="str">
            <v>MOONGIPA CAPITAL FINANCE LTD</v>
          </cell>
          <cell r="B2661">
            <v>530167</v>
          </cell>
          <cell r="C2661" t="str">
            <v>Not Listed</v>
          </cell>
        </row>
        <row r="2662">
          <cell r="A2662" t="str">
            <v>MOONGIPA SECURITIES LTD</v>
          </cell>
          <cell r="B2662">
            <v>539199</v>
          </cell>
          <cell r="C2662" t="str">
            <v>Not Listed</v>
          </cell>
        </row>
        <row r="2663">
          <cell r="A2663" t="str">
            <v>MORARJEE TEXTILES LTD</v>
          </cell>
          <cell r="B2663">
            <v>532621</v>
          </cell>
          <cell r="C2663" t="str">
            <v>MORARJEE</v>
          </cell>
        </row>
        <row r="2664">
          <cell r="A2664" t="str">
            <v>MORARKA FINANCE LTD</v>
          </cell>
          <cell r="B2664">
            <v>511549</v>
          </cell>
          <cell r="C2664" t="str">
            <v>Not Listed</v>
          </cell>
        </row>
        <row r="2665">
          <cell r="A2665" t="str">
            <v>MOREPEN LABORATORIES LTD</v>
          </cell>
          <cell r="B2665">
            <v>500288</v>
          </cell>
          <cell r="C2665" t="str">
            <v>MOREPENLAB</v>
          </cell>
        </row>
        <row r="2666">
          <cell r="A2666" t="str">
            <v>MORGAN VENTURES LTD</v>
          </cell>
          <cell r="B2666">
            <v>526237</v>
          </cell>
          <cell r="C2666" t="str">
            <v>Not Listed</v>
          </cell>
        </row>
        <row r="2667">
          <cell r="A2667" t="str">
            <v>MORGANITE CRUCIBLE (INDIA) LTD</v>
          </cell>
          <cell r="B2667">
            <v>523160</v>
          </cell>
          <cell r="C2667" t="str">
            <v>Not Listed</v>
          </cell>
        </row>
        <row r="2668">
          <cell r="A2668" t="str">
            <v>MORGANITE CRUCIBLE INDIA LTD</v>
          </cell>
          <cell r="B2668">
            <v>523160</v>
          </cell>
          <cell r="C2668" t="str">
            <v>Not Listed</v>
          </cell>
        </row>
        <row r="2669">
          <cell r="A2669" t="str">
            <v>MORYO INDUSTRIES LTD.</v>
          </cell>
          <cell r="B2669">
            <v>513305</v>
          </cell>
          <cell r="C2669" t="str">
            <v>MORYOIND</v>
          </cell>
        </row>
        <row r="2670">
          <cell r="A2670" t="str">
            <v>MOSCHIP SEMICONDUCTOR TECHNOLOGY LTD</v>
          </cell>
          <cell r="B2670">
            <v>532407</v>
          </cell>
          <cell r="C2670" t="str">
            <v>Not Listed</v>
          </cell>
        </row>
        <row r="2671">
          <cell r="A2671" t="str">
            <v>MOSER-BAER I LTD</v>
          </cell>
          <cell r="B2671" t="str">
            <v>Not Listed</v>
          </cell>
          <cell r="C2671" t="str">
            <v>MOSERBAER</v>
          </cell>
        </row>
        <row r="2672">
          <cell r="A2672" t="str">
            <v>MOTHERSON SUMI SYSTEMS LTD</v>
          </cell>
          <cell r="B2672">
            <v>517334</v>
          </cell>
          <cell r="C2672" t="str">
            <v>MOTHERSUMI</v>
          </cell>
        </row>
        <row r="2673">
          <cell r="A2673" t="str">
            <v>MOTILAL OSWAL FINANCIAL SERVICES LTD</v>
          </cell>
          <cell r="B2673">
            <v>532892</v>
          </cell>
          <cell r="C2673" t="str">
            <v>MOTILALOFS</v>
          </cell>
        </row>
        <row r="2674">
          <cell r="A2674" t="str">
            <v>Motilal Oswal MOSt Shares M50 ETF</v>
          </cell>
          <cell r="B2674">
            <v>590115</v>
          </cell>
          <cell r="C2674" t="str">
            <v>M50</v>
          </cell>
        </row>
        <row r="2675">
          <cell r="A2675" t="str">
            <v>Motilal Oswal MOSt Shares NASDAQ-100 ETF</v>
          </cell>
          <cell r="B2675">
            <v>533385</v>
          </cell>
          <cell r="C2675" t="str">
            <v>N100</v>
          </cell>
        </row>
        <row r="2676">
          <cell r="A2676" t="str">
            <v>MOUNT SHIVALIK INDUSTRIES LTD</v>
          </cell>
          <cell r="B2676">
            <v>507522</v>
          </cell>
          <cell r="C2676" t="str">
            <v>Not Listed</v>
          </cell>
        </row>
        <row r="2677">
          <cell r="A2677" t="str">
            <v>MPHASIS LTD</v>
          </cell>
          <cell r="B2677">
            <v>526299</v>
          </cell>
          <cell r="C2677" t="str">
            <v>MPHASIS</v>
          </cell>
        </row>
        <row r="2678">
          <cell r="A2678" t="str">
            <v>MPIL CORPORATION LTD</v>
          </cell>
          <cell r="B2678">
            <v>500450</v>
          </cell>
          <cell r="C2678" t="str">
            <v>Not Listed</v>
          </cell>
        </row>
        <row r="2679">
          <cell r="A2679" t="str">
            <v>MPL PLASTICS LTD</v>
          </cell>
          <cell r="B2679">
            <v>526143</v>
          </cell>
          <cell r="C2679" t="str">
            <v>Not Listed</v>
          </cell>
        </row>
        <row r="2680">
          <cell r="A2680" t="str">
            <v>MPS LTD</v>
          </cell>
          <cell r="B2680">
            <v>532440</v>
          </cell>
          <cell r="C2680" t="str">
            <v>MPSLTD</v>
          </cell>
        </row>
        <row r="2681">
          <cell r="A2681" t="str">
            <v>MRC EXIM LTD</v>
          </cell>
          <cell r="B2681">
            <v>540809</v>
          </cell>
          <cell r="C2681" t="str">
            <v>Not Listed</v>
          </cell>
        </row>
        <row r="2682">
          <cell r="A2682" t="str">
            <v>MRF LTD</v>
          </cell>
          <cell r="B2682">
            <v>500290</v>
          </cell>
          <cell r="C2682" t="str">
            <v>MRF</v>
          </cell>
        </row>
        <row r="2683">
          <cell r="A2683" t="str">
            <v>MRO-TEK REALTY LTD</v>
          </cell>
          <cell r="B2683">
            <v>532376</v>
          </cell>
          <cell r="C2683" t="str">
            <v>MRO-TEK</v>
          </cell>
        </row>
        <row r="2684">
          <cell r="A2684" t="str">
            <v>MRUGESH TRADING LTD</v>
          </cell>
          <cell r="B2684">
            <v>512065</v>
          </cell>
          <cell r="C2684" t="str">
            <v>Not Listed</v>
          </cell>
        </row>
        <row r="2685">
          <cell r="A2685" t="str">
            <v>MSP STEEL &amp; POWER LTD</v>
          </cell>
          <cell r="B2685">
            <v>532650</v>
          </cell>
          <cell r="C2685" t="str">
            <v>MSPL</v>
          </cell>
        </row>
        <row r="2686">
          <cell r="A2686" t="str">
            <v>MSR (INDIA) LTD</v>
          </cell>
          <cell r="B2686">
            <v>508922</v>
          </cell>
          <cell r="C2686" t="str">
            <v>Not Listed</v>
          </cell>
        </row>
        <row r="2687">
          <cell r="A2687" t="str">
            <v>MSR INDIA LTD</v>
          </cell>
          <cell r="B2687">
            <v>508922</v>
          </cell>
          <cell r="C2687" t="str">
            <v>Not Listed</v>
          </cell>
        </row>
        <row r="2688">
          <cell r="A2688" t="str">
            <v>Mstc LTD</v>
          </cell>
          <cell r="B2688" t="str">
            <v>Not Listed</v>
          </cell>
          <cell r="C2688" t="str">
            <v>MSTCLTD</v>
          </cell>
        </row>
        <row r="2689">
          <cell r="A2689" t="str">
            <v>MSTC Ltd</v>
          </cell>
          <cell r="B2689">
            <v>542597</v>
          </cell>
          <cell r="C2689" t="str">
            <v>MSTC</v>
          </cell>
        </row>
        <row r="2690">
          <cell r="A2690" t="str">
            <v>MT EDUCARE LTD</v>
          </cell>
          <cell r="B2690">
            <v>534312</v>
          </cell>
          <cell r="C2690" t="str">
            <v>MTEDUCARE</v>
          </cell>
        </row>
        <row r="2691">
          <cell r="A2691" t="str">
            <v>MUDIT FINLEASE LTD</v>
          </cell>
          <cell r="B2691">
            <v>531919</v>
          </cell>
          <cell r="C2691" t="str">
            <v>Not Listed</v>
          </cell>
        </row>
        <row r="2692">
          <cell r="A2692" t="str">
            <v>MUDRA FINANCIAL SERVICES LTD</v>
          </cell>
          <cell r="B2692">
            <v>539819</v>
          </cell>
          <cell r="C2692" t="str">
            <v>Not Listed</v>
          </cell>
        </row>
        <row r="2693">
          <cell r="A2693" t="str">
            <v>MUDUNURU LTD</v>
          </cell>
          <cell r="B2693">
            <v>538743</v>
          </cell>
          <cell r="C2693" t="str">
            <v>Not Listed</v>
          </cell>
        </row>
        <row r="2694">
          <cell r="A2694" t="str">
            <v>MUKAND ENGINEERS LTD</v>
          </cell>
          <cell r="B2694">
            <v>532097</v>
          </cell>
          <cell r="C2694" t="str">
            <v>MUKANDENGG</v>
          </cell>
        </row>
        <row r="2695">
          <cell r="A2695" t="str">
            <v>MUKAND LTD</v>
          </cell>
          <cell r="B2695">
            <v>500460</v>
          </cell>
          <cell r="C2695" t="str">
            <v>MUKANDLTD</v>
          </cell>
        </row>
        <row r="2696">
          <cell r="A2696" t="str">
            <v>MUKAT PIPES LTD.-$</v>
          </cell>
          <cell r="B2696">
            <v>523832</v>
          </cell>
          <cell r="C2696" t="str">
            <v>MUKATPIP</v>
          </cell>
        </row>
        <row r="2697">
          <cell r="A2697" t="str">
            <v>MUKESH BABU FINANCIAL SERVICES LTD</v>
          </cell>
          <cell r="B2697">
            <v>530341</v>
          </cell>
          <cell r="C2697" t="str">
            <v>Not Listed</v>
          </cell>
        </row>
        <row r="2698">
          <cell r="A2698" t="str">
            <v>MUKTA AGRICULTURE LTD</v>
          </cell>
          <cell r="B2698">
            <v>535204</v>
          </cell>
          <cell r="C2698" t="str">
            <v>Not Listed</v>
          </cell>
        </row>
        <row r="2699">
          <cell r="A2699" t="str">
            <v>MUKTA ARTS LTD</v>
          </cell>
          <cell r="B2699">
            <v>532357</v>
          </cell>
          <cell r="C2699" t="str">
            <v>MUKTAARTS</v>
          </cell>
        </row>
        <row r="2700">
          <cell r="A2700" t="str">
            <v>MULLER &amp; PHIPPS (INDIA) LTD</v>
          </cell>
          <cell r="B2700">
            <v>501477</v>
          </cell>
          <cell r="C2700" t="str">
            <v>Not Listed</v>
          </cell>
        </row>
        <row r="2701">
          <cell r="A2701" t="str">
            <v>MULLER &amp; PHIPPS INDIA LTD</v>
          </cell>
          <cell r="B2701">
            <v>501477</v>
          </cell>
          <cell r="C2701" t="str">
            <v>Not Listed</v>
          </cell>
        </row>
        <row r="2702">
          <cell r="A2702" t="str">
            <v>MULTI COMMODITY EXCHANGE OF (INDIA) LTD</v>
          </cell>
          <cell r="B2702">
            <v>534091</v>
          </cell>
          <cell r="C2702" t="str">
            <v>MCX</v>
          </cell>
        </row>
        <row r="2703">
          <cell r="A2703" t="str">
            <v>MULTI COMMODITY EXCHANGE OF INDIA LTD</v>
          </cell>
          <cell r="B2703">
            <v>534091</v>
          </cell>
          <cell r="C2703" t="str">
            <v>MCX</v>
          </cell>
        </row>
        <row r="2704">
          <cell r="A2704" t="str">
            <v>MULTIBASE (INDIA) LTD</v>
          </cell>
          <cell r="B2704">
            <v>526169</v>
          </cell>
          <cell r="C2704" t="str">
            <v>Not Listed</v>
          </cell>
        </row>
        <row r="2705">
          <cell r="A2705" t="str">
            <v>MULTIBASE INDIA LTD</v>
          </cell>
          <cell r="B2705">
            <v>526169</v>
          </cell>
          <cell r="C2705" t="str">
            <v>Not Listed</v>
          </cell>
        </row>
        <row r="2706">
          <cell r="A2706" t="str">
            <v>MULTIPLUS HOLDINGS LTD</v>
          </cell>
          <cell r="B2706">
            <v>505594</v>
          </cell>
          <cell r="C2706" t="str">
            <v>Not Listed</v>
          </cell>
        </row>
        <row r="2707">
          <cell r="A2707" t="str">
            <v>MULTIPURPOSE TRADING &amp; AGENCIES LTD</v>
          </cell>
          <cell r="B2707">
            <v>504356</v>
          </cell>
          <cell r="C2707" t="str">
            <v>Not Listed</v>
          </cell>
        </row>
        <row r="2708">
          <cell r="A2708" t="str">
            <v>MUNJAL AUTO INDUSTRIES LTD</v>
          </cell>
          <cell r="B2708">
            <v>520059</v>
          </cell>
          <cell r="C2708" t="str">
            <v>MUNJALAU</v>
          </cell>
        </row>
        <row r="2709">
          <cell r="A2709" t="str">
            <v>MUNJAL SHOWA LTD</v>
          </cell>
          <cell r="B2709">
            <v>520043</v>
          </cell>
          <cell r="C2709" t="str">
            <v>MUNJALSHOW</v>
          </cell>
        </row>
        <row r="2710">
          <cell r="A2710" t="str">
            <v>MUNOTH CAPITAL MARKET LTD</v>
          </cell>
          <cell r="B2710">
            <v>511200</v>
          </cell>
          <cell r="C2710" t="str">
            <v>Not Listed</v>
          </cell>
        </row>
        <row r="2711">
          <cell r="A2711" t="str">
            <v>Munoth Communication Ltd</v>
          </cell>
          <cell r="B2711">
            <v>511401</v>
          </cell>
          <cell r="C2711" t="str">
            <v>MCLTD</v>
          </cell>
        </row>
        <row r="2712">
          <cell r="A2712" t="str">
            <v>MUNOTH FINANCIAL SERVICES LTD</v>
          </cell>
          <cell r="B2712">
            <v>531821</v>
          </cell>
          <cell r="C2712" t="str">
            <v>Not Listed</v>
          </cell>
        </row>
        <row r="2713">
          <cell r="A2713" t="str">
            <v>MURUDESHWAR CERAMICS LTD</v>
          </cell>
          <cell r="B2713">
            <v>515037</v>
          </cell>
          <cell r="C2713" t="str">
            <v>MURUDCERA</v>
          </cell>
        </row>
        <row r="2714">
          <cell r="A2714" t="str">
            <v>MUSIC BROADCAST LTD</v>
          </cell>
          <cell r="B2714">
            <v>540366</v>
          </cell>
          <cell r="C2714" t="str">
            <v>RADIOCITY</v>
          </cell>
        </row>
        <row r="2715">
          <cell r="A2715" t="str">
            <v>MUTHOOT CAPITAL SERVICES LTD</v>
          </cell>
          <cell r="B2715">
            <v>511766</v>
          </cell>
          <cell r="C2715" t="str">
            <v>MUTHOOTCAP</v>
          </cell>
        </row>
        <row r="2716">
          <cell r="A2716" t="str">
            <v>MUTHOOT FINANCE LTD</v>
          </cell>
          <cell r="B2716">
            <v>533398</v>
          </cell>
          <cell r="C2716" t="str">
            <v>MUTHOOTFIN</v>
          </cell>
        </row>
        <row r="2717">
          <cell r="A2717" t="str">
            <v>MVL LTD</v>
          </cell>
          <cell r="B2717">
            <v>532991</v>
          </cell>
          <cell r="C2717" t="str">
            <v>MVL</v>
          </cell>
        </row>
        <row r="2718">
          <cell r="A2718" t="str">
            <v>MY MONEY SECURITIES LTD</v>
          </cell>
          <cell r="B2718">
            <v>538862</v>
          </cell>
          <cell r="C2718" t="str">
            <v>Not Listed</v>
          </cell>
        </row>
        <row r="2719">
          <cell r="A2719" t="str">
            <v>MYSORE PETRO CHEMICALS LTD</v>
          </cell>
          <cell r="B2719">
            <v>506734</v>
          </cell>
          <cell r="C2719" t="str">
            <v>Not Listed</v>
          </cell>
        </row>
        <row r="2720">
          <cell r="A2720" t="str">
            <v>MYSTIC ELECTRONICS LTD</v>
          </cell>
          <cell r="B2720">
            <v>535205</v>
          </cell>
          <cell r="C2720" t="str">
            <v>Not Listed</v>
          </cell>
        </row>
        <row r="2721">
          <cell r="A2721" t="str">
            <v>N B I INDUSTRIAL FINANCE COMPANY LTD</v>
          </cell>
          <cell r="B2721" t="str">
            <v>Not Listed</v>
          </cell>
          <cell r="C2721" t="str">
            <v>NBIFIN</v>
          </cell>
        </row>
        <row r="2722">
          <cell r="A2722" t="str">
            <v>N D METAL INDUSTRIES LTD</v>
          </cell>
          <cell r="B2722">
            <v>512024</v>
          </cell>
          <cell r="C2722" t="str">
            <v>Not Listed</v>
          </cell>
        </row>
        <row r="2723">
          <cell r="A2723" t="str">
            <v>N G INDUSTRIES LTD</v>
          </cell>
          <cell r="B2723">
            <v>530897</v>
          </cell>
          <cell r="C2723" t="str">
            <v>Not Listed</v>
          </cell>
        </row>
        <row r="2724">
          <cell r="A2724" t="str">
            <v>N R AGARWAL INDUSTRIES LTD</v>
          </cell>
          <cell r="B2724">
            <v>516082</v>
          </cell>
          <cell r="C2724" t="str">
            <v>NRAIL</v>
          </cell>
        </row>
        <row r="2725">
          <cell r="A2725" t="str">
            <v>N R INTERNATIONAL LTD</v>
          </cell>
          <cell r="B2725">
            <v>532623</v>
          </cell>
          <cell r="C2725" t="str">
            <v>Not Listed</v>
          </cell>
        </row>
        <row r="2726">
          <cell r="A2726" t="str">
            <v>N2N TECHNOLOGIES LTD</v>
          </cell>
          <cell r="B2726">
            <v>512279</v>
          </cell>
          <cell r="C2726" t="str">
            <v>Not Listed</v>
          </cell>
        </row>
        <row r="2727">
          <cell r="A2727" t="str">
            <v>NACL INDUSTRIES LTD</v>
          </cell>
          <cell r="B2727">
            <v>524709</v>
          </cell>
          <cell r="C2727" t="str">
            <v>NACLIND</v>
          </cell>
        </row>
        <row r="2728">
          <cell r="A2728" t="str">
            <v>NAGA DHUNSERI GROUP LTD</v>
          </cell>
          <cell r="B2728" t="str">
            <v>Not Listed</v>
          </cell>
          <cell r="C2728" t="str">
            <v>NDGL</v>
          </cell>
        </row>
        <row r="2729">
          <cell r="A2729" t="str">
            <v>NAGARJUNA AGRI TECH LTD</v>
          </cell>
          <cell r="B2729">
            <v>531832</v>
          </cell>
          <cell r="C2729" t="str">
            <v>Not Listed</v>
          </cell>
        </row>
        <row r="2730">
          <cell r="A2730" t="str">
            <v>NAGARJUNA FERTILIZERS AND CHEMICALS LTD</v>
          </cell>
          <cell r="B2730">
            <v>539917</v>
          </cell>
          <cell r="C2730" t="str">
            <v>NAGAFERT</v>
          </cell>
        </row>
        <row r="2731">
          <cell r="A2731" t="str">
            <v>NAGARJUNA OIL REFINERY LTD</v>
          </cell>
          <cell r="B2731">
            <v>534184</v>
          </cell>
          <cell r="C2731" t="str">
            <v>NAGAROIL</v>
          </cell>
        </row>
        <row r="2732">
          <cell r="A2732" t="str">
            <v>NAGPUR POWER &amp; INDUSTRIES LTD</v>
          </cell>
          <cell r="B2732">
            <v>532362</v>
          </cell>
          <cell r="C2732" t="str">
            <v>Not Listed</v>
          </cell>
        </row>
        <row r="2733">
          <cell r="A2733" t="str">
            <v>NAGREEKA CAPITAL &amp; INFRASTRUCTURE LTD</v>
          </cell>
          <cell r="B2733">
            <v>532895</v>
          </cell>
          <cell r="C2733" t="str">
            <v>NAGREEKCAP</v>
          </cell>
        </row>
        <row r="2734">
          <cell r="A2734" t="str">
            <v>NAGREEKA EXPORTS LTD</v>
          </cell>
          <cell r="B2734">
            <v>521109</v>
          </cell>
          <cell r="C2734" t="str">
            <v>NAGREEKEXP</v>
          </cell>
        </row>
        <row r="2735">
          <cell r="A2735" t="str">
            <v>NAHAR CAPITAL AND FINANCIAL SERVICES LTD</v>
          </cell>
          <cell r="B2735">
            <v>532952</v>
          </cell>
          <cell r="C2735" t="str">
            <v>NAHARCAP</v>
          </cell>
        </row>
        <row r="2736">
          <cell r="A2736" t="str">
            <v>NAHAR INDUSTRIAL ENTERPRISES LTD</v>
          </cell>
          <cell r="B2736">
            <v>519136</v>
          </cell>
          <cell r="C2736" t="str">
            <v>NAHARINDUS</v>
          </cell>
        </row>
        <row r="2737">
          <cell r="A2737" t="str">
            <v>NAHAR POLY FILMS LTD</v>
          </cell>
          <cell r="B2737">
            <v>523391</v>
          </cell>
          <cell r="C2737" t="str">
            <v>NAHARPOLY</v>
          </cell>
        </row>
        <row r="2738">
          <cell r="A2738" t="str">
            <v>NAHAR SPINNING MILLS LTD</v>
          </cell>
          <cell r="B2738">
            <v>500296</v>
          </cell>
          <cell r="C2738" t="str">
            <v>NAHARSPING</v>
          </cell>
        </row>
        <row r="2739">
          <cell r="A2739" t="str">
            <v>NAKODA GROUP OF INDUSTRIES LTD</v>
          </cell>
          <cell r="B2739">
            <v>541418</v>
          </cell>
          <cell r="C2739" t="str">
            <v>Not Listed</v>
          </cell>
        </row>
        <row r="2740">
          <cell r="A2740" t="str">
            <v>NALIN LEASE FINANCE LTD</v>
          </cell>
          <cell r="B2740">
            <v>531212</v>
          </cell>
          <cell r="C2740" t="str">
            <v>Not Listed</v>
          </cell>
        </row>
        <row r="2741">
          <cell r="A2741" t="str">
            <v>NALWA SONS INVESTMENTS LTD</v>
          </cell>
          <cell r="B2741">
            <v>532256</v>
          </cell>
          <cell r="C2741" t="str">
            <v>NSIL</v>
          </cell>
        </row>
        <row r="2742">
          <cell r="A2742" t="str">
            <v>NAM SECURITIES LTD</v>
          </cell>
          <cell r="B2742">
            <v>538395</v>
          </cell>
          <cell r="C2742" t="str">
            <v>Not Listed</v>
          </cell>
        </row>
        <row r="2743">
          <cell r="A2743" t="str">
            <v>NANDAN DENIM LTD</v>
          </cell>
          <cell r="B2743">
            <v>532641</v>
          </cell>
          <cell r="C2743" t="str">
            <v>NDL</v>
          </cell>
        </row>
        <row r="2744">
          <cell r="A2744" t="str">
            <v>NANDANI CREATION LTD</v>
          </cell>
          <cell r="B2744" t="str">
            <v>Not Listed</v>
          </cell>
          <cell r="C2744" t="str">
            <v>NANDANI</v>
          </cell>
        </row>
        <row r="2745">
          <cell r="A2745" t="str">
            <v>NARAYANA HRUDAYALAYA LTD</v>
          </cell>
          <cell r="B2745">
            <v>539551</v>
          </cell>
          <cell r="C2745" t="str">
            <v>NH</v>
          </cell>
        </row>
        <row r="2746">
          <cell r="A2746" t="str">
            <v>NARAYANI STEELS LTD</v>
          </cell>
          <cell r="B2746">
            <v>540080</v>
          </cell>
          <cell r="C2746" t="str">
            <v>Not Listed</v>
          </cell>
        </row>
        <row r="2747">
          <cell r="A2747" t="str">
            <v>NARBADA GEMS AND JEWELLERY LTD</v>
          </cell>
          <cell r="B2747">
            <v>519455</v>
          </cell>
          <cell r="C2747" t="str">
            <v>Not Listed</v>
          </cell>
        </row>
        <row r="2748">
          <cell r="A2748" t="str">
            <v>Narendra Investments (Delhi) Ltd</v>
          </cell>
          <cell r="B2748">
            <v>540204</v>
          </cell>
          <cell r="C2748" t="str">
            <v>NIDL</v>
          </cell>
        </row>
        <row r="2749">
          <cell r="A2749" t="str">
            <v>NARENDRA PROPERTIES LTD</v>
          </cell>
          <cell r="B2749">
            <v>531416</v>
          </cell>
          <cell r="C2749" t="str">
            <v>Not Listed</v>
          </cell>
        </row>
        <row r="2750">
          <cell r="A2750" t="str">
            <v>NARMADA AGROBASE LTD</v>
          </cell>
          <cell r="B2750" t="str">
            <v>Not Listed</v>
          </cell>
          <cell r="C2750" t="str">
            <v>NARMADA</v>
          </cell>
        </row>
        <row r="2751">
          <cell r="A2751" t="str">
            <v>NARMADA GELATINES LTD</v>
          </cell>
          <cell r="B2751">
            <v>526739</v>
          </cell>
          <cell r="C2751" t="str">
            <v>Not Listed</v>
          </cell>
        </row>
        <row r="2752">
          <cell r="A2752" t="str">
            <v>NARMADA MACPLAST DRIP IRRIGATION SYSTEMS LTD.</v>
          </cell>
          <cell r="B2752">
            <v>517431</v>
          </cell>
          <cell r="C2752" t="str">
            <v>NARMP</v>
          </cell>
        </row>
        <row r="2753">
          <cell r="A2753" t="str">
            <v>NATCO ECONOMICALS LTD</v>
          </cell>
          <cell r="B2753">
            <v>539595</v>
          </cell>
          <cell r="C2753" t="str">
            <v>Not Listed</v>
          </cell>
        </row>
        <row r="2754">
          <cell r="A2754" t="str">
            <v>NATCO PHARMA LTD</v>
          </cell>
          <cell r="B2754">
            <v>524816</v>
          </cell>
          <cell r="C2754" t="str">
            <v>NATCOPHARM</v>
          </cell>
        </row>
        <row r="2755">
          <cell r="A2755" t="str">
            <v>NATH BIO-GENES (INDIA) LTD</v>
          </cell>
          <cell r="B2755">
            <v>537291</v>
          </cell>
          <cell r="C2755" t="str">
            <v>NATHBIOGEN</v>
          </cell>
        </row>
        <row r="2756">
          <cell r="A2756" t="str">
            <v>NATH BIO-GENES INDIA LTD</v>
          </cell>
          <cell r="B2756">
            <v>537291</v>
          </cell>
          <cell r="C2756" t="str">
            <v>NATHBIOGEN</v>
          </cell>
        </row>
        <row r="2757">
          <cell r="A2757" t="str">
            <v>NATH PULP &amp; PAPER MILLS LTD</v>
          </cell>
          <cell r="B2757">
            <v>502407</v>
          </cell>
          <cell r="C2757" t="str">
            <v>Not Listed</v>
          </cell>
        </row>
        <row r="2758">
          <cell r="A2758" t="str">
            <v>NATIONAL ALUMINIUM COMPANY LTD</v>
          </cell>
          <cell r="B2758">
            <v>532234</v>
          </cell>
          <cell r="C2758" t="str">
            <v>NATIONALUM</v>
          </cell>
        </row>
        <row r="2759">
          <cell r="A2759" t="str">
            <v>NATIONAL FERTILIZERS LTD</v>
          </cell>
          <cell r="B2759">
            <v>523630</v>
          </cell>
          <cell r="C2759" t="str">
            <v>NFL</v>
          </cell>
        </row>
        <row r="2760">
          <cell r="A2760" t="str">
            <v>NATIONAL FITTINGS LTD</v>
          </cell>
          <cell r="B2760">
            <v>531289</v>
          </cell>
          <cell r="C2760" t="str">
            <v>Not Listed</v>
          </cell>
        </row>
        <row r="2761">
          <cell r="A2761" t="str">
            <v>NATIONAL GENERAL INDUSTRIES LTD</v>
          </cell>
          <cell r="B2761">
            <v>531651</v>
          </cell>
          <cell r="C2761" t="str">
            <v>Not Listed</v>
          </cell>
        </row>
        <row r="2762">
          <cell r="A2762" t="str">
            <v>NATIONAL OXYGEN LTD</v>
          </cell>
          <cell r="B2762">
            <v>507813</v>
          </cell>
          <cell r="C2762" t="str">
            <v>Not Listed</v>
          </cell>
        </row>
        <row r="2763">
          <cell r="A2763" t="str">
            <v>NATIONAL PEROXIDE LTD</v>
          </cell>
          <cell r="B2763">
            <v>500298</v>
          </cell>
          <cell r="C2763" t="str">
            <v>Not Listed</v>
          </cell>
        </row>
        <row r="2764">
          <cell r="A2764" t="str">
            <v>NATIONAL PLASTIC INDUSTRIES LTD</v>
          </cell>
          <cell r="B2764">
            <v>526616</v>
          </cell>
          <cell r="C2764" t="str">
            <v>Not Listed</v>
          </cell>
        </row>
        <row r="2765">
          <cell r="A2765" t="str">
            <v>NATIONAL PLASTIC TECHNOLOGIES LTD</v>
          </cell>
          <cell r="B2765">
            <v>531287</v>
          </cell>
          <cell r="C2765" t="str">
            <v>Not Listed</v>
          </cell>
        </row>
        <row r="2766">
          <cell r="A2766" t="str">
            <v>NATIONAL PLYWOOD INDUSTRIES LTD</v>
          </cell>
          <cell r="B2766">
            <v>516062</v>
          </cell>
          <cell r="C2766" t="str">
            <v>Not Listed</v>
          </cell>
        </row>
        <row r="2767">
          <cell r="A2767" t="str">
            <v>NATIONAL STANDARD (INDIA) LTD</v>
          </cell>
          <cell r="B2767">
            <v>504882</v>
          </cell>
          <cell r="C2767" t="str">
            <v>Not Listed</v>
          </cell>
        </row>
        <row r="2768">
          <cell r="A2768" t="str">
            <v>NATIONAL STANDARD INDIA LTD</v>
          </cell>
          <cell r="B2768">
            <v>504882</v>
          </cell>
          <cell r="C2768" t="str">
            <v>Not Listed</v>
          </cell>
        </row>
        <row r="2769">
          <cell r="A2769" t="str">
            <v>NATIONAL STEEL AND AGRO INDUSTRIES LTD</v>
          </cell>
          <cell r="B2769">
            <v>513179</v>
          </cell>
          <cell r="C2769" t="str">
            <v>NATNLSTEEL</v>
          </cell>
        </row>
        <row r="2770">
          <cell r="A2770" t="str">
            <v>NATRAJ PROTEINS LTD</v>
          </cell>
          <cell r="B2770">
            <v>530119</v>
          </cell>
          <cell r="C2770" t="str">
            <v>Not Listed</v>
          </cell>
        </row>
        <row r="2771">
          <cell r="A2771" t="str">
            <v>NATURA HUE CHEM LTD</v>
          </cell>
          <cell r="B2771">
            <v>531834</v>
          </cell>
          <cell r="C2771" t="str">
            <v>Not Listed</v>
          </cell>
        </row>
        <row r="2772">
          <cell r="A2772" t="str">
            <v>NATURAL CAPSULES LTD</v>
          </cell>
          <cell r="B2772">
            <v>524654</v>
          </cell>
          <cell r="C2772" t="str">
            <v>Not Listed</v>
          </cell>
        </row>
        <row r="2773">
          <cell r="A2773" t="str">
            <v>NATURITE AGRO PRODUCTS LTD</v>
          </cell>
          <cell r="B2773">
            <v>538926</v>
          </cell>
          <cell r="C2773" t="str">
            <v>Not Listed</v>
          </cell>
        </row>
        <row r="2774">
          <cell r="A2774" t="str">
            <v>NAVA BHARAT VENTURES LTD</v>
          </cell>
          <cell r="B2774">
            <v>513023</v>
          </cell>
          <cell r="C2774" t="str">
            <v>NBVENTURES</v>
          </cell>
        </row>
        <row r="2775">
          <cell r="A2775" t="str">
            <v>NAVIGANT CORPORATE ADVISORS LTD</v>
          </cell>
          <cell r="B2775">
            <v>539521</v>
          </cell>
          <cell r="C2775" t="str">
            <v>Not Listed</v>
          </cell>
        </row>
        <row r="2776">
          <cell r="A2776" t="str">
            <v>NAVIN FLUORINE INTERNATIONAL LTD</v>
          </cell>
          <cell r="B2776">
            <v>532504</v>
          </cell>
          <cell r="C2776" t="str">
            <v>NAVINFLUOR</v>
          </cell>
        </row>
        <row r="2777">
          <cell r="A2777" t="str">
            <v>NAVKAR BUILDERS LTD</v>
          </cell>
          <cell r="B2777">
            <v>531494</v>
          </cell>
          <cell r="C2777" t="str">
            <v>Not Listed</v>
          </cell>
        </row>
        <row r="2778">
          <cell r="A2778" t="str">
            <v>NAVKAR CORPORATION LTD</v>
          </cell>
          <cell r="B2778">
            <v>539332</v>
          </cell>
          <cell r="C2778" t="str">
            <v>NAVKARCORP</v>
          </cell>
        </row>
        <row r="2779">
          <cell r="A2779" t="str">
            <v>NAVKETAN MERCHANTS LTD</v>
          </cell>
          <cell r="B2779">
            <v>539525</v>
          </cell>
          <cell r="C2779" t="str">
            <v>Not Listed</v>
          </cell>
        </row>
        <row r="2780">
          <cell r="A2780" t="str">
            <v>NAVNEET EDUCATION LTD</v>
          </cell>
          <cell r="B2780">
            <v>508989</v>
          </cell>
          <cell r="C2780" t="str">
            <v>NAVNETEDUL</v>
          </cell>
        </row>
        <row r="2781">
          <cell r="A2781" t="str">
            <v>NAYSAA SECURITIES LTD</v>
          </cell>
          <cell r="B2781">
            <v>538668</v>
          </cell>
          <cell r="C2781" t="str">
            <v>Not Listed</v>
          </cell>
        </row>
        <row r="2782">
          <cell r="A2782" t="str">
            <v>NB FOOTWEAR LTD</v>
          </cell>
          <cell r="B2782">
            <v>523242</v>
          </cell>
          <cell r="C2782" t="str">
            <v>Not Listed</v>
          </cell>
        </row>
        <row r="2783">
          <cell r="A2783" t="str">
            <v>NBCC (INDIA) LTD</v>
          </cell>
          <cell r="B2783">
            <v>534309</v>
          </cell>
          <cell r="C2783" t="str">
            <v>NBCC</v>
          </cell>
        </row>
        <row r="2784">
          <cell r="A2784" t="str">
            <v>NBCC INDIA LTD</v>
          </cell>
          <cell r="B2784">
            <v>534309</v>
          </cell>
          <cell r="C2784" t="str">
            <v>NBCC</v>
          </cell>
        </row>
        <row r="2785">
          <cell r="A2785" t="str">
            <v>NCC BLUE WATER PRODUCTS LTD</v>
          </cell>
          <cell r="B2785">
            <v>519506</v>
          </cell>
          <cell r="C2785" t="str">
            <v>Not Listed</v>
          </cell>
        </row>
        <row r="2786">
          <cell r="A2786" t="str">
            <v>NCC FINANCE LTD</v>
          </cell>
          <cell r="B2786">
            <v>531452</v>
          </cell>
          <cell r="C2786" t="str">
            <v>Not Listed</v>
          </cell>
        </row>
        <row r="2787">
          <cell r="A2787" t="str">
            <v>NCC LTD</v>
          </cell>
          <cell r="B2787">
            <v>500294</v>
          </cell>
          <cell r="C2787" t="str">
            <v>NCC</v>
          </cell>
        </row>
        <row r="2788">
          <cell r="A2788" t="str">
            <v>NCL INDUSTRIES LTD</v>
          </cell>
          <cell r="B2788">
            <v>502168</v>
          </cell>
          <cell r="C2788" t="str">
            <v>NCLIND</v>
          </cell>
        </row>
        <row r="2789">
          <cell r="A2789" t="str">
            <v>NCL RESEARCH &amp; FINANCIAL SERVICES LTD</v>
          </cell>
          <cell r="B2789">
            <v>530557</v>
          </cell>
          <cell r="C2789" t="str">
            <v>Not Listed</v>
          </cell>
        </row>
        <row r="2790">
          <cell r="A2790" t="str">
            <v>NDA SECURITIES LTD</v>
          </cell>
          <cell r="B2790">
            <v>511535</v>
          </cell>
          <cell r="C2790" t="str">
            <v>Not Listed</v>
          </cell>
        </row>
        <row r="2791">
          <cell r="A2791" t="str">
            <v>NECTAR LIFESCIENCES LTD</v>
          </cell>
          <cell r="B2791">
            <v>532649</v>
          </cell>
          <cell r="C2791" t="str">
            <v>NECLIFE</v>
          </cell>
        </row>
        <row r="2792">
          <cell r="A2792" t="str">
            <v>NEELAMALAI AGRO INDUSTRIES LTD</v>
          </cell>
          <cell r="B2792">
            <v>508670</v>
          </cell>
          <cell r="C2792" t="str">
            <v>Not Listed</v>
          </cell>
        </row>
        <row r="2793">
          <cell r="A2793" t="str">
            <v>NEELKANTH ROCKMINERALS LTD</v>
          </cell>
          <cell r="B2793">
            <v>531049</v>
          </cell>
          <cell r="C2793" t="str">
            <v>Not Listed</v>
          </cell>
        </row>
        <row r="2794">
          <cell r="A2794" t="str">
            <v>NEERAJ PAPER MARKETING LTD</v>
          </cell>
          <cell r="B2794">
            <v>539409</v>
          </cell>
          <cell r="C2794" t="str">
            <v>Not Listed</v>
          </cell>
        </row>
        <row r="2795">
          <cell r="A2795" t="str">
            <v>NEGOTIUM INTERNATIONAL TRADE LTD</v>
          </cell>
          <cell r="B2795">
            <v>537838</v>
          </cell>
          <cell r="C2795" t="str">
            <v>Not Listed</v>
          </cell>
        </row>
        <row r="2796">
          <cell r="A2796" t="str">
            <v>NEHA INTERNATIONAL LTD</v>
          </cell>
          <cell r="B2796">
            <v>519560</v>
          </cell>
          <cell r="C2796" t="str">
            <v>Not Listed</v>
          </cell>
        </row>
        <row r="2797">
          <cell r="A2797" t="str">
            <v>NEIL INDUSTRIES LTD</v>
          </cell>
          <cell r="B2797">
            <v>539016</v>
          </cell>
          <cell r="C2797" t="str">
            <v>Not Listed</v>
          </cell>
        </row>
        <row r="2798">
          <cell r="A2798" t="str">
            <v>NELCAST LTD</v>
          </cell>
          <cell r="B2798">
            <v>532864</v>
          </cell>
          <cell r="C2798" t="str">
            <v>NELCAST</v>
          </cell>
        </row>
        <row r="2799">
          <cell r="A2799" t="str">
            <v>NELCO LTD</v>
          </cell>
          <cell r="B2799">
            <v>504112</v>
          </cell>
          <cell r="C2799" t="str">
            <v>NELCO</v>
          </cell>
        </row>
        <row r="2800">
          <cell r="A2800" t="str">
            <v>NEO INFRACON LTD</v>
          </cell>
          <cell r="B2800">
            <v>514332</v>
          </cell>
          <cell r="C2800" t="str">
            <v>Not Listed</v>
          </cell>
        </row>
        <row r="2801">
          <cell r="A2801" t="str">
            <v>NEOGEM (INDIA) LTD</v>
          </cell>
          <cell r="B2801">
            <v>526195</v>
          </cell>
          <cell r="C2801" t="str">
            <v>Not Listed</v>
          </cell>
        </row>
        <row r="2802">
          <cell r="A2802" t="str">
            <v>NEOGEM INDIA LTD</v>
          </cell>
          <cell r="B2802">
            <v>526195</v>
          </cell>
          <cell r="C2802" t="str">
            <v>Not Listed</v>
          </cell>
        </row>
        <row r="2803">
          <cell r="A2803" t="str">
            <v>Neogen Chemicals Ltd</v>
          </cell>
          <cell r="B2803">
            <v>542665</v>
          </cell>
          <cell r="C2803" t="str">
            <v>NEOGEN</v>
          </cell>
        </row>
        <row r="2804">
          <cell r="A2804" t="str">
            <v>NEPTUNE EXPORTS LTD</v>
          </cell>
          <cell r="B2804">
            <v>512522</v>
          </cell>
          <cell r="C2804" t="str">
            <v>Not Listed</v>
          </cell>
        </row>
        <row r="2805">
          <cell r="A2805" t="str">
            <v>NESCO LTD</v>
          </cell>
          <cell r="B2805">
            <v>505355</v>
          </cell>
          <cell r="C2805" t="str">
            <v>NESCO</v>
          </cell>
        </row>
        <row r="2806">
          <cell r="A2806" t="str">
            <v>NESTLE (INDIA) LTD</v>
          </cell>
          <cell r="B2806">
            <v>500790</v>
          </cell>
          <cell r="C2806" t="str">
            <v>NESTLEIND</v>
          </cell>
        </row>
        <row r="2807">
          <cell r="A2807" t="str">
            <v>NESTLE INDIA LTD</v>
          </cell>
          <cell r="B2807">
            <v>500790</v>
          </cell>
          <cell r="C2807" t="str">
            <v>NESTLEIND</v>
          </cell>
        </row>
        <row r="2808">
          <cell r="A2808" t="str">
            <v>NETLINK SOLUTIONS (INDIA) LTD</v>
          </cell>
          <cell r="B2808">
            <v>509040</v>
          </cell>
          <cell r="C2808" t="str">
            <v>Not Listed</v>
          </cell>
        </row>
        <row r="2809">
          <cell r="A2809" t="str">
            <v>NETLINK SOLUTIONS INDIA LTD</v>
          </cell>
          <cell r="B2809">
            <v>509040</v>
          </cell>
          <cell r="C2809" t="str">
            <v>Not Listed</v>
          </cell>
        </row>
        <row r="2810">
          <cell r="A2810" t="str">
            <v>NETRIPPLES SOFTWARE LTD</v>
          </cell>
          <cell r="B2810">
            <v>542117</v>
          </cell>
          <cell r="C2810" t="str">
            <v>Not Listed</v>
          </cell>
        </row>
        <row r="2811">
          <cell r="A2811" t="str">
            <v>NETTLINX LTD</v>
          </cell>
          <cell r="B2811">
            <v>511658</v>
          </cell>
          <cell r="C2811" t="str">
            <v>Not Listed</v>
          </cell>
        </row>
        <row r="2812">
          <cell r="A2812" t="str">
            <v>NETWORK LTD</v>
          </cell>
          <cell r="B2812">
            <v>523558</v>
          </cell>
          <cell r="C2812" t="str">
            <v>Not Listed</v>
          </cell>
        </row>
        <row r="2813">
          <cell r="A2813" t="str">
            <v>NETWORK18 MEDIA &amp; INVESTMENTS LTD</v>
          </cell>
          <cell r="B2813">
            <v>532798</v>
          </cell>
          <cell r="C2813" t="str">
            <v>NETWORK18</v>
          </cell>
        </row>
        <row r="2814">
          <cell r="A2814" t="str">
            <v>NEUEON TOWERS LTD</v>
          </cell>
          <cell r="B2814">
            <v>532887</v>
          </cell>
          <cell r="C2814" t="str">
            <v>NTL</v>
          </cell>
        </row>
        <row r="2815">
          <cell r="A2815" t="str">
            <v>NEULAND LABORATORIES LTD</v>
          </cell>
          <cell r="B2815">
            <v>524558</v>
          </cell>
          <cell r="C2815" t="str">
            <v>NEULANDLAB</v>
          </cell>
        </row>
        <row r="2816">
          <cell r="A2816" t="str">
            <v>NEW DELHI TELEVISION LTD</v>
          </cell>
          <cell r="B2816">
            <v>532529</v>
          </cell>
          <cell r="C2816" t="str">
            <v>NDTV</v>
          </cell>
        </row>
        <row r="2817">
          <cell r="A2817" t="str">
            <v>NEW LIGHT APPARELS LTD</v>
          </cell>
          <cell r="B2817">
            <v>540243</v>
          </cell>
          <cell r="C2817" t="str">
            <v>Not Listed</v>
          </cell>
        </row>
        <row r="2818">
          <cell r="A2818" t="str">
            <v>NEW MARKETS ADVISORY LTD</v>
          </cell>
          <cell r="B2818">
            <v>508867</v>
          </cell>
          <cell r="C2818" t="str">
            <v>Not Listed</v>
          </cell>
        </row>
        <row r="2819">
          <cell r="A2819" t="str">
            <v>NEW SAGAR TRADING CO LTD</v>
          </cell>
          <cell r="B2819">
            <v>501479</v>
          </cell>
          <cell r="C2819" t="str">
            <v>Not Listed</v>
          </cell>
        </row>
        <row r="2820">
          <cell r="A2820" t="str">
            <v>NEWEVER TRADE WINGS LTD</v>
          </cell>
          <cell r="B2820">
            <v>536644</v>
          </cell>
          <cell r="C2820" t="str">
            <v>Not Listed</v>
          </cell>
        </row>
        <row r="2821">
          <cell r="A2821" t="str">
            <v>NEWGEN SOFTWARE TECHNOLOGIES LTD</v>
          </cell>
          <cell r="B2821">
            <v>540900</v>
          </cell>
          <cell r="C2821" t="str">
            <v>NEWGEN</v>
          </cell>
        </row>
        <row r="2822">
          <cell r="A2822" t="str">
            <v>NEXT MEDIAWORKS LTD</v>
          </cell>
          <cell r="B2822">
            <v>532416</v>
          </cell>
          <cell r="C2822" t="str">
            <v>NEXTMEDIA</v>
          </cell>
        </row>
        <row r="2823">
          <cell r="A2823" t="str">
            <v>NEXUS COMMODITIES AND TECHNOLOGIES LTD</v>
          </cell>
          <cell r="B2823">
            <v>538874</v>
          </cell>
          <cell r="C2823" t="str">
            <v>Not Listed</v>
          </cell>
        </row>
        <row r="2824">
          <cell r="A2824" t="str">
            <v>NGL FINE-CHEM LTD</v>
          </cell>
          <cell r="B2824">
            <v>524774</v>
          </cell>
          <cell r="C2824" t="str">
            <v>Not Listed</v>
          </cell>
        </row>
        <row r="2825">
          <cell r="A2825" t="str">
            <v>NHC FOODS LTD</v>
          </cell>
          <cell r="B2825">
            <v>517554</v>
          </cell>
          <cell r="C2825" t="str">
            <v>Not Listed</v>
          </cell>
        </row>
        <row r="2826">
          <cell r="A2826" t="str">
            <v>NHPC LTD</v>
          </cell>
          <cell r="B2826">
            <v>533098</v>
          </cell>
          <cell r="C2826" t="str">
            <v>NHPC</v>
          </cell>
        </row>
        <row r="2827">
          <cell r="A2827" t="str">
            <v>NICCO PARKS &amp; RESORTS LTD</v>
          </cell>
          <cell r="B2827">
            <v>526721</v>
          </cell>
          <cell r="C2827" t="str">
            <v>Not Listed</v>
          </cell>
        </row>
        <row r="2828">
          <cell r="A2828" t="str">
            <v>NICCO UCO ALLIANCE CREDIT LTD</v>
          </cell>
          <cell r="B2828">
            <v>523209</v>
          </cell>
          <cell r="C2828" t="str">
            <v>Not Listed</v>
          </cell>
        </row>
        <row r="2829">
          <cell r="A2829" t="str">
            <v>NIDHI GRANITES LTD</v>
          </cell>
          <cell r="B2829">
            <v>512103</v>
          </cell>
          <cell r="C2829" t="str">
            <v>Not Listed</v>
          </cell>
        </row>
        <row r="2830">
          <cell r="A2830" t="str">
            <v>NIHAR INFO GLOBAL LTD</v>
          </cell>
          <cell r="B2830">
            <v>531083</v>
          </cell>
          <cell r="C2830" t="str">
            <v>Not Listed</v>
          </cell>
        </row>
        <row r="2831">
          <cell r="A2831" t="str">
            <v>NIIT LTD</v>
          </cell>
          <cell r="B2831">
            <v>500304</v>
          </cell>
          <cell r="C2831" t="str">
            <v>NIITLTD</v>
          </cell>
        </row>
        <row r="2832">
          <cell r="A2832" t="str">
            <v>NIIT TECHNOLOGIES LTD</v>
          </cell>
          <cell r="B2832">
            <v>532541</v>
          </cell>
          <cell r="C2832" t="str">
            <v>NIITTECH</v>
          </cell>
        </row>
        <row r="2833">
          <cell r="A2833" t="str">
            <v>NIKHIL ADHESIVES LTD</v>
          </cell>
          <cell r="B2833">
            <v>526159</v>
          </cell>
          <cell r="C2833" t="str">
            <v>Not Listed</v>
          </cell>
        </row>
        <row r="2834">
          <cell r="A2834" t="str">
            <v>NIKKI GLOBAL FINANCE LTD</v>
          </cell>
          <cell r="B2834">
            <v>531272</v>
          </cell>
          <cell r="C2834" t="str">
            <v>Not Listed</v>
          </cell>
        </row>
        <row r="2835">
          <cell r="A2835" t="str">
            <v>NILA INFRASTRUCTURES LTD</v>
          </cell>
          <cell r="B2835">
            <v>530377</v>
          </cell>
          <cell r="C2835" t="str">
            <v>NILAINFRA</v>
          </cell>
        </row>
        <row r="2836">
          <cell r="A2836" t="str">
            <v>Nila Spaces Ltd</v>
          </cell>
          <cell r="B2836">
            <v>542231</v>
          </cell>
          <cell r="C2836" t="str">
            <v>NILASPACES</v>
          </cell>
        </row>
        <row r="2837">
          <cell r="A2837" t="str">
            <v>NILACHAL REFRACTORIES LTD</v>
          </cell>
          <cell r="B2837">
            <v>502294</v>
          </cell>
          <cell r="C2837" t="str">
            <v>Not Listed</v>
          </cell>
        </row>
        <row r="2838">
          <cell r="A2838" t="str">
            <v>NILE LTD</v>
          </cell>
          <cell r="B2838">
            <v>530129</v>
          </cell>
          <cell r="C2838" t="str">
            <v>Not Listed</v>
          </cell>
        </row>
        <row r="2839">
          <cell r="A2839" t="str">
            <v>NILKAMAL LTD</v>
          </cell>
          <cell r="B2839">
            <v>523385</v>
          </cell>
          <cell r="C2839" t="str">
            <v>NILKAMAL</v>
          </cell>
        </row>
        <row r="2840">
          <cell r="A2840" t="str">
            <v>NILKANTH ENGINEERING LTD</v>
          </cell>
          <cell r="B2840">
            <v>512004</v>
          </cell>
          <cell r="C2840" t="str">
            <v>Not Listed</v>
          </cell>
        </row>
        <row r="2841">
          <cell r="A2841" t="str">
            <v>NIMBUS FOODS INDUSTRIES LTD</v>
          </cell>
          <cell r="B2841">
            <v>531598</v>
          </cell>
          <cell r="C2841" t="str">
            <v>Not Listed</v>
          </cell>
        </row>
        <row r="2842">
          <cell r="A2842" t="str">
            <v>NIMBUS INDUSTRIES LTD</v>
          </cell>
          <cell r="B2842">
            <v>530971</v>
          </cell>
          <cell r="C2842" t="str">
            <v>Not Listed</v>
          </cell>
        </row>
        <row r="2843">
          <cell r="A2843" t="str">
            <v>NIMBUS PROJECTS LTD</v>
          </cell>
          <cell r="B2843">
            <v>511714</v>
          </cell>
          <cell r="C2843" t="str">
            <v>Not Listed</v>
          </cell>
        </row>
        <row r="2844">
          <cell r="A2844" t="str">
            <v>NINTEC SYSTEMS LTD</v>
          </cell>
          <cell r="B2844">
            <v>539843</v>
          </cell>
          <cell r="C2844" t="str">
            <v>Not Listed</v>
          </cell>
        </row>
        <row r="2845">
          <cell r="A2845" t="str">
            <v>NIRAJ CEMENT STRUCTURALS LTD</v>
          </cell>
          <cell r="B2845">
            <v>532986</v>
          </cell>
          <cell r="C2845" t="str">
            <v>Not Listed</v>
          </cell>
        </row>
        <row r="2846">
          <cell r="A2846" t="str">
            <v>NIRAJ ISPAT INDUSTRIES LTD</v>
          </cell>
          <cell r="B2846" t="str">
            <v>Not Listed</v>
          </cell>
          <cell r="C2846" t="str">
            <v>NIRAJISPAT</v>
          </cell>
        </row>
        <row r="2847">
          <cell r="A2847" t="str">
            <v>NIRAV COMMERCIALS LTD</v>
          </cell>
          <cell r="B2847">
            <v>512425</v>
          </cell>
          <cell r="C2847" t="str">
            <v>Not Listed</v>
          </cell>
        </row>
        <row r="2848">
          <cell r="A2848" t="str">
            <v>NIRLON LTD</v>
          </cell>
          <cell r="B2848">
            <v>500307</v>
          </cell>
          <cell r="C2848" t="str">
            <v>Not Listed</v>
          </cell>
        </row>
        <row r="2849">
          <cell r="A2849" t="str">
            <v>NISHTHA FINANCE AND INVESTMENT (INDIA) LTD</v>
          </cell>
          <cell r="B2849">
            <v>539311</v>
          </cell>
          <cell r="C2849" t="str">
            <v>Not Listed</v>
          </cell>
        </row>
        <row r="2850">
          <cell r="A2850" t="str">
            <v>NISHTHA FINANCE AND INVESTMENT INDIA LTD</v>
          </cell>
          <cell r="B2850">
            <v>539311</v>
          </cell>
          <cell r="C2850" t="str">
            <v>Not Listed</v>
          </cell>
        </row>
        <row r="2851">
          <cell r="A2851" t="str">
            <v>NITCO LTD</v>
          </cell>
          <cell r="B2851">
            <v>532722</v>
          </cell>
          <cell r="C2851" t="str">
            <v>NITCO</v>
          </cell>
        </row>
        <row r="2852">
          <cell r="A2852" t="str">
            <v>NITESH ESTATES LTD</v>
          </cell>
          <cell r="B2852">
            <v>533202</v>
          </cell>
          <cell r="C2852" t="str">
            <v>NITESHEST</v>
          </cell>
        </row>
        <row r="2853">
          <cell r="A2853" t="str">
            <v>NITIN CASTINGS LTD</v>
          </cell>
          <cell r="B2853">
            <v>508875</v>
          </cell>
          <cell r="C2853" t="str">
            <v>Not Listed</v>
          </cell>
        </row>
        <row r="2854">
          <cell r="A2854" t="str">
            <v>NITIN FIRE PROTECTION INDUSTRIES LTD</v>
          </cell>
          <cell r="B2854">
            <v>532854</v>
          </cell>
          <cell r="C2854" t="str">
            <v>NITINFIRE</v>
          </cell>
        </row>
        <row r="2855">
          <cell r="A2855" t="str">
            <v>NITIN SPINNERS LTD</v>
          </cell>
          <cell r="B2855">
            <v>532698</v>
          </cell>
          <cell r="C2855" t="str">
            <v>NITINSPIN</v>
          </cell>
        </row>
        <row r="2856">
          <cell r="A2856" t="str">
            <v>NITIRAJ ENGINEERS LTD</v>
          </cell>
          <cell r="B2856" t="str">
            <v>Not Listed</v>
          </cell>
          <cell r="C2856" t="str">
            <v>NITIRAJ</v>
          </cell>
        </row>
        <row r="2857">
          <cell r="A2857" t="str">
            <v>NITTA GELATIN (INDIA) LTD</v>
          </cell>
          <cell r="B2857">
            <v>506532</v>
          </cell>
          <cell r="C2857" t="str">
            <v>Not Listed</v>
          </cell>
        </row>
        <row r="2858">
          <cell r="A2858" t="str">
            <v>NITTA GELATIN INDIA LTD</v>
          </cell>
          <cell r="B2858">
            <v>506532</v>
          </cell>
          <cell r="C2858" t="str">
            <v>Not Listed</v>
          </cell>
        </row>
        <row r="2859">
          <cell r="A2859" t="str">
            <v>NIVEDITA MERCANTILE &amp; FINANCING LTD</v>
          </cell>
          <cell r="B2859">
            <v>512381</v>
          </cell>
          <cell r="C2859" t="str">
            <v>Not Listed</v>
          </cell>
        </row>
        <row r="2860">
          <cell r="A2860" t="str">
            <v>NIVI TRADING LTD</v>
          </cell>
          <cell r="B2860">
            <v>512245</v>
          </cell>
          <cell r="C2860" t="str">
            <v>Not Listed</v>
          </cell>
        </row>
        <row r="2861">
          <cell r="A2861" t="str">
            <v>NIYOGIN FINTECH LTD</v>
          </cell>
          <cell r="B2861">
            <v>538772</v>
          </cell>
          <cell r="C2861" t="str">
            <v>Not Listed</v>
          </cell>
        </row>
        <row r="2862">
          <cell r="A2862" t="str">
            <v>NK INDUSTRIES LTD</v>
          </cell>
          <cell r="B2862">
            <v>519494</v>
          </cell>
          <cell r="C2862" t="str">
            <v>NKIND</v>
          </cell>
        </row>
        <row r="2863">
          <cell r="A2863" t="str">
            <v>NLC (INDIA) LTD</v>
          </cell>
          <cell r="B2863">
            <v>513683</v>
          </cell>
          <cell r="C2863" t="str">
            <v>NLC(INDIA)</v>
          </cell>
        </row>
        <row r="2864">
          <cell r="A2864" t="str">
            <v>NLC INDIA LTD</v>
          </cell>
          <cell r="B2864">
            <v>513683</v>
          </cell>
          <cell r="C2864" t="str">
            <v>NLCINDIA</v>
          </cell>
        </row>
        <row r="2865">
          <cell r="A2865" t="str">
            <v>NMDC LTD</v>
          </cell>
          <cell r="B2865">
            <v>526371</v>
          </cell>
          <cell r="C2865" t="str">
            <v>NMDC</v>
          </cell>
        </row>
        <row r="2866">
          <cell r="A2866" t="str">
            <v>NOCIL LTD</v>
          </cell>
          <cell r="B2866">
            <v>500730</v>
          </cell>
          <cell r="C2866" t="str">
            <v>NOCIL</v>
          </cell>
        </row>
        <row r="2867">
          <cell r="A2867" t="str">
            <v>NOIDA TOLL BRIDGE COMPANY LTD</v>
          </cell>
          <cell r="B2867">
            <v>532481</v>
          </cell>
          <cell r="C2867" t="str">
            <v>NOIDATOLL</v>
          </cell>
        </row>
        <row r="2868">
          <cell r="A2868" t="str">
            <v>NORBEN TEA &amp; EXPORTS LTD</v>
          </cell>
          <cell r="B2868" t="str">
            <v>Not Listed</v>
          </cell>
          <cell r="C2868" t="str">
            <v>NORBTEAEXP</v>
          </cell>
        </row>
        <row r="2869">
          <cell r="A2869" t="str">
            <v>NORRIS MEDICINES LTD</v>
          </cell>
          <cell r="B2869">
            <v>524414</v>
          </cell>
          <cell r="C2869" t="str">
            <v>Not Listed</v>
          </cell>
        </row>
        <row r="2870">
          <cell r="A2870" t="str">
            <v>NORTH EASTERN CARRYING CORPORATION LTD</v>
          </cell>
          <cell r="B2870">
            <v>534615</v>
          </cell>
          <cell r="C2870" t="str">
            <v>NECCLTD</v>
          </cell>
        </row>
        <row r="2871">
          <cell r="A2871" t="str">
            <v>Northern Spirits Ltd</v>
          </cell>
          <cell r="B2871">
            <v>542628</v>
          </cell>
          <cell r="C2871" t="str">
            <v>NSL</v>
          </cell>
        </row>
        <row r="2872">
          <cell r="A2872" t="str">
            <v>NORTHLINK FISCAL AND CAPITAL SERVICES LTD</v>
          </cell>
          <cell r="B2872">
            <v>539110</v>
          </cell>
          <cell r="C2872" t="str">
            <v>Not Listed</v>
          </cell>
        </row>
        <row r="2873">
          <cell r="A2873" t="str">
            <v>NOURITRANS EXIM LTD</v>
          </cell>
          <cell r="B2873">
            <v>540698</v>
          </cell>
          <cell r="C2873" t="str">
            <v>Not Listed</v>
          </cell>
        </row>
        <row r="2874">
          <cell r="A2874" t="str">
            <v>NOUVEAU GLOBAL VENTURES LTD</v>
          </cell>
          <cell r="B2874">
            <v>531465</v>
          </cell>
          <cell r="C2874" t="str">
            <v>Not Listed</v>
          </cell>
        </row>
        <row r="2875">
          <cell r="A2875" t="str">
            <v>NOVA IRON &amp; STEEL LTD</v>
          </cell>
          <cell r="B2875">
            <v>513566</v>
          </cell>
          <cell r="C2875" t="str">
            <v>Not Listed</v>
          </cell>
        </row>
        <row r="2876">
          <cell r="A2876" t="str">
            <v>NOVA PUBLICATIONS (INDIA) LTD</v>
          </cell>
          <cell r="B2876">
            <v>530733</v>
          </cell>
          <cell r="C2876" t="str">
            <v>Not Listed</v>
          </cell>
        </row>
        <row r="2877">
          <cell r="A2877" t="str">
            <v>NOVA PUBLICATIONS INDIA LTD</v>
          </cell>
          <cell r="B2877">
            <v>530733</v>
          </cell>
          <cell r="C2877" t="str">
            <v>Not Listed</v>
          </cell>
        </row>
        <row r="2878">
          <cell r="A2878" t="str">
            <v>NOVARTIS (INDIA) LTD</v>
          </cell>
          <cell r="B2878">
            <v>500672</v>
          </cell>
          <cell r="C2878" t="str">
            <v>Not Listed</v>
          </cell>
        </row>
        <row r="2879">
          <cell r="A2879" t="str">
            <v>NOVARTIS INDIA LTD</v>
          </cell>
          <cell r="B2879">
            <v>500672</v>
          </cell>
          <cell r="C2879" t="str">
            <v>Not Listed</v>
          </cell>
        </row>
        <row r="2880">
          <cell r="A2880" t="str">
            <v>NPR FINANCE LTD</v>
          </cell>
          <cell r="B2880">
            <v>530127</v>
          </cell>
          <cell r="C2880" t="str">
            <v>Not Listed</v>
          </cell>
        </row>
        <row r="2881">
          <cell r="A2881" t="str">
            <v>NRB BEARING LTD</v>
          </cell>
          <cell r="B2881">
            <v>530367</v>
          </cell>
          <cell r="C2881" t="str">
            <v>NRBBEARING</v>
          </cell>
        </row>
        <row r="2882">
          <cell r="A2882" t="str">
            <v>NRB INDUSTRIAL BEARINGS LTD</v>
          </cell>
          <cell r="B2882">
            <v>535458</v>
          </cell>
          <cell r="C2882" t="str">
            <v>NIBL</v>
          </cell>
        </row>
        <row r="2883">
          <cell r="A2883" t="str">
            <v>NTC INDUSTRIES LTD</v>
          </cell>
          <cell r="B2883">
            <v>526723</v>
          </cell>
          <cell r="C2883" t="str">
            <v>Not Listed</v>
          </cell>
        </row>
        <row r="2884">
          <cell r="A2884" t="str">
            <v>NTPC LTD</v>
          </cell>
          <cell r="B2884">
            <v>532555</v>
          </cell>
          <cell r="C2884" t="str">
            <v>NTPC</v>
          </cell>
        </row>
        <row r="2885">
          <cell r="A2885" t="str">
            <v>NU TEK (INDIA) LTD</v>
          </cell>
          <cell r="B2885">
            <v>533015</v>
          </cell>
          <cell r="C2885" t="str">
            <v>NUTEK</v>
          </cell>
        </row>
        <row r="2886">
          <cell r="A2886" t="str">
            <v>NU TEK INDIA LTD</v>
          </cell>
          <cell r="B2886">
            <v>533015</v>
          </cell>
          <cell r="C2886" t="str">
            <v>NUTEK</v>
          </cell>
        </row>
        <row r="2887">
          <cell r="A2887" t="str">
            <v>NUCLEUS SOFTWARE EXPORTS LTD</v>
          </cell>
          <cell r="B2887">
            <v>531209</v>
          </cell>
          <cell r="C2887" t="str">
            <v>NUCLEUS</v>
          </cell>
        </row>
        <row r="2888">
          <cell r="A2888" t="str">
            <v>NUTECH GLOBAL LTD</v>
          </cell>
          <cell r="B2888">
            <v>531304</v>
          </cell>
          <cell r="C2888" t="str">
            <v>Not Listed</v>
          </cell>
        </row>
        <row r="2889">
          <cell r="A2889" t="str">
            <v>NUTRAPLUS (INDIA) LTD</v>
          </cell>
          <cell r="B2889">
            <v>524764</v>
          </cell>
          <cell r="C2889" t="str">
            <v>Not Listed</v>
          </cell>
        </row>
        <row r="2890">
          <cell r="A2890" t="str">
            <v>NUTRAPLUS INDIA LTD</v>
          </cell>
          <cell r="B2890">
            <v>524764</v>
          </cell>
          <cell r="C2890" t="str">
            <v>Not Listed</v>
          </cell>
        </row>
        <row r="2891">
          <cell r="A2891" t="str">
            <v>NUTRICIRCLE LTD</v>
          </cell>
          <cell r="B2891">
            <v>530219</v>
          </cell>
          <cell r="C2891" t="str">
            <v>Not Listed</v>
          </cell>
        </row>
        <row r="2892">
          <cell r="A2892" t="str">
            <v>NUWAY ORGANIC NATURALS (INDIA) LTD</v>
          </cell>
          <cell r="B2892">
            <v>531819</v>
          </cell>
          <cell r="C2892" t="str">
            <v>Not Listed</v>
          </cell>
        </row>
        <row r="2893">
          <cell r="A2893" t="str">
            <v>NUWAY ORGANIC NATURALS INDIA LTD</v>
          </cell>
          <cell r="B2893">
            <v>531819</v>
          </cell>
          <cell r="C2893" t="str">
            <v>Not Listed</v>
          </cell>
        </row>
        <row r="2894">
          <cell r="A2894" t="str">
            <v>NYSSA CORPORATION LTD</v>
          </cell>
          <cell r="B2894">
            <v>504378</v>
          </cell>
          <cell r="C2894" t="str">
            <v>Not Listed</v>
          </cell>
        </row>
        <row r="2895">
          <cell r="A2895" t="str">
            <v>O  P  CHAINS LTD</v>
          </cell>
          <cell r="B2895">
            <v>539116</v>
          </cell>
          <cell r="C2895" t="str">
            <v>Not Listed</v>
          </cell>
        </row>
        <row r="2896">
          <cell r="A2896" t="str">
            <v>OASIS SECURITIES LTD</v>
          </cell>
          <cell r="B2896">
            <v>512489</v>
          </cell>
          <cell r="C2896" t="str">
            <v>Not Listed</v>
          </cell>
        </row>
        <row r="2897">
          <cell r="A2897" t="str">
            <v>OASIS TRADELINK LTD</v>
          </cell>
          <cell r="B2897">
            <v>538547</v>
          </cell>
          <cell r="C2897" t="str">
            <v>Not Listed</v>
          </cell>
        </row>
        <row r="2898">
          <cell r="A2898" t="str">
            <v>OBEROI REALTY LTD</v>
          </cell>
          <cell r="B2898">
            <v>533273</v>
          </cell>
          <cell r="C2898" t="str">
            <v>OBEROIRLTY</v>
          </cell>
        </row>
        <row r="2899">
          <cell r="A2899" t="str">
            <v>OBJECTONE INFORMATION SYSTEMS LTD</v>
          </cell>
          <cell r="B2899">
            <v>535657</v>
          </cell>
          <cell r="C2899" t="str">
            <v>Not Listed</v>
          </cell>
        </row>
        <row r="2900">
          <cell r="A2900" t="str">
            <v>OCEAN AGRO (INDIA) LTD</v>
          </cell>
          <cell r="B2900">
            <v>519491</v>
          </cell>
          <cell r="C2900" t="str">
            <v>Not Listed</v>
          </cell>
        </row>
        <row r="2901">
          <cell r="A2901" t="str">
            <v>OCEAN AGRO INDIA LTD</v>
          </cell>
          <cell r="B2901">
            <v>519491</v>
          </cell>
          <cell r="C2901" t="str">
            <v>Not Listed</v>
          </cell>
        </row>
        <row r="2902">
          <cell r="A2902" t="str">
            <v>OCEANAA BIOTEK INDUSTRIES LTD</v>
          </cell>
          <cell r="B2902">
            <v>538019</v>
          </cell>
          <cell r="C2902" t="str">
            <v>Not Listed</v>
          </cell>
        </row>
        <row r="2903">
          <cell r="A2903" t="str">
            <v>OCEANIC FOODS LTD</v>
          </cell>
          <cell r="B2903">
            <v>540405</v>
          </cell>
          <cell r="C2903" t="str">
            <v>Not Listed</v>
          </cell>
        </row>
        <row r="2904">
          <cell r="A2904" t="str">
            <v>OCL IRON AND STEEL LTD</v>
          </cell>
          <cell r="B2904">
            <v>533008</v>
          </cell>
          <cell r="C2904" t="str">
            <v>OISL</v>
          </cell>
        </row>
        <row r="2905">
          <cell r="A2905" t="str">
            <v>OCTAL CREDIT CAPITAL LTD</v>
          </cell>
          <cell r="B2905">
            <v>538894</v>
          </cell>
          <cell r="C2905" t="str">
            <v>Not Listed</v>
          </cell>
        </row>
        <row r="2906">
          <cell r="A2906" t="str">
            <v>OCTAWARE TECHNOLOGIES LTD</v>
          </cell>
          <cell r="B2906">
            <v>540416</v>
          </cell>
          <cell r="C2906" t="str">
            <v>Not Listed</v>
          </cell>
        </row>
        <row r="2907">
          <cell r="A2907" t="str">
            <v>ODYSSEY CORPORATION LTD</v>
          </cell>
          <cell r="B2907">
            <v>531996</v>
          </cell>
          <cell r="C2907" t="str">
            <v>Not Listed</v>
          </cell>
        </row>
        <row r="2908">
          <cell r="A2908" t="str">
            <v>ODYSSEY TECHNOLOGIES LTD</v>
          </cell>
          <cell r="B2908">
            <v>530175</v>
          </cell>
          <cell r="C2908" t="str">
            <v>Not Listed</v>
          </cell>
        </row>
        <row r="2909">
          <cell r="A2909" t="str">
            <v>OFS TECHNOLOGIES LTD</v>
          </cell>
          <cell r="B2909">
            <v>539570</v>
          </cell>
          <cell r="C2909" t="str">
            <v>Not Listed</v>
          </cell>
        </row>
        <row r="2910">
          <cell r="A2910" t="str">
            <v>OIL &amp; NATURAL GAS CORPORATION LTD</v>
          </cell>
          <cell r="B2910">
            <v>500312</v>
          </cell>
          <cell r="C2910" t="str">
            <v>ONGC</v>
          </cell>
        </row>
        <row r="2911">
          <cell r="A2911" t="str">
            <v>OIL (INDIA) LTD</v>
          </cell>
          <cell r="B2911">
            <v>533106</v>
          </cell>
          <cell r="C2911" t="str">
            <v>OIL</v>
          </cell>
        </row>
        <row r="2912">
          <cell r="A2912" t="str">
            <v>OIL COUNTRY TUBULAR LTD</v>
          </cell>
          <cell r="B2912">
            <v>500313</v>
          </cell>
          <cell r="C2912" t="str">
            <v>OILCOUNTUB</v>
          </cell>
        </row>
        <row r="2913">
          <cell r="A2913" t="str">
            <v>OIL INDIA LTD</v>
          </cell>
          <cell r="B2913">
            <v>533106</v>
          </cell>
          <cell r="C2913" t="str">
            <v>OIL</v>
          </cell>
        </row>
        <row r="2914">
          <cell r="A2914" t="str">
            <v>OK PLAY (INDIA) LTD</v>
          </cell>
          <cell r="B2914">
            <v>526415</v>
          </cell>
          <cell r="C2914" t="str">
            <v>Not Listed</v>
          </cell>
        </row>
        <row r="2915">
          <cell r="A2915" t="str">
            <v>OK PLAY INDIA LTD</v>
          </cell>
          <cell r="B2915">
            <v>526415</v>
          </cell>
          <cell r="C2915" t="str">
            <v>Not Listed</v>
          </cell>
        </row>
        <row r="2916">
          <cell r="A2916" t="str">
            <v>OLECTRA GREENTECH LTD</v>
          </cell>
          <cell r="B2916">
            <v>532439</v>
          </cell>
          <cell r="C2916" t="str">
            <v>OLECTRA</v>
          </cell>
        </row>
        <row r="2917">
          <cell r="A2917" t="str">
            <v>OLYMPIA INDUSTRIES LTD</v>
          </cell>
          <cell r="B2917">
            <v>521105</v>
          </cell>
          <cell r="C2917" t="str">
            <v>Not Listed</v>
          </cell>
        </row>
        <row r="2918">
          <cell r="A2918" t="str">
            <v>OLYMPIC CARDS LTD</v>
          </cell>
          <cell r="B2918">
            <v>534190</v>
          </cell>
          <cell r="C2918" t="str">
            <v>Not Listed</v>
          </cell>
        </row>
        <row r="2919">
          <cell r="A2919" t="str">
            <v>OLYMPIC OIL INDUSTRIES LTD</v>
          </cell>
          <cell r="B2919">
            <v>507609</v>
          </cell>
          <cell r="C2919" t="str">
            <v>Not Listed</v>
          </cell>
        </row>
        <row r="2920">
          <cell r="A2920" t="str">
            <v>OM METALS INFRAPROJECTS LTD</v>
          </cell>
          <cell r="B2920">
            <v>531092</v>
          </cell>
          <cell r="C2920" t="str">
            <v>OMMETALS</v>
          </cell>
        </row>
        <row r="2921">
          <cell r="A2921" t="str">
            <v>OMANSH ENTERPRISES LTD</v>
          </cell>
          <cell r="B2921">
            <v>538537</v>
          </cell>
          <cell r="C2921" t="str">
            <v>Not Listed</v>
          </cell>
        </row>
        <row r="2922">
          <cell r="A2922" t="str">
            <v>OMAX AUTOS LTD</v>
          </cell>
          <cell r="B2922">
            <v>520021</v>
          </cell>
          <cell r="C2922" t="str">
            <v>OMAXAUTO</v>
          </cell>
        </row>
        <row r="2923">
          <cell r="A2923" t="str">
            <v>OMAXE LTD</v>
          </cell>
          <cell r="B2923">
            <v>532880</v>
          </cell>
          <cell r="C2923" t="str">
            <v>OMAXE</v>
          </cell>
        </row>
        <row r="2924">
          <cell r="A2924" t="str">
            <v>OMFURN (INDIA) LTD</v>
          </cell>
          <cell r="B2924" t="str">
            <v>Not Listed</v>
          </cell>
          <cell r="C2924" t="str">
            <v>OMFURN</v>
          </cell>
        </row>
        <row r="2925">
          <cell r="A2925" t="str">
            <v>OMFURN INDIA LTD</v>
          </cell>
          <cell r="B2925" t="str">
            <v>Not Listed</v>
          </cell>
          <cell r="C2925" t="str">
            <v>OMFURN</v>
          </cell>
        </row>
        <row r="2926">
          <cell r="A2926" t="str">
            <v>OMKAR OVERSEAS LTD</v>
          </cell>
          <cell r="B2926">
            <v>531496</v>
          </cell>
          <cell r="C2926" t="str">
            <v>Not Listed</v>
          </cell>
        </row>
        <row r="2927">
          <cell r="A2927" t="str">
            <v>OMKAR PHARMACHEM LTD</v>
          </cell>
          <cell r="B2927">
            <v>532167</v>
          </cell>
          <cell r="C2927" t="str">
            <v>Not Listed</v>
          </cell>
        </row>
        <row r="2928">
          <cell r="A2928" t="str">
            <v>OMKAR SPECIALITY CHEMICALS LTD</v>
          </cell>
          <cell r="B2928">
            <v>533317</v>
          </cell>
          <cell r="C2928" t="str">
            <v>OMKARCHEM</v>
          </cell>
        </row>
        <row r="2929">
          <cell r="A2929" t="str">
            <v>OMNI AXS SOFTWARE LTD</v>
          </cell>
          <cell r="B2929">
            <v>532340</v>
          </cell>
          <cell r="C2929" t="str">
            <v>Not Listed</v>
          </cell>
        </row>
        <row r="2930">
          <cell r="A2930" t="str">
            <v>OMNITEX INDUSTRIES (INDIA) LTD</v>
          </cell>
          <cell r="B2930">
            <v>514324</v>
          </cell>
          <cell r="C2930" t="str">
            <v>Not Listed</v>
          </cell>
        </row>
        <row r="2931">
          <cell r="A2931" t="str">
            <v>OMNITEX INDUSTRIES INDIA LTD</v>
          </cell>
          <cell r="B2931">
            <v>514324</v>
          </cell>
          <cell r="C2931" t="str">
            <v>Not Listed</v>
          </cell>
        </row>
        <row r="2932">
          <cell r="A2932" t="str">
            <v>ONE POINT ONE SOLUTIONS LTD</v>
          </cell>
          <cell r="B2932" t="str">
            <v>Not Listed</v>
          </cell>
          <cell r="C2932" t="str">
            <v>ONEPOINT</v>
          </cell>
        </row>
        <row r="2933">
          <cell r="A2933" t="str">
            <v>ONELIFE CAPITAL ADVISORS LTD</v>
          </cell>
          <cell r="B2933">
            <v>533632</v>
          </cell>
          <cell r="C2933" t="str">
            <v>ONELIFECAP</v>
          </cell>
        </row>
        <row r="2934">
          <cell r="A2934" t="str">
            <v>ONESOURCE IDEAS VENTURE LTD</v>
          </cell>
          <cell r="B2934">
            <v>530805</v>
          </cell>
          <cell r="C2934" t="str">
            <v>Not Listed</v>
          </cell>
        </row>
        <row r="2935">
          <cell r="A2935" t="str">
            <v>ONESOURCE TECHMEDIA LTD</v>
          </cell>
          <cell r="B2935">
            <v>535647</v>
          </cell>
          <cell r="C2935" t="str">
            <v>Not Listed</v>
          </cell>
        </row>
        <row r="2936">
          <cell r="A2936" t="str">
            <v>ONMOBILE GLOBAL LTD</v>
          </cell>
          <cell r="B2936">
            <v>532944</v>
          </cell>
          <cell r="C2936" t="str">
            <v>ONMOBILE</v>
          </cell>
        </row>
        <row r="2937">
          <cell r="A2937" t="str">
            <v>ONTIC FINSERVE LTD</v>
          </cell>
          <cell r="B2937">
            <v>540386</v>
          </cell>
          <cell r="C2937" t="str">
            <v>Not Listed</v>
          </cell>
        </row>
        <row r="2938">
          <cell r="A2938" t="str">
            <v>ONWARD TECHNOLOGIES LTD</v>
          </cell>
          <cell r="B2938">
            <v>517536</v>
          </cell>
          <cell r="C2938" t="str">
            <v>ONWARDTEC</v>
          </cell>
        </row>
        <row r="2939">
          <cell r="A2939" t="str">
            <v>OPAL LUXURY TIME PRODUCTS LTD</v>
          </cell>
          <cell r="B2939" t="str">
            <v>Not Listed</v>
          </cell>
          <cell r="C2939" t="str">
            <v>OPAL</v>
          </cell>
        </row>
        <row r="2940">
          <cell r="A2940" t="str">
            <v>OPTIEMUS INFRACOM LTD</v>
          </cell>
          <cell r="B2940">
            <v>530135</v>
          </cell>
          <cell r="C2940" t="str">
            <v>OPTIEMUS</v>
          </cell>
        </row>
        <row r="2941">
          <cell r="A2941" t="str">
            <v>OPTIMUS FINANCE LTD</v>
          </cell>
          <cell r="B2941">
            <v>531254</v>
          </cell>
          <cell r="C2941" t="str">
            <v>Not Listed</v>
          </cell>
        </row>
        <row r="2942">
          <cell r="A2942" t="str">
            <v>OPTO CIRCUITS (INDIA) LTD</v>
          </cell>
          <cell r="B2942">
            <v>532391</v>
          </cell>
          <cell r="C2942" t="str">
            <v>OPTOCIRCUI</v>
          </cell>
        </row>
        <row r="2943">
          <cell r="A2943" t="str">
            <v>OPTO CIRCUITS INDIA LTD</v>
          </cell>
          <cell r="B2943">
            <v>532391</v>
          </cell>
          <cell r="C2943" t="str">
            <v>OPTOCIRCUI</v>
          </cell>
        </row>
        <row r="2944">
          <cell r="A2944" t="str">
            <v>ORACLE CREDIT LTD</v>
          </cell>
          <cell r="B2944">
            <v>539598</v>
          </cell>
          <cell r="C2944" t="str">
            <v>Not Listed</v>
          </cell>
        </row>
        <row r="2945">
          <cell r="A2945" t="str">
            <v>ORACLE FINANCIAL SERVICES SOFTWARE LTD</v>
          </cell>
          <cell r="B2945">
            <v>532466</v>
          </cell>
          <cell r="C2945" t="str">
            <v>OFSS</v>
          </cell>
        </row>
        <row r="2946">
          <cell r="A2946" t="str">
            <v>ORBIT EXPORTS LTD</v>
          </cell>
          <cell r="B2946">
            <v>512626</v>
          </cell>
          <cell r="C2946" t="str">
            <v>ORBTEXP</v>
          </cell>
        </row>
        <row r="2947">
          <cell r="A2947" t="str">
            <v>ORCHID PHARMA LTD</v>
          </cell>
          <cell r="B2947">
            <v>524372</v>
          </cell>
          <cell r="C2947" t="str">
            <v>ORCHIDPHAR</v>
          </cell>
        </row>
        <row r="2948">
          <cell r="A2948" t="str">
            <v>ORGANIC COATINGS LTD</v>
          </cell>
          <cell r="B2948">
            <v>531157</v>
          </cell>
          <cell r="C2948" t="str">
            <v>Not Listed</v>
          </cell>
        </row>
        <row r="2949">
          <cell r="A2949" t="str">
            <v>ORICON ENTERPRISES LTD</v>
          </cell>
          <cell r="B2949">
            <v>513121</v>
          </cell>
          <cell r="C2949" t="str">
            <v>ORICONENT</v>
          </cell>
        </row>
        <row r="2950">
          <cell r="A2950" t="str">
            <v>ORIENT ABRASIVES LTD</v>
          </cell>
          <cell r="B2950">
            <v>504879</v>
          </cell>
          <cell r="C2950" t="str">
            <v>ORIENTABRA</v>
          </cell>
        </row>
        <row r="2951">
          <cell r="A2951" t="str">
            <v>ORIENT BELL LTD</v>
          </cell>
          <cell r="B2951">
            <v>530365</v>
          </cell>
          <cell r="C2951" t="str">
            <v>ORIENTBELL</v>
          </cell>
        </row>
        <row r="2952">
          <cell r="A2952" t="str">
            <v>ORIENT BEVERAGES LTD</v>
          </cell>
          <cell r="B2952">
            <v>507690</v>
          </cell>
          <cell r="C2952" t="str">
            <v>Not Listed</v>
          </cell>
        </row>
        <row r="2953">
          <cell r="A2953" t="str">
            <v>ORIENT CEMENT LTD</v>
          </cell>
          <cell r="B2953">
            <v>535754</v>
          </cell>
          <cell r="C2953" t="str">
            <v>ORIENTCEM</v>
          </cell>
        </row>
        <row r="2954">
          <cell r="A2954" t="str">
            <v>ORIENT ELECTRIC LTD</v>
          </cell>
          <cell r="B2954">
            <v>541301</v>
          </cell>
          <cell r="C2954" t="str">
            <v>ORIENTELEC</v>
          </cell>
        </row>
        <row r="2955">
          <cell r="A2955" t="str">
            <v>ORIENT GREEN POWER COMPANY LTD</v>
          </cell>
          <cell r="B2955">
            <v>533263</v>
          </cell>
          <cell r="C2955" t="str">
            <v>GREENPOWER</v>
          </cell>
        </row>
        <row r="2956">
          <cell r="A2956" t="str">
            <v>ORIENT PAPER &amp; INDUSTRIES LTD</v>
          </cell>
          <cell r="B2956">
            <v>502420</v>
          </cell>
          <cell r="C2956" t="str">
            <v>ORIENTPPR</v>
          </cell>
        </row>
        <row r="2957">
          <cell r="A2957" t="str">
            <v>ORIENT PRESS LTD</v>
          </cell>
          <cell r="B2957">
            <v>526325</v>
          </cell>
          <cell r="C2957" t="str">
            <v>ORIENTLTD</v>
          </cell>
        </row>
        <row r="2958">
          <cell r="A2958" t="str">
            <v>ORIENT REFRACTORIES LTD</v>
          </cell>
          <cell r="B2958">
            <v>534076</v>
          </cell>
          <cell r="C2958" t="str">
            <v>ORIENTREF</v>
          </cell>
        </row>
        <row r="2959">
          <cell r="A2959" t="str">
            <v>ORIENT TRADELINK LTD</v>
          </cell>
          <cell r="B2959">
            <v>531512</v>
          </cell>
          <cell r="C2959" t="str">
            <v>Not Listed</v>
          </cell>
        </row>
        <row r="2960">
          <cell r="A2960" t="str">
            <v>ORIENTAL AROMATICS LTD</v>
          </cell>
          <cell r="B2960">
            <v>500078</v>
          </cell>
          <cell r="C2960" t="str">
            <v>Not Listed</v>
          </cell>
        </row>
        <row r="2961">
          <cell r="A2961" t="str">
            <v>ORIENTAL BANK OF COMMERCE</v>
          </cell>
          <cell r="B2961">
            <v>500315</v>
          </cell>
          <cell r="C2961" t="str">
            <v>ORIENTBANK</v>
          </cell>
        </row>
        <row r="2962">
          <cell r="A2962" t="str">
            <v>ORIENTAL CARBON &amp; CHEMICALS LTD</v>
          </cell>
          <cell r="B2962">
            <v>506579</v>
          </cell>
          <cell r="C2962" t="str">
            <v>OCCL</v>
          </cell>
        </row>
        <row r="2963">
          <cell r="A2963" t="str">
            <v>ORIENTAL HOTELS LTD</v>
          </cell>
          <cell r="B2963">
            <v>500314</v>
          </cell>
          <cell r="C2963" t="str">
            <v>ORIENTHOT</v>
          </cell>
        </row>
        <row r="2964">
          <cell r="A2964" t="str">
            <v>ORIENTAL TRIMEX LTD</v>
          </cell>
          <cell r="B2964">
            <v>532817</v>
          </cell>
          <cell r="C2964" t="str">
            <v>ORIENTALTL</v>
          </cell>
        </row>
        <row r="2965">
          <cell r="A2965" t="str">
            <v>ORIENTAL VENEER PRODUCTS LTD</v>
          </cell>
          <cell r="B2965">
            <v>531859</v>
          </cell>
          <cell r="C2965" t="str">
            <v>Not Listed</v>
          </cell>
        </row>
        <row r="2966">
          <cell r="A2966" t="str">
            <v>ORISSA BENGAL CARRIER LTD</v>
          </cell>
          <cell r="B2966">
            <v>541206</v>
          </cell>
          <cell r="C2966" t="str">
            <v>Not Listed</v>
          </cell>
        </row>
        <row r="2967">
          <cell r="A2967" t="str">
            <v>OROSIL SMITHS (INDIA) LTD</v>
          </cell>
          <cell r="B2967">
            <v>531626</v>
          </cell>
          <cell r="C2967" t="str">
            <v>Not Listed</v>
          </cell>
        </row>
        <row r="2968">
          <cell r="A2968" t="str">
            <v>OROSIL SMITHS INDIA LTD</v>
          </cell>
          <cell r="B2968">
            <v>531626</v>
          </cell>
          <cell r="C2968" t="str">
            <v>Not Listed</v>
          </cell>
        </row>
        <row r="2969">
          <cell r="A2969" t="str">
            <v>ORTEL COMMUNICATIONS LTD</v>
          </cell>
          <cell r="B2969">
            <v>539015</v>
          </cell>
          <cell r="C2969" t="str">
            <v>ORTEL</v>
          </cell>
        </row>
        <row r="2970">
          <cell r="A2970" t="str">
            <v>ORTIN LABORATORIES LTD</v>
          </cell>
          <cell r="B2970">
            <v>539287</v>
          </cell>
          <cell r="C2970" t="str">
            <v>ORTINLABSS</v>
          </cell>
        </row>
        <row r="2971">
          <cell r="A2971" t="str">
            <v>OSCAR GLOBAL LTD</v>
          </cell>
          <cell r="B2971">
            <v>530173</v>
          </cell>
          <cell r="C2971" t="str">
            <v>Not Listed</v>
          </cell>
        </row>
        <row r="2972">
          <cell r="A2972" t="str">
            <v>OSCAR INVESTMENTS LTD</v>
          </cell>
          <cell r="B2972">
            <v>501179</v>
          </cell>
          <cell r="C2972" t="str">
            <v>Not Listed</v>
          </cell>
        </row>
        <row r="2973">
          <cell r="A2973" t="str">
            <v>OSEASPRE CONSULTANTS LTD</v>
          </cell>
          <cell r="B2973">
            <v>509782</v>
          </cell>
          <cell r="C2973" t="str">
            <v>Not Listed</v>
          </cell>
        </row>
        <row r="2974">
          <cell r="A2974" t="str">
            <v>OSIAJEE TEXFAB LTD</v>
          </cell>
          <cell r="B2974">
            <v>540198</v>
          </cell>
          <cell r="C2974" t="str">
            <v>Not Listed</v>
          </cell>
        </row>
        <row r="2975">
          <cell r="A2975" t="str">
            <v>OSWAL AGRO MILLS LTD</v>
          </cell>
          <cell r="B2975">
            <v>500317</v>
          </cell>
          <cell r="C2975" t="str">
            <v>OSWALAGRO</v>
          </cell>
        </row>
        <row r="2976">
          <cell r="A2976" t="str">
            <v>OSWAL CHEMICALS &amp; FERTILIZERS LTD</v>
          </cell>
          <cell r="B2976">
            <v>539290</v>
          </cell>
          <cell r="C2976" t="str">
            <v>BINDALAGRO</v>
          </cell>
        </row>
        <row r="2977">
          <cell r="A2977" t="str">
            <v>OSWAL LEASING LTD</v>
          </cell>
          <cell r="B2977">
            <v>509099</v>
          </cell>
          <cell r="C2977" t="str">
            <v>Not Listed</v>
          </cell>
        </row>
        <row r="2978">
          <cell r="A2978" t="str">
            <v>OSWAL OVERSEAS LTD</v>
          </cell>
          <cell r="B2978">
            <v>531065</v>
          </cell>
          <cell r="C2978" t="str">
            <v>Not Listed</v>
          </cell>
        </row>
        <row r="2979">
          <cell r="A2979" t="str">
            <v>OSWAL YARNS LTD</v>
          </cell>
          <cell r="B2979">
            <v>514460</v>
          </cell>
          <cell r="C2979" t="str">
            <v>Not Listed</v>
          </cell>
        </row>
        <row r="2980">
          <cell r="A2980" t="str">
            <v>OTCO INTERNATIONAL LTD</v>
          </cell>
          <cell r="B2980">
            <v>523151</v>
          </cell>
          <cell r="C2980" t="str">
            <v>Not Listed</v>
          </cell>
        </row>
        <row r="2981">
          <cell r="A2981" t="str">
            <v>OVERSEAS SYNTHETICS LTD</v>
          </cell>
          <cell r="B2981">
            <v>514330</v>
          </cell>
          <cell r="C2981" t="str">
            <v>Not Listed</v>
          </cell>
        </row>
        <row r="2982">
          <cell r="A2982" t="str">
            <v>OVOBEL FOODS LTD</v>
          </cell>
          <cell r="B2982">
            <v>530741</v>
          </cell>
          <cell r="C2982" t="str">
            <v>Not Listed</v>
          </cell>
        </row>
        <row r="2983">
          <cell r="A2983" t="str">
            <v>OZONE WORLD LTD</v>
          </cell>
          <cell r="B2983">
            <v>539291</v>
          </cell>
          <cell r="C2983" t="str">
            <v>Not Listed</v>
          </cell>
        </row>
        <row r="2984">
          <cell r="A2984" t="str">
            <v>P  B  FILMS LTD</v>
          </cell>
          <cell r="B2984">
            <v>539352</v>
          </cell>
          <cell r="C2984" t="str">
            <v>Not Listed</v>
          </cell>
        </row>
        <row r="2985">
          <cell r="A2985" t="str">
            <v>P M TELELINNKS LTD</v>
          </cell>
          <cell r="B2985">
            <v>513403</v>
          </cell>
          <cell r="C2985" t="str">
            <v>Not Listed</v>
          </cell>
        </row>
        <row r="2986">
          <cell r="A2986" t="str">
            <v>PACHELI INDUSTRIAL FINANCE LTD</v>
          </cell>
          <cell r="B2986">
            <v>523862</v>
          </cell>
          <cell r="C2986" t="str">
            <v>Not Listed</v>
          </cell>
        </row>
        <row r="2987">
          <cell r="A2987" t="str">
            <v>PACIFIC INDUSTRIES LTD</v>
          </cell>
          <cell r="B2987">
            <v>523483</v>
          </cell>
          <cell r="C2987" t="str">
            <v>Not Listed</v>
          </cell>
        </row>
        <row r="2988">
          <cell r="A2988" t="str">
            <v>PACT INDUSTRIES LTD</v>
          </cell>
          <cell r="B2988">
            <v>538963</v>
          </cell>
          <cell r="C2988" t="str">
            <v>Not Listed</v>
          </cell>
        </row>
        <row r="2989">
          <cell r="A2989" t="str">
            <v>PADAM COTTON YARNS LTD</v>
          </cell>
          <cell r="B2989">
            <v>531395</v>
          </cell>
          <cell r="C2989" t="str">
            <v>Not Listed</v>
          </cell>
        </row>
        <row r="2990">
          <cell r="A2990" t="str">
            <v>PADMALAYA TELEFILMS LTD</v>
          </cell>
          <cell r="B2990">
            <v>532350</v>
          </cell>
          <cell r="C2990" t="str">
            <v>Not Listed</v>
          </cell>
        </row>
        <row r="2991">
          <cell r="A2991" t="str">
            <v>PADMANABH INDUSTRIES LTD</v>
          </cell>
          <cell r="B2991">
            <v>526905</v>
          </cell>
          <cell r="C2991" t="str">
            <v>Not Listed</v>
          </cell>
        </row>
        <row r="2992">
          <cell r="A2992" t="str">
            <v>PAE LTD</v>
          </cell>
          <cell r="B2992">
            <v>517230</v>
          </cell>
          <cell r="C2992" t="str">
            <v>PAEL</v>
          </cell>
        </row>
        <row r="2993">
          <cell r="A2993" t="str">
            <v>PAGE INDUSTRIES LTD</v>
          </cell>
          <cell r="B2993">
            <v>532827</v>
          </cell>
          <cell r="C2993" t="str">
            <v>PAGEIND</v>
          </cell>
        </row>
        <row r="2994">
          <cell r="A2994" t="str">
            <v>PAISALO DIGITAL LTD</v>
          </cell>
          <cell r="B2994">
            <v>532900</v>
          </cell>
          <cell r="C2994" t="str">
            <v>PAISALO</v>
          </cell>
        </row>
        <row r="2995">
          <cell r="A2995" t="str">
            <v>PALASH SECURITIES LTD</v>
          </cell>
          <cell r="B2995">
            <v>540648</v>
          </cell>
          <cell r="C2995" t="str">
            <v>PALASHSECU</v>
          </cell>
        </row>
        <row r="2996">
          <cell r="A2996" t="str">
            <v>PALCO METALS LTD</v>
          </cell>
          <cell r="B2996">
            <v>539121</v>
          </cell>
          <cell r="C2996" t="str">
            <v>Not Listed</v>
          </cell>
        </row>
        <row r="2997">
          <cell r="A2997" t="str">
            <v>PALM JEWELS LTD</v>
          </cell>
          <cell r="B2997">
            <v>541444</v>
          </cell>
          <cell r="C2997" t="str">
            <v>Not Listed</v>
          </cell>
        </row>
        <row r="2998">
          <cell r="A2998" t="str">
            <v>PALRED TECHNOLOGIES LTD</v>
          </cell>
          <cell r="B2998">
            <v>532521</v>
          </cell>
          <cell r="C2998" t="str">
            <v>PALREDTEC</v>
          </cell>
        </row>
        <row r="2999">
          <cell r="A2999" t="str">
            <v>PALSOFT INFOSYSTEMS LTD</v>
          </cell>
          <cell r="B2999">
            <v>511597</v>
          </cell>
          <cell r="C2999" t="str">
            <v>Not Listed</v>
          </cell>
        </row>
        <row r="3000">
          <cell r="A3000" t="str">
            <v>PAN ELECTRONICS (INDIA) LTD</v>
          </cell>
          <cell r="B3000">
            <v>517397</v>
          </cell>
          <cell r="C3000" t="str">
            <v>Not Listed</v>
          </cell>
        </row>
        <row r="3001">
          <cell r="A3001" t="str">
            <v>PAN ELECTRONICS INDIA LTD</v>
          </cell>
          <cell r="B3001">
            <v>517397</v>
          </cell>
          <cell r="C3001" t="str">
            <v>Not Listed</v>
          </cell>
        </row>
        <row r="3002">
          <cell r="A3002" t="str">
            <v>PAN INDIA CORPORATION LTD</v>
          </cell>
          <cell r="B3002">
            <v>511525</v>
          </cell>
          <cell r="C3002" t="str">
            <v>Not Listed</v>
          </cell>
        </row>
        <row r="3003">
          <cell r="A3003" t="str">
            <v>PANACEA BIOTEC LTD</v>
          </cell>
          <cell r="B3003">
            <v>531349</v>
          </cell>
          <cell r="C3003" t="str">
            <v>PANACEABIO</v>
          </cell>
        </row>
        <row r="3004">
          <cell r="A3004" t="str">
            <v>PANACHE DIGILIFE LTD</v>
          </cell>
          <cell r="B3004" t="str">
            <v>Not Listed</v>
          </cell>
          <cell r="C3004" t="str">
            <v>PANACHE</v>
          </cell>
        </row>
        <row r="3005">
          <cell r="A3005" t="str">
            <v>PANACHE INNOVATIONS LTD</v>
          </cell>
          <cell r="B3005">
            <v>538742</v>
          </cell>
          <cell r="C3005" t="str">
            <v>Not Listed</v>
          </cell>
        </row>
        <row r="3006">
          <cell r="A3006" t="str">
            <v>PANAFIC INDUSTRIALS LTD</v>
          </cell>
          <cell r="B3006">
            <v>538860</v>
          </cell>
          <cell r="C3006" t="str">
            <v>Not Listed</v>
          </cell>
        </row>
        <row r="3007">
          <cell r="A3007" t="str">
            <v>PANAMA PETROCHEM LTD</v>
          </cell>
          <cell r="B3007">
            <v>524820</v>
          </cell>
          <cell r="C3007" t="str">
            <v>PANAMAPET</v>
          </cell>
        </row>
        <row r="3008">
          <cell r="A3008" t="str">
            <v>PANASONIC CARBON INDIA CO LTD</v>
          </cell>
          <cell r="B3008">
            <v>508941</v>
          </cell>
          <cell r="C3008" t="str">
            <v>Not Listed</v>
          </cell>
        </row>
        <row r="3009">
          <cell r="A3009" t="str">
            <v>PANASONIC ENERGY INDIA COMPANY LTD</v>
          </cell>
          <cell r="B3009">
            <v>504093</v>
          </cell>
          <cell r="C3009" t="str">
            <v>Not Listed</v>
          </cell>
        </row>
        <row r="3010">
          <cell r="A3010" t="str">
            <v>PANCHMAHAL STEEL LTD</v>
          </cell>
          <cell r="B3010">
            <v>513511</v>
          </cell>
          <cell r="C3010" t="str">
            <v>Not Listed</v>
          </cell>
        </row>
        <row r="3011">
          <cell r="A3011" t="str">
            <v>PANCHSHEEL ORGANICS LTD</v>
          </cell>
          <cell r="B3011">
            <v>531726</v>
          </cell>
          <cell r="C3011" t="str">
            <v>Not Listed</v>
          </cell>
        </row>
        <row r="3012">
          <cell r="A3012" t="str">
            <v>PANKAJ PIYUSH TRADE &amp; INVESTMENT LTD</v>
          </cell>
          <cell r="B3012">
            <v>506122</v>
          </cell>
          <cell r="C3012" t="str">
            <v>Not Listed</v>
          </cell>
        </row>
        <row r="3013">
          <cell r="A3013" t="str">
            <v>PANKAJ POLYMERS LTD</v>
          </cell>
          <cell r="B3013">
            <v>531280</v>
          </cell>
          <cell r="C3013" t="str">
            <v>Not Listed</v>
          </cell>
        </row>
        <row r="3014">
          <cell r="A3014" t="str">
            <v>PANKAJ POLYPACK LTD</v>
          </cell>
          <cell r="B3014">
            <v>534796</v>
          </cell>
          <cell r="C3014" t="str">
            <v>Not Listed</v>
          </cell>
        </row>
        <row r="3015">
          <cell r="A3015" t="str">
            <v>PANSARI DEVELOPERS LTD</v>
          </cell>
          <cell r="B3015" t="str">
            <v>Not Listed</v>
          </cell>
          <cell r="C3015" t="str">
            <v>PANSARI</v>
          </cell>
        </row>
        <row r="3016">
          <cell r="A3016" t="str">
            <v>PANTH INFINITY LTD</v>
          </cell>
          <cell r="B3016">
            <v>539143</v>
          </cell>
          <cell r="C3016" t="str">
            <v>Not Listed</v>
          </cell>
        </row>
        <row r="3017">
          <cell r="A3017" t="str">
            <v>PANYAM CEMENTS &amp; MINERAL INDUSTRIES LTD</v>
          </cell>
          <cell r="B3017">
            <v>500322</v>
          </cell>
          <cell r="C3017" t="str">
            <v>Not Listed</v>
          </cell>
        </row>
        <row r="3018">
          <cell r="A3018" t="str">
            <v>Parab Infra Ltd</v>
          </cell>
          <cell r="B3018">
            <v>513359</v>
          </cell>
          <cell r="C3018" t="str">
            <v>PARINFRA</v>
          </cell>
        </row>
        <row r="3019">
          <cell r="A3019" t="str">
            <v>PARABOLIC DRUGS LTD</v>
          </cell>
          <cell r="B3019">
            <v>533211</v>
          </cell>
          <cell r="C3019" t="str">
            <v>PARABDRUGS</v>
          </cell>
        </row>
        <row r="3020">
          <cell r="A3020" t="str">
            <v>PARAG MILK FOODS LTD</v>
          </cell>
          <cell r="B3020">
            <v>539889</v>
          </cell>
          <cell r="C3020" t="str">
            <v>PARAGMILK</v>
          </cell>
        </row>
        <row r="3021">
          <cell r="A3021" t="str">
            <v>PARAGON FINANCE LTD</v>
          </cell>
          <cell r="B3021">
            <v>531255</v>
          </cell>
          <cell r="C3021" t="str">
            <v>Not Listed</v>
          </cell>
        </row>
        <row r="3022">
          <cell r="A3022" t="str">
            <v>PARAMOUNT COMMUNICATIONS LTD</v>
          </cell>
          <cell r="B3022">
            <v>530555</v>
          </cell>
          <cell r="C3022" t="str">
            <v>PARACABLES</v>
          </cell>
        </row>
        <row r="3023">
          <cell r="A3023" t="str">
            <v>PARAMOUNT COSMETICS (INDIA) LTD</v>
          </cell>
          <cell r="B3023">
            <v>507970</v>
          </cell>
          <cell r="C3023" t="str">
            <v>Not Listed</v>
          </cell>
        </row>
        <row r="3024">
          <cell r="A3024" t="str">
            <v>PARAMOUNT COSMETICS INDIA LTD</v>
          </cell>
          <cell r="B3024">
            <v>507970</v>
          </cell>
          <cell r="C3024" t="str">
            <v>Not Listed</v>
          </cell>
        </row>
        <row r="3025">
          <cell r="A3025" t="str">
            <v>PARENTERAL DRUGS (INDIA) LTD</v>
          </cell>
          <cell r="B3025">
            <v>524689</v>
          </cell>
          <cell r="C3025" t="str">
            <v>PDPL</v>
          </cell>
        </row>
        <row r="3026">
          <cell r="A3026" t="str">
            <v>PARENTERAL DRUGS INDIA LTD</v>
          </cell>
          <cell r="B3026">
            <v>524689</v>
          </cell>
          <cell r="C3026" t="str">
            <v>PDPL</v>
          </cell>
        </row>
        <row r="3027">
          <cell r="A3027" t="str">
            <v>PARIKSHA FIN- INVEST- LEASE LTD</v>
          </cell>
          <cell r="B3027">
            <v>539481</v>
          </cell>
          <cell r="C3027" t="str">
            <v>Not Listed</v>
          </cell>
        </row>
        <row r="3028">
          <cell r="A3028" t="str">
            <v>PARIN FURNITURE LTD</v>
          </cell>
          <cell r="B3028" t="str">
            <v>Not Listed</v>
          </cell>
          <cell r="C3028" t="str">
            <v>PARIN</v>
          </cell>
        </row>
        <row r="3029">
          <cell r="A3029" t="str">
            <v>PARKER AGROCHEM EXPORTS LTD</v>
          </cell>
          <cell r="B3029">
            <v>524628</v>
          </cell>
          <cell r="C3029" t="str">
            <v>Not Listed</v>
          </cell>
        </row>
        <row r="3030">
          <cell r="A3030" t="str">
            <v>PARLE SOFTWARE LTD</v>
          </cell>
          <cell r="B3030">
            <v>532911</v>
          </cell>
          <cell r="C3030" t="str">
            <v>Not Listed</v>
          </cell>
        </row>
        <row r="3031">
          <cell r="A3031" t="str">
            <v>PARMAX PHARMA LTD</v>
          </cell>
          <cell r="B3031">
            <v>540359</v>
          </cell>
          <cell r="C3031" t="str">
            <v>Not Listed</v>
          </cell>
        </row>
        <row r="3032">
          <cell r="A3032" t="str">
            <v>PARMESHWARI SILK MILLS LTD</v>
          </cell>
          <cell r="B3032">
            <v>540467</v>
          </cell>
          <cell r="C3032" t="str">
            <v>Not Listed</v>
          </cell>
        </row>
        <row r="3033">
          <cell r="A3033" t="str">
            <v>PARNAV SPORTS ACADEMY LTD</v>
          </cell>
          <cell r="B3033">
            <v>780017</v>
          </cell>
          <cell r="C3033" t="str">
            <v>Not Listed</v>
          </cell>
        </row>
        <row r="3034">
          <cell r="A3034" t="str">
            <v>PARNAX LAB LTD</v>
          </cell>
          <cell r="B3034">
            <v>506128</v>
          </cell>
          <cell r="C3034" t="str">
            <v>Not Listed</v>
          </cell>
        </row>
        <row r="3035">
          <cell r="A3035" t="str">
            <v>PARSHARTI INVESTMENT LTD</v>
          </cell>
          <cell r="B3035">
            <v>511702</v>
          </cell>
          <cell r="C3035" t="str">
            <v>Not Listed</v>
          </cell>
        </row>
        <row r="3036">
          <cell r="A3036" t="str">
            <v>PARSHWANATH CORPORATION LTD</v>
          </cell>
          <cell r="B3036">
            <v>511176</v>
          </cell>
          <cell r="C3036" t="str">
            <v>Not Listed</v>
          </cell>
        </row>
        <row r="3037">
          <cell r="A3037" t="str">
            <v>PARSVNATH DEVELOPERS LTD</v>
          </cell>
          <cell r="B3037">
            <v>532780</v>
          </cell>
          <cell r="C3037" t="str">
            <v>PARSVNATH</v>
          </cell>
        </row>
        <row r="3038">
          <cell r="A3038" t="str">
            <v>PARTH INDUSTRIES LTD</v>
          </cell>
          <cell r="B3038">
            <v>526349</v>
          </cell>
          <cell r="C3038" t="str">
            <v>Not Listed</v>
          </cell>
        </row>
        <row r="3039">
          <cell r="A3039" t="str">
            <v>PARVATI SWEETNERS AND POWER LTD</v>
          </cell>
          <cell r="B3039">
            <v>541347</v>
          </cell>
          <cell r="C3039" t="str">
            <v>Not Listed</v>
          </cell>
        </row>
        <row r="3040">
          <cell r="A3040" t="str">
            <v>PASARI SPINNING MILLS LTD</v>
          </cell>
          <cell r="B3040">
            <v>521080</v>
          </cell>
          <cell r="C3040" t="str">
            <v>Not Listed</v>
          </cell>
        </row>
        <row r="3041">
          <cell r="A3041" t="str">
            <v>PASHUPATI COTSPIN LTD</v>
          </cell>
          <cell r="B3041" t="str">
            <v>Not Listed</v>
          </cell>
          <cell r="C3041" t="str">
            <v>PASHUPATI</v>
          </cell>
        </row>
        <row r="3042">
          <cell r="A3042" t="str">
            <v>PASUPATI ACRYLON LTD</v>
          </cell>
          <cell r="B3042">
            <v>500456</v>
          </cell>
          <cell r="C3042" t="str">
            <v>Not Listed</v>
          </cell>
        </row>
        <row r="3043">
          <cell r="A3043" t="str">
            <v>PASUPATI FINCAP LTD</v>
          </cell>
          <cell r="B3043">
            <v>511734</v>
          </cell>
          <cell r="C3043" t="str">
            <v>Not Listed</v>
          </cell>
        </row>
        <row r="3044">
          <cell r="A3044" t="str">
            <v>PASUPATI SPG &amp; WVG MILLS LTD</v>
          </cell>
          <cell r="B3044">
            <v>503092</v>
          </cell>
          <cell r="C3044" t="str">
            <v>Not Listed</v>
          </cell>
        </row>
        <row r="3045">
          <cell r="A3045" t="str">
            <v>PATDIAM JEWELLERY LTD</v>
          </cell>
          <cell r="B3045">
            <v>539401</v>
          </cell>
          <cell r="C3045" t="str">
            <v>Not Listed</v>
          </cell>
        </row>
        <row r="3046">
          <cell r="A3046" t="str">
            <v>PATEL ENGINEERING LTD</v>
          </cell>
          <cell r="B3046">
            <v>531120</v>
          </cell>
          <cell r="C3046" t="str">
            <v>PATELENG</v>
          </cell>
        </row>
        <row r="3047">
          <cell r="A3047" t="str">
            <v>PATEL INTEGRATED LOGISTICS LTD</v>
          </cell>
          <cell r="B3047">
            <v>526381</v>
          </cell>
          <cell r="C3047" t="str">
            <v>PATINTLOG</v>
          </cell>
        </row>
        <row r="3048">
          <cell r="A3048" t="str">
            <v>PATELS AIRTEMP (INDIA) LTD</v>
          </cell>
          <cell r="B3048">
            <v>517417</v>
          </cell>
          <cell r="C3048" t="str">
            <v>Not Listed</v>
          </cell>
        </row>
        <row r="3049">
          <cell r="A3049" t="str">
            <v>PATELS AIRTEMP INDIA LTD</v>
          </cell>
          <cell r="B3049">
            <v>517417</v>
          </cell>
          <cell r="C3049" t="str">
            <v>Not Listed</v>
          </cell>
        </row>
        <row r="3050">
          <cell r="A3050" t="str">
            <v>PATIDAR BUILDCON LTD</v>
          </cell>
          <cell r="B3050">
            <v>524031</v>
          </cell>
          <cell r="C3050" t="str">
            <v>Not Listed</v>
          </cell>
        </row>
        <row r="3051">
          <cell r="A3051" t="str">
            <v>PATSPIN (INDIA) LTD</v>
          </cell>
          <cell r="B3051">
            <v>514326</v>
          </cell>
          <cell r="C3051" t="str">
            <v>PATSPINLTD</v>
          </cell>
        </row>
        <row r="3052">
          <cell r="A3052" t="str">
            <v>PATSPIN INDIA LTD</v>
          </cell>
          <cell r="B3052">
            <v>514326</v>
          </cell>
          <cell r="C3052" t="str">
            <v>PATSPINLTD</v>
          </cell>
        </row>
        <row r="3053">
          <cell r="A3053" t="str">
            <v>PAUL MERCHANTS LTD</v>
          </cell>
          <cell r="B3053">
            <v>539113</v>
          </cell>
          <cell r="C3053" t="str">
            <v>Not Listed</v>
          </cell>
        </row>
        <row r="3054">
          <cell r="A3054" t="str">
            <v>PAUSHAK LTD</v>
          </cell>
          <cell r="B3054">
            <v>532742</v>
          </cell>
          <cell r="C3054" t="str">
            <v>Not Listed</v>
          </cell>
        </row>
        <row r="3055">
          <cell r="A3055" t="str">
            <v>PAWANSUT HOLDINGS LTD</v>
          </cell>
          <cell r="B3055">
            <v>535658</v>
          </cell>
          <cell r="C3055" t="str">
            <v>Not Listed</v>
          </cell>
        </row>
        <row r="3056">
          <cell r="A3056" t="str">
            <v>PBA INFRASTRUCTURE LTD</v>
          </cell>
          <cell r="B3056">
            <v>532676</v>
          </cell>
          <cell r="C3056" t="str">
            <v>PBAINFRA</v>
          </cell>
        </row>
        <row r="3057">
          <cell r="A3057" t="str">
            <v>PBM POLYTEX LTD</v>
          </cell>
          <cell r="B3057">
            <v>514087</v>
          </cell>
          <cell r="C3057" t="str">
            <v>Not Listed</v>
          </cell>
        </row>
        <row r="3058">
          <cell r="A3058" t="str">
            <v>PC JEWELLER LTD</v>
          </cell>
          <cell r="B3058">
            <v>534809</v>
          </cell>
          <cell r="C3058" t="str">
            <v>PCJEWELLER</v>
          </cell>
        </row>
        <row r="3059">
          <cell r="A3059" t="str">
            <v>PCS TECHNOLOGY LTD</v>
          </cell>
          <cell r="B3059">
            <v>517119</v>
          </cell>
          <cell r="C3059" t="str">
            <v>Not Listed</v>
          </cell>
        </row>
        <row r="3060">
          <cell r="A3060" t="str">
            <v>PDS MULTINATIONAL FASHIONS LTD</v>
          </cell>
          <cell r="B3060">
            <v>538730</v>
          </cell>
          <cell r="C3060" t="str">
            <v>PDSMFL</v>
          </cell>
        </row>
        <row r="3061">
          <cell r="A3061" t="str">
            <v>PEARL GLOBAL INDUSTRIES LTD</v>
          </cell>
          <cell r="B3061">
            <v>532808</v>
          </cell>
          <cell r="C3061" t="str">
            <v>PGIL</v>
          </cell>
        </row>
        <row r="3062">
          <cell r="A3062" t="str">
            <v>PEARL POLYMERS LTD</v>
          </cell>
          <cell r="B3062">
            <v>523260</v>
          </cell>
          <cell r="C3062" t="str">
            <v>PEARLPOLY</v>
          </cell>
        </row>
        <row r="3063">
          <cell r="A3063" t="str">
            <v>PECOS HOTELS AND PUBS LTD</v>
          </cell>
          <cell r="B3063">
            <v>539273</v>
          </cell>
          <cell r="C3063" t="str">
            <v>Not Listed</v>
          </cell>
        </row>
        <row r="3064">
          <cell r="A3064" t="str">
            <v>PEE CEE COSMA SOPE LTD</v>
          </cell>
          <cell r="B3064">
            <v>524136</v>
          </cell>
          <cell r="C3064" t="str">
            <v>Not Listed</v>
          </cell>
        </row>
        <row r="3065">
          <cell r="A3065" t="str">
            <v>PEETI SECURITIES LTD</v>
          </cell>
          <cell r="B3065">
            <v>531352</v>
          </cell>
          <cell r="C3065" t="str">
            <v>Not Listed</v>
          </cell>
        </row>
        <row r="3066">
          <cell r="A3066" t="str">
            <v>PENINSULA LAND LTD</v>
          </cell>
          <cell r="B3066">
            <v>503031</v>
          </cell>
          <cell r="C3066" t="str">
            <v>PENINLAND</v>
          </cell>
        </row>
        <row r="3067">
          <cell r="A3067" t="str">
            <v>PENNAR ENGINEERED BUILDING SYSTEMS LTD</v>
          </cell>
          <cell r="B3067">
            <v>539333</v>
          </cell>
          <cell r="C3067" t="str">
            <v>PENPEBS</v>
          </cell>
        </row>
        <row r="3068">
          <cell r="A3068" t="str">
            <v>PENNAR INDUSTRIES LTD</v>
          </cell>
          <cell r="B3068">
            <v>513228</v>
          </cell>
          <cell r="C3068" t="str">
            <v>PENIND</v>
          </cell>
        </row>
        <row r="3069">
          <cell r="A3069" t="str">
            <v>PENTA GOLD LTD</v>
          </cell>
          <cell r="B3069" t="str">
            <v>Not Listed</v>
          </cell>
          <cell r="C3069" t="str">
            <v>PENTAGOLD</v>
          </cell>
        </row>
        <row r="3070">
          <cell r="A3070" t="str">
            <v>PENTAMEDIA GRAPHICS LTD</v>
          </cell>
          <cell r="B3070">
            <v>500329</v>
          </cell>
          <cell r="C3070" t="str">
            <v>Not Listed</v>
          </cell>
        </row>
        <row r="3071">
          <cell r="A3071" t="str">
            <v>PENTOKEY ORGANY (INDIA) LTD</v>
          </cell>
          <cell r="B3071">
            <v>524210</v>
          </cell>
          <cell r="C3071" t="str">
            <v>Not Listed</v>
          </cell>
        </row>
        <row r="3072">
          <cell r="A3072" t="str">
            <v>PENTOKEY ORGANY INDIA LTD</v>
          </cell>
          <cell r="B3072">
            <v>524210</v>
          </cell>
          <cell r="C3072" t="str">
            <v>Not Listed</v>
          </cell>
        </row>
        <row r="3073">
          <cell r="A3073" t="str">
            <v>PEOPLES INVESTMENTS LTD</v>
          </cell>
          <cell r="B3073">
            <v>501144</v>
          </cell>
          <cell r="C3073" t="str">
            <v>Not Listed</v>
          </cell>
        </row>
        <row r="3074">
          <cell r="A3074" t="str">
            <v>PERFECT INFRAENGINEERS LTD</v>
          </cell>
          <cell r="B3074" t="str">
            <v>Not Listed</v>
          </cell>
          <cell r="C3074" t="str">
            <v>PERFECT</v>
          </cell>
        </row>
        <row r="3075">
          <cell r="A3075" t="str">
            <v>PERFECT-OCTAVE MEDIA PROJECTS LTD</v>
          </cell>
          <cell r="B3075">
            <v>521062</v>
          </cell>
          <cell r="C3075" t="str">
            <v>Not Listed</v>
          </cell>
        </row>
        <row r="3076">
          <cell r="A3076" t="str">
            <v>PERFECTPAC LTD</v>
          </cell>
          <cell r="B3076">
            <v>526435</v>
          </cell>
          <cell r="C3076" t="str">
            <v>Not Listed</v>
          </cell>
        </row>
        <row r="3077">
          <cell r="A3077" t="str">
            <v>PERMANENT MAGNETS LTD</v>
          </cell>
          <cell r="B3077">
            <v>504132</v>
          </cell>
          <cell r="C3077" t="str">
            <v>Not Listed</v>
          </cell>
        </row>
        <row r="3078">
          <cell r="A3078" t="str">
            <v>PERSISTENT SYSTEMS LTD</v>
          </cell>
          <cell r="B3078">
            <v>533179</v>
          </cell>
          <cell r="C3078" t="str">
            <v>PERSISTENT</v>
          </cell>
        </row>
        <row r="3079">
          <cell r="A3079" t="str">
            <v>PERVASIVE COMMODITIES LTD</v>
          </cell>
          <cell r="B3079">
            <v>517172</v>
          </cell>
          <cell r="C3079" t="str">
            <v>Not Listed</v>
          </cell>
        </row>
        <row r="3080">
          <cell r="A3080" t="str">
            <v>PETRON ENGINEERING CONSTRUCTION LTD</v>
          </cell>
          <cell r="B3080">
            <v>530381</v>
          </cell>
          <cell r="C3080" t="str">
            <v>PETRONENGG</v>
          </cell>
        </row>
        <row r="3081">
          <cell r="A3081" t="str">
            <v>PETRONET LNG LTD</v>
          </cell>
          <cell r="B3081">
            <v>532522</v>
          </cell>
          <cell r="C3081" t="str">
            <v>PETRONET</v>
          </cell>
        </row>
        <row r="3082">
          <cell r="A3082" t="str">
            <v>PFIZER LTD</v>
          </cell>
          <cell r="B3082">
            <v>500680</v>
          </cell>
          <cell r="C3082" t="str">
            <v>PFIZER</v>
          </cell>
        </row>
        <row r="3083">
          <cell r="A3083" t="str">
            <v>PFL INFOTECH LTD</v>
          </cell>
          <cell r="B3083">
            <v>531769</v>
          </cell>
          <cell r="C3083" t="str">
            <v>Not Listed</v>
          </cell>
        </row>
        <row r="3084">
          <cell r="A3084" t="str">
            <v>PG ELECTROPLAST LTD</v>
          </cell>
          <cell r="B3084">
            <v>533581</v>
          </cell>
          <cell r="C3084" t="str">
            <v>PGEL</v>
          </cell>
        </row>
        <row r="3085">
          <cell r="A3085" t="str">
            <v>PG FOILS LTD</v>
          </cell>
          <cell r="B3085">
            <v>526747</v>
          </cell>
          <cell r="C3085" t="str">
            <v>Not Listed</v>
          </cell>
        </row>
        <row r="3086">
          <cell r="A3086" t="str">
            <v>PG INDUSTRY LTD</v>
          </cell>
          <cell r="B3086">
            <v>531281</v>
          </cell>
          <cell r="C3086" t="str">
            <v>Not Listed</v>
          </cell>
        </row>
        <row r="3087">
          <cell r="A3087" t="str">
            <v>PH CAPITAL LTD</v>
          </cell>
          <cell r="B3087">
            <v>500143</v>
          </cell>
          <cell r="C3087" t="str">
            <v>Not Listed</v>
          </cell>
        </row>
        <row r="3088">
          <cell r="A3088" t="str">
            <v>PH TRADING LTD</v>
          </cell>
          <cell r="B3088">
            <v>512026</v>
          </cell>
          <cell r="C3088" t="str">
            <v>Not Listed</v>
          </cell>
        </row>
        <row r="3089">
          <cell r="A3089" t="str">
            <v>PHAARMASIA LTD</v>
          </cell>
          <cell r="B3089">
            <v>523620</v>
          </cell>
          <cell r="C3089" t="str">
            <v>Not Listed</v>
          </cell>
        </row>
        <row r="3090">
          <cell r="A3090" t="str">
            <v>PHILLIPS CARBON BLACK LTD</v>
          </cell>
          <cell r="B3090">
            <v>506590</v>
          </cell>
          <cell r="C3090" t="str">
            <v>PHILIPCARB</v>
          </cell>
        </row>
        <row r="3091">
          <cell r="A3091" t="str">
            <v>PHOENIX INTERNATIONAL LTD</v>
          </cell>
          <cell r="B3091">
            <v>526481</v>
          </cell>
          <cell r="C3091" t="str">
            <v>Not Listed</v>
          </cell>
        </row>
        <row r="3092">
          <cell r="A3092" t="str">
            <v>PHOENIX TOWNSHIP LTD</v>
          </cell>
          <cell r="B3092">
            <v>537839</v>
          </cell>
          <cell r="C3092" t="str">
            <v>Not Listed</v>
          </cell>
        </row>
        <row r="3093">
          <cell r="A3093" t="str">
            <v>PHOTON CAPITAL ADVISORS LTD</v>
          </cell>
          <cell r="B3093">
            <v>509084</v>
          </cell>
          <cell r="C3093" t="str">
            <v>Not Listed</v>
          </cell>
        </row>
        <row r="3094">
          <cell r="A3094" t="str">
            <v>PHOTOQUIP (INDIA) LTD</v>
          </cell>
          <cell r="B3094">
            <v>526588</v>
          </cell>
          <cell r="C3094" t="str">
            <v>Not Listed</v>
          </cell>
        </row>
        <row r="3095">
          <cell r="A3095" t="str">
            <v>PHOTOQUIP INDIA LTD</v>
          </cell>
          <cell r="B3095">
            <v>526588</v>
          </cell>
          <cell r="C3095" t="str">
            <v>Not Listed</v>
          </cell>
        </row>
        <row r="3096">
          <cell r="A3096" t="str">
            <v>PHYTO CHEM (INDIA) LTD</v>
          </cell>
          <cell r="B3096">
            <v>524808</v>
          </cell>
          <cell r="C3096" t="str">
            <v>Not Listed</v>
          </cell>
        </row>
        <row r="3097">
          <cell r="A3097" t="str">
            <v>PHYTO CHEM INDIA LTD</v>
          </cell>
          <cell r="B3097">
            <v>524808</v>
          </cell>
          <cell r="C3097" t="str">
            <v>Not Listed</v>
          </cell>
        </row>
        <row r="3098">
          <cell r="A3098" t="str">
            <v>PI INDUSTRIES LTD</v>
          </cell>
          <cell r="B3098">
            <v>523642</v>
          </cell>
          <cell r="C3098" t="str">
            <v>PIIND</v>
          </cell>
        </row>
        <row r="3099">
          <cell r="A3099" t="str">
            <v>PICCADILY AGRO INDUSTRIES LTD</v>
          </cell>
          <cell r="B3099">
            <v>530305</v>
          </cell>
          <cell r="C3099" t="str">
            <v>Not Listed</v>
          </cell>
        </row>
        <row r="3100">
          <cell r="A3100" t="str">
            <v>PICCADILY SUGAR &amp; ALLIED INDUSTRIES LTD</v>
          </cell>
          <cell r="B3100">
            <v>507498</v>
          </cell>
          <cell r="C3100" t="str">
            <v>Not Listed</v>
          </cell>
        </row>
        <row r="3101">
          <cell r="A3101" t="str">
            <v>PICTUREHOUSE MEDIA LTD</v>
          </cell>
          <cell r="B3101">
            <v>532355</v>
          </cell>
          <cell r="C3101" t="str">
            <v>Not Listed</v>
          </cell>
        </row>
        <row r="3102">
          <cell r="A3102" t="str">
            <v>PIDILITE INDUSTRIES LTD</v>
          </cell>
          <cell r="B3102">
            <v>500331</v>
          </cell>
          <cell r="C3102" t="str">
            <v>PIDILITIND</v>
          </cell>
        </row>
        <row r="3103">
          <cell r="A3103" t="str">
            <v>PIL ITALICA LIFESTYLE LTD</v>
          </cell>
          <cell r="B3103">
            <v>500327</v>
          </cell>
          <cell r="C3103" t="str">
            <v>PILITA</v>
          </cell>
        </row>
        <row r="3104">
          <cell r="A3104" t="str">
            <v>PILANI INVESTMENT AND INDUSTRIES CORPORATION LTD</v>
          </cell>
          <cell r="B3104">
            <v>539883</v>
          </cell>
          <cell r="C3104" t="str">
            <v>PILANIINVS</v>
          </cell>
        </row>
        <row r="3105">
          <cell r="A3105" t="str">
            <v>PIONEER AGRO EXTRACTS LTD</v>
          </cell>
          <cell r="B3105">
            <v>519439</v>
          </cell>
          <cell r="C3105" t="str">
            <v>Not Listed</v>
          </cell>
        </row>
        <row r="3106">
          <cell r="A3106" t="str">
            <v>PIONEER DISTILLERIES LTD</v>
          </cell>
          <cell r="B3106">
            <v>531879</v>
          </cell>
          <cell r="C3106" t="str">
            <v>PIONDIST</v>
          </cell>
        </row>
        <row r="3107">
          <cell r="A3107" t="str">
            <v>PIONEER EMBROIDERIES LTD</v>
          </cell>
          <cell r="B3107">
            <v>514300</v>
          </cell>
          <cell r="C3107" t="str">
            <v>PIONEEREMB</v>
          </cell>
        </row>
        <row r="3108">
          <cell r="A3108" t="str">
            <v>PIONEER INVESTCORP LTD</v>
          </cell>
          <cell r="B3108">
            <v>507864</v>
          </cell>
          <cell r="C3108" t="str">
            <v>Not Listed</v>
          </cell>
        </row>
        <row r="3109">
          <cell r="A3109" t="str">
            <v>PIRAMAL ENTERPRISES LTD</v>
          </cell>
          <cell r="B3109">
            <v>500302</v>
          </cell>
          <cell r="C3109" t="str">
            <v>PEL</v>
          </cell>
        </row>
        <row r="3110">
          <cell r="A3110" t="str">
            <v>PIRAMAL PHYTOCARE LTD</v>
          </cell>
          <cell r="B3110">
            <v>532979</v>
          </cell>
          <cell r="C3110" t="str">
            <v>PIRPHYTO</v>
          </cell>
        </row>
        <row r="3111">
          <cell r="A3111" t="str">
            <v>PITHAMPUR POLY PRODUCTS LTD</v>
          </cell>
          <cell r="B3111">
            <v>530683</v>
          </cell>
          <cell r="C3111" t="str">
            <v>Not Listed</v>
          </cell>
        </row>
        <row r="3112">
          <cell r="A3112" t="str">
            <v>PITTI ENGINEERING LTD</v>
          </cell>
          <cell r="B3112">
            <v>513519</v>
          </cell>
          <cell r="C3112" t="str">
            <v>PITTIENG</v>
          </cell>
        </row>
        <row r="3113">
          <cell r="A3113" t="str">
            <v>PIX TRANSMISSIONS LTD</v>
          </cell>
          <cell r="B3113">
            <v>500333</v>
          </cell>
          <cell r="C3113" t="str">
            <v>Not Listed</v>
          </cell>
        </row>
        <row r="3114">
          <cell r="A3114" t="str">
            <v>PLANTER POLYSACKS LTD</v>
          </cell>
          <cell r="B3114">
            <v>523105</v>
          </cell>
          <cell r="C3114" t="str">
            <v>Not Listed</v>
          </cell>
        </row>
        <row r="3115">
          <cell r="A3115" t="str">
            <v>PLASTIBLENDS (INDIA) LTD</v>
          </cell>
          <cell r="B3115">
            <v>523648</v>
          </cell>
          <cell r="C3115" t="str">
            <v>PLASTIBLEN</v>
          </cell>
        </row>
        <row r="3116">
          <cell r="A3116" t="str">
            <v>PLASTIBLENDS INDIA LTD</v>
          </cell>
          <cell r="B3116">
            <v>523648</v>
          </cell>
          <cell r="C3116" t="str">
            <v>PLASTIBLEN</v>
          </cell>
        </row>
        <row r="3117">
          <cell r="A3117" t="str">
            <v>PMC FINCORP LTD</v>
          </cell>
          <cell r="B3117">
            <v>534060</v>
          </cell>
          <cell r="C3117" t="str">
            <v>Not Listed</v>
          </cell>
        </row>
        <row r="3118">
          <cell r="A3118" t="str">
            <v>PNB GILTS LTD</v>
          </cell>
          <cell r="B3118">
            <v>532366</v>
          </cell>
          <cell r="C3118" t="str">
            <v>PNBGILTS</v>
          </cell>
        </row>
        <row r="3119">
          <cell r="A3119" t="str">
            <v>PNB HOUSING FINANCE LTD</v>
          </cell>
          <cell r="B3119">
            <v>540173</v>
          </cell>
          <cell r="C3119" t="str">
            <v>PNBHOUSING</v>
          </cell>
        </row>
        <row r="3120">
          <cell r="A3120" t="str">
            <v>PNC INFRATECH LTD</v>
          </cell>
          <cell r="B3120">
            <v>539150</v>
          </cell>
          <cell r="C3120" t="str">
            <v>PNCINFRA</v>
          </cell>
        </row>
        <row r="3121">
          <cell r="A3121" t="str">
            <v>POCHIRAJU INDUSTRIES LTD</v>
          </cell>
          <cell r="B3121">
            <v>532803</v>
          </cell>
          <cell r="C3121" t="str">
            <v>POCHIRAJU</v>
          </cell>
        </row>
        <row r="3122">
          <cell r="A3122" t="str">
            <v>POCL ENTERPRISES LTD</v>
          </cell>
          <cell r="B3122">
            <v>539195</v>
          </cell>
          <cell r="C3122" t="str">
            <v>Not Listed</v>
          </cell>
        </row>
        <row r="3123">
          <cell r="A3123" t="str">
            <v>PODDAR HOUSING AND DEVELOPMENT LTD</v>
          </cell>
          <cell r="B3123">
            <v>523628</v>
          </cell>
          <cell r="C3123" t="str">
            <v>PODDARHOUS</v>
          </cell>
        </row>
        <row r="3124">
          <cell r="A3124" t="str">
            <v>PODDAR PIGMENTS LTD</v>
          </cell>
          <cell r="B3124">
            <v>524570</v>
          </cell>
          <cell r="C3124" t="str">
            <v>PODDARMENT</v>
          </cell>
        </row>
        <row r="3125">
          <cell r="A3125" t="str">
            <v>POKARNA LTD</v>
          </cell>
          <cell r="B3125">
            <v>532486</v>
          </cell>
          <cell r="C3125" t="str">
            <v>POKARNA</v>
          </cell>
        </row>
        <row r="3126">
          <cell r="A3126" t="str">
            <v>POLO HOTELS LTD</v>
          </cell>
          <cell r="B3126">
            <v>526687</v>
          </cell>
          <cell r="C3126" t="str">
            <v>Not Listed</v>
          </cell>
        </row>
        <row r="3127">
          <cell r="A3127" t="str">
            <v>POLO QUEEN INDUSTRIAL AND FINTECH LTD</v>
          </cell>
          <cell r="B3127">
            <v>540717</v>
          </cell>
          <cell r="C3127" t="str">
            <v>Not Listed</v>
          </cell>
        </row>
        <row r="3128">
          <cell r="A3128" t="str">
            <v>POLSON LTD</v>
          </cell>
          <cell r="B3128">
            <v>507645</v>
          </cell>
          <cell r="C3128" t="str">
            <v>Not Listed</v>
          </cell>
        </row>
        <row r="3129">
          <cell r="A3129" t="str">
            <v>POLY MEDICURE LTD</v>
          </cell>
          <cell r="B3129">
            <v>531768</v>
          </cell>
          <cell r="C3129" t="str">
            <v>POLYMED</v>
          </cell>
        </row>
        <row r="3130">
          <cell r="A3130" t="str">
            <v>Polycab India Ltd</v>
          </cell>
          <cell r="B3130">
            <v>542652</v>
          </cell>
          <cell r="C3130" t="str">
            <v>POLYCAB</v>
          </cell>
        </row>
        <row r="3131">
          <cell r="A3131" t="str">
            <v>POLYCHEM LTD</v>
          </cell>
          <cell r="B3131">
            <v>506605</v>
          </cell>
          <cell r="C3131" t="str">
            <v>Not Listed</v>
          </cell>
        </row>
        <row r="3132">
          <cell r="A3132" t="str">
            <v>POLYCON INTERNATIONAL LTD</v>
          </cell>
          <cell r="B3132">
            <v>531397</v>
          </cell>
          <cell r="C3132" t="str">
            <v>Not Listed</v>
          </cell>
        </row>
        <row r="3133">
          <cell r="A3133" t="str">
            <v>POLYGENTA TECHNOLOGIES LTD</v>
          </cell>
          <cell r="B3133">
            <v>514486</v>
          </cell>
          <cell r="C3133" t="str">
            <v>Not Listed</v>
          </cell>
        </row>
        <row r="3134">
          <cell r="A3134" t="str">
            <v>POLYLINK POLYMERS (INDIA) LTD</v>
          </cell>
          <cell r="B3134">
            <v>531454</v>
          </cell>
          <cell r="C3134" t="str">
            <v>Not Listed</v>
          </cell>
        </row>
        <row r="3135">
          <cell r="A3135" t="str">
            <v>POLYLINK POLYMERS INDIA LTD</v>
          </cell>
          <cell r="B3135">
            <v>531454</v>
          </cell>
          <cell r="C3135" t="str">
            <v>Not Listed</v>
          </cell>
        </row>
        <row r="3136">
          <cell r="A3136" t="str">
            <v>POLYMAC THERMOFORMERS LTD</v>
          </cell>
          <cell r="B3136">
            <v>537573</v>
          </cell>
          <cell r="C3136" t="str">
            <v>Not Listed</v>
          </cell>
        </row>
        <row r="3137">
          <cell r="A3137" t="str">
            <v>POLYMECHPLAST MACHINES LTD</v>
          </cell>
          <cell r="B3137">
            <v>526043</v>
          </cell>
          <cell r="C3137" t="str">
            <v>Not Listed</v>
          </cell>
        </row>
        <row r="3138">
          <cell r="A3138" t="str">
            <v>POLYPLEX CORPORATION LTD</v>
          </cell>
          <cell r="B3138">
            <v>524051</v>
          </cell>
          <cell r="C3138" t="str">
            <v>POLYPLEX</v>
          </cell>
        </row>
        <row r="3139">
          <cell r="A3139" t="str">
            <v>POLYSPIN EXPORTS LTD</v>
          </cell>
          <cell r="B3139">
            <v>539354</v>
          </cell>
          <cell r="C3139" t="str">
            <v>Not Listed</v>
          </cell>
        </row>
        <row r="3140">
          <cell r="A3140" t="str">
            <v>POLYTEX (INDIA) LTD</v>
          </cell>
          <cell r="B3140">
            <v>512481</v>
          </cell>
          <cell r="C3140" t="str">
            <v>Not Listed</v>
          </cell>
        </row>
        <row r="3141">
          <cell r="A3141" t="str">
            <v>POLYTEX INDIA LTD</v>
          </cell>
          <cell r="B3141">
            <v>512481</v>
          </cell>
          <cell r="C3141" t="str">
            <v>Not Listed</v>
          </cell>
        </row>
        <row r="3142">
          <cell r="A3142" t="str">
            <v>PONDY OXIDES &amp; CHEMICALS LTD</v>
          </cell>
          <cell r="B3142">
            <v>532626</v>
          </cell>
          <cell r="C3142" t="str">
            <v>Not Listed</v>
          </cell>
        </row>
        <row r="3143">
          <cell r="A3143" t="str">
            <v>PONNI SUGARS ERODE LTD</v>
          </cell>
          <cell r="B3143">
            <v>532460</v>
          </cell>
          <cell r="C3143" t="str">
            <v>PONNIERODE</v>
          </cell>
        </row>
        <row r="3144">
          <cell r="A3144" t="str">
            <v>POOJA ENTERTAINMENT AND FILMS LTD</v>
          </cell>
          <cell r="B3144">
            <v>532011</v>
          </cell>
          <cell r="C3144" t="str">
            <v>Not Listed</v>
          </cell>
        </row>
        <row r="3145">
          <cell r="A3145" t="str">
            <v>POOJAWESTERN METALIKS LTD</v>
          </cell>
          <cell r="B3145">
            <v>540727</v>
          </cell>
          <cell r="C3145" t="str">
            <v>Not Listed</v>
          </cell>
        </row>
        <row r="3146">
          <cell r="A3146" t="str">
            <v>POONA DAL &amp; OIL INDUSTRIES LTD</v>
          </cell>
          <cell r="B3146">
            <v>519359</v>
          </cell>
          <cell r="C3146" t="str">
            <v>Not Listed</v>
          </cell>
        </row>
        <row r="3147">
          <cell r="A3147" t="str">
            <v>POPULAR ESTATE MANAGEMENT LTD</v>
          </cell>
          <cell r="B3147">
            <v>531870</v>
          </cell>
          <cell r="C3147" t="str">
            <v>Not Listed</v>
          </cell>
        </row>
        <row r="3148">
          <cell r="A3148" t="str">
            <v>PORWAL AUTO COMPONENTS LTD</v>
          </cell>
          <cell r="B3148">
            <v>532933</v>
          </cell>
          <cell r="C3148" t="str">
            <v>Not Listed</v>
          </cell>
        </row>
        <row r="3149">
          <cell r="A3149" t="str">
            <v>POWER &amp; INSTRUMENTATION GUJARAT LTD</v>
          </cell>
          <cell r="B3149" t="str">
            <v>Not Listed</v>
          </cell>
          <cell r="C3149" t="str">
            <v>PIGL</v>
          </cell>
        </row>
        <row r="3150">
          <cell r="A3150" t="str">
            <v>POWER FINANCE CORPORATION LTD</v>
          </cell>
          <cell r="B3150">
            <v>532810</v>
          </cell>
          <cell r="C3150" t="str">
            <v>PFC</v>
          </cell>
        </row>
        <row r="3151">
          <cell r="A3151" t="str">
            <v>POWER GRID CORPORATION OF (INDIA) LTD</v>
          </cell>
          <cell r="B3151">
            <v>532898</v>
          </cell>
          <cell r="C3151" t="str">
            <v>POWERGRID</v>
          </cell>
        </row>
        <row r="3152">
          <cell r="A3152" t="str">
            <v>POWER GRID CORPORATION OF INDIA LTD</v>
          </cell>
          <cell r="B3152">
            <v>532898</v>
          </cell>
          <cell r="C3152" t="str">
            <v>POWERGRID</v>
          </cell>
        </row>
        <row r="3153">
          <cell r="A3153" t="str">
            <v>POWER MECH PROJECTS LTD</v>
          </cell>
          <cell r="B3153">
            <v>539302</v>
          </cell>
          <cell r="C3153" t="str">
            <v>POWERMECH</v>
          </cell>
        </row>
        <row r="3154">
          <cell r="A3154" t="str">
            <v>POWERFUL TECHNOLOGIES LTD</v>
          </cell>
          <cell r="B3154" t="str">
            <v>Not Listed</v>
          </cell>
          <cell r="C3154" t="str">
            <v>POWERFUL</v>
          </cell>
        </row>
        <row r="3155">
          <cell r="A3155" t="str">
            <v>POWERHOUSE GYM &amp; WELLNESS LTD</v>
          </cell>
          <cell r="B3155">
            <v>538731</v>
          </cell>
          <cell r="C3155" t="str">
            <v>Not Listed</v>
          </cell>
        </row>
        <row r="3156">
          <cell r="A3156" t="str">
            <v>PPAP AUTOMOTIVE LTD</v>
          </cell>
          <cell r="B3156">
            <v>532934</v>
          </cell>
          <cell r="C3156" t="str">
            <v>PPAP</v>
          </cell>
        </row>
        <row r="3157">
          <cell r="A3157" t="str">
            <v>PRABHAT DAIRY LTD</v>
          </cell>
          <cell r="B3157">
            <v>539351</v>
          </cell>
          <cell r="C3157" t="str">
            <v>PRABHAT</v>
          </cell>
        </row>
        <row r="3158">
          <cell r="A3158" t="str">
            <v>PRABHAT TELECOMS (INDIA) LTD</v>
          </cell>
          <cell r="B3158">
            <v>540027</v>
          </cell>
          <cell r="C3158" t="str">
            <v>Not Listed</v>
          </cell>
        </row>
        <row r="3159">
          <cell r="A3159" t="str">
            <v>PRABHAT TELECOMS INDIA LTD</v>
          </cell>
          <cell r="B3159">
            <v>540027</v>
          </cell>
          <cell r="C3159" t="str">
            <v>Not Listed</v>
          </cell>
        </row>
        <row r="3160">
          <cell r="A3160" t="str">
            <v>PRABHAV INDUSTRIES LTD</v>
          </cell>
          <cell r="B3160">
            <v>531855</v>
          </cell>
          <cell r="C3160" t="str">
            <v>Not Listed</v>
          </cell>
        </row>
        <row r="3161">
          <cell r="A3161" t="str">
            <v>PRABHU STEEL INDUSTRIES LTD</v>
          </cell>
          <cell r="B3161">
            <v>506042</v>
          </cell>
          <cell r="C3161" t="str">
            <v>Not Listed</v>
          </cell>
        </row>
        <row r="3162">
          <cell r="A3162" t="str">
            <v>PRADEEP METALS LTD</v>
          </cell>
          <cell r="B3162">
            <v>513532</v>
          </cell>
          <cell r="C3162" t="str">
            <v>Not Listed</v>
          </cell>
        </row>
        <row r="3163">
          <cell r="A3163" t="str">
            <v>PRADHIN LTD</v>
          </cell>
          <cell r="B3163">
            <v>530095</v>
          </cell>
          <cell r="C3163" t="str">
            <v>Not Listed</v>
          </cell>
        </row>
        <row r="3164">
          <cell r="A3164" t="str">
            <v>PRADIP OVERSEAS LTD</v>
          </cell>
          <cell r="B3164">
            <v>533178</v>
          </cell>
          <cell r="C3164" t="str">
            <v>PRADIP</v>
          </cell>
        </row>
        <row r="3165">
          <cell r="A3165" t="str">
            <v>PRAG BOSIMI SYNTHETICS LTD</v>
          </cell>
          <cell r="B3165">
            <v>500192</v>
          </cell>
          <cell r="C3165" t="str">
            <v>Not Listed</v>
          </cell>
        </row>
        <row r="3166">
          <cell r="A3166" t="str">
            <v>PRAJ INDUSTRIES LTD</v>
          </cell>
          <cell r="B3166">
            <v>522205</v>
          </cell>
          <cell r="C3166" t="str">
            <v>PRAJIND</v>
          </cell>
        </row>
        <row r="3167">
          <cell r="A3167" t="str">
            <v>PRAJAY ENGINEERS SYNDICATE LTD</v>
          </cell>
          <cell r="B3167">
            <v>531746</v>
          </cell>
          <cell r="C3167" t="str">
            <v>PRAENG</v>
          </cell>
        </row>
        <row r="3168">
          <cell r="A3168" t="str">
            <v>PRAKASH CONSTROWELL LTD</v>
          </cell>
          <cell r="B3168">
            <v>533605</v>
          </cell>
          <cell r="C3168" t="str">
            <v>PRAKASHCON</v>
          </cell>
        </row>
        <row r="3169">
          <cell r="A3169" t="str">
            <v>PRAKASH INDUSTRIES LTD</v>
          </cell>
          <cell r="B3169">
            <v>506022</v>
          </cell>
          <cell r="C3169" t="str">
            <v>PRAKASH</v>
          </cell>
        </row>
        <row r="3170">
          <cell r="A3170" t="str">
            <v>Prakash Pipes Ltd</v>
          </cell>
          <cell r="B3170">
            <v>542684</v>
          </cell>
          <cell r="C3170" t="str">
            <v>PPL</v>
          </cell>
        </row>
        <row r="3171">
          <cell r="A3171" t="str">
            <v>PRAKASH STEELAGE LTD</v>
          </cell>
          <cell r="B3171">
            <v>533239</v>
          </cell>
          <cell r="C3171" t="str">
            <v>PRAKASHSTL</v>
          </cell>
        </row>
        <row r="3172">
          <cell r="A3172" t="str">
            <v>PRAKASH WOOLLEN &amp; SYNTHETIC MILLS LTD</v>
          </cell>
          <cell r="B3172">
            <v>531437</v>
          </cell>
          <cell r="C3172" t="str">
            <v>Not Listed</v>
          </cell>
        </row>
        <row r="3173">
          <cell r="A3173" t="str">
            <v>PRANAVADITYA SPINNING MILLS LTD</v>
          </cell>
          <cell r="B3173">
            <v>531172</v>
          </cell>
          <cell r="C3173" t="str">
            <v>Not Listed</v>
          </cell>
        </row>
        <row r="3174">
          <cell r="A3174" t="str">
            <v>PRASHANT (INDIA) LTD</v>
          </cell>
          <cell r="B3174">
            <v>519014</v>
          </cell>
          <cell r="C3174" t="str">
            <v>Not Listed</v>
          </cell>
        </row>
        <row r="3175">
          <cell r="A3175" t="str">
            <v>PRASHANT INDIA LTD</v>
          </cell>
          <cell r="B3175">
            <v>519014</v>
          </cell>
          <cell r="C3175" t="str">
            <v>Not Listed</v>
          </cell>
        </row>
        <row r="3176">
          <cell r="A3176" t="str">
            <v>PRATAAP SNACKS LTD</v>
          </cell>
          <cell r="B3176">
            <v>540724</v>
          </cell>
          <cell r="C3176" t="str">
            <v>DIAMONDYD</v>
          </cell>
        </row>
        <row r="3177">
          <cell r="A3177" t="str">
            <v>PRATIK PANELS LTD</v>
          </cell>
          <cell r="B3177">
            <v>526490</v>
          </cell>
          <cell r="C3177" t="str">
            <v>Not Listed</v>
          </cell>
        </row>
        <row r="3178">
          <cell r="A3178" t="str">
            <v>PRATIKSHA CHEMICALS LTD</v>
          </cell>
          <cell r="B3178">
            <v>531257</v>
          </cell>
          <cell r="C3178" t="str">
            <v>Not Listed</v>
          </cell>
        </row>
        <row r="3179">
          <cell r="A3179" t="str">
            <v>PRAXIS HOME RETAIL LTD</v>
          </cell>
          <cell r="B3179">
            <v>540901</v>
          </cell>
          <cell r="C3179" t="str">
            <v>PRAXIS</v>
          </cell>
        </row>
        <row r="3180">
          <cell r="A3180" t="str">
            <v>PRECIOUS TRADING &amp; INVESTMENTS LTD</v>
          </cell>
          <cell r="B3180">
            <v>506107</v>
          </cell>
          <cell r="C3180" t="str">
            <v>Not Listed</v>
          </cell>
        </row>
        <row r="3181">
          <cell r="A3181" t="str">
            <v>PRECISION CAMSHAFTS LTD</v>
          </cell>
          <cell r="B3181">
            <v>539636</v>
          </cell>
          <cell r="C3181" t="str">
            <v>PRECAM</v>
          </cell>
        </row>
        <row r="3182">
          <cell r="A3182" t="str">
            <v>PRECISION CONTAINEURS LTD</v>
          </cell>
          <cell r="B3182">
            <v>523874</v>
          </cell>
          <cell r="C3182" t="str">
            <v>Not Listed</v>
          </cell>
        </row>
        <row r="3183">
          <cell r="A3183" t="str">
            <v>PRECISION ELECTRONICS LTD</v>
          </cell>
          <cell r="B3183">
            <v>517258</v>
          </cell>
          <cell r="C3183" t="str">
            <v>Not Listed</v>
          </cell>
        </row>
        <row r="3184">
          <cell r="A3184" t="str">
            <v>PRECISION WIRES (INDIA) LTD</v>
          </cell>
          <cell r="B3184">
            <v>523539</v>
          </cell>
          <cell r="C3184" t="str">
            <v>PRECWIRE</v>
          </cell>
        </row>
        <row r="3185">
          <cell r="A3185" t="str">
            <v>PRECISION WIRES INDIA LTD</v>
          </cell>
          <cell r="B3185">
            <v>523539</v>
          </cell>
          <cell r="C3185" t="str">
            <v>PRECWIRE</v>
          </cell>
        </row>
        <row r="3186">
          <cell r="A3186" t="str">
            <v>PRECOT MERIDIAN LTD</v>
          </cell>
          <cell r="B3186" t="str">
            <v>Not Listed</v>
          </cell>
          <cell r="C3186" t="str">
            <v>PRECOT</v>
          </cell>
        </row>
        <row r="3187">
          <cell r="A3187" t="str">
            <v>PREM SOMANI FINANCIAL SERVICES LTD</v>
          </cell>
          <cell r="B3187">
            <v>530669</v>
          </cell>
          <cell r="C3187" t="str">
            <v>Not Listed</v>
          </cell>
        </row>
        <row r="3188">
          <cell r="A3188" t="str">
            <v>PREMCO GLOBAL LTD</v>
          </cell>
          <cell r="B3188">
            <v>530331</v>
          </cell>
          <cell r="C3188" t="str">
            <v>Not Listed</v>
          </cell>
        </row>
        <row r="3189">
          <cell r="A3189" t="str">
            <v>PREMIER CHENNAI PROPERTIES LTD</v>
          </cell>
          <cell r="B3189">
            <v>780007</v>
          </cell>
          <cell r="C3189" t="str">
            <v>Not Listed</v>
          </cell>
        </row>
        <row r="3190">
          <cell r="A3190" t="str">
            <v>PREMIER EXPLOSIVES LTD</v>
          </cell>
          <cell r="B3190">
            <v>526247</v>
          </cell>
          <cell r="C3190" t="str">
            <v>PREMEXPLN</v>
          </cell>
        </row>
        <row r="3191">
          <cell r="A3191" t="str">
            <v>PREMIER LTD</v>
          </cell>
          <cell r="B3191">
            <v>500540</v>
          </cell>
          <cell r="C3191" t="str">
            <v>PREMIER</v>
          </cell>
        </row>
        <row r="3192">
          <cell r="A3192" t="str">
            <v>PREMIER PIPES LTD</v>
          </cell>
          <cell r="B3192">
            <v>513291</v>
          </cell>
          <cell r="C3192" t="str">
            <v>Not Listed</v>
          </cell>
        </row>
        <row r="3193">
          <cell r="A3193" t="str">
            <v>PREMIER POLYFILM LTD</v>
          </cell>
          <cell r="B3193">
            <v>514354</v>
          </cell>
          <cell r="C3193" t="str">
            <v>PREMIERPOL</v>
          </cell>
        </row>
        <row r="3194">
          <cell r="A3194" t="str">
            <v>PREMIER SYNTHETICS LTD</v>
          </cell>
          <cell r="B3194">
            <v>509835</v>
          </cell>
          <cell r="C3194" t="str">
            <v>Not Listed</v>
          </cell>
        </row>
        <row r="3195">
          <cell r="A3195" t="str">
            <v>PRERNA INFRABUILD LTD</v>
          </cell>
          <cell r="B3195">
            <v>531802</v>
          </cell>
          <cell r="C3195" t="str">
            <v>Not Listed</v>
          </cell>
        </row>
        <row r="3196">
          <cell r="A3196" t="str">
            <v>PRESSMAN ADVERTISING LTD</v>
          </cell>
          <cell r="B3196">
            <v>509077</v>
          </cell>
          <cell r="C3196" t="str">
            <v>PRESSMN</v>
          </cell>
        </row>
        <row r="3197">
          <cell r="A3197" t="str">
            <v>PRESTIGE ESTATES PROJECTS LTD</v>
          </cell>
          <cell r="B3197">
            <v>533274</v>
          </cell>
          <cell r="C3197" t="str">
            <v>PRESTIGE</v>
          </cell>
        </row>
        <row r="3198">
          <cell r="A3198" t="str">
            <v>PRICOL LTD</v>
          </cell>
          <cell r="B3198">
            <v>540293</v>
          </cell>
          <cell r="C3198" t="str">
            <v>PRICOLLTD</v>
          </cell>
        </row>
        <row r="3199">
          <cell r="A3199" t="str">
            <v>PRIMA AGRO LTD</v>
          </cell>
          <cell r="B3199">
            <v>519262</v>
          </cell>
          <cell r="C3199" t="str">
            <v>Not Listed</v>
          </cell>
        </row>
        <row r="3200">
          <cell r="A3200" t="str">
            <v>PRIMA INDUSTRIES LTD</v>
          </cell>
          <cell r="B3200">
            <v>531246</v>
          </cell>
          <cell r="C3200" t="str">
            <v>Not Listed</v>
          </cell>
        </row>
        <row r="3201">
          <cell r="A3201" t="str">
            <v>PRIMA PLASTICS LTD</v>
          </cell>
          <cell r="B3201">
            <v>530589</v>
          </cell>
          <cell r="C3201" t="str">
            <v>Not Listed</v>
          </cell>
        </row>
        <row r="3202">
          <cell r="A3202" t="str">
            <v>PRIME CAPITAL MARKET LTD</v>
          </cell>
          <cell r="B3202">
            <v>535514</v>
          </cell>
          <cell r="C3202" t="str">
            <v>Not Listed</v>
          </cell>
        </row>
        <row r="3203">
          <cell r="A3203" t="str">
            <v>PRIME CUSTOMER SERVICES LTD</v>
          </cell>
          <cell r="B3203">
            <v>540404</v>
          </cell>
          <cell r="C3203" t="str">
            <v>Not Listed</v>
          </cell>
        </row>
        <row r="3204">
          <cell r="A3204" t="str">
            <v>PRIME FOCUS LTD</v>
          </cell>
          <cell r="B3204">
            <v>532748</v>
          </cell>
          <cell r="C3204" t="str">
            <v>PFOCUS</v>
          </cell>
        </row>
        <row r="3205">
          <cell r="A3205" t="str">
            <v>PRIME INDUSTRIES LTD</v>
          </cell>
          <cell r="B3205">
            <v>519299</v>
          </cell>
          <cell r="C3205" t="str">
            <v>Not Listed</v>
          </cell>
        </row>
        <row r="3206">
          <cell r="A3206" t="str">
            <v>PRIME PROPERTY DEVELOPMENT CORPORATION LTD</v>
          </cell>
          <cell r="B3206">
            <v>530695</v>
          </cell>
          <cell r="C3206" t="str">
            <v>Not Listed</v>
          </cell>
        </row>
        <row r="3207">
          <cell r="A3207" t="str">
            <v>PRIME SECURITIES LTD</v>
          </cell>
          <cell r="B3207">
            <v>500337</v>
          </cell>
          <cell r="C3207" t="str">
            <v>PRIMESECU</v>
          </cell>
        </row>
        <row r="3208">
          <cell r="A3208" t="str">
            <v>PRIME URBAN DEVELOPMENT (INDIA) LTD</v>
          </cell>
          <cell r="B3208">
            <v>521149</v>
          </cell>
          <cell r="C3208" t="str">
            <v>Not Listed</v>
          </cell>
        </row>
        <row r="3209">
          <cell r="A3209" t="str">
            <v>PRIME URBAN DEVELOPMENT INDIA LTD</v>
          </cell>
          <cell r="B3209">
            <v>521149</v>
          </cell>
          <cell r="C3209" t="str">
            <v>Not Listed</v>
          </cell>
        </row>
        <row r="3210">
          <cell r="A3210" t="str">
            <v>PRISM FINANCE LTD</v>
          </cell>
          <cell r="B3210">
            <v>531735</v>
          </cell>
          <cell r="C3210" t="str">
            <v>Not Listed</v>
          </cell>
        </row>
        <row r="3211">
          <cell r="A3211" t="str">
            <v>PRISM JOHNSON LTD</v>
          </cell>
          <cell r="B3211">
            <v>500338</v>
          </cell>
          <cell r="C3211" t="str">
            <v>PRSMJOHNSN</v>
          </cell>
        </row>
        <row r="3212">
          <cell r="A3212" t="str">
            <v>PRISM MEDICO AND PHARMACY LTD</v>
          </cell>
          <cell r="B3212">
            <v>512217</v>
          </cell>
          <cell r="C3212" t="str">
            <v>Not Listed</v>
          </cell>
        </row>
        <row r="3213">
          <cell r="A3213" t="str">
            <v>PRITHVI EXCHANGE (INDIA) LTD</v>
          </cell>
          <cell r="B3213">
            <v>531688</v>
          </cell>
          <cell r="C3213" t="str">
            <v>Not Listed</v>
          </cell>
        </row>
        <row r="3214">
          <cell r="A3214" t="str">
            <v>PRITHVI EXCHANGE INDIA LTD</v>
          </cell>
          <cell r="B3214">
            <v>531688</v>
          </cell>
          <cell r="C3214" t="str">
            <v>Not Listed</v>
          </cell>
        </row>
        <row r="3215">
          <cell r="A3215" t="str">
            <v>PRITI INTERNATIONAL LTD</v>
          </cell>
          <cell r="B3215" t="str">
            <v>Not Listed</v>
          </cell>
          <cell r="C3215" t="str">
            <v>PRITI</v>
          </cell>
        </row>
        <row r="3216">
          <cell r="A3216" t="str">
            <v>PRITIKA AUTO INDUSTRIES LTD</v>
          </cell>
          <cell r="B3216">
            <v>539359</v>
          </cell>
          <cell r="C3216" t="str">
            <v>Not Listed</v>
          </cell>
        </row>
        <row r="3217">
          <cell r="A3217" t="str">
            <v>PRITISH NANDY COMMUNICATIONS LTD</v>
          </cell>
          <cell r="B3217">
            <v>532387</v>
          </cell>
          <cell r="C3217" t="str">
            <v>PNC</v>
          </cell>
        </row>
        <row r="3218">
          <cell r="A3218" t="str">
            <v>PRIYA LTD</v>
          </cell>
          <cell r="B3218">
            <v>524580</v>
          </cell>
          <cell r="C3218" t="str">
            <v>Not Listed</v>
          </cell>
        </row>
        <row r="3219">
          <cell r="A3219" t="str">
            <v>PRO FIN CAPITAL SERVICES LTD</v>
          </cell>
          <cell r="B3219">
            <v>511557</v>
          </cell>
          <cell r="C3219" t="str">
            <v>Not Listed</v>
          </cell>
        </row>
        <row r="3220">
          <cell r="A3220" t="str">
            <v>PROAIM ENTERPRISES LTD</v>
          </cell>
          <cell r="B3220">
            <v>512105</v>
          </cell>
          <cell r="C3220" t="str">
            <v>Not Listed</v>
          </cell>
        </row>
        <row r="3221">
          <cell r="A3221" t="str">
            <v>PROCAL ELECTRONICS (INDIA) LTD</v>
          </cell>
          <cell r="B3221">
            <v>526009</v>
          </cell>
          <cell r="C3221" t="str">
            <v>Not Listed</v>
          </cell>
        </row>
        <row r="3222">
          <cell r="A3222" t="str">
            <v>PROCAL ELECTRONICS INDIA LTD</v>
          </cell>
          <cell r="B3222">
            <v>526009</v>
          </cell>
          <cell r="C3222" t="str">
            <v>Not Listed</v>
          </cell>
        </row>
        <row r="3223">
          <cell r="A3223" t="str">
            <v>Procter &amp; Gamble Health LTD</v>
          </cell>
          <cell r="B3223" t="str">
            <v>Not Listed</v>
          </cell>
          <cell r="C3223" t="str">
            <v>PGHL</v>
          </cell>
        </row>
        <row r="3224">
          <cell r="A3224" t="str">
            <v>PROCTER &amp; GAMBLE HYGIENE AND HEALTH CARE LTD</v>
          </cell>
          <cell r="B3224">
            <v>500459</v>
          </cell>
          <cell r="C3224" t="str">
            <v>PGHH</v>
          </cell>
        </row>
        <row r="3225">
          <cell r="A3225" t="str">
            <v>PROGRESSIVE EXTRACTIONS &amp; EXPORTS LTD</v>
          </cell>
          <cell r="B3225">
            <v>531265</v>
          </cell>
          <cell r="C3225" t="str">
            <v>Not Listed</v>
          </cell>
        </row>
        <row r="3226">
          <cell r="A3226" t="str">
            <v>PROLIFE INDUSTRIES LTD</v>
          </cell>
          <cell r="B3226" t="str">
            <v>Not Listed</v>
          </cell>
          <cell r="C3226" t="str">
            <v>PROLIFE</v>
          </cell>
        </row>
        <row r="3227">
          <cell r="A3227" t="str">
            <v>PROMACT IMPEX LTD</v>
          </cell>
          <cell r="B3227">
            <v>526494</v>
          </cell>
          <cell r="C3227" t="str">
            <v>Not Listed</v>
          </cell>
        </row>
        <row r="3228">
          <cell r="A3228" t="str">
            <v>PROSEED (INDIA) LTD</v>
          </cell>
          <cell r="B3228">
            <v>590057</v>
          </cell>
          <cell r="C3228" t="str">
            <v>PROSEED</v>
          </cell>
        </row>
        <row r="3229">
          <cell r="A3229" t="str">
            <v>PROSEED INDIA LTD</v>
          </cell>
          <cell r="B3229">
            <v>590057</v>
          </cell>
          <cell r="C3229" t="str">
            <v>PROSEED</v>
          </cell>
        </row>
        <row r="3230">
          <cell r="A3230" t="str">
            <v>PROVESTMENT SERVICES LTD</v>
          </cell>
          <cell r="B3230">
            <v>540703</v>
          </cell>
          <cell r="C3230" t="str">
            <v>Not Listed</v>
          </cell>
        </row>
        <row r="3231">
          <cell r="A3231" t="str">
            <v>PROVOGUE (INDIA) LTD</v>
          </cell>
          <cell r="B3231">
            <v>532647</v>
          </cell>
          <cell r="C3231" t="str">
            <v>PROVOGE</v>
          </cell>
        </row>
        <row r="3232">
          <cell r="A3232" t="str">
            <v>PROVOGUE INDIA LTD</v>
          </cell>
          <cell r="B3232">
            <v>532647</v>
          </cell>
          <cell r="C3232" t="str">
            <v>PROVOGE</v>
          </cell>
        </row>
        <row r="3233">
          <cell r="A3233" t="str">
            <v>PROZONE INTU PROPERTIES LTD</v>
          </cell>
          <cell r="B3233">
            <v>534675</v>
          </cell>
          <cell r="C3233" t="str">
            <v>PROZONINTU</v>
          </cell>
        </row>
        <row r="3234">
          <cell r="A3234" t="str">
            <v>PS IT INFRASTRUCTURE &amp; SERVICES LTD</v>
          </cell>
          <cell r="B3234">
            <v>505502</v>
          </cell>
          <cell r="C3234" t="str">
            <v>Not Listed</v>
          </cell>
        </row>
        <row r="3235">
          <cell r="A3235" t="str">
            <v>PSL LTD</v>
          </cell>
          <cell r="B3235">
            <v>526801</v>
          </cell>
          <cell r="C3235" t="str">
            <v>PSL</v>
          </cell>
        </row>
        <row r="3236">
          <cell r="A3236" t="str">
            <v>PSP PROJECTS LTD</v>
          </cell>
          <cell r="B3236">
            <v>540544</v>
          </cell>
          <cell r="C3236" t="str">
            <v>PSPPROJECT</v>
          </cell>
        </row>
        <row r="3237">
          <cell r="A3237" t="str">
            <v>PTC (INDIA) LTD</v>
          </cell>
          <cell r="B3237">
            <v>532524</v>
          </cell>
          <cell r="C3237" t="str">
            <v>PTC</v>
          </cell>
        </row>
        <row r="3238">
          <cell r="A3238" t="str">
            <v>PTC INDIA FINANCIAL SERVICES LTD</v>
          </cell>
          <cell r="B3238">
            <v>533344</v>
          </cell>
          <cell r="C3238" t="str">
            <v>PFS</v>
          </cell>
        </row>
        <row r="3239">
          <cell r="A3239" t="str">
            <v>PTC INDIA LTD</v>
          </cell>
          <cell r="B3239">
            <v>532524</v>
          </cell>
          <cell r="C3239" t="str">
            <v>PTC</v>
          </cell>
        </row>
        <row r="3240">
          <cell r="A3240" t="str">
            <v>PTC INDUSTRIES LTD</v>
          </cell>
          <cell r="B3240">
            <v>539006</v>
          </cell>
          <cell r="C3240" t="str">
            <v>Not Listed</v>
          </cell>
        </row>
        <row r="3241">
          <cell r="A3241" t="str">
            <v>PTL ENTERPRISES LTD</v>
          </cell>
          <cell r="B3241">
            <v>509220</v>
          </cell>
          <cell r="C3241" t="str">
            <v>PTL</v>
          </cell>
        </row>
        <row r="3242">
          <cell r="A3242" t="str">
            <v>PUDUMJEE PAPER PRODUCTS LTD</v>
          </cell>
          <cell r="B3242">
            <v>539785</v>
          </cell>
          <cell r="C3242" t="str">
            <v>PDMJEPAPER</v>
          </cell>
        </row>
        <row r="3243">
          <cell r="A3243" t="str">
            <v>PULSAR INTERNATIONAL LTD</v>
          </cell>
          <cell r="B3243">
            <v>512591</v>
          </cell>
          <cell r="C3243" t="str">
            <v>Not Listed</v>
          </cell>
        </row>
        <row r="3244">
          <cell r="A3244" t="str">
            <v>PULZ ELECTRONICS LTD</v>
          </cell>
          <cell r="B3244" t="str">
            <v>Not Listed</v>
          </cell>
          <cell r="C3244" t="str">
            <v>PULZ</v>
          </cell>
        </row>
        <row r="3245">
          <cell r="A3245" t="str">
            <v>PUNCTUAL TRADING LTD</v>
          </cell>
          <cell r="B3245">
            <v>512461</v>
          </cell>
          <cell r="C3245" t="str">
            <v>Not Listed</v>
          </cell>
        </row>
        <row r="3246">
          <cell r="A3246" t="str">
            <v>PUNIT COMMERCIALS LTD</v>
          </cell>
          <cell r="B3246">
            <v>512099</v>
          </cell>
          <cell r="C3246" t="str">
            <v>Not Listed</v>
          </cell>
        </row>
        <row r="3247">
          <cell r="A3247" t="str">
            <v>PUNJ LLOYD LTD</v>
          </cell>
          <cell r="B3247">
            <v>532693</v>
          </cell>
          <cell r="C3247" t="str">
            <v>PUNJLLOYD</v>
          </cell>
        </row>
        <row r="3248">
          <cell r="A3248" t="str">
            <v>PUNJAB &amp; SIND BANK</v>
          </cell>
          <cell r="B3248">
            <v>533295</v>
          </cell>
          <cell r="C3248" t="str">
            <v>PSB</v>
          </cell>
        </row>
        <row r="3249">
          <cell r="A3249" t="str">
            <v>PUNJAB ALKALIES &amp; CHEMICALS LTD</v>
          </cell>
          <cell r="B3249">
            <v>506852</v>
          </cell>
          <cell r="C3249" t="str">
            <v>Not Listed</v>
          </cell>
        </row>
        <row r="3250">
          <cell r="A3250" t="str">
            <v>PUNJAB CHEMICALS &amp; CROP PROTECTION LTD</v>
          </cell>
          <cell r="B3250">
            <v>506618</v>
          </cell>
          <cell r="C3250" t="str">
            <v>PUNJABCHEM</v>
          </cell>
        </row>
        <row r="3251">
          <cell r="A3251" t="str">
            <v>PUNJAB COMMUNICATIONS LTD</v>
          </cell>
          <cell r="B3251">
            <v>500346</v>
          </cell>
          <cell r="C3251" t="str">
            <v>Not Listed</v>
          </cell>
        </row>
        <row r="3252">
          <cell r="A3252" t="str">
            <v>PUNJAB NATIONAL BANK</v>
          </cell>
          <cell r="B3252">
            <v>532461</v>
          </cell>
          <cell r="C3252" t="str">
            <v>PNB</v>
          </cell>
        </row>
        <row r="3253">
          <cell r="A3253" t="str">
            <v>PURAVANKARA LTD</v>
          </cell>
          <cell r="B3253">
            <v>532891</v>
          </cell>
          <cell r="C3253" t="str">
            <v>PURVA</v>
          </cell>
        </row>
        <row r="3254">
          <cell r="A3254" t="str">
            <v>PURE GIFTCARAT LTD</v>
          </cell>
          <cell r="B3254">
            <v>540492</v>
          </cell>
          <cell r="C3254" t="str">
            <v>Not Listed</v>
          </cell>
        </row>
        <row r="3255">
          <cell r="A3255" t="str">
            <v>PURITY FLEX PACK LTD</v>
          </cell>
          <cell r="B3255">
            <v>523315</v>
          </cell>
          <cell r="C3255" t="str">
            <v>Not Listed</v>
          </cell>
        </row>
        <row r="3256">
          <cell r="A3256" t="str">
            <v>PUROHIT CONSTRUCTION LTD</v>
          </cell>
          <cell r="B3256">
            <v>538993</v>
          </cell>
          <cell r="C3256" t="str">
            <v>Not Listed</v>
          </cell>
        </row>
        <row r="3257">
          <cell r="A3257" t="str">
            <v>PURPLE ENTERTAINMENT LTD</v>
          </cell>
          <cell r="B3257">
            <v>540159</v>
          </cell>
          <cell r="C3257" t="str">
            <v>Not Listed</v>
          </cell>
        </row>
        <row r="3258">
          <cell r="A3258" t="str">
            <v>PURSHOTTAM INVESTOFIN LTD</v>
          </cell>
          <cell r="B3258">
            <v>538647</v>
          </cell>
          <cell r="C3258" t="str">
            <v>Not Listed</v>
          </cell>
        </row>
        <row r="3259">
          <cell r="A3259" t="str">
            <v>PUSHPANJALI REALMS AND INFRATECH LTD</v>
          </cell>
          <cell r="B3259" t="str">
            <v>Not Listed</v>
          </cell>
          <cell r="C3259" t="str">
            <v>PUSHPREALM</v>
          </cell>
        </row>
        <row r="3260">
          <cell r="A3260" t="str">
            <v>PUSHPSONS INDUSTRIES LTD</v>
          </cell>
          <cell r="B3260">
            <v>531562</v>
          </cell>
          <cell r="C3260" t="str">
            <v>Not Listed</v>
          </cell>
        </row>
        <row r="3261">
          <cell r="A3261" t="str">
            <v>PVP VENTURES LTD</v>
          </cell>
          <cell r="B3261">
            <v>517556</v>
          </cell>
          <cell r="C3261" t="str">
            <v>PVP</v>
          </cell>
        </row>
        <row r="3262">
          <cell r="A3262" t="str">
            <v>PVR LTD</v>
          </cell>
          <cell r="B3262">
            <v>532689</v>
          </cell>
          <cell r="C3262" t="str">
            <v>PVR</v>
          </cell>
        </row>
        <row r="3263">
          <cell r="A3263" t="str">
            <v>PVV INFRA LTD</v>
          </cell>
          <cell r="B3263">
            <v>536659</v>
          </cell>
          <cell r="C3263" t="str">
            <v>Not Listed</v>
          </cell>
        </row>
        <row r="3264">
          <cell r="A3264" t="str">
            <v>PYXIS FINVEST LTD</v>
          </cell>
          <cell r="B3264">
            <v>534109</v>
          </cell>
          <cell r="C3264" t="str">
            <v>Not Listed</v>
          </cell>
        </row>
        <row r="3265">
          <cell r="A3265" t="str">
            <v>QUADRANT TELEVENTURES LTD</v>
          </cell>
          <cell r="B3265">
            <v>511116</v>
          </cell>
          <cell r="C3265" t="str">
            <v>Not Listed</v>
          </cell>
        </row>
        <row r="3266">
          <cell r="A3266" t="str">
            <v>QUANTUM BUILD-TECH LTD</v>
          </cell>
          <cell r="B3266">
            <v>538596</v>
          </cell>
          <cell r="C3266" t="str">
            <v>Not Listed</v>
          </cell>
        </row>
        <row r="3267">
          <cell r="A3267" t="str">
            <v>QUANTUM DIGITAL VISION (INDIA) LTD</v>
          </cell>
          <cell r="B3267">
            <v>530281</v>
          </cell>
          <cell r="C3267" t="str">
            <v>Not Listed</v>
          </cell>
        </row>
        <row r="3268">
          <cell r="A3268" t="str">
            <v>QUANTUM DIGITAL VISION INDIA LTD</v>
          </cell>
          <cell r="B3268">
            <v>530281</v>
          </cell>
          <cell r="C3268" t="str">
            <v>Not Listed</v>
          </cell>
        </row>
        <row r="3269">
          <cell r="A3269" t="str">
            <v>QUANTUM GOLD FUND - EXCHANGE TRADED FUND (ETF)</v>
          </cell>
          <cell r="B3269">
            <v>590099</v>
          </cell>
          <cell r="C3269" t="str">
            <v>QGOLDHALF</v>
          </cell>
        </row>
        <row r="3270">
          <cell r="A3270" t="str">
            <v>QUANTUM MUTUAL FUND - QUANTUM INDEX FUND ETF</v>
          </cell>
          <cell r="B3270">
            <v>590110</v>
          </cell>
          <cell r="C3270" t="str">
            <v>QNIFTY</v>
          </cell>
        </row>
        <row r="3271">
          <cell r="A3271" t="str">
            <v>QUESS CORP LTD</v>
          </cell>
          <cell r="B3271">
            <v>539978</v>
          </cell>
          <cell r="C3271" t="str">
            <v>QUESS</v>
          </cell>
        </row>
        <row r="3272">
          <cell r="A3272" t="str">
            <v>QUEST FINANCIAL SERVICES LTD</v>
          </cell>
          <cell r="B3272">
            <v>539962</v>
          </cell>
          <cell r="C3272" t="str">
            <v>Not Listed</v>
          </cell>
        </row>
        <row r="3273">
          <cell r="A3273" t="str">
            <v>QUEST SOFTECH (INDIA) LTD</v>
          </cell>
          <cell r="B3273">
            <v>535719</v>
          </cell>
          <cell r="C3273" t="str">
            <v>Not Listed</v>
          </cell>
        </row>
        <row r="3274">
          <cell r="A3274" t="str">
            <v>QUEST SOFTECH INDIA LTD</v>
          </cell>
          <cell r="B3274">
            <v>535719</v>
          </cell>
          <cell r="C3274" t="str">
            <v>Not Listed</v>
          </cell>
        </row>
        <row r="3275">
          <cell r="A3275" t="str">
            <v>QUICK HEAL TECHNOLOGIES LTD</v>
          </cell>
          <cell r="B3275">
            <v>539678</v>
          </cell>
          <cell r="C3275" t="str">
            <v>QUICKHEAL</v>
          </cell>
        </row>
        <row r="3276">
          <cell r="A3276" t="str">
            <v>QUINTEGRA SOLUTIONS LTD</v>
          </cell>
          <cell r="B3276">
            <v>532866</v>
          </cell>
          <cell r="C3276" t="str">
            <v>QUINTEGRA</v>
          </cell>
        </row>
        <row r="3277">
          <cell r="A3277" t="str">
            <v>R B GUPTA FINANCIALS LTD</v>
          </cell>
          <cell r="B3277">
            <v>532024</v>
          </cell>
          <cell r="C3277" t="str">
            <v>Not Listed</v>
          </cell>
        </row>
        <row r="3278">
          <cell r="A3278" t="str">
            <v>R J BIO-TECH LTD</v>
          </cell>
          <cell r="B3278">
            <v>536456</v>
          </cell>
          <cell r="C3278" t="str">
            <v>Not Listed</v>
          </cell>
        </row>
        <row r="3279">
          <cell r="A3279" t="str">
            <v>R J SHAH &amp; CO LTD</v>
          </cell>
          <cell r="B3279">
            <v>509845</v>
          </cell>
          <cell r="C3279" t="str">
            <v>Not Listed</v>
          </cell>
        </row>
        <row r="3280">
          <cell r="A3280" t="str">
            <v>R M DRIP AND SPRINKLERS SYSTEMS LTD</v>
          </cell>
          <cell r="B3280" t="str">
            <v>Not Listed</v>
          </cell>
          <cell r="C3280" t="str">
            <v>RMDRIP</v>
          </cell>
        </row>
        <row r="3281">
          <cell r="A3281" t="str">
            <v>R P P INFRA PROJECTS LTD</v>
          </cell>
          <cell r="B3281">
            <v>533284</v>
          </cell>
          <cell r="C3281" t="str">
            <v>RPPINFRA</v>
          </cell>
        </row>
        <row r="3282">
          <cell r="A3282" t="str">
            <v>R R SECURITIES LTD</v>
          </cell>
          <cell r="B3282">
            <v>530917</v>
          </cell>
          <cell r="C3282" t="str">
            <v>Not Listed</v>
          </cell>
        </row>
        <row r="3283">
          <cell r="A3283" t="str">
            <v>R S SOFTWARE (INDIA) LTD</v>
          </cell>
          <cell r="B3283">
            <v>517447</v>
          </cell>
          <cell r="C3283" t="str">
            <v>RSSOFTWARE</v>
          </cell>
        </row>
        <row r="3284">
          <cell r="A3284" t="str">
            <v>R S SOFTWARE INDIA LTD</v>
          </cell>
          <cell r="B3284">
            <v>517447</v>
          </cell>
          <cell r="C3284" t="str">
            <v>RSSOFTWARE</v>
          </cell>
        </row>
        <row r="3285">
          <cell r="A3285" t="str">
            <v>R SYSTEMS INTERNATIONAL LTD</v>
          </cell>
          <cell r="B3285">
            <v>532735</v>
          </cell>
          <cell r="C3285" t="str">
            <v>RSYSTEMS</v>
          </cell>
        </row>
        <row r="3286">
          <cell r="A3286" t="str">
            <v>R T EXPORTS LTD</v>
          </cell>
          <cell r="B3286">
            <v>512565</v>
          </cell>
          <cell r="C3286" t="str">
            <v>Not Listed</v>
          </cell>
        </row>
        <row r="3287">
          <cell r="A3287" t="str">
            <v>R&amp;B DENIMS LTD</v>
          </cell>
          <cell r="B3287">
            <v>538119</v>
          </cell>
          <cell r="C3287" t="str">
            <v>Not Listed</v>
          </cell>
        </row>
        <row r="3288">
          <cell r="A3288" t="str">
            <v>RAAJ MEDISAFE (INDIA) LTD</v>
          </cell>
          <cell r="B3288">
            <v>524502</v>
          </cell>
          <cell r="C3288" t="str">
            <v>Not Listed</v>
          </cell>
        </row>
        <row r="3289">
          <cell r="A3289" t="str">
            <v>RAAJ MEDISAFE INDIA LTD</v>
          </cell>
          <cell r="B3289">
            <v>524502</v>
          </cell>
          <cell r="C3289" t="str">
            <v>Not Listed</v>
          </cell>
        </row>
        <row r="3290">
          <cell r="A3290" t="str">
            <v>RAASI REFRACTORIES LTD</v>
          </cell>
          <cell r="B3290">
            <v>502271</v>
          </cell>
          <cell r="C3290" t="str">
            <v>Not Listed</v>
          </cell>
        </row>
        <row r="3291">
          <cell r="A3291" t="str">
            <v>RACL GEARTECH LTD</v>
          </cell>
          <cell r="B3291">
            <v>520073</v>
          </cell>
          <cell r="C3291" t="str">
            <v>Not Listed</v>
          </cell>
        </row>
        <row r="3292">
          <cell r="A3292" t="str">
            <v>RADAAN MEDIAWORKS (INDIA) LTD</v>
          </cell>
          <cell r="B3292">
            <v>590070</v>
          </cell>
          <cell r="C3292" t="str">
            <v>RADAAN</v>
          </cell>
        </row>
        <row r="3293">
          <cell r="A3293" t="str">
            <v>RADAAN MEDIAWORKS INDIA LTD</v>
          </cell>
          <cell r="B3293">
            <v>590070</v>
          </cell>
          <cell r="C3293" t="str">
            <v>RADAAN</v>
          </cell>
        </row>
        <row r="3294">
          <cell r="A3294" t="str">
            <v>RADHA MADHAV CORPORATION LTD</v>
          </cell>
          <cell r="B3294">
            <v>532692</v>
          </cell>
          <cell r="C3294" t="str">
            <v>RMCL</v>
          </cell>
        </row>
        <row r="3295">
          <cell r="A3295" t="str">
            <v>RADHAGOBIND COMMERCIAL LTD</v>
          </cell>
          <cell r="B3295">
            <v>539673</v>
          </cell>
          <cell r="C3295" t="str">
            <v>Not Listed</v>
          </cell>
        </row>
        <row r="3296">
          <cell r="A3296" t="str">
            <v>RADHE DEVELOPERS (INDIA) LTD</v>
          </cell>
          <cell r="B3296">
            <v>531273</v>
          </cell>
          <cell r="C3296" t="str">
            <v>Not Listed</v>
          </cell>
        </row>
        <row r="3297">
          <cell r="A3297" t="str">
            <v>RADHE DEVELOPERS INDIA LTD</v>
          </cell>
          <cell r="B3297">
            <v>531273</v>
          </cell>
          <cell r="C3297" t="str">
            <v>Not Listed</v>
          </cell>
        </row>
        <row r="3298">
          <cell r="A3298" t="str">
            <v>RADHEY TRADE HOLDING LTD</v>
          </cell>
          <cell r="B3298">
            <v>539814</v>
          </cell>
          <cell r="C3298" t="str">
            <v>Not Listed</v>
          </cell>
        </row>
        <row r="3299">
          <cell r="A3299" t="str">
            <v>RADHIKA JEWELTECH LTD</v>
          </cell>
          <cell r="B3299">
            <v>540125</v>
          </cell>
          <cell r="C3299" t="str">
            <v>Not Listed</v>
          </cell>
        </row>
        <row r="3300">
          <cell r="A3300" t="str">
            <v>RADICO KHAITAN LTD</v>
          </cell>
          <cell r="B3300">
            <v>532497</v>
          </cell>
          <cell r="C3300" t="str">
            <v>RADICO</v>
          </cell>
        </row>
        <row r="3301">
          <cell r="A3301" t="str">
            <v>RADIX INDUSTRIES (INDIA) LTD</v>
          </cell>
          <cell r="B3301">
            <v>531412</v>
          </cell>
          <cell r="C3301" t="str">
            <v>Not Listed</v>
          </cell>
        </row>
        <row r="3302">
          <cell r="A3302" t="str">
            <v>RADIX INDUSTRIES INDIA LTD</v>
          </cell>
          <cell r="B3302">
            <v>531412</v>
          </cell>
          <cell r="C3302" t="str">
            <v>Not Listed</v>
          </cell>
        </row>
        <row r="3303">
          <cell r="A3303" t="str">
            <v>RAGHAV PRODUCTIVITY ENHANCERS LTD</v>
          </cell>
          <cell r="B3303">
            <v>539837</v>
          </cell>
          <cell r="C3303" t="str">
            <v>Not Listed</v>
          </cell>
        </row>
        <row r="3304">
          <cell r="A3304" t="str">
            <v>RAGHUNATH INTERNATIONAL LTD</v>
          </cell>
          <cell r="B3304">
            <v>526813</v>
          </cell>
          <cell r="C3304" t="str">
            <v>Not Listed</v>
          </cell>
        </row>
        <row r="3305">
          <cell r="A3305" t="str">
            <v>RAGHUNATH TOBACCO CO LTD</v>
          </cell>
          <cell r="B3305">
            <v>531552</v>
          </cell>
          <cell r="C3305" t="str">
            <v>Not Listed</v>
          </cell>
        </row>
        <row r="3306">
          <cell r="A3306" t="str">
            <v>RAGHUVANSH AGROFARMS LTD</v>
          </cell>
          <cell r="B3306">
            <v>538921</v>
          </cell>
          <cell r="C3306" t="str">
            <v>Not Listed</v>
          </cell>
        </row>
        <row r="3307">
          <cell r="A3307" t="str">
            <v>RAGHUVIR SYNTHETICS LTD</v>
          </cell>
          <cell r="B3307">
            <v>514316</v>
          </cell>
          <cell r="C3307" t="str">
            <v>Not Listed</v>
          </cell>
        </row>
        <row r="3308">
          <cell r="A3308" t="str">
            <v>RAHUL MERCHANDISING LTD</v>
          </cell>
          <cell r="B3308">
            <v>531887</v>
          </cell>
          <cell r="C3308" t="str">
            <v>Not Listed</v>
          </cell>
        </row>
        <row r="3309">
          <cell r="A3309" t="str">
            <v>RAIDEEP INDUSTRIES LTD</v>
          </cell>
          <cell r="B3309">
            <v>540270</v>
          </cell>
          <cell r="C3309" t="str">
            <v>Not Listed</v>
          </cell>
        </row>
        <row r="3310">
          <cell r="A3310" t="str">
            <v>Rail Vikas Nigam Ltd</v>
          </cell>
          <cell r="B3310">
            <v>542649</v>
          </cell>
          <cell r="C3310" t="str">
            <v>RVNL</v>
          </cell>
        </row>
        <row r="3311">
          <cell r="A3311" t="str">
            <v>RAIN INDUSTRIES LTD</v>
          </cell>
          <cell r="B3311">
            <v>500339</v>
          </cell>
          <cell r="C3311" t="str">
            <v>RAIN</v>
          </cell>
        </row>
        <row r="3312">
          <cell r="A3312" t="str">
            <v>RAINBOW DENIM LTD</v>
          </cell>
          <cell r="B3312">
            <v>532441</v>
          </cell>
          <cell r="C3312" t="str">
            <v>Not Listed</v>
          </cell>
        </row>
        <row r="3313">
          <cell r="A3313" t="str">
            <v>RAINBOW FOUNDATIONS LTD</v>
          </cell>
          <cell r="B3313">
            <v>531694</v>
          </cell>
          <cell r="C3313" t="str">
            <v>Not Listed</v>
          </cell>
        </row>
        <row r="3314">
          <cell r="A3314" t="str">
            <v>RAINBOW PAPERS LTD</v>
          </cell>
          <cell r="B3314">
            <v>523523</v>
          </cell>
          <cell r="C3314" t="str">
            <v>RAINBOWPAP</v>
          </cell>
        </row>
        <row r="3315">
          <cell r="A3315" t="str">
            <v>RAJ PACKAGING INDUSTRIES LTD</v>
          </cell>
          <cell r="B3315">
            <v>530111</v>
          </cell>
          <cell r="C3315" t="str">
            <v>Not Listed</v>
          </cell>
        </row>
        <row r="3316">
          <cell r="A3316" t="str">
            <v>RAJ RAYON INDUSTRIES LTD</v>
          </cell>
          <cell r="B3316">
            <v>530699</v>
          </cell>
          <cell r="C3316" t="str">
            <v>RAJRAYON</v>
          </cell>
        </row>
        <row r="3317">
          <cell r="A3317" t="str">
            <v>RAJ TELEVISION NETWORK LTD</v>
          </cell>
          <cell r="B3317">
            <v>532826</v>
          </cell>
          <cell r="C3317" t="str">
            <v>RAJTV</v>
          </cell>
        </row>
        <row r="3318">
          <cell r="A3318" t="str">
            <v>RAJA BAHADUR INTERNATIONAL LTD</v>
          </cell>
          <cell r="B3318">
            <v>503127</v>
          </cell>
          <cell r="C3318" t="str">
            <v>Not Listed</v>
          </cell>
        </row>
        <row r="3319">
          <cell r="A3319" t="str">
            <v>RAJAPALAYAM MILLS LTD</v>
          </cell>
          <cell r="B3319">
            <v>532503</v>
          </cell>
          <cell r="C3319" t="str">
            <v>Not Listed</v>
          </cell>
        </row>
        <row r="3320">
          <cell r="A3320" t="str">
            <v>RAJASTHAN CYLINDERS &amp; CONTAINERS LTD</v>
          </cell>
          <cell r="B3320">
            <v>538707</v>
          </cell>
          <cell r="C3320" t="str">
            <v>Not Listed</v>
          </cell>
        </row>
        <row r="3321">
          <cell r="A3321" t="str">
            <v>RAJASTHAN GASES LTD</v>
          </cell>
          <cell r="B3321">
            <v>526873</v>
          </cell>
          <cell r="C3321" t="str">
            <v>Not Listed</v>
          </cell>
        </row>
        <row r="3322">
          <cell r="A3322" t="str">
            <v>RAJASTHAN TUBE MANUFACTURING CO LTD</v>
          </cell>
          <cell r="B3322">
            <v>530253</v>
          </cell>
          <cell r="C3322" t="str">
            <v>Not Listed</v>
          </cell>
        </row>
        <row r="3323">
          <cell r="A3323" t="str">
            <v>RAJATH FINANCE LTD</v>
          </cell>
          <cell r="B3323">
            <v>507962</v>
          </cell>
          <cell r="C3323" t="str">
            <v>Not Listed</v>
          </cell>
        </row>
        <row r="3324">
          <cell r="A3324" t="str">
            <v>RAJDARSHAN INDUSTRIES LTD</v>
          </cell>
          <cell r="B3324">
            <v>526662</v>
          </cell>
          <cell r="C3324" t="str">
            <v>ARENTERP</v>
          </cell>
        </row>
        <row r="3325">
          <cell r="A3325" t="str">
            <v>RAJESH EXPORTS LTD</v>
          </cell>
          <cell r="B3325">
            <v>531500</v>
          </cell>
          <cell r="C3325" t="str">
            <v>RAJESHEXPO</v>
          </cell>
        </row>
        <row r="3326">
          <cell r="A3326" t="str">
            <v>RAJESWARI INFRASTRUCTURE LTD</v>
          </cell>
          <cell r="B3326">
            <v>526823</v>
          </cell>
          <cell r="C3326" t="str">
            <v>Not Listed</v>
          </cell>
        </row>
        <row r="3327">
          <cell r="A3327" t="str">
            <v>RAJKAMAL SYNTHETICS LTD</v>
          </cell>
          <cell r="B3327">
            <v>514028</v>
          </cell>
          <cell r="C3327" t="str">
            <v>Not Listed</v>
          </cell>
        </row>
        <row r="3328">
          <cell r="A3328" t="str">
            <v>RAJKOT INVESTMENT TRUST LTD</v>
          </cell>
          <cell r="B3328">
            <v>539495</v>
          </cell>
          <cell r="C3328" t="str">
            <v>Not Listed</v>
          </cell>
        </row>
        <row r="3329">
          <cell r="A3329" t="str">
            <v>RAJKUMAR FORGE LTD</v>
          </cell>
          <cell r="B3329">
            <v>513369</v>
          </cell>
          <cell r="C3329" t="str">
            <v>Not Listed</v>
          </cell>
        </row>
        <row r="3330">
          <cell r="A3330" t="str">
            <v>RAJNANDINI METAL LTD</v>
          </cell>
          <cell r="B3330" t="str">
            <v>Not Listed</v>
          </cell>
          <cell r="C3330" t="str">
            <v>RAJMET</v>
          </cell>
        </row>
        <row r="3331">
          <cell r="A3331" t="str">
            <v>RAJNISH WELLNESS LTD</v>
          </cell>
          <cell r="B3331">
            <v>541601</v>
          </cell>
          <cell r="C3331" t="str">
            <v>Not Listed</v>
          </cell>
        </row>
        <row r="3332">
          <cell r="A3332" t="str">
            <v>RAJOO ENGINEERS LTD</v>
          </cell>
          <cell r="B3332">
            <v>522257</v>
          </cell>
          <cell r="C3332" t="str">
            <v>Not Listed</v>
          </cell>
        </row>
        <row r="3333">
          <cell r="A3333" t="str">
            <v>RAJRATAN GLOBAL WIRE LTD</v>
          </cell>
          <cell r="B3333">
            <v>517522</v>
          </cell>
          <cell r="C3333" t="str">
            <v>Not Listed</v>
          </cell>
        </row>
        <row r="3334">
          <cell r="A3334" t="str">
            <v>RAJSANKET REALTY LTD</v>
          </cell>
          <cell r="B3334">
            <v>512409</v>
          </cell>
          <cell r="C3334" t="str">
            <v>Not Listed</v>
          </cell>
        </row>
        <row r="3335">
          <cell r="A3335" t="str">
            <v>RAJSHREE POLYPACK LTD</v>
          </cell>
          <cell r="B3335" t="str">
            <v>Not Listed</v>
          </cell>
          <cell r="C3335" t="str">
            <v>RPPL</v>
          </cell>
        </row>
        <row r="3336">
          <cell r="A3336" t="str">
            <v>RAJSHREE SUGARS &amp; CHEMICALS LTD</v>
          </cell>
          <cell r="B3336">
            <v>500354</v>
          </cell>
          <cell r="C3336" t="str">
            <v>RAJSREESUG</v>
          </cell>
        </row>
        <row r="3337">
          <cell r="A3337" t="str">
            <v>RAJVIR INDUSTRIES LTD</v>
          </cell>
          <cell r="B3337">
            <v>532665</v>
          </cell>
          <cell r="C3337" t="str">
            <v>RAJVIR</v>
          </cell>
        </row>
        <row r="3338">
          <cell r="A3338" t="str">
            <v>RALLIS (INDIA) LTD</v>
          </cell>
          <cell r="B3338">
            <v>500355</v>
          </cell>
          <cell r="C3338" t="str">
            <v>RALLIS</v>
          </cell>
        </row>
        <row r="3339">
          <cell r="A3339" t="str">
            <v>RALLIS INDIA LTD</v>
          </cell>
          <cell r="B3339">
            <v>500355</v>
          </cell>
          <cell r="C3339" t="str">
            <v>RALLIS</v>
          </cell>
        </row>
        <row r="3340">
          <cell r="A3340" t="str">
            <v>RAM MINERALS AND CHEMICALS LTD</v>
          </cell>
          <cell r="B3340">
            <v>534734</v>
          </cell>
          <cell r="C3340" t="str">
            <v>Not Listed</v>
          </cell>
        </row>
        <row r="3341">
          <cell r="A3341" t="str">
            <v>RAM RATNA WIRES LTD</v>
          </cell>
          <cell r="B3341">
            <v>522281</v>
          </cell>
          <cell r="C3341" t="str">
            <v>Not Listed</v>
          </cell>
        </row>
        <row r="3342">
          <cell r="A3342" t="str">
            <v>RAMA PAPER MILLS LTD</v>
          </cell>
          <cell r="B3342">
            <v>500357</v>
          </cell>
          <cell r="C3342" t="str">
            <v>Not Listed</v>
          </cell>
        </row>
        <row r="3343">
          <cell r="A3343" t="str">
            <v>RAMA PETROCHEMICALS LTD</v>
          </cell>
          <cell r="B3343">
            <v>500358</v>
          </cell>
          <cell r="C3343" t="str">
            <v>Not Listed</v>
          </cell>
        </row>
        <row r="3344">
          <cell r="A3344" t="str">
            <v>RAMA PHOSPHATES LTD</v>
          </cell>
          <cell r="B3344">
            <v>524037</v>
          </cell>
          <cell r="C3344" t="str">
            <v>Not Listed</v>
          </cell>
        </row>
        <row r="3345">
          <cell r="A3345" t="str">
            <v>RAMA PULP &amp; PAPERS LTD</v>
          </cell>
          <cell r="B3345">
            <v>502587</v>
          </cell>
          <cell r="C3345" t="str">
            <v>Not Listed</v>
          </cell>
        </row>
        <row r="3346">
          <cell r="A3346" t="str">
            <v>RAMA STEEL TUBES LTD</v>
          </cell>
          <cell r="B3346">
            <v>539309</v>
          </cell>
          <cell r="C3346" t="str">
            <v>RAMASTEEL</v>
          </cell>
        </row>
        <row r="3347">
          <cell r="A3347" t="str">
            <v>RAMA VISION LTD</v>
          </cell>
          <cell r="B3347">
            <v>523289</v>
          </cell>
          <cell r="C3347" t="str">
            <v>Not Listed</v>
          </cell>
        </row>
        <row r="3348">
          <cell r="A3348" t="str">
            <v>RAMASIGNS INDUSTRIES LTD</v>
          </cell>
          <cell r="B3348">
            <v>515127</v>
          </cell>
          <cell r="C3348" t="str">
            <v>Not Listed</v>
          </cell>
        </row>
        <row r="3349">
          <cell r="A3349" t="str">
            <v>RAMCHANDRA LEASING &amp; FINANCE LTD</v>
          </cell>
          <cell r="B3349">
            <v>538540</v>
          </cell>
          <cell r="C3349" t="str">
            <v>Not Listed</v>
          </cell>
        </row>
        <row r="3350">
          <cell r="A3350" t="str">
            <v>RAMCO INDUSTRIES LTD</v>
          </cell>
          <cell r="B3350">
            <v>532369</v>
          </cell>
          <cell r="C3350" t="str">
            <v>RAMCOIND</v>
          </cell>
        </row>
        <row r="3351">
          <cell r="A3351" t="str">
            <v>RAMCO SYSTEMS LTD</v>
          </cell>
          <cell r="B3351">
            <v>532370</v>
          </cell>
          <cell r="C3351" t="str">
            <v>RAMCOSYS</v>
          </cell>
        </row>
        <row r="3352">
          <cell r="A3352" t="str">
            <v>RAMGOPAL POLYTEX LTD</v>
          </cell>
          <cell r="B3352">
            <v>514223</v>
          </cell>
          <cell r="C3352" t="str">
            <v>RAMGOPOLY</v>
          </cell>
        </row>
        <row r="3353">
          <cell r="A3353" t="str">
            <v>RAMINFO LTD</v>
          </cell>
          <cell r="B3353">
            <v>530951</v>
          </cell>
          <cell r="C3353" t="str">
            <v>Not Listed</v>
          </cell>
        </row>
        <row r="3354">
          <cell r="A3354" t="str">
            <v>RAMKRISHNA FORGINGS LTD</v>
          </cell>
          <cell r="B3354">
            <v>532527</v>
          </cell>
          <cell r="C3354" t="str">
            <v>RKFORGE</v>
          </cell>
        </row>
        <row r="3355">
          <cell r="A3355" t="str">
            <v>RAMKY INFRASTRUCTURE LTD</v>
          </cell>
          <cell r="B3355">
            <v>533262</v>
          </cell>
          <cell r="C3355" t="str">
            <v>RAMKY</v>
          </cell>
        </row>
        <row r="3356">
          <cell r="A3356" t="str">
            <v>RAMSARUP INDUSTRIES LTD</v>
          </cell>
          <cell r="B3356">
            <v>532690</v>
          </cell>
          <cell r="C3356" t="str">
            <v>RAMSARUP</v>
          </cell>
        </row>
        <row r="3357">
          <cell r="A3357" t="str">
            <v>RAMSONS PROJECTS LTD</v>
          </cell>
          <cell r="B3357">
            <v>530925</v>
          </cell>
          <cell r="C3357" t="str">
            <v>Not Listed</v>
          </cell>
        </row>
        <row r="3358">
          <cell r="A3358" t="str">
            <v>RANA SUGARS LTD</v>
          </cell>
          <cell r="B3358">
            <v>507490</v>
          </cell>
          <cell r="C3358" t="str">
            <v>RANASUG</v>
          </cell>
        </row>
        <row r="3359">
          <cell r="A3359" t="str">
            <v>RANDER CORPORATION LTD</v>
          </cell>
          <cell r="B3359">
            <v>531228</v>
          </cell>
          <cell r="C3359" t="str">
            <v>Not Listed</v>
          </cell>
        </row>
        <row r="3360">
          <cell r="A3360" t="str">
            <v>RANE BRAKE LINING LTD</v>
          </cell>
          <cell r="B3360">
            <v>532987</v>
          </cell>
          <cell r="C3360" t="str">
            <v>RBL</v>
          </cell>
        </row>
        <row r="3361">
          <cell r="A3361" t="str">
            <v>RANE ENGINE VALVE LTD</v>
          </cell>
          <cell r="B3361">
            <v>532988</v>
          </cell>
          <cell r="C3361" t="str">
            <v>RANEENGINE</v>
          </cell>
        </row>
        <row r="3362">
          <cell r="A3362" t="str">
            <v>RANE HOLDINGS LTD</v>
          </cell>
          <cell r="B3362">
            <v>505800</v>
          </cell>
          <cell r="C3362" t="str">
            <v>RANEHOLDIN</v>
          </cell>
        </row>
        <row r="3363">
          <cell r="A3363" t="str">
            <v>RANE MADRAS LTD</v>
          </cell>
          <cell r="B3363">
            <v>532661</v>
          </cell>
          <cell r="C3363" t="str">
            <v>RML</v>
          </cell>
        </row>
        <row r="3364">
          <cell r="A3364" t="str">
            <v>RANJEET MECHATRONICS LTD</v>
          </cell>
          <cell r="B3364">
            <v>541945</v>
          </cell>
          <cell r="C3364" t="str">
            <v>Not Listed</v>
          </cell>
        </row>
        <row r="3365">
          <cell r="A3365" t="str">
            <v>RAP MEDIA LTD</v>
          </cell>
          <cell r="B3365">
            <v>531583</v>
          </cell>
          <cell r="C3365" t="str">
            <v>Not Listed</v>
          </cell>
        </row>
        <row r="3366">
          <cell r="A3366" t="str">
            <v>RAPICUT CARBIDES LTD</v>
          </cell>
          <cell r="B3366">
            <v>500360</v>
          </cell>
          <cell r="C3366" t="str">
            <v>Not Listed</v>
          </cell>
        </row>
        <row r="3367">
          <cell r="A3367" t="str">
            <v>RAPID INVESTMENTS LTD</v>
          </cell>
          <cell r="B3367">
            <v>501351</v>
          </cell>
          <cell r="C3367" t="str">
            <v>Not Listed</v>
          </cell>
        </row>
        <row r="3368">
          <cell r="A3368" t="str">
            <v>RAS RESORTS &amp; APART HOTELS LTD</v>
          </cell>
          <cell r="B3368">
            <v>507966</v>
          </cell>
          <cell r="C3368" t="str">
            <v>Not Listed</v>
          </cell>
        </row>
        <row r="3369">
          <cell r="A3369" t="str">
            <v>RASANDIK ENGINEERING INDUSTRIES (INDIA) LTD</v>
          </cell>
          <cell r="B3369">
            <v>522207</v>
          </cell>
          <cell r="C3369" t="str">
            <v>Not Listed</v>
          </cell>
        </row>
        <row r="3370">
          <cell r="A3370" t="str">
            <v>RASANDIK ENGINEERING INDUSTRIES INDIA LTD</v>
          </cell>
          <cell r="B3370">
            <v>522207</v>
          </cell>
          <cell r="C3370" t="str">
            <v>Not Listed</v>
          </cell>
        </row>
        <row r="3371">
          <cell r="A3371" t="str">
            <v>RASHTRIYA CHEMICALS AND FERTILIZERS LTD</v>
          </cell>
          <cell r="B3371">
            <v>524230</v>
          </cell>
          <cell r="C3371" t="str">
            <v>RCF</v>
          </cell>
        </row>
        <row r="3372">
          <cell r="A3372" t="str">
            <v>RASI ELECTRODES LTD</v>
          </cell>
          <cell r="B3372">
            <v>531233</v>
          </cell>
          <cell r="C3372" t="str">
            <v>Not Listed</v>
          </cell>
        </row>
        <row r="3373">
          <cell r="A3373" t="str">
            <v>RASOI LTD</v>
          </cell>
          <cell r="B3373">
            <v>507649</v>
          </cell>
          <cell r="C3373" t="str">
            <v>Not Listed</v>
          </cell>
        </row>
        <row r="3374">
          <cell r="A3374" t="str">
            <v>RATHI BARS LTD</v>
          </cell>
          <cell r="B3374">
            <v>532918</v>
          </cell>
          <cell r="C3374" t="str">
            <v>Not Listed</v>
          </cell>
        </row>
        <row r="3375">
          <cell r="A3375" t="str">
            <v>RATHI GRAPHIC TECHNOLOGIES LTD</v>
          </cell>
          <cell r="B3375">
            <v>524610</v>
          </cell>
          <cell r="C3375" t="str">
            <v>Not Listed</v>
          </cell>
        </row>
        <row r="3376">
          <cell r="A3376" t="str">
            <v>RATNABHUMI DEVELOPERS LTD</v>
          </cell>
          <cell r="B3376">
            <v>540796</v>
          </cell>
          <cell r="C3376" t="str">
            <v>Not Listed</v>
          </cell>
        </row>
        <row r="3377">
          <cell r="A3377" t="str">
            <v>RATNAMANI METALS &amp; TUBES LTD</v>
          </cell>
          <cell r="B3377">
            <v>520111</v>
          </cell>
          <cell r="C3377" t="str">
            <v>RATNAMANI</v>
          </cell>
        </row>
        <row r="3378">
          <cell r="A3378" t="str">
            <v>RATTANINDIA INFRASTRUCTURE LTD</v>
          </cell>
          <cell r="B3378">
            <v>534597</v>
          </cell>
          <cell r="C3378" t="str">
            <v>RTNINFRA</v>
          </cell>
        </row>
        <row r="3379">
          <cell r="A3379" t="str">
            <v>RATTANINDIA POWER LTD</v>
          </cell>
          <cell r="B3379">
            <v>533122</v>
          </cell>
          <cell r="C3379" t="str">
            <v>RTNPOWER</v>
          </cell>
        </row>
        <row r="3380">
          <cell r="A3380" t="str">
            <v>RAUNAQ EPC INTERNATIONAL LTD</v>
          </cell>
          <cell r="B3380">
            <v>537840</v>
          </cell>
          <cell r="C3380" t="str">
            <v>Not Listed</v>
          </cell>
        </row>
        <row r="3381">
          <cell r="A3381" t="str">
            <v>RAVALGAON SUGAR FARM LTD</v>
          </cell>
          <cell r="B3381">
            <v>507300</v>
          </cell>
          <cell r="C3381" t="str">
            <v>Not Listed</v>
          </cell>
        </row>
        <row r="3382">
          <cell r="A3382" t="str">
            <v>RAVI KUMAR DISTILLERIES LTD</v>
          </cell>
          <cell r="B3382">
            <v>533294</v>
          </cell>
          <cell r="C3382" t="str">
            <v>RKDL</v>
          </cell>
        </row>
        <row r="3383">
          <cell r="A3383" t="str">
            <v>RAVILEELA GRANITES LTD</v>
          </cell>
          <cell r="B3383">
            <v>526095</v>
          </cell>
          <cell r="C3383" t="str">
            <v>Not Listed</v>
          </cell>
        </row>
        <row r="3384">
          <cell r="A3384" t="str">
            <v>RAVINDRA ENERGY LTD</v>
          </cell>
          <cell r="B3384">
            <v>504341</v>
          </cell>
          <cell r="C3384" t="str">
            <v>Not Listed</v>
          </cell>
        </row>
        <row r="3385">
          <cell r="A3385" t="str">
            <v>RAW EDGE INDUSTRIAL SOLUTIONS LTD</v>
          </cell>
          <cell r="B3385">
            <v>541634</v>
          </cell>
          <cell r="C3385" t="str">
            <v>Not Listed</v>
          </cell>
        </row>
        <row r="3386">
          <cell r="A3386" t="str">
            <v>RAYMED LABS LTD</v>
          </cell>
          <cell r="B3386">
            <v>531207</v>
          </cell>
          <cell r="C3386" t="str">
            <v>Not Listed</v>
          </cell>
        </row>
        <row r="3387">
          <cell r="A3387" t="str">
            <v>RAYMOND LTD</v>
          </cell>
          <cell r="B3387">
            <v>500330</v>
          </cell>
          <cell r="C3387" t="str">
            <v>RAYMOND</v>
          </cell>
        </row>
        <row r="3388">
          <cell r="A3388" t="str">
            <v>RBL BANK LTD</v>
          </cell>
          <cell r="B3388">
            <v>540065</v>
          </cell>
          <cell r="C3388" t="str">
            <v>RBLBANK</v>
          </cell>
        </row>
        <row r="3389">
          <cell r="A3389" t="str">
            <v>RCC CEMENTS LTD</v>
          </cell>
          <cell r="B3389">
            <v>531825</v>
          </cell>
          <cell r="C3389" t="str">
            <v>Not Listed</v>
          </cell>
        </row>
        <row r="3390">
          <cell r="A3390" t="str">
            <v>RCI INDUSTRIES &amp; TECHNOLOGIES LTD</v>
          </cell>
          <cell r="B3390">
            <v>537254</v>
          </cell>
          <cell r="C3390" t="str">
            <v>Not Listed</v>
          </cell>
        </row>
        <row r="3391">
          <cell r="A3391" t="str">
            <v>RCL RETAIL LTD</v>
          </cell>
          <cell r="B3391">
            <v>534708</v>
          </cell>
          <cell r="C3391" t="str">
            <v>Not Listed</v>
          </cell>
        </row>
        <row r="3392">
          <cell r="A3392" t="str">
            <v>RDB RASAYANS LTD</v>
          </cell>
          <cell r="B3392">
            <v>533608</v>
          </cell>
          <cell r="C3392" t="str">
            <v>Not Listed</v>
          </cell>
        </row>
        <row r="3393">
          <cell r="A3393" t="str">
            <v>RDB REALTY &amp; INFRASTRUCTURE LTD</v>
          </cell>
          <cell r="B3393">
            <v>533285</v>
          </cell>
          <cell r="C3393" t="str">
            <v>Not Listed</v>
          </cell>
        </row>
        <row r="3394">
          <cell r="A3394" t="str">
            <v>REAL GROWTH COMMERCIAL ENTERPRISES LTD</v>
          </cell>
          <cell r="B3394">
            <v>539691</v>
          </cell>
          <cell r="C3394" t="str">
            <v>Not Listed</v>
          </cell>
        </row>
        <row r="3395">
          <cell r="A3395" t="str">
            <v>REAL NEWS &amp; VIEWS LTD</v>
          </cell>
          <cell r="B3395">
            <v>530053</v>
          </cell>
          <cell r="C3395" t="str">
            <v>Not Listed</v>
          </cell>
        </row>
        <row r="3396">
          <cell r="A3396" t="str">
            <v>REAL STRIPS LTD</v>
          </cell>
          <cell r="B3396">
            <v>513558</v>
          </cell>
          <cell r="C3396" t="str">
            <v>Not Listed</v>
          </cell>
        </row>
        <row r="3397">
          <cell r="A3397" t="str">
            <v>REAL TOUCH FINANCE LTD</v>
          </cell>
          <cell r="B3397">
            <v>538611</v>
          </cell>
          <cell r="C3397" t="str">
            <v>Not Listed</v>
          </cell>
        </row>
        <row r="3398">
          <cell r="A3398" t="str">
            <v>REC LTD</v>
          </cell>
          <cell r="B3398">
            <v>532955</v>
          </cell>
          <cell r="C3398" t="str">
            <v>RECLTD</v>
          </cell>
        </row>
        <row r="3399">
          <cell r="A3399" t="str">
            <v>REDEX PROTECH LTD</v>
          </cell>
          <cell r="B3399">
            <v>523650</v>
          </cell>
          <cell r="C3399" t="str">
            <v>Not Listed</v>
          </cell>
        </row>
        <row r="3400">
          <cell r="A3400" t="str">
            <v>REDINGTON (INDIA) LTD</v>
          </cell>
          <cell r="B3400">
            <v>532805</v>
          </cell>
          <cell r="C3400" t="str">
            <v>REDINGTON</v>
          </cell>
        </row>
        <row r="3401">
          <cell r="A3401" t="str">
            <v>REDINGTON INDIA LTD</v>
          </cell>
          <cell r="B3401">
            <v>532805</v>
          </cell>
          <cell r="C3401" t="str">
            <v>REDINGTON</v>
          </cell>
        </row>
        <row r="3402">
          <cell r="A3402" t="str">
            <v>REFEX INDUSTRIES LTD</v>
          </cell>
          <cell r="B3402">
            <v>532884</v>
          </cell>
          <cell r="C3402" t="str">
            <v>REFEX</v>
          </cell>
        </row>
        <row r="3403">
          <cell r="A3403" t="str">
            <v>REFNOL RESINS &amp; CHEMICALS LTD</v>
          </cell>
          <cell r="B3403">
            <v>530815</v>
          </cell>
          <cell r="C3403" t="str">
            <v>Not Listed</v>
          </cell>
        </row>
        <row r="3404">
          <cell r="A3404" t="str">
            <v>REGAL ENTERTAINMENT &amp; CONSULTANTS LTD</v>
          </cell>
          <cell r="B3404">
            <v>531033</v>
          </cell>
          <cell r="C3404" t="str">
            <v>Not Listed</v>
          </cell>
        </row>
        <row r="3405">
          <cell r="A3405" t="str">
            <v>REGALIAA REALTY LTD</v>
          </cell>
          <cell r="B3405">
            <v>530807</v>
          </cell>
          <cell r="C3405" t="str">
            <v>Not Listed</v>
          </cell>
        </row>
        <row r="3406">
          <cell r="A3406" t="str">
            <v>REGENCY CERAMICS LTD</v>
          </cell>
          <cell r="B3406">
            <v>515018</v>
          </cell>
          <cell r="C3406" t="str">
            <v>REGENCERAM</v>
          </cell>
        </row>
        <row r="3407">
          <cell r="A3407" t="str">
            <v>REGENCY INVESTMENTS LTD</v>
          </cell>
          <cell r="B3407">
            <v>540175</v>
          </cell>
          <cell r="C3407" t="str">
            <v>Not Listed</v>
          </cell>
        </row>
        <row r="3408">
          <cell r="A3408" t="str">
            <v>REGENCY TRUST LTD</v>
          </cell>
          <cell r="B3408">
            <v>511585</v>
          </cell>
          <cell r="C3408" t="str">
            <v>Not Listed</v>
          </cell>
        </row>
        <row r="3409">
          <cell r="A3409" t="str">
            <v>REGENT ENTERPRISES LTD</v>
          </cell>
          <cell r="B3409">
            <v>512624</v>
          </cell>
          <cell r="C3409" t="str">
            <v>Not Listed</v>
          </cell>
        </row>
        <row r="3410">
          <cell r="A3410" t="str">
            <v>REIL ELECTRICALS (INDIA) LTD</v>
          </cell>
          <cell r="B3410">
            <v>505817</v>
          </cell>
          <cell r="C3410" t="str">
            <v>Not Listed</v>
          </cell>
        </row>
        <row r="3411">
          <cell r="A3411" t="str">
            <v>REIL ELECTRICALS INDIA LTD</v>
          </cell>
          <cell r="B3411">
            <v>505817</v>
          </cell>
          <cell r="C3411" t="str">
            <v>Not Listed</v>
          </cell>
        </row>
        <row r="3412">
          <cell r="A3412" t="str">
            <v>REKVINA LABORATORIES LTD</v>
          </cell>
          <cell r="B3412">
            <v>526075</v>
          </cell>
          <cell r="C3412" t="str">
            <v>Not Listed</v>
          </cell>
        </row>
        <row r="3413">
          <cell r="A3413" t="str">
            <v>RELAXO FOOTWEARS LTD</v>
          </cell>
          <cell r="B3413">
            <v>530517</v>
          </cell>
          <cell r="C3413" t="str">
            <v>RELAXO</v>
          </cell>
        </row>
        <row r="3414">
          <cell r="A3414" t="str">
            <v>RELIABLE DATA SERVICES LTD</v>
          </cell>
          <cell r="B3414" t="str">
            <v>Not Listed</v>
          </cell>
          <cell r="C3414" t="str">
            <v>RELIABLE</v>
          </cell>
        </row>
        <row r="3415">
          <cell r="A3415" t="str">
            <v>RELIABLE VENTURES (INDIA) LTD</v>
          </cell>
          <cell r="B3415">
            <v>532124</v>
          </cell>
          <cell r="C3415" t="str">
            <v>Not Listed</v>
          </cell>
        </row>
        <row r="3416">
          <cell r="A3416" t="str">
            <v>RELIABLE VENTURES INDIA LTD</v>
          </cell>
          <cell r="B3416">
            <v>532124</v>
          </cell>
          <cell r="C3416" t="str">
            <v>Not Listed</v>
          </cell>
        </row>
        <row r="3417">
          <cell r="A3417" t="str">
            <v>RELIANCE CAPITAL LTD</v>
          </cell>
          <cell r="B3417">
            <v>500111</v>
          </cell>
          <cell r="C3417" t="str">
            <v>RELCAPITAL</v>
          </cell>
        </row>
        <row r="3418">
          <cell r="A3418" t="str">
            <v>RELIANCE CHEMOTEX INDUSTRIES LTD</v>
          </cell>
          <cell r="B3418">
            <v>503162</v>
          </cell>
          <cell r="C3418" t="str">
            <v>Not Listed</v>
          </cell>
        </row>
        <row r="3419">
          <cell r="A3419" t="str">
            <v>RELIANCE COMMUNICATIONS LTD</v>
          </cell>
          <cell r="B3419">
            <v>532712</v>
          </cell>
          <cell r="C3419" t="str">
            <v>RCOM</v>
          </cell>
        </row>
        <row r="3420">
          <cell r="A3420" t="str">
            <v>Reliance ETF Bank BeES</v>
          </cell>
          <cell r="B3420">
            <v>590106</v>
          </cell>
          <cell r="C3420" t="str">
            <v>BANKBEES</v>
          </cell>
        </row>
        <row r="3421">
          <cell r="A3421" t="str">
            <v>Reliance ETF Gold BeES</v>
          </cell>
          <cell r="B3421">
            <v>590095</v>
          </cell>
          <cell r="C3421" t="str">
            <v>GOLDBEES</v>
          </cell>
        </row>
        <row r="3422">
          <cell r="A3422" t="str">
            <v>Reliance ETF Hang Seng BeES</v>
          </cell>
          <cell r="B3422">
            <v>590113</v>
          </cell>
          <cell r="C3422" t="str">
            <v>HNGSNGBEES</v>
          </cell>
        </row>
        <row r="3423">
          <cell r="A3423" t="str">
            <v>Reliance ETF Junior BeES</v>
          </cell>
          <cell r="B3423">
            <v>590104</v>
          </cell>
          <cell r="C3423" t="str">
            <v>JUNIORBEES</v>
          </cell>
        </row>
        <row r="3424">
          <cell r="A3424" t="str">
            <v>Reliance ETF Nifty BeES</v>
          </cell>
          <cell r="B3424">
            <v>590103</v>
          </cell>
          <cell r="C3424" t="str">
            <v>NIFTYBEES</v>
          </cell>
        </row>
        <row r="3425">
          <cell r="A3425" t="str">
            <v>Reliance ETF PSU Bank BeES</v>
          </cell>
          <cell r="B3425">
            <v>590108</v>
          </cell>
          <cell r="C3425" t="str">
            <v>PSUBNKBEES</v>
          </cell>
        </row>
        <row r="3426">
          <cell r="A3426" t="str">
            <v>Reliance ETF Shariah BeES</v>
          </cell>
          <cell r="B3426">
            <v>590109</v>
          </cell>
          <cell r="C3426" t="str">
            <v>SHARIABEES</v>
          </cell>
        </row>
        <row r="3427">
          <cell r="A3427" t="str">
            <v>RELIANCE HOME FINANCE LTD</v>
          </cell>
          <cell r="B3427">
            <v>540709</v>
          </cell>
          <cell r="C3427" t="str">
            <v>RHFL</v>
          </cell>
        </row>
        <row r="3428">
          <cell r="A3428" t="str">
            <v>RELIANCE INDUSTRIAL INFRASTRUCTURE LTD</v>
          </cell>
          <cell r="B3428">
            <v>523445</v>
          </cell>
          <cell r="C3428" t="str">
            <v>RIIL</v>
          </cell>
        </row>
        <row r="3429">
          <cell r="A3429" t="str">
            <v>RELIANCE INDUSTRIES LTD</v>
          </cell>
          <cell r="B3429">
            <v>500325</v>
          </cell>
          <cell r="C3429" t="str">
            <v>RELIANCE</v>
          </cell>
        </row>
        <row r="3430">
          <cell r="A3430" t="str">
            <v>RELIANCE INFRASTRUCTURE LTD</v>
          </cell>
          <cell r="B3430">
            <v>500390</v>
          </cell>
          <cell r="C3430" t="str">
            <v>RELINFRA</v>
          </cell>
        </row>
        <row r="3431">
          <cell r="A3431" t="str">
            <v>RELIANCE NAVAL AND ENGINEERING LTD</v>
          </cell>
          <cell r="B3431">
            <v>533107</v>
          </cell>
          <cell r="C3431" t="str">
            <v>RNAVAL</v>
          </cell>
        </row>
        <row r="3432">
          <cell r="A3432" t="str">
            <v>RELIANCE NIPPON LIFE ASSET MANAGEMENT LTD</v>
          </cell>
          <cell r="B3432">
            <v>540767</v>
          </cell>
          <cell r="C3432" t="str">
            <v>RNAM</v>
          </cell>
        </row>
        <row r="3433">
          <cell r="A3433" t="str">
            <v>RELIANCE POWER LTD</v>
          </cell>
          <cell r="B3433">
            <v>532939</v>
          </cell>
          <cell r="C3433" t="str">
            <v>RPOWER</v>
          </cell>
        </row>
        <row r="3434">
          <cell r="A3434" t="str">
            <v>RELIC TECHNOLOGIES LTD</v>
          </cell>
          <cell r="B3434">
            <v>511712</v>
          </cell>
          <cell r="C3434" t="str">
            <v>Not Listed</v>
          </cell>
        </row>
        <row r="3435">
          <cell r="A3435" t="str">
            <v>RELICAB CABLE MANUFACTURING LTD</v>
          </cell>
          <cell r="B3435">
            <v>539760</v>
          </cell>
          <cell r="C3435" t="str">
            <v>Not Listed</v>
          </cell>
        </row>
        <row r="3436">
          <cell r="A3436" t="str">
            <v>RELIGARE ENTERPRISES LTD</v>
          </cell>
          <cell r="B3436">
            <v>532915</v>
          </cell>
          <cell r="C3436" t="str">
            <v>RELIGARE</v>
          </cell>
        </row>
        <row r="3437">
          <cell r="A3437" t="str">
            <v>RELSTRUCT BUILDCON LTD</v>
          </cell>
          <cell r="B3437">
            <v>540426</v>
          </cell>
          <cell r="C3437" t="str">
            <v>Not Listed</v>
          </cell>
        </row>
        <row r="3438">
          <cell r="A3438" t="str">
            <v>REMI EDELSTAHL TUBULARS LTD</v>
          </cell>
          <cell r="B3438">
            <v>513043</v>
          </cell>
          <cell r="C3438" t="str">
            <v>Not Listed</v>
          </cell>
        </row>
        <row r="3439">
          <cell r="A3439" t="str">
            <v>REMI ELEKTROTECHNIK LTD</v>
          </cell>
          <cell r="B3439">
            <v>512487</v>
          </cell>
          <cell r="C3439" t="str">
            <v>Not Listed</v>
          </cell>
        </row>
        <row r="3440">
          <cell r="A3440" t="str">
            <v>REMI PROCESS PLANT &amp; MACHINERY LTD</v>
          </cell>
          <cell r="B3440">
            <v>505658</v>
          </cell>
          <cell r="C3440" t="str">
            <v>Not Listed</v>
          </cell>
        </row>
        <row r="3441">
          <cell r="A3441" t="str">
            <v>REMI SALES &amp; ENGINEERING LTD</v>
          </cell>
          <cell r="B3441">
            <v>504360</v>
          </cell>
          <cell r="C3441" t="str">
            <v>Not Listed</v>
          </cell>
        </row>
        <row r="3442">
          <cell r="A3442" t="str">
            <v>REMI SECURITIES LTD</v>
          </cell>
          <cell r="B3442">
            <v>511149</v>
          </cell>
          <cell r="C3442" t="str">
            <v>Not Listed</v>
          </cell>
        </row>
        <row r="3443">
          <cell r="A3443" t="str">
            <v>REMSONS INDUSTRIES LTD.</v>
          </cell>
          <cell r="B3443">
            <v>530919</v>
          </cell>
          <cell r="C3443" t="str">
            <v>REMSONSIND</v>
          </cell>
        </row>
        <row r="3444">
          <cell r="A3444" t="str">
            <v>Renaissance Global LTD</v>
          </cell>
          <cell r="B3444" t="str">
            <v>Not Listed</v>
          </cell>
          <cell r="C3444" t="str">
            <v>RGL</v>
          </cell>
        </row>
        <row r="3445">
          <cell r="A3445" t="str">
            <v>RENAISSANCE JEWELLERY LTD</v>
          </cell>
          <cell r="B3445">
            <v>532923</v>
          </cell>
          <cell r="C3445" t="str">
            <v>RJL</v>
          </cell>
        </row>
        <row r="3446">
          <cell r="A3446" t="str">
            <v>REPCO HOME FINANCE LTD</v>
          </cell>
          <cell r="B3446">
            <v>535322</v>
          </cell>
          <cell r="C3446" t="str">
            <v>REPCOHOME</v>
          </cell>
        </row>
        <row r="3447">
          <cell r="A3447" t="str">
            <v>REPRO (INDIA) LTD</v>
          </cell>
          <cell r="B3447">
            <v>532687</v>
          </cell>
          <cell r="C3447" t="str">
            <v>REPRO</v>
          </cell>
        </row>
        <row r="3448">
          <cell r="A3448" t="str">
            <v>REPRO INDIA LTD</v>
          </cell>
          <cell r="B3448">
            <v>532687</v>
          </cell>
          <cell r="C3448" t="str">
            <v>REPRO</v>
          </cell>
        </row>
        <row r="3449">
          <cell r="A3449" t="str">
            <v>RESONANCE SPECIALTIES LTD</v>
          </cell>
          <cell r="B3449">
            <v>524218</v>
          </cell>
          <cell r="C3449" t="str">
            <v>Not Listed</v>
          </cell>
        </row>
        <row r="3450">
          <cell r="A3450" t="str">
            <v>RESPONSIVE INDUSTRIES LTD</v>
          </cell>
          <cell r="B3450">
            <v>505509</v>
          </cell>
          <cell r="C3450" t="str">
            <v>RESPONIND</v>
          </cell>
        </row>
        <row r="3451">
          <cell r="A3451" t="str">
            <v>RESTILE CERAMICS LTD</v>
          </cell>
          <cell r="B3451">
            <v>515085</v>
          </cell>
          <cell r="C3451" t="str">
            <v>Not Listed</v>
          </cell>
        </row>
        <row r="3452">
          <cell r="A3452" t="str">
            <v>Retro Green Revolution Ltd</v>
          </cell>
          <cell r="B3452">
            <v>519191</v>
          </cell>
          <cell r="C3452" t="str">
            <v>RGRL</v>
          </cell>
        </row>
        <row r="3453">
          <cell r="A3453" t="str">
            <v>REVATHI EQUIPMENT LTD</v>
          </cell>
          <cell r="B3453">
            <v>505368</v>
          </cell>
          <cell r="C3453" t="str">
            <v>REVATHI</v>
          </cell>
        </row>
        <row r="3454">
          <cell r="A3454" t="str">
            <v>REXNORD ELECTRONICS &amp; CONTROLS LTD</v>
          </cell>
          <cell r="B3454">
            <v>531888</v>
          </cell>
          <cell r="C3454" t="str">
            <v>Not Listed</v>
          </cell>
        </row>
        <row r="3455">
          <cell r="A3455" t="str">
            <v>RGF CAPITAL MARKETS LTD</v>
          </cell>
          <cell r="B3455">
            <v>539669</v>
          </cell>
          <cell r="C3455" t="str">
            <v>Not Listed</v>
          </cell>
        </row>
        <row r="3456">
          <cell r="A3456" t="str">
            <v>RIBA TEXTILES LTD</v>
          </cell>
          <cell r="B3456">
            <v>531952</v>
          </cell>
          <cell r="C3456" t="str">
            <v>Not Listed</v>
          </cell>
        </row>
        <row r="3457">
          <cell r="A3457" t="str">
            <v>RICH UNIVERSE NETWORK LTD</v>
          </cell>
          <cell r="B3457">
            <v>530271</v>
          </cell>
          <cell r="C3457" t="str">
            <v>Not Listed</v>
          </cell>
        </row>
        <row r="3458">
          <cell r="A3458" t="str">
            <v>RICHA INDUSTRIES LTD</v>
          </cell>
          <cell r="B3458">
            <v>532766</v>
          </cell>
          <cell r="C3458" t="str">
            <v>Not Listed</v>
          </cell>
        </row>
        <row r="3459">
          <cell r="A3459" t="str">
            <v>RICHFIELD FINANCIAL SERVICES LTD</v>
          </cell>
          <cell r="B3459">
            <v>539435</v>
          </cell>
          <cell r="C3459" t="str">
            <v>Not Listed</v>
          </cell>
        </row>
        <row r="3460">
          <cell r="A3460" t="str">
            <v>RICHIRICH INVENTURES LTD</v>
          </cell>
          <cell r="B3460">
            <v>519230</v>
          </cell>
          <cell r="C3460" t="str">
            <v>Not Listed</v>
          </cell>
        </row>
        <row r="3461">
          <cell r="A3461" t="str">
            <v>RICO AUTO INDUSTRIES LTD</v>
          </cell>
          <cell r="B3461">
            <v>520008</v>
          </cell>
          <cell r="C3461" t="str">
            <v>RICOAUTO</v>
          </cell>
        </row>
        <row r="3462">
          <cell r="A3462" t="str">
            <v>RIDDHI CORPORATE SERVICES LTD</v>
          </cell>
          <cell r="B3462">
            <v>540590</v>
          </cell>
          <cell r="C3462" t="str">
            <v>Not Listed</v>
          </cell>
        </row>
        <row r="3463">
          <cell r="A3463" t="str">
            <v>RIDDHI SIDDHI GLUCO BIOLS LTD</v>
          </cell>
          <cell r="B3463">
            <v>524480</v>
          </cell>
          <cell r="C3463" t="str">
            <v>Not Listed</v>
          </cell>
        </row>
        <row r="3464">
          <cell r="A3464" t="str">
            <v>RIDDHI STEEL AND TUBE LTD</v>
          </cell>
          <cell r="B3464">
            <v>540082</v>
          </cell>
          <cell r="C3464" t="str">
            <v>Not Listed</v>
          </cell>
        </row>
        <row r="3465">
          <cell r="A3465" t="str">
            <v>RIDHI SYNTHETICS LTD</v>
          </cell>
          <cell r="B3465">
            <v>504365</v>
          </cell>
          <cell r="C3465" t="str">
            <v>Not Listed</v>
          </cell>
        </row>
        <row r="3466">
          <cell r="A3466" t="str">
            <v>RIDINGS CONSULTING ENGINEERS (INDIA) LTD</v>
          </cell>
          <cell r="B3466">
            <v>541151</v>
          </cell>
          <cell r="C3466" t="str">
            <v>Not Listed</v>
          </cell>
        </row>
        <row r="3467">
          <cell r="A3467" t="str">
            <v>RIDINGS CONSULTING ENGINEERS INDIA LTD</v>
          </cell>
          <cell r="B3467">
            <v>541151</v>
          </cell>
          <cell r="C3467" t="str">
            <v>Not Listed</v>
          </cell>
        </row>
        <row r="3468">
          <cell r="A3468" t="str">
            <v>RIGA SUGAR COMPANY LTD</v>
          </cell>
          <cell r="B3468">
            <v>507508</v>
          </cell>
          <cell r="C3468" t="str">
            <v>Not Listed</v>
          </cell>
        </row>
        <row r="3469">
          <cell r="A3469" t="str">
            <v>RISA INTERNATIONAL LTD</v>
          </cell>
          <cell r="B3469">
            <v>530251</v>
          </cell>
          <cell r="C3469" t="str">
            <v>Not Listed</v>
          </cell>
        </row>
        <row r="3470">
          <cell r="A3470" t="str">
            <v>RISHAB SPECIAL YARNS LTD</v>
          </cell>
          <cell r="B3470">
            <v>514177</v>
          </cell>
          <cell r="C3470" t="str">
            <v>Not Listed</v>
          </cell>
        </row>
        <row r="3471">
          <cell r="A3471" t="str">
            <v>RISHABH DIGHA STEEL &amp; ALLIED PRODUCTS LTD</v>
          </cell>
          <cell r="B3471">
            <v>531539</v>
          </cell>
          <cell r="C3471" t="str">
            <v>Not Listed</v>
          </cell>
        </row>
        <row r="3472">
          <cell r="A3472" t="str">
            <v>RISHI LASER LTD</v>
          </cell>
          <cell r="B3472">
            <v>526861</v>
          </cell>
          <cell r="C3472" t="str">
            <v>Not Listed</v>
          </cell>
        </row>
        <row r="3473">
          <cell r="A3473" t="str">
            <v>RISHI TECHTEX LTD</v>
          </cell>
          <cell r="B3473">
            <v>523021</v>
          </cell>
          <cell r="C3473" t="str">
            <v>Not Listed</v>
          </cell>
        </row>
        <row r="3474">
          <cell r="A3474" t="str">
            <v>RISHIROOP LTD</v>
          </cell>
          <cell r="B3474">
            <v>526492</v>
          </cell>
          <cell r="C3474" t="str">
            <v>Not Listed</v>
          </cell>
        </row>
        <row r="3475">
          <cell r="A3475" t="str">
            <v>Ritco Logistics Ltd</v>
          </cell>
          <cell r="B3475">
            <v>542383</v>
          </cell>
          <cell r="C3475" t="str">
            <v>RITCO</v>
          </cell>
        </row>
        <row r="3476">
          <cell r="A3476" t="str">
            <v>RITES LTD</v>
          </cell>
          <cell r="B3476">
            <v>541556</v>
          </cell>
          <cell r="C3476" t="str">
            <v>RITES</v>
          </cell>
        </row>
        <row r="3477">
          <cell r="A3477" t="str">
            <v>RITESH INTERNATIONAL LTD</v>
          </cell>
          <cell r="B3477">
            <v>519097</v>
          </cell>
          <cell r="C3477" t="str">
            <v>Not Listed</v>
          </cell>
        </row>
        <row r="3478">
          <cell r="A3478" t="str">
            <v>RITESH PROPERTIES &amp; INDUSTRIES LTD</v>
          </cell>
          <cell r="B3478">
            <v>526407</v>
          </cell>
          <cell r="C3478" t="str">
            <v>Not Listed</v>
          </cell>
        </row>
        <row r="3479">
          <cell r="A3479" t="str">
            <v>RITHWIK FACILITY MANAGEMENT SERVICES LTD</v>
          </cell>
          <cell r="B3479">
            <v>540843</v>
          </cell>
          <cell r="C3479" t="str">
            <v>Not Listed</v>
          </cell>
        </row>
        <row r="3480">
          <cell r="A3480" t="str">
            <v>RKEC PROJECTS LTD</v>
          </cell>
          <cell r="B3480" t="str">
            <v>Not Listed</v>
          </cell>
          <cell r="C3480" t="str">
            <v>RKEC</v>
          </cell>
        </row>
        <row r="3481">
          <cell r="A3481" t="str">
            <v>RLF LTD</v>
          </cell>
          <cell r="B3481">
            <v>512618</v>
          </cell>
          <cell r="C3481" t="str">
            <v>Not Listed</v>
          </cell>
        </row>
        <row r="3482">
          <cell r="A3482" t="str">
            <v>RMC SWITCHGEARS LTD</v>
          </cell>
          <cell r="B3482">
            <v>540358</v>
          </cell>
          <cell r="C3482" t="str">
            <v>Not Listed</v>
          </cell>
        </row>
        <row r="3483">
          <cell r="A3483" t="str">
            <v>RMG ALLOY STEEL LTD</v>
          </cell>
          <cell r="B3483">
            <v>500365</v>
          </cell>
          <cell r="C3483" t="str">
            <v>Not Listed</v>
          </cell>
        </row>
        <row r="3484">
          <cell r="A3484" t="str">
            <v>ROCKON ENTERPRISES LTD</v>
          </cell>
          <cell r="B3484">
            <v>531447</v>
          </cell>
          <cell r="C3484" t="str">
            <v>Not Listed</v>
          </cell>
        </row>
        <row r="3485">
          <cell r="A3485" t="str">
            <v>RODIUM REALTY LTD</v>
          </cell>
          <cell r="B3485">
            <v>531822</v>
          </cell>
          <cell r="C3485" t="str">
            <v>Not Listed</v>
          </cell>
        </row>
        <row r="3486">
          <cell r="A3486" t="str">
            <v>ROHIT FERRO-TECH LTD</v>
          </cell>
          <cell r="B3486">
            <v>532731</v>
          </cell>
          <cell r="C3486" t="str">
            <v>ROHITFERRO</v>
          </cell>
        </row>
        <row r="3487">
          <cell r="A3487" t="str">
            <v>ROLCON ENGINEERING CO LTD</v>
          </cell>
          <cell r="B3487">
            <v>505807</v>
          </cell>
          <cell r="C3487" t="str">
            <v>Not Listed</v>
          </cell>
        </row>
        <row r="3488">
          <cell r="A3488" t="str">
            <v>ROLLATAINERS LTD</v>
          </cell>
          <cell r="B3488">
            <v>502448</v>
          </cell>
          <cell r="C3488" t="str">
            <v>ROLLT</v>
          </cell>
        </row>
        <row r="3489">
          <cell r="A3489" t="str">
            <v>ROLTA (INDIA) LTD</v>
          </cell>
          <cell r="B3489">
            <v>500366</v>
          </cell>
          <cell r="C3489" t="str">
            <v>ROLTA</v>
          </cell>
        </row>
        <row r="3490">
          <cell r="A3490" t="str">
            <v>ROLTA INDIA LTD</v>
          </cell>
          <cell r="B3490">
            <v>500366</v>
          </cell>
          <cell r="C3490" t="str">
            <v>ROLTA</v>
          </cell>
        </row>
        <row r="3491">
          <cell r="A3491" t="str">
            <v>RONI HOUSEHOLDS LTD</v>
          </cell>
          <cell r="B3491">
            <v>542145</v>
          </cell>
          <cell r="C3491" t="str">
            <v>Not Listed</v>
          </cell>
        </row>
        <row r="3492">
          <cell r="A3492" t="str">
            <v>ROOPA INDUSTRIES LTD</v>
          </cell>
          <cell r="B3492">
            <v>530991</v>
          </cell>
          <cell r="C3492" t="str">
            <v>Not Listed</v>
          </cell>
        </row>
        <row r="3493">
          <cell r="A3493" t="str">
            <v>Roopshri Resorts Ltd</v>
          </cell>
          <cell r="B3493">
            <v>542599</v>
          </cell>
          <cell r="C3493" t="str">
            <v>ROOPSHRI</v>
          </cell>
        </row>
        <row r="3494">
          <cell r="A3494" t="str">
            <v>ROSELABS FINANCE LTD</v>
          </cell>
          <cell r="B3494">
            <v>531324</v>
          </cell>
          <cell r="C3494" t="str">
            <v>Not Listed</v>
          </cell>
        </row>
        <row r="3495">
          <cell r="A3495" t="str">
            <v>ROSSELL (INDIA) LTD</v>
          </cell>
          <cell r="B3495">
            <v>533168</v>
          </cell>
          <cell r="C3495" t="str">
            <v>ROSSELLIND</v>
          </cell>
        </row>
        <row r="3496">
          <cell r="A3496" t="str">
            <v>ROSSELL INDIA LTD</v>
          </cell>
          <cell r="B3496">
            <v>533168</v>
          </cell>
          <cell r="C3496" t="str">
            <v>ROSSELLIND</v>
          </cell>
        </row>
        <row r="3497">
          <cell r="A3497" t="str">
            <v>ROTO PUMPS LTD</v>
          </cell>
          <cell r="B3497">
            <v>517500</v>
          </cell>
          <cell r="C3497" t="str">
            <v>Not Listed</v>
          </cell>
        </row>
        <row r="3498">
          <cell r="A3498" t="str">
            <v>ROTOGRAPHICS (INDIA) LTD</v>
          </cell>
          <cell r="B3498">
            <v>539922</v>
          </cell>
          <cell r="C3498" t="str">
            <v>Not Listed</v>
          </cell>
        </row>
        <row r="3499">
          <cell r="A3499" t="str">
            <v>ROTOGRAPHICS INDIA LTD</v>
          </cell>
          <cell r="B3499">
            <v>539922</v>
          </cell>
          <cell r="C3499" t="str">
            <v>Not Listed</v>
          </cell>
        </row>
        <row r="3500">
          <cell r="A3500" t="str">
            <v>ROYAL CUSHION VINYL PRODUCTS LTD</v>
          </cell>
          <cell r="B3500">
            <v>526193</v>
          </cell>
          <cell r="C3500" t="str">
            <v>Not Listed</v>
          </cell>
        </row>
        <row r="3501">
          <cell r="A3501" t="str">
            <v>ROYAL INDIA CORPORATION LTD</v>
          </cell>
          <cell r="B3501">
            <v>512047</v>
          </cell>
          <cell r="C3501" t="str">
            <v>Not Listed</v>
          </cell>
        </row>
        <row r="3502">
          <cell r="A3502" t="str">
            <v>ROYAL ORCHID HOTELS LTD</v>
          </cell>
          <cell r="B3502">
            <v>532699</v>
          </cell>
          <cell r="C3502" t="str">
            <v>ROHLTD</v>
          </cell>
        </row>
        <row r="3503">
          <cell r="A3503" t="str">
            <v>ROYALE MANOR HOTELS &amp; INDUSTRIES LTD</v>
          </cell>
          <cell r="B3503">
            <v>526640</v>
          </cell>
          <cell r="C3503" t="str">
            <v>Not Listed</v>
          </cell>
        </row>
        <row r="3504">
          <cell r="A3504" t="str">
            <v>RPG LIFE SCIENCES LTD</v>
          </cell>
          <cell r="B3504">
            <v>532983</v>
          </cell>
          <cell r="C3504" t="str">
            <v>RPGLIFE</v>
          </cell>
        </row>
        <row r="3505">
          <cell r="A3505" t="str">
            <v>RR FINANCIAL CONSULTANTS LTD</v>
          </cell>
          <cell r="B3505">
            <v>511626</v>
          </cell>
          <cell r="C3505" t="str">
            <v>Not Listed</v>
          </cell>
        </row>
        <row r="3506">
          <cell r="A3506" t="str">
            <v>RSC INTERNATIONAL LTD</v>
          </cell>
          <cell r="B3506">
            <v>530179</v>
          </cell>
          <cell r="C3506" t="str">
            <v>Not Listed</v>
          </cell>
        </row>
        <row r="3507">
          <cell r="A3507" t="str">
            <v>RSD FINANCE LTD</v>
          </cell>
          <cell r="B3507">
            <v>539875</v>
          </cell>
          <cell r="C3507" t="str">
            <v>Not Listed</v>
          </cell>
        </row>
        <row r="3508">
          <cell r="A3508" t="str">
            <v>RSWM LTD</v>
          </cell>
          <cell r="B3508">
            <v>500350</v>
          </cell>
          <cell r="C3508" t="str">
            <v>RSWM</v>
          </cell>
        </row>
        <row r="3509">
          <cell r="A3509" t="str">
            <v>RTS POWER CORPORATION LTD</v>
          </cell>
          <cell r="B3509">
            <v>531215</v>
          </cell>
          <cell r="C3509" t="str">
            <v>Not Listed</v>
          </cell>
        </row>
        <row r="3510">
          <cell r="A3510" t="str">
            <v>RUBFILA INTERNATIONAL LTD</v>
          </cell>
          <cell r="B3510">
            <v>500367</v>
          </cell>
          <cell r="C3510" t="str">
            <v>Not Listed</v>
          </cell>
        </row>
        <row r="3511">
          <cell r="A3511" t="str">
            <v>RUBRA MEDICAMENTS LTD</v>
          </cell>
          <cell r="B3511">
            <v>531099</v>
          </cell>
          <cell r="C3511" t="str">
            <v>Not Listed</v>
          </cell>
        </row>
        <row r="3512">
          <cell r="A3512" t="str">
            <v>RUCHI INFRASTRUCTURE LTD</v>
          </cell>
          <cell r="B3512">
            <v>509020</v>
          </cell>
          <cell r="C3512" t="str">
            <v>RUCHINFRA</v>
          </cell>
        </row>
        <row r="3513">
          <cell r="A3513" t="str">
            <v>RUCHI SOYA INDUSTRIES LTD</v>
          </cell>
          <cell r="B3513">
            <v>500368</v>
          </cell>
          <cell r="C3513" t="str">
            <v>RUCHISOYA</v>
          </cell>
        </row>
        <row r="3514">
          <cell r="A3514" t="str">
            <v>RUCHIKA INDUSTRIES (INDIA) LTD</v>
          </cell>
          <cell r="B3514">
            <v>540696</v>
          </cell>
          <cell r="C3514" t="str">
            <v>Not Listed</v>
          </cell>
        </row>
        <row r="3515">
          <cell r="A3515" t="str">
            <v>RUCHIKA INDUSTRIES INDIA LTD</v>
          </cell>
          <cell r="B3515">
            <v>540696</v>
          </cell>
          <cell r="C3515" t="str">
            <v>Not Listed</v>
          </cell>
        </row>
        <row r="3516">
          <cell r="A3516" t="str">
            <v>RUCHIRA PAPERS LTD</v>
          </cell>
          <cell r="B3516">
            <v>532785</v>
          </cell>
          <cell r="C3516" t="str">
            <v>RUCHIRA</v>
          </cell>
        </row>
        <row r="3517">
          <cell r="A3517" t="str">
            <v>RUDRA GLOBAL INFRA PRODUCTS LTD</v>
          </cell>
          <cell r="B3517">
            <v>539226</v>
          </cell>
          <cell r="C3517" t="str">
            <v>Not Listed</v>
          </cell>
        </row>
        <row r="3518">
          <cell r="A3518" t="str">
            <v>RUDRABHISHEK ENTERPRISES LTD</v>
          </cell>
          <cell r="B3518" t="str">
            <v>Not Listed</v>
          </cell>
          <cell r="C3518" t="str">
            <v>REPL</v>
          </cell>
        </row>
        <row r="3519">
          <cell r="A3519" t="str">
            <v>RUIA AQUACULTURE FARMS LTD</v>
          </cell>
          <cell r="B3519">
            <v>519413</v>
          </cell>
          <cell r="C3519" t="str">
            <v>Not Listed</v>
          </cell>
        </row>
        <row r="3520">
          <cell r="A3520" t="str">
            <v>RUNGTA IRRIGATION LTD</v>
          </cell>
          <cell r="B3520">
            <v>530449</v>
          </cell>
          <cell r="C3520" t="str">
            <v>Not Listed</v>
          </cell>
        </row>
        <row r="3521">
          <cell r="A3521" t="str">
            <v>RUPA &amp; COMPANY LTD</v>
          </cell>
          <cell r="B3521">
            <v>533552</v>
          </cell>
          <cell r="C3521" t="str">
            <v>RUPA</v>
          </cell>
        </row>
        <row r="3522">
          <cell r="A3522" t="str">
            <v>RUSHIL DECOR LTD</v>
          </cell>
          <cell r="B3522">
            <v>533470</v>
          </cell>
          <cell r="C3522" t="str">
            <v>RUSHIL</v>
          </cell>
        </row>
        <row r="3523">
          <cell r="A3523" t="str">
            <v>RUTRON INTERNATIONAL LTD</v>
          </cell>
          <cell r="B3523">
            <v>504335</v>
          </cell>
          <cell r="C3523" t="str">
            <v>Not Listed</v>
          </cell>
        </row>
        <row r="3524">
          <cell r="A3524" t="str">
            <v>RUTTONSHA INTERNATIONAL RECTIFIER LTD</v>
          </cell>
          <cell r="B3524">
            <v>517035</v>
          </cell>
          <cell r="C3524" t="str">
            <v>Not Listed</v>
          </cell>
        </row>
        <row r="3525">
          <cell r="A3525" t="str">
            <v>S  M  GOLD LTD</v>
          </cell>
          <cell r="B3525">
            <v>542034</v>
          </cell>
          <cell r="C3525" t="str">
            <v>Not Listed</v>
          </cell>
        </row>
        <row r="3526">
          <cell r="A3526" t="str">
            <v>S A L STEEL LTD</v>
          </cell>
          <cell r="B3526">
            <v>532604</v>
          </cell>
          <cell r="C3526" t="str">
            <v>SALSTEEL</v>
          </cell>
        </row>
        <row r="3527">
          <cell r="A3527" t="str">
            <v>S CHAND AND COMPANY LTD</v>
          </cell>
          <cell r="B3527">
            <v>540497</v>
          </cell>
          <cell r="C3527" t="str">
            <v>SCHAND</v>
          </cell>
        </row>
        <row r="3528">
          <cell r="A3528" t="str">
            <v>S E POWER LTD</v>
          </cell>
          <cell r="B3528">
            <v>534598</v>
          </cell>
          <cell r="C3528" t="str">
            <v>SEPOWER</v>
          </cell>
        </row>
        <row r="3529">
          <cell r="A3529" t="str">
            <v>S H KELKAR AND COMPANY LTD</v>
          </cell>
          <cell r="B3529">
            <v>539450</v>
          </cell>
          <cell r="C3529" t="str">
            <v>SHK</v>
          </cell>
        </row>
        <row r="3530">
          <cell r="A3530" t="str">
            <v>S KUMARS.COM LTD.</v>
          </cell>
          <cell r="B3530">
            <v>532316</v>
          </cell>
          <cell r="C3530" t="str">
            <v>SKUMAR</v>
          </cell>
        </row>
        <row r="3531">
          <cell r="A3531" t="str">
            <v>S P APPARELS LTD</v>
          </cell>
          <cell r="B3531">
            <v>540048</v>
          </cell>
          <cell r="C3531" t="str">
            <v>SPAL</v>
          </cell>
        </row>
        <row r="3532">
          <cell r="A3532" t="str">
            <v>S R G SECURITIES FINANCE LTD</v>
          </cell>
          <cell r="B3532">
            <v>536710</v>
          </cell>
          <cell r="C3532" t="str">
            <v>Not Listed</v>
          </cell>
        </row>
        <row r="3533">
          <cell r="A3533" t="str">
            <v>S R INDUSTRIES LTD</v>
          </cell>
          <cell r="B3533">
            <v>513515</v>
          </cell>
          <cell r="C3533" t="str">
            <v>Not Listed</v>
          </cell>
        </row>
        <row r="3534">
          <cell r="A3534" t="str">
            <v>S R K INDUSTRIES LTD</v>
          </cell>
          <cell r="B3534">
            <v>531307</v>
          </cell>
          <cell r="C3534" t="str">
            <v>Not Listed</v>
          </cell>
        </row>
        <row r="3535">
          <cell r="A3535" t="str">
            <v>S S INFRASTRUCTURE DEVELOPMENT CONSULTANTS LTD</v>
          </cell>
          <cell r="B3535" t="str">
            <v>Not Listed</v>
          </cell>
          <cell r="C3535" t="str">
            <v>SSINFRA</v>
          </cell>
        </row>
        <row r="3536">
          <cell r="A3536" t="str">
            <v>S T SERVICES LTD</v>
          </cell>
          <cell r="B3536">
            <v>538876</v>
          </cell>
          <cell r="C3536" t="str">
            <v>Not Listed</v>
          </cell>
        </row>
        <row r="3537">
          <cell r="A3537" t="str">
            <v>S V GLOBAL MILL LTD</v>
          </cell>
          <cell r="B3537">
            <v>535621</v>
          </cell>
          <cell r="C3537" t="str">
            <v>Not Listed</v>
          </cell>
        </row>
        <row r="3538">
          <cell r="A3538" t="str">
            <v>S V TRADING &amp; AGENCIES LTD</v>
          </cell>
          <cell r="B3538">
            <v>503622</v>
          </cell>
          <cell r="C3538" t="str">
            <v>Not Listed</v>
          </cell>
        </row>
        <row r="3539">
          <cell r="A3539" t="str">
            <v>S&amp;T CORPORATION LTD</v>
          </cell>
          <cell r="B3539">
            <v>514197</v>
          </cell>
          <cell r="C3539" t="str">
            <v>Not Listed</v>
          </cell>
        </row>
        <row r="3540">
          <cell r="A3540" t="str">
            <v>SAB EVENTS &amp; GOVERNANCE NOW MEDIA LTD</v>
          </cell>
          <cell r="B3540">
            <v>540081</v>
          </cell>
          <cell r="C3540" t="str">
            <v>SABEVENTS</v>
          </cell>
        </row>
        <row r="3541">
          <cell r="A3541" t="str">
            <v>SAB INDUSTRIES LTD</v>
          </cell>
          <cell r="B3541">
            <v>539112</v>
          </cell>
          <cell r="C3541" t="str">
            <v>Not Listed</v>
          </cell>
        </row>
        <row r="3542">
          <cell r="A3542" t="str">
            <v>SABOO BROTHERS LTD</v>
          </cell>
          <cell r="B3542">
            <v>530267</v>
          </cell>
          <cell r="C3542" t="str">
            <v>Not Listed</v>
          </cell>
        </row>
        <row r="3543">
          <cell r="A3543" t="str">
            <v>SABOO SODIUM CHLORO LTD</v>
          </cell>
          <cell r="B3543">
            <v>530461</v>
          </cell>
          <cell r="C3543" t="str">
            <v>Not Listed</v>
          </cell>
        </row>
        <row r="3544">
          <cell r="A3544" t="str">
            <v>SABRIMALA INDUSTRIES (INDIA) LTD</v>
          </cell>
          <cell r="B3544">
            <v>540132</v>
          </cell>
          <cell r="C3544" t="str">
            <v>Not Listed</v>
          </cell>
        </row>
        <row r="3545">
          <cell r="A3545" t="str">
            <v>SABRIMALA INDUSTRIES INDIA LTD</v>
          </cell>
          <cell r="B3545">
            <v>540132</v>
          </cell>
          <cell r="C3545" t="str">
            <v>Not Listed</v>
          </cell>
        </row>
        <row r="3546">
          <cell r="A3546" t="str">
            <v>SACHETA METALS LTD</v>
          </cell>
          <cell r="B3546">
            <v>531869</v>
          </cell>
          <cell r="C3546" t="str">
            <v>Not Listed</v>
          </cell>
        </row>
        <row r="3547">
          <cell r="A3547" t="str">
            <v>SADBHAV ENGINEERING LTD</v>
          </cell>
          <cell r="B3547">
            <v>532710</v>
          </cell>
          <cell r="C3547" t="str">
            <v>SADBHAV</v>
          </cell>
        </row>
        <row r="3548">
          <cell r="A3548" t="str">
            <v>SADBHAV INFRASTRUCTURE PROJECT LTD</v>
          </cell>
          <cell r="B3548">
            <v>539346</v>
          </cell>
          <cell r="C3548" t="str">
            <v>SADBHIN</v>
          </cell>
        </row>
        <row r="3549">
          <cell r="A3549" t="str">
            <v>SADHANA NITROCHEM LTD</v>
          </cell>
          <cell r="B3549">
            <v>506642</v>
          </cell>
          <cell r="C3549" t="str">
            <v>Not Listed</v>
          </cell>
        </row>
        <row r="3550">
          <cell r="A3550" t="str">
            <v>SADHNA BROADCAST LTD</v>
          </cell>
          <cell r="B3550">
            <v>540821</v>
          </cell>
          <cell r="C3550" t="str">
            <v>Not Listed</v>
          </cell>
        </row>
        <row r="3551">
          <cell r="A3551" t="str">
            <v>SAFAL HERBS LTD</v>
          </cell>
          <cell r="B3551">
            <v>532034</v>
          </cell>
          <cell r="C3551" t="str">
            <v>Not Listed</v>
          </cell>
        </row>
        <row r="3552">
          <cell r="A3552" t="str">
            <v>SAFAL SECURITIES LTD</v>
          </cell>
          <cell r="B3552">
            <v>531448</v>
          </cell>
          <cell r="C3552" t="str">
            <v>Not Listed</v>
          </cell>
        </row>
        <row r="3553">
          <cell r="A3553" t="str">
            <v>SAFARI INDUSTRIES (INDIA) LTD</v>
          </cell>
          <cell r="B3553">
            <v>523025</v>
          </cell>
          <cell r="C3553" t="str">
            <v>Not Listed</v>
          </cell>
        </row>
        <row r="3554">
          <cell r="A3554" t="str">
            <v>SAFARI INDUSTRIES INDIA LTD</v>
          </cell>
          <cell r="B3554">
            <v>523025</v>
          </cell>
          <cell r="C3554" t="str">
            <v>Not Listed</v>
          </cell>
        </row>
        <row r="3555">
          <cell r="A3555" t="str">
            <v>SAGAR CEMENTS LTD</v>
          </cell>
          <cell r="B3555">
            <v>502090</v>
          </cell>
          <cell r="C3555" t="str">
            <v>SAGCEM</v>
          </cell>
        </row>
        <row r="3556">
          <cell r="A3556" t="str">
            <v>SAGAR DIAMONDS LTD</v>
          </cell>
          <cell r="B3556">
            <v>540715</v>
          </cell>
          <cell r="C3556" t="str">
            <v>Not Listed</v>
          </cell>
        </row>
        <row r="3557">
          <cell r="A3557" t="str">
            <v>SAGAR PRODUCTIONS LTD</v>
          </cell>
          <cell r="B3557">
            <v>532092</v>
          </cell>
          <cell r="C3557" t="str">
            <v>Not Listed</v>
          </cell>
        </row>
        <row r="3558">
          <cell r="A3558" t="str">
            <v>SAGAR SOYA PRODUCTS LTD</v>
          </cell>
          <cell r="B3558">
            <v>507663</v>
          </cell>
          <cell r="C3558" t="str">
            <v>Not Listed</v>
          </cell>
        </row>
        <row r="3559">
          <cell r="A3559" t="str">
            <v>SAGAR SYSTECH LTD</v>
          </cell>
          <cell r="B3559">
            <v>511254</v>
          </cell>
          <cell r="C3559" t="str">
            <v>Not Listed</v>
          </cell>
        </row>
        <row r="3560">
          <cell r="A3560" t="str">
            <v>SAGAR TOURIST RESORTS LTD</v>
          </cell>
          <cell r="B3560">
            <v>526085</v>
          </cell>
          <cell r="C3560" t="str">
            <v>Not Listed</v>
          </cell>
        </row>
        <row r="3561">
          <cell r="A3561" t="str">
            <v>SAGARDEEP ALLOYS LTD</v>
          </cell>
          <cell r="B3561" t="str">
            <v>Not Listed</v>
          </cell>
          <cell r="C3561" t="str">
            <v>SAGARDEEP</v>
          </cell>
        </row>
        <row r="3562">
          <cell r="A3562" t="str">
            <v>SAGARSOFT (INDIA) LTD</v>
          </cell>
          <cell r="B3562">
            <v>540143</v>
          </cell>
          <cell r="C3562" t="str">
            <v>Not Listed</v>
          </cell>
        </row>
        <row r="3563">
          <cell r="A3563" t="str">
            <v>SAGARSOFT INDIA LTD</v>
          </cell>
          <cell r="B3563">
            <v>540143</v>
          </cell>
          <cell r="C3563" t="str">
            <v>Not Listed</v>
          </cell>
        </row>
        <row r="3564">
          <cell r="A3564" t="str">
            <v>SAHARA HOUSINGFINA CORPORATION LTD</v>
          </cell>
          <cell r="B3564">
            <v>511533</v>
          </cell>
          <cell r="C3564" t="str">
            <v>Not Listed</v>
          </cell>
        </row>
        <row r="3565">
          <cell r="A3565" t="str">
            <v>SAHARA ONE MEDIA &amp; ENTERTAINMENT LTD</v>
          </cell>
          <cell r="B3565">
            <v>503691</v>
          </cell>
          <cell r="C3565" t="str">
            <v>Not Listed</v>
          </cell>
        </row>
        <row r="3566">
          <cell r="A3566" t="str">
            <v>SAHYADRI INDUSTRIES LTD</v>
          </cell>
          <cell r="B3566">
            <v>532841</v>
          </cell>
          <cell r="C3566" t="str">
            <v>Not Listed</v>
          </cell>
        </row>
        <row r="3567">
          <cell r="A3567" t="str">
            <v>SAHYOG MULTIBASE LTD</v>
          </cell>
          <cell r="B3567">
            <v>539660</v>
          </cell>
          <cell r="C3567" t="str">
            <v>Not Listed</v>
          </cell>
        </row>
        <row r="3568">
          <cell r="A3568" t="str">
            <v>SAI BABA INVESTMENT AND COMMERCIAL ENTERPRISES LTD</v>
          </cell>
          <cell r="B3568">
            <v>538557</v>
          </cell>
          <cell r="C3568" t="str">
            <v>Not Listed</v>
          </cell>
        </row>
        <row r="3569">
          <cell r="A3569" t="str">
            <v>SAI CAPITAL LTD</v>
          </cell>
          <cell r="B3569">
            <v>531931</v>
          </cell>
          <cell r="C3569" t="str">
            <v>Not Listed</v>
          </cell>
        </row>
        <row r="3570">
          <cell r="A3570" t="str">
            <v>SAI INDUSTRIES LTD</v>
          </cell>
          <cell r="B3570">
            <v>530905</v>
          </cell>
          <cell r="C3570" t="str">
            <v>Not Listed</v>
          </cell>
        </row>
        <row r="3571">
          <cell r="A3571" t="str">
            <v>SAI MOH AUTO LINKS LTD</v>
          </cell>
          <cell r="B3571">
            <v>540066</v>
          </cell>
          <cell r="C3571" t="str">
            <v>Not Listed</v>
          </cell>
        </row>
        <row r="3572">
          <cell r="A3572" t="str">
            <v>SAINIK FINANCE &amp; INDUSTRIES LTD</v>
          </cell>
          <cell r="B3572">
            <v>530265</v>
          </cell>
          <cell r="C3572" t="str">
            <v>Not Listed</v>
          </cell>
        </row>
        <row r="3573">
          <cell r="A3573" t="str">
            <v>SAINT-GOBAIN SEKURIT (INDIA) LTD</v>
          </cell>
          <cell r="B3573">
            <v>515043</v>
          </cell>
          <cell r="C3573" t="str">
            <v>Not Listed</v>
          </cell>
        </row>
        <row r="3574">
          <cell r="A3574" t="str">
            <v>SAINT-GOBAIN SEKURIT INDIA LTD</v>
          </cell>
          <cell r="B3574">
            <v>515043</v>
          </cell>
          <cell r="C3574" t="str">
            <v>Not Listed</v>
          </cell>
        </row>
        <row r="3575">
          <cell r="A3575" t="str">
            <v>SAKAR HEALTHCARE LTD</v>
          </cell>
          <cell r="B3575" t="str">
            <v>Not Listed</v>
          </cell>
          <cell r="C3575" t="str">
            <v>SAKAR</v>
          </cell>
        </row>
        <row r="3576">
          <cell r="A3576" t="str">
            <v>SAKETH EXIM LTD</v>
          </cell>
          <cell r="B3576" t="str">
            <v>Not Listed</v>
          </cell>
          <cell r="C3576" t="str">
            <v>SAKETH</v>
          </cell>
        </row>
        <row r="3577">
          <cell r="A3577" t="str">
            <v>SAKSOFT LTD</v>
          </cell>
          <cell r="B3577">
            <v>590051</v>
          </cell>
          <cell r="C3577" t="str">
            <v>SAKSOFT</v>
          </cell>
        </row>
        <row r="3578">
          <cell r="A3578" t="str">
            <v>SAKTHI FINANCE LTD</v>
          </cell>
          <cell r="B3578">
            <v>511066</v>
          </cell>
          <cell r="C3578" t="str">
            <v>Not Listed</v>
          </cell>
        </row>
        <row r="3579">
          <cell r="A3579" t="str">
            <v>SAKTHI SUGARS LTD</v>
          </cell>
          <cell r="B3579">
            <v>507315</v>
          </cell>
          <cell r="C3579" t="str">
            <v>SAKHTISUG</v>
          </cell>
        </row>
        <row r="3580">
          <cell r="A3580" t="str">
            <v>SAKUMA EXPORTS LTD</v>
          </cell>
          <cell r="B3580">
            <v>532713</v>
          </cell>
          <cell r="C3580" t="str">
            <v>SAKUMA</v>
          </cell>
        </row>
        <row r="3581">
          <cell r="A3581" t="str">
            <v>SALASAR TECHNO ENGINEERING LTD</v>
          </cell>
          <cell r="B3581">
            <v>540642</v>
          </cell>
          <cell r="C3581" t="str">
            <v>SALASAR</v>
          </cell>
        </row>
        <row r="3582">
          <cell r="A3582" t="str">
            <v>SALEM ERODE INVESTMENTS LTD</v>
          </cell>
          <cell r="B3582">
            <v>540181</v>
          </cell>
          <cell r="C3582" t="str">
            <v>Not Listed</v>
          </cell>
        </row>
        <row r="3583">
          <cell r="A3583" t="str">
            <v>SALGUTI INDUSTRIES LTD</v>
          </cell>
          <cell r="B3583">
            <v>526554</v>
          </cell>
          <cell r="C3583" t="str">
            <v>Not Listed</v>
          </cell>
        </row>
        <row r="3584">
          <cell r="A3584" t="str">
            <v>SALONA COTSPIN LTD</v>
          </cell>
          <cell r="B3584">
            <v>590056</v>
          </cell>
          <cell r="C3584" t="str">
            <v>SALONA</v>
          </cell>
        </row>
        <row r="3585">
          <cell r="A3585" t="str">
            <v>SALORA INTERNATIONAL LTD</v>
          </cell>
          <cell r="B3585">
            <v>500370</v>
          </cell>
          <cell r="C3585" t="str">
            <v>SALORAINTL</v>
          </cell>
        </row>
        <row r="3586">
          <cell r="A3586" t="str">
            <v>SALZER ELECTRONICS LTD</v>
          </cell>
          <cell r="B3586">
            <v>517059</v>
          </cell>
          <cell r="C3586" t="str">
            <v>SALZERELEC</v>
          </cell>
        </row>
        <row r="3587">
          <cell r="A3587" t="str">
            <v>SAM INDUSTRIES LTD</v>
          </cell>
          <cell r="B3587">
            <v>532005</v>
          </cell>
          <cell r="C3587" t="str">
            <v>Not Listed</v>
          </cell>
        </row>
        <row r="3588">
          <cell r="A3588" t="str">
            <v>SAMBANDAM SPINNING MILLS LTD</v>
          </cell>
          <cell r="B3588">
            <v>521240</v>
          </cell>
          <cell r="C3588" t="str">
            <v>Not Listed</v>
          </cell>
        </row>
        <row r="3589">
          <cell r="A3589" t="str">
            <v>SAMBHAAV MEDIA LTD</v>
          </cell>
          <cell r="B3589">
            <v>511630</v>
          </cell>
          <cell r="C3589" t="str">
            <v>SAMBHAAV</v>
          </cell>
        </row>
        <row r="3590">
          <cell r="A3590" t="str">
            <v>SAMKRG PISTONS &amp; RINGS LTD</v>
          </cell>
          <cell r="B3590">
            <v>520075</v>
          </cell>
          <cell r="C3590" t="str">
            <v>Not Listed</v>
          </cell>
        </row>
        <row r="3591">
          <cell r="A3591" t="str">
            <v>SAMPRE NUTRITIONS LTD</v>
          </cell>
          <cell r="B3591">
            <v>530617</v>
          </cell>
          <cell r="C3591" t="str">
            <v>Not Listed</v>
          </cell>
        </row>
        <row r="3592">
          <cell r="A3592" t="str">
            <v>SAMRAT PHARMACHEM LTD</v>
          </cell>
          <cell r="B3592">
            <v>530125</v>
          </cell>
          <cell r="C3592" t="str">
            <v>Not Listed</v>
          </cell>
        </row>
        <row r="3593">
          <cell r="A3593" t="str">
            <v>SAMTEL (INDIA) LTD</v>
          </cell>
          <cell r="B3593">
            <v>500371</v>
          </cell>
          <cell r="C3593" t="str">
            <v>Not Listed</v>
          </cell>
        </row>
        <row r="3594">
          <cell r="A3594" t="str">
            <v>SAMTEL INDIA LTD</v>
          </cell>
          <cell r="B3594">
            <v>500371</v>
          </cell>
          <cell r="C3594" t="str">
            <v>Not Listed</v>
          </cell>
        </row>
        <row r="3595">
          <cell r="A3595" t="str">
            <v>SAMTEX FASHIONS LTD</v>
          </cell>
          <cell r="B3595">
            <v>521206</v>
          </cell>
          <cell r="C3595" t="str">
            <v>Not Listed</v>
          </cell>
        </row>
        <row r="3596">
          <cell r="A3596" t="str">
            <v>SAMYAK INTERNATIONAL LTD</v>
          </cell>
          <cell r="B3596">
            <v>530025</v>
          </cell>
          <cell r="C3596" t="str">
            <v>Not Listed</v>
          </cell>
        </row>
        <row r="3597">
          <cell r="A3597" t="str">
            <v>SANASA TECH FEB LTD</v>
          </cell>
          <cell r="B3597">
            <v>780015</v>
          </cell>
          <cell r="C3597" t="str">
            <v>Not Listed</v>
          </cell>
        </row>
        <row r="3598">
          <cell r="A3598" t="str">
            <v>SANATHNAGAR ENTERPRISES LTD</v>
          </cell>
          <cell r="B3598">
            <v>509423</v>
          </cell>
          <cell r="C3598" t="str">
            <v>Not Listed</v>
          </cell>
        </row>
        <row r="3599">
          <cell r="A3599" t="str">
            <v>SANBLUE CORPORATION LTD</v>
          </cell>
          <cell r="B3599">
            <v>521222</v>
          </cell>
          <cell r="C3599" t="str">
            <v>Not Listed</v>
          </cell>
        </row>
        <row r="3600">
          <cell r="A3600" t="str">
            <v>SANCO INDUSTRIES LTD</v>
          </cell>
          <cell r="B3600" t="str">
            <v>Not Listed</v>
          </cell>
          <cell r="C3600" t="str">
            <v>SANCO</v>
          </cell>
        </row>
        <row r="3601">
          <cell r="A3601" t="str">
            <v>SANCO TRANS LTD</v>
          </cell>
          <cell r="B3601">
            <v>523116</v>
          </cell>
          <cell r="C3601" t="str">
            <v>Not Listed</v>
          </cell>
        </row>
        <row r="3602">
          <cell r="A3602" t="str">
            <v>SANDHAR TECHNOLOGIES LTD</v>
          </cell>
          <cell r="B3602">
            <v>541163</v>
          </cell>
          <cell r="C3602" t="str">
            <v>SANDHAR</v>
          </cell>
        </row>
        <row r="3603">
          <cell r="A3603" t="str">
            <v>SANDU PHARMACEUTICALS LTD</v>
          </cell>
          <cell r="B3603">
            <v>524703</v>
          </cell>
          <cell r="C3603" t="str">
            <v>Not Listed</v>
          </cell>
        </row>
        <row r="3604">
          <cell r="A3604" t="str">
            <v>SANDUR MANGANESE &amp; IRON ORES LTD</v>
          </cell>
          <cell r="B3604">
            <v>504918</v>
          </cell>
          <cell r="C3604" t="str">
            <v>Not Listed</v>
          </cell>
        </row>
        <row r="3605">
          <cell r="A3605" t="str">
            <v>SANG FROID LABS (INDIA) LTD</v>
          </cell>
          <cell r="B3605">
            <v>539392</v>
          </cell>
          <cell r="C3605" t="str">
            <v>Not Listed</v>
          </cell>
        </row>
        <row r="3606">
          <cell r="A3606" t="str">
            <v>SANG FROID LABS INDIA LTD</v>
          </cell>
          <cell r="B3606">
            <v>539392</v>
          </cell>
          <cell r="C3606" t="str">
            <v>Not Listed</v>
          </cell>
        </row>
        <row r="3607">
          <cell r="A3607" t="str">
            <v>SANGAL PAPERS LTD</v>
          </cell>
          <cell r="B3607">
            <v>516096</v>
          </cell>
          <cell r="C3607" t="str">
            <v>Not Listed</v>
          </cell>
        </row>
        <row r="3608">
          <cell r="A3608" t="str">
            <v>SANGAM (INDIA) LTD</v>
          </cell>
          <cell r="B3608">
            <v>514234</v>
          </cell>
          <cell r="C3608" t="str">
            <v>SANGAMIND</v>
          </cell>
        </row>
        <row r="3609">
          <cell r="A3609" t="str">
            <v>SANGAM INDIA LTD</v>
          </cell>
          <cell r="B3609">
            <v>514234</v>
          </cell>
          <cell r="C3609" t="str">
            <v>SANGAMIND</v>
          </cell>
        </row>
        <row r="3610">
          <cell r="A3610" t="str">
            <v>SANGAM RENEWABLES LTD</v>
          </cell>
          <cell r="B3610">
            <v>534618</v>
          </cell>
          <cell r="C3610" t="str">
            <v>Not Listed</v>
          </cell>
        </row>
        <row r="3611">
          <cell r="A3611" t="str">
            <v>SANGHI CORPORATE SERVICES LTD</v>
          </cell>
          <cell r="B3611">
            <v>511640</v>
          </cell>
          <cell r="C3611" t="str">
            <v>Not Listed</v>
          </cell>
        </row>
        <row r="3612">
          <cell r="A3612" t="str">
            <v>SANGHI INDUSTRIES LTD</v>
          </cell>
          <cell r="B3612">
            <v>526521</v>
          </cell>
          <cell r="C3612" t="str">
            <v>SANGHIIND</v>
          </cell>
        </row>
        <row r="3613">
          <cell r="A3613" t="str">
            <v>SANGHVI BRANDS LTD</v>
          </cell>
          <cell r="B3613">
            <v>540782</v>
          </cell>
          <cell r="C3613" t="str">
            <v>Not Listed</v>
          </cell>
        </row>
        <row r="3614">
          <cell r="A3614" t="str">
            <v>SANGHVI FORGING AND ENGINEERING LTD</v>
          </cell>
          <cell r="B3614">
            <v>533411</v>
          </cell>
          <cell r="C3614" t="str">
            <v>SANGHVIFOR</v>
          </cell>
        </row>
        <row r="3615">
          <cell r="A3615" t="str">
            <v>SANGHVI MOVERS LTD</v>
          </cell>
          <cell r="B3615">
            <v>530073</v>
          </cell>
          <cell r="C3615" t="str">
            <v>SANGHVIMOV</v>
          </cell>
        </row>
        <row r="3616">
          <cell r="A3616" t="str">
            <v>SANGINITA CHEMICALS LTD</v>
          </cell>
          <cell r="B3616" t="str">
            <v>Not Listed</v>
          </cell>
          <cell r="C3616" t="str">
            <v>SANGINITA</v>
          </cell>
        </row>
        <row r="3617">
          <cell r="A3617" t="str">
            <v>SANGUINE MEDIA LTD</v>
          </cell>
          <cell r="B3617">
            <v>531898</v>
          </cell>
          <cell r="C3617" t="str">
            <v>Not Listed</v>
          </cell>
        </row>
        <row r="3618">
          <cell r="A3618" t="str">
            <v>SANJIVANI PARANTERAL LTD</v>
          </cell>
          <cell r="B3618">
            <v>531569</v>
          </cell>
          <cell r="C3618" t="str">
            <v>Not Listed</v>
          </cell>
        </row>
        <row r="3619">
          <cell r="A3619" t="str">
            <v>SANKHYA INFOTECH LTD</v>
          </cell>
          <cell r="B3619">
            <v>532972</v>
          </cell>
          <cell r="C3619" t="str">
            <v>Not Listed</v>
          </cell>
        </row>
        <row r="3620">
          <cell r="A3620" t="str">
            <v>SANMIT INFRA LTD</v>
          </cell>
          <cell r="B3620">
            <v>532435</v>
          </cell>
          <cell r="C3620" t="str">
            <v>Not Listed</v>
          </cell>
        </row>
        <row r="3621">
          <cell r="A3621" t="str">
            <v>SANMITRA COMMERCIAL LTD</v>
          </cell>
          <cell r="B3621">
            <v>512062</v>
          </cell>
          <cell r="C3621" t="str">
            <v>Not Listed</v>
          </cell>
        </row>
        <row r="3622">
          <cell r="A3622" t="str">
            <v>SANOFI (INDIA) LTD</v>
          </cell>
          <cell r="B3622">
            <v>500674</v>
          </cell>
          <cell r="C3622" t="str">
            <v>SANOFI</v>
          </cell>
        </row>
        <row r="3623">
          <cell r="A3623" t="str">
            <v>SANOFI INDIA LTD</v>
          </cell>
          <cell r="B3623">
            <v>500674</v>
          </cell>
          <cell r="C3623" t="str">
            <v>SANOFI</v>
          </cell>
        </row>
        <row r="3624">
          <cell r="A3624" t="str">
            <v>SANRHEA TECHNICAL TEXTILES LTD</v>
          </cell>
          <cell r="B3624">
            <v>514280</v>
          </cell>
          <cell r="C3624" t="str">
            <v>Not Listed</v>
          </cell>
        </row>
        <row r="3625">
          <cell r="A3625" t="str">
            <v>SANTOSH FINE-FAB LTD</v>
          </cell>
          <cell r="B3625">
            <v>530035</v>
          </cell>
          <cell r="C3625" t="str">
            <v>Not Listed</v>
          </cell>
        </row>
        <row r="3626">
          <cell r="A3626" t="str">
            <v>SANTOSH INDUSTRIES LTD</v>
          </cell>
          <cell r="B3626">
            <v>540822</v>
          </cell>
          <cell r="C3626" t="str">
            <v>Not Listed</v>
          </cell>
        </row>
        <row r="3627">
          <cell r="A3627" t="str">
            <v>SANWARIA CONSUMER LTD</v>
          </cell>
          <cell r="B3627">
            <v>519260</v>
          </cell>
          <cell r="C3627" t="str">
            <v>SANWARIA</v>
          </cell>
        </row>
        <row r="3628">
          <cell r="A3628" t="str">
            <v>SAPTAK CHEM AND BUSINESS LTD</v>
          </cell>
          <cell r="B3628">
            <v>506906</v>
          </cell>
          <cell r="C3628" t="str">
            <v>Not Listed</v>
          </cell>
        </row>
        <row r="3629">
          <cell r="A3629" t="str">
            <v>SAPTARISHI AGRO INDUSTRIES LTD</v>
          </cell>
          <cell r="B3629">
            <v>519238</v>
          </cell>
          <cell r="C3629" t="str">
            <v>Not Listed</v>
          </cell>
        </row>
        <row r="3630">
          <cell r="A3630" t="str">
            <v>SAR AUTO PRODUCTS LTD</v>
          </cell>
          <cell r="B3630">
            <v>538992</v>
          </cell>
          <cell r="C3630" t="str">
            <v>Not Listed</v>
          </cell>
        </row>
        <row r="3631">
          <cell r="A3631" t="str">
            <v>SARASWATI COMMERCIAL (INDIA) LTD</v>
          </cell>
          <cell r="B3631">
            <v>512020</v>
          </cell>
          <cell r="C3631" t="str">
            <v>Not Listed</v>
          </cell>
        </row>
        <row r="3632">
          <cell r="A3632" t="str">
            <v>SARASWATI COMMERCIAL INDIA LTD</v>
          </cell>
          <cell r="B3632">
            <v>512020</v>
          </cell>
          <cell r="C3632" t="str">
            <v>Not Listed</v>
          </cell>
        </row>
        <row r="3633">
          <cell r="A3633" t="str">
            <v>SARDA ENERGY &amp; MINERALS LTD</v>
          </cell>
          <cell r="B3633">
            <v>504614</v>
          </cell>
          <cell r="C3633" t="str">
            <v>SARDAEN</v>
          </cell>
        </row>
        <row r="3634">
          <cell r="A3634" t="str">
            <v>SARDA PAPERS LTD</v>
          </cell>
          <cell r="B3634">
            <v>516032</v>
          </cell>
          <cell r="C3634" t="str">
            <v>Not Listed</v>
          </cell>
        </row>
        <row r="3635">
          <cell r="A3635" t="str">
            <v>SARDA PLYWOOD INDUSTRIES LTD</v>
          </cell>
          <cell r="B3635">
            <v>516003</v>
          </cell>
          <cell r="C3635" t="str">
            <v>Not Listed</v>
          </cell>
        </row>
        <row r="3636">
          <cell r="A3636" t="str">
            <v>SARDA PROTEINS LTD</v>
          </cell>
          <cell r="B3636">
            <v>519242</v>
          </cell>
          <cell r="C3636" t="str">
            <v>Not Listed</v>
          </cell>
        </row>
        <row r="3637">
          <cell r="A3637" t="str">
            <v>SAREGAMA (INDIA) LTD</v>
          </cell>
          <cell r="B3637">
            <v>532163</v>
          </cell>
          <cell r="C3637" t="str">
            <v>SAREGAMA</v>
          </cell>
        </row>
        <row r="3638">
          <cell r="A3638" t="str">
            <v>SAREGAMA INDIA LTD</v>
          </cell>
          <cell r="B3638">
            <v>532163</v>
          </cell>
          <cell r="C3638" t="str">
            <v>SAREGAMA</v>
          </cell>
        </row>
        <row r="3639">
          <cell r="A3639" t="str">
            <v>SARLA PERFORMANCE FIBERS LTD</v>
          </cell>
          <cell r="B3639">
            <v>526885</v>
          </cell>
          <cell r="C3639" t="str">
            <v>SARLAPOLY</v>
          </cell>
        </row>
        <row r="3640">
          <cell r="A3640" t="str">
            <v>SARTHAK GLOBAL LTD</v>
          </cell>
          <cell r="B3640">
            <v>530993</v>
          </cell>
          <cell r="C3640" t="str">
            <v>Not Listed</v>
          </cell>
        </row>
        <row r="3641">
          <cell r="A3641" t="str">
            <v>SARTHAK INDUSTRIES LTD</v>
          </cell>
          <cell r="B3641">
            <v>531930</v>
          </cell>
          <cell r="C3641" t="str">
            <v>Not Listed</v>
          </cell>
        </row>
        <row r="3642">
          <cell r="A3642" t="str">
            <v>SARTHAK METALS LTD</v>
          </cell>
          <cell r="B3642">
            <v>540393</v>
          </cell>
          <cell r="C3642" t="str">
            <v>Not Listed</v>
          </cell>
        </row>
        <row r="3643">
          <cell r="A3643" t="str">
            <v>SARUP INDUSTRIES LTD</v>
          </cell>
          <cell r="B3643">
            <v>514412</v>
          </cell>
          <cell r="C3643" t="str">
            <v>Not Listed</v>
          </cell>
        </row>
        <row r="3644">
          <cell r="A3644" t="str">
            <v>SARVAMANGAL MERCANTILE CO LTD</v>
          </cell>
          <cell r="B3644">
            <v>506190</v>
          </cell>
          <cell r="C3644" t="str">
            <v>Not Listed</v>
          </cell>
        </row>
        <row r="3645">
          <cell r="A3645" t="str">
            <v>SARVESHWAR FOODS LTD</v>
          </cell>
          <cell r="B3645" t="str">
            <v>Not Listed</v>
          </cell>
          <cell r="C3645" t="str">
            <v>SARVESHWAR</v>
          </cell>
        </row>
        <row r="3646">
          <cell r="A3646" t="str">
            <v>SARVOTTAM FINVEST LTD</v>
          </cell>
          <cell r="B3646">
            <v>539124</v>
          </cell>
          <cell r="C3646" t="str">
            <v>Not Listed</v>
          </cell>
        </row>
        <row r="3647">
          <cell r="A3647" t="str">
            <v>SASHWAT TECHNOCRATS LTD</v>
          </cell>
          <cell r="B3647">
            <v>506313</v>
          </cell>
          <cell r="C3647" t="str">
            <v>Not Listed</v>
          </cell>
        </row>
        <row r="3648">
          <cell r="A3648" t="str">
            <v>SASKEN TECHNOLOGIES LTD</v>
          </cell>
          <cell r="B3648">
            <v>532663</v>
          </cell>
          <cell r="C3648" t="str">
            <v>SASKEN</v>
          </cell>
        </row>
        <row r="3649">
          <cell r="A3649" t="str">
            <v>SASTASUNDAR VENTURES LTD</v>
          </cell>
          <cell r="B3649">
            <v>533259</v>
          </cell>
          <cell r="C3649" t="str">
            <v>SASTASUNDR</v>
          </cell>
        </row>
        <row r="3650">
          <cell r="A3650" t="str">
            <v>SAT INDUSTRIES LTD</v>
          </cell>
          <cell r="B3650">
            <v>511076</v>
          </cell>
          <cell r="C3650" t="str">
            <v>Not Listed</v>
          </cell>
        </row>
        <row r="3651">
          <cell r="A3651" t="str">
            <v>SATHAVAHANA ISPAT LTD</v>
          </cell>
          <cell r="B3651">
            <v>526093</v>
          </cell>
          <cell r="C3651" t="str">
            <v>SATHAISPAT</v>
          </cell>
        </row>
        <row r="3652">
          <cell r="A3652" t="str">
            <v>SATIA INDUSTRIES LTD</v>
          </cell>
          <cell r="B3652">
            <v>539201</v>
          </cell>
          <cell r="C3652" t="str">
            <v>Not Listed</v>
          </cell>
        </row>
        <row r="3653">
          <cell r="A3653" t="str">
            <v>SATIN CREDITCARE NETWORK LTD</v>
          </cell>
          <cell r="B3653">
            <v>539404</v>
          </cell>
          <cell r="C3653" t="str">
            <v>SATIN</v>
          </cell>
        </row>
        <row r="3654">
          <cell r="A3654" t="str">
            <v>SATKAR FINLEASE LTD</v>
          </cell>
          <cell r="B3654">
            <v>536592</v>
          </cell>
          <cell r="C3654" t="str">
            <v>Not Listed</v>
          </cell>
        </row>
        <row r="3655">
          <cell r="A3655" t="str">
            <v>SATRA PROPERTIES (INDIA) LTD.</v>
          </cell>
          <cell r="B3655">
            <v>508996</v>
          </cell>
          <cell r="C3655" t="str">
            <v>SATRAPROP</v>
          </cell>
        </row>
        <row r="3656">
          <cell r="A3656" t="str">
            <v>SATYAM SILK MILLS LTD</v>
          </cell>
          <cell r="B3656">
            <v>503893</v>
          </cell>
          <cell r="C3656" t="str">
            <v>Not Listed</v>
          </cell>
        </row>
        <row r="3657">
          <cell r="A3657" t="str">
            <v>SAUMYA CONSULTANTS LTD</v>
          </cell>
          <cell r="B3657">
            <v>539218</v>
          </cell>
          <cell r="C3657" t="str">
            <v>Not Listed</v>
          </cell>
        </row>
        <row r="3658">
          <cell r="A3658" t="str">
            <v>SAURASHTRA CEMENT LTD</v>
          </cell>
          <cell r="B3658">
            <v>502175</v>
          </cell>
          <cell r="C3658" t="str">
            <v>Not Listed</v>
          </cell>
        </row>
        <row r="3659">
          <cell r="A3659" t="str">
            <v>SAVANI FINANCIALS LTD</v>
          </cell>
          <cell r="B3659">
            <v>511577</v>
          </cell>
          <cell r="C3659" t="str">
            <v>Not Listed</v>
          </cell>
        </row>
        <row r="3660">
          <cell r="A3660" t="str">
            <v>SAVANT INFOCOMM LTD</v>
          </cell>
          <cell r="B3660">
            <v>517320</v>
          </cell>
          <cell r="C3660" t="str">
            <v>Not Listed</v>
          </cell>
        </row>
        <row r="3661">
          <cell r="A3661" t="str">
            <v>SAVEN TECHNOLOGIES LTD</v>
          </cell>
          <cell r="B3661">
            <v>532404</v>
          </cell>
          <cell r="C3661" t="str">
            <v>Not Listed</v>
          </cell>
        </row>
        <row r="3662">
          <cell r="A3662" t="str">
            <v>SAVERA INDUSTRIES LTD</v>
          </cell>
          <cell r="B3662">
            <v>512634</v>
          </cell>
          <cell r="C3662" t="str">
            <v>Not Listed</v>
          </cell>
        </row>
        <row r="3663">
          <cell r="A3663" t="str">
            <v>SAVITA OIL TECHNOLOGIES LTD</v>
          </cell>
          <cell r="B3663">
            <v>524667</v>
          </cell>
          <cell r="C3663" t="str">
            <v>SOTL</v>
          </cell>
        </row>
        <row r="3664">
          <cell r="A3664" t="str">
            <v>SAWACA BUSINESS MACHINES LTD</v>
          </cell>
          <cell r="B3664">
            <v>531893</v>
          </cell>
          <cell r="C3664" t="str">
            <v>Not Listed</v>
          </cell>
        </row>
        <row r="3665">
          <cell r="A3665" t="str">
            <v>SAYAJI HOTELS LTD</v>
          </cell>
          <cell r="B3665">
            <v>523710</v>
          </cell>
          <cell r="C3665" t="str">
            <v>Not Listed</v>
          </cell>
        </row>
        <row r="3666">
          <cell r="A3666" t="str">
            <v>SAYAJI INDUSTRIES LTD</v>
          </cell>
          <cell r="B3666">
            <v>540728</v>
          </cell>
          <cell r="C3666" t="str">
            <v>Not Listed</v>
          </cell>
        </row>
        <row r="3667">
          <cell r="A3667" t="str">
            <v>SBEC SUGAR LTD</v>
          </cell>
          <cell r="B3667">
            <v>532102</v>
          </cell>
          <cell r="C3667" t="str">
            <v>Not Listed</v>
          </cell>
        </row>
        <row r="3668">
          <cell r="A3668" t="str">
            <v>SBI LIFE INSURANCE COMPANY LTD</v>
          </cell>
          <cell r="B3668">
            <v>540719</v>
          </cell>
          <cell r="C3668" t="str">
            <v>SBILIFE</v>
          </cell>
        </row>
        <row r="3669">
          <cell r="A3669" t="str">
            <v>SBI MUTUAL FUND - SBI GOLD EXCHANGE TRADED SCHEME - GROWTH OPTION</v>
          </cell>
          <cell r="B3669">
            <v>590098</v>
          </cell>
          <cell r="C3669" t="str">
            <v>SBIGETS</v>
          </cell>
        </row>
        <row r="3670">
          <cell r="A3670" t="str">
            <v>SC Agrotech Ltd</v>
          </cell>
          <cell r="B3670">
            <v>526081</v>
          </cell>
          <cell r="C3670" t="str">
            <v>SCAGRO</v>
          </cell>
        </row>
        <row r="3671">
          <cell r="A3671" t="str">
            <v>SCAN PROJECTS LTD</v>
          </cell>
          <cell r="B3671">
            <v>531797</v>
          </cell>
          <cell r="C3671" t="str">
            <v>Not Listed</v>
          </cell>
        </row>
        <row r="3672">
          <cell r="A3672" t="str">
            <v>SCAN STEELS LTD</v>
          </cell>
          <cell r="B3672">
            <v>511672</v>
          </cell>
          <cell r="C3672" t="str">
            <v>Not Listed</v>
          </cell>
        </row>
        <row r="3673">
          <cell r="A3673" t="str">
            <v>Scandent Imaging LTD</v>
          </cell>
          <cell r="B3673">
            <v>516110</v>
          </cell>
          <cell r="C3673" t="str">
            <v>SCANDENT</v>
          </cell>
        </row>
        <row r="3674">
          <cell r="A3674" t="str">
            <v>SCANPOINT GEOMATICS LTD</v>
          </cell>
          <cell r="B3674">
            <v>526544</v>
          </cell>
          <cell r="C3674" t="str">
            <v>Not Listed</v>
          </cell>
        </row>
        <row r="3675">
          <cell r="A3675" t="str">
            <v>SCHABLONA (INDIA) LTD</v>
          </cell>
          <cell r="B3675">
            <v>507894</v>
          </cell>
          <cell r="C3675" t="str">
            <v>Not Listed</v>
          </cell>
        </row>
        <row r="3676">
          <cell r="A3676" t="str">
            <v>SCHABLONA INDIA LTD</v>
          </cell>
          <cell r="B3676">
            <v>507894</v>
          </cell>
          <cell r="C3676" t="str">
            <v>Not Listed</v>
          </cell>
        </row>
        <row r="3677">
          <cell r="A3677" t="str">
            <v>SCHAEFFLER (INDIA) LTD</v>
          </cell>
          <cell r="B3677">
            <v>505790</v>
          </cell>
          <cell r="C3677" t="str">
            <v>SCHAEFFLER</v>
          </cell>
        </row>
        <row r="3678">
          <cell r="A3678" t="str">
            <v>SCHAEFFLER INDIA LTD</v>
          </cell>
          <cell r="B3678">
            <v>505790</v>
          </cell>
          <cell r="C3678" t="str">
            <v>SCHAEFFLER</v>
          </cell>
        </row>
        <row r="3679">
          <cell r="A3679" t="str">
            <v>SCHNEIDER ELECTRIC INFRASTRUCTURE LTD</v>
          </cell>
          <cell r="B3679">
            <v>534139</v>
          </cell>
          <cell r="C3679" t="str">
            <v>SCHNEIDER</v>
          </cell>
        </row>
        <row r="3680">
          <cell r="A3680" t="str">
            <v>SCINTILLA COMMERCIAL &amp; CREDIT LTD</v>
          </cell>
          <cell r="B3680">
            <v>538857</v>
          </cell>
          <cell r="C3680" t="str">
            <v>Not Listed</v>
          </cell>
        </row>
        <row r="3681">
          <cell r="A3681" t="str">
            <v>SCOOTERS (INDIA) LTD</v>
          </cell>
          <cell r="B3681">
            <v>505141</v>
          </cell>
          <cell r="C3681" t="str">
            <v>Not Listed</v>
          </cell>
        </row>
        <row r="3682">
          <cell r="A3682" t="str">
            <v>SCOOTERS INDIA LTD</v>
          </cell>
          <cell r="B3682">
            <v>505141</v>
          </cell>
          <cell r="C3682" t="str">
            <v>Not Listed</v>
          </cell>
        </row>
        <row r="3683">
          <cell r="A3683" t="str">
            <v>SEA GOLD AQUA FARMS LTD</v>
          </cell>
          <cell r="B3683">
            <v>530361</v>
          </cell>
          <cell r="C3683" t="str">
            <v>Not Listed</v>
          </cell>
        </row>
        <row r="3684">
          <cell r="A3684" t="str">
            <v>SEA TV NETWORK LTD</v>
          </cell>
          <cell r="B3684">
            <v>533268</v>
          </cell>
          <cell r="C3684" t="str">
            <v>Not Listed</v>
          </cell>
        </row>
        <row r="3685">
          <cell r="A3685" t="str">
            <v>SEAMEC LTD</v>
          </cell>
          <cell r="B3685">
            <v>526807</v>
          </cell>
          <cell r="C3685" t="str">
            <v>SEAMECLTD</v>
          </cell>
        </row>
        <row r="3686">
          <cell r="A3686" t="str">
            <v>SEASONS FURNISHINGS LTD</v>
          </cell>
          <cell r="B3686">
            <v>521182</v>
          </cell>
          <cell r="C3686" t="str">
            <v>Not Listed</v>
          </cell>
        </row>
        <row r="3687">
          <cell r="A3687" t="str">
            <v>SEASONS TEXTILES LTD</v>
          </cell>
          <cell r="B3687">
            <v>514264</v>
          </cell>
          <cell r="C3687" t="str">
            <v>Not Listed</v>
          </cell>
        </row>
        <row r="3688">
          <cell r="A3688" t="str">
            <v>SECUR CREDENTIALS LTD</v>
          </cell>
          <cell r="B3688" t="str">
            <v>Not Listed</v>
          </cell>
          <cell r="C3688" t="str">
            <v>SECURCRED</v>
          </cell>
        </row>
        <row r="3689">
          <cell r="A3689" t="str">
            <v>SECURITY AND INTELLIGENCE SERVICES (INDIA) LTD</v>
          </cell>
          <cell r="B3689">
            <v>540673</v>
          </cell>
          <cell r="C3689" t="str">
            <v>SIS</v>
          </cell>
        </row>
        <row r="3690">
          <cell r="A3690" t="str">
            <v>SECURITY AND INTELLIGENCE SERVICES INDIA LTD</v>
          </cell>
          <cell r="B3690">
            <v>540673</v>
          </cell>
          <cell r="C3690" t="str">
            <v>SIS</v>
          </cell>
        </row>
        <row r="3691">
          <cell r="A3691" t="str">
            <v>SEL MANUFACTURING COMPANY LTD</v>
          </cell>
          <cell r="B3691">
            <v>532886</v>
          </cell>
          <cell r="C3691" t="str">
            <v>SELMCL</v>
          </cell>
        </row>
        <row r="3692">
          <cell r="A3692" t="str">
            <v>SELAN EXPLORATION TECHNOLOGY LTD</v>
          </cell>
          <cell r="B3692">
            <v>530075</v>
          </cell>
          <cell r="C3692" t="str">
            <v>SELAN</v>
          </cell>
        </row>
        <row r="3693">
          <cell r="A3693" t="str">
            <v>SELLWIN TRADERS LTD</v>
          </cell>
          <cell r="B3693">
            <v>538875</v>
          </cell>
          <cell r="C3693" t="str">
            <v>Not Listed</v>
          </cell>
        </row>
        <row r="3694">
          <cell r="A3694" t="str">
            <v>SENBO INDUSTRIES LTD</v>
          </cell>
          <cell r="B3694">
            <v>532021</v>
          </cell>
          <cell r="C3694" t="str">
            <v>Not Listed</v>
          </cell>
        </row>
        <row r="3695">
          <cell r="A3695" t="str">
            <v>SENTHIL INFOTEK LTD</v>
          </cell>
          <cell r="B3695">
            <v>531980</v>
          </cell>
          <cell r="C3695" t="str">
            <v>Not Listed</v>
          </cell>
        </row>
        <row r="3696">
          <cell r="A3696" t="str">
            <v>SEQUENT SCIENTIFIC LTD</v>
          </cell>
          <cell r="B3696">
            <v>512529</v>
          </cell>
          <cell r="C3696" t="str">
            <v>SEQUENT</v>
          </cell>
        </row>
        <row r="3697">
          <cell r="A3697" t="str">
            <v>SERVOTECH POWER SYSTEMS LTD</v>
          </cell>
          <cell r="B3697" t="str">
            <v>Not Listed</v>
          </cell>
          <cell r="C3697" t="str">
            <v>SERVOTECH</v>
          </cell>
        </row>
        <row r="3698">
          <cell r="A3698" t="str">
            <v>SESHASAYEE PAPER AND BOARDS LTD</v>
          </cell>
          <cell r="B3698">
            <v>502450</v>
          </cell>
          <cell r="C3698" t="str">
            <v>SESHAPAPER</v>
          </cell>
        </row>
        <row r="3699">
          <cell r="A3699" t="str">
            <v>SETCO AUTOMOTIVE LTD</v>
          </cell>
          <cell r="B3699">
            <v>505075</v>
          </cell>
          <cell r="C3699" t="str">
            <v>SETCO</v>
          </cell>
        </row>
        <row r="3700">
          <cell r="A3700" t="str">
            <v>SEVEN HILL INDUSTRIES LTD</v>
          </cell>
          <cell r="B3700">
            <v>511760</v>
          </cell>
          <cell r="C3700" t="str">
            <v>Not Listed</v>
          </cell>
        </row>
        <row r="3701">
          <cell r="A3701" t="str">
            <v>SEYA INDUSTRIES LTD</v>
          </cell>
          <cell r="B3701">
            <v>524324</v>
          </cell>
          <cell r="C3701" t="str">
            <v>Not Listed</v>
          </cell>
        </row>
        <row r="3702">
          <cell r="A3702" t="str">
            <v>SEZAL GLASS LTD</v>
          </cell>
          <cell r="B3702">
            <v>532993</v>
          </cell>
          <cell r="C3702" t="str">
            <v>SEZAL</v>
          </cell>
        </row>
        <row r="3703">
          <cell r="A3703" t="str">
            <v>SFL INTERNATIONAL LTD</v>
          </cell>
          <cell r="B3703">
            <v>530867</v>
          </cell>
          <cell r="C3703" t="str">
            <v>Not Listed</v>
          </cell>
        </row>
        <row r="3704">
          <cell r="A3704" t="str">
            <v>SHABA CHEMICALS LTD</v>
          </cell>
          <cell r="B3704">
            <v>524546</v>
          </cell>
          <cell r="C3704" t="str">
            <v>Not Listed</v>
          </cell>
        </row>
        <row r="3705">
          <cell r="A3705" t="str">
            <v>SHAH ALLOYS LTD</v>
          </cell>
          <cell r="B3705">
            <v>513436</v>
          </cell>
          <cell r="C3705" t="str">
            <v>SHAHALLOYS</v>
          </cell>
        </row>
        <row r="3706">
          <cell r="A3706" t="str">
            <v>SHAH CONSTRUCTION CO LTD</v>
          </cell>
          <cell r="B3706">
            <v>509870</v>
          </cell>
          <cell r="C3706" t="str">
            <v>Not Listed</v>
          </cell>
        </row>
        <row r="3707">
          <cell r="A3707" t="str">
            <v>SHAH FOODS LTD</v>
          </cell>
          <cell r="B3707">
            <v>519031</v>
          </cell>
          <cell r="C3707" t="str">
            <v>Not Listed</v>
          </cell>
        </row>
        <row r="3708">
          <cell r="A3708" t="str">
            <v>SHAHI SHIPPING LTD</v>
          </cell>
          <cell r="B3708">
            <v>526508</v>
          </cell>
          <cell r="C3708" t="str">
            <v>Not Listed</v>
          </cell>
        </row>
        <row r="3709">
          <cell r="A3709" t="str">
            <v>SHAILJA COMMERCIAL TRADE FRENZY LTD</v>
          </cell>
          <cell r="B3709">
            <v>539520</v>
          </cell>
          <cell r="C3709" t="str">
            <v>Not Listed</v>
          </cell>
        </row>
        <row r="3710">
          <cell r="A3710" t="str">
            <v>SHAILY ENGINEERING PLASTICS LTD</v>
          </cell>
          <cell r="B3710">
            <v>501423</v>
          </cell>
          <cell r="C3710" t="str">
            <v>Not Listed</v>
          </cell>
        </row>
        <row r="3711">
          <cell r="A3711" t="str">
            <v>SHAIVAL REALITY LTD</v>
          </cell>
          <cell r="B3711" t="str">
            <v>Not Listed</v>
          </cell>
          <cell r="C3711" t="str">
            <v>SHAIVAL</v>
          </cell>
        </row>
        <row r="3712">
          <cell r="A3712" t="str">
            <v>SHAKTI PUMPS (INDIA) LTD</v>
          </cell>
          <cell r="B3712">
            <v>531431</v>
          </cell>
          <cell r="C3712" t="str">
            <v>SHAKTIPUMP</v>
          </cell>
        </row>
        <row r="3713">
          <cell r="A3713" t="str">
            <v>SHAKTI PUMPS INDIA LTD</v>
          </cell>
          <cell r="B3713">
            <v>531431</v>
          </cell>
          <cell r="C3713" t="str">
            <v>SHAKTIPUMP</v>
          </cell>
        </row>
        <row r="3714">
          <cell r="A3714" t="str">
            <v>SHALBY LTD</v>
          </cell>
          <cell r="B3714">
            <v>540797</v>
          </cell>
          <cell r="C3714" t="str">
            <v>SHALBY</v>
          </cell>
        </row>
        <row r="3715">
          <cell r="A3715" t="str">
            <v>SHALIBHADRA FINANCE LTD</v>
          </cell>
          <cell r="B3715">
            <v>511754</v>
          </cell>
          <cell r="C3715" t="str">
            <v>Not Listed</v>
          </cell>
        </row>
        <row r="3716">
          <cell r="A3716" t="str">
            <v>SHALIMAR AGENCIES LTD</v>
          </cell>
          <cell r="B3716">
            <v>539895</v>
          </cell>
          <cell r="C3716" t="str">
            <v>Not Listed</v>
          </cell>
        </row>
        <row r="3717">
          <cell r="A3717" t="str">
            <v>SHALIMAR PAINTS LTD</v>
          </cell>
          <cell r="B3717">
            <v>509874</v>
          </cell>
          <cell r="C3717" t="str">
            <v>SHALPAINTS</v>
          </cell>
        </row>
        <row r="3718">
          <cell r="A3718" t="str">
            <v>SHALIMAR PRODUCTIONS LTD</v>
          </cell>
          <cell r="B3718">
            <v>512499</v>
          </cell>
          <cell r="C3718" t="str">
            <v>Not Listed</v>
          </cell>
        </row>
        <row r="3719">
          <cell r="A3719" t="str">
            <v>SHALIMAR WIRES INDUSTRIES LTD</v>
          </cell>
          <cell r="B3719">
            <v>532455</v>
          </cell>
          <cell r="C3719" t="str">
            <v>Not Listed</v>
          </cell>
        </row>
        <row r="3720">
          <cell r="A3720" t="str">
            <v>SHANGAR DECOR LTD</v>
          </cell>
          <cell r="B3720">
            <v>540259</v>
          </cell>
          <cell r="C3720" t="str">
            <v>Not Listed</v>
          </cell>
        </row>
        <row r="3721">
          <cell r="A3721" t="str">
            <v>Shankar Lal Rampal Dye-Chem Ltd</v>
          </cell>
          <cell r="B3721">
            <v>542232</v>
          </cell>
          <cell r="C3721" t="str">
            <v>SRD</v>
          </cell>
        </row>
        <row r="3722">
          <cell r="A3722" t="str">
            <v>SHANKARA BUILDING PRODUCTS LTD</v>
          </cell>
          <cell r="B3722">
            <v>540425</v>
          </cell>
          <cell r="C3722" t="str">
            <v>SHANKARA</v>
          </cell>
        </row>
        <row r="3723">
          <cell r="A3723" t="str">
            <v>SHANTAI INDUSTRIES LTD</v>
          </cell>
          <cell r="B3723">
            <v>512297</v>
          </cell>
          <cell r="C3723" t="str">
            <v>Not Listed</v>
          </cell>
        </row>
        <row r="3724">
          <cell r="A3724" t="str">
            <v>SHANTANU SHEOREY AQUAKULT LTD</v>
          </cell>
          <cell r="B3724">
            <v>531925</v>
          </cell>
          <cell r="C3724" t="str">
            <v>Not Listed</v>
          </cell>
        </row>
        <row r="3725">
          <cell r="A3725" t="str">
            <v>SHANTHI GEARS LTD</v>
          </cell>
          <cell r="B3725">
            <v>522034</v>
          </cell>
          <cell r="C3725" t="str">
            <v>SHANTIGEAR</v>
          </cell>
        </row>
        <row r="3726">
          <cell r="A3726" t="str">
            <v>SHANTI EDUCATIONAL INITIATIVES LTD</v>
          </cell>
          <cell r="B3726">
            <v>539921</v>
          </cell>
          <cell r="C3726" t="str">
            <v>Not Listed</v>
          </cell>
        </row>
        <row r="3727">
          <cell r="A3727" t="str">
            <v>SHANTI OVERSEAS (INDIA) LTD</v>
          </cell>
          <cell r="B3727" t="str">
            <v>Not Listed</v>
          </cell>
          <cell r="C3727" t="str">
            <v>SHANTI</v>
          </cell>
        </row>
        <row r="3728">
          <cell r="A3728" t="str">
            <v>SHANTI OVERSEAS INDIA LTD</v>
          </cell>
          <cell r="B3728" t="str">
            <v>Not Listed</v>
          </cell>
          <cell r="C3728" t="str">
            <v>SHANTI</v>
          </cell>
        </row>
        <row r="3729">
          <cell r="A3729" t="str">
            <v>SHARAD FIBRES &amp; YARN PROCESSORS LTD</v>
          </cell>
          <cell r="B3729">
            <v>514402</v>
          </cell>
          <cell r="C3729" t="str">
            <v>Not Listed</v>
          </cell>
        </row>
        <row r="3730">
          <cell r="A3730" t="str">
            <v>SHARANAM INFRAPROJECT AND TRADING LTD</v>
          </cell>
          <cell r="B3730">
            <v>539584</v>
          </cell>
          <cell r="C3730" t="str">
            <v>Not Listed</v>
          </cell>
        </row>
        <row r="3731">
          <cell r="A3731" t="str">
            <v>SHARDA CROPCHEM LTD</v>
          </cell>
          <cell r="B3731">
            <v>538666</v>
          </cell>
          <cell r="C3731" t="str">
            <v>SHARDACROP</v>
          </cell>
        </row>
        <row r="3732">
          <cell r="A3732" t="str">
            <v>SHARDA ISPAT LTD</v>
          </cell>
          <cell r="B3732">
            <v>513548</v>
          </cell>
          <cell r="C3732" t="str">
            <v>Not Listed</v>
          </cell>
        </row>
        <row r="3733">
          <cell r="A3733" t="str">
            <v>SHARDA MOTOR INDUSTRIES LTD</v>
          </cell>
          <cell r="B3733">
            <v>535602</v>
          </cell>
          <cell r="C3733" t="str">
            <v>SHARDAMOTR</v>
          </cell>
        </row>
        <row r="3734">
          <cell r="A3734" t="str">
            <v>SHARDUL SECURITIES LTD</v>
          </cell>
          <cell r="B3734">
            <v>512393</v>
          </cell>
          <cell r="C3734" t="str">
            <v>Not Listed</v>
          </cell>
        </row>
        <row r="3735">
          <cell r="A3735" t="str">
            <v>SHARE INDIA SECURITIES LTD</v>
          </cell>
          <cell r="B3735">
            <v>540725</v>
          </cell>
          <cell r="C3735" t="str">
            <v>Not Listed</v>
          </cell>
        </row>
        <row r="3736">
          <cell r="A3736" t="str">
            <v>SHARIKA ENTERPRISES LTD</v>
          </cell>
          <cell r="B3736">
            <v>540786</v>
          </cell>
          <cell r="C3736" t="str">
            <v>Not Listed</v>
          </cell>
        </row>
        <row r="3737">
          <cell r="A3737" t="str">
            <v>SHARON BIO-MEDICINE LTD</v>
          </cell>
          <cell r="B3737">
            <v>532908</v>
          </cell>
          <cell r="C3737" t="str">
            <v>SHARONBIO</v>
          </cell>
        </row>
        <row r="3738">
          <cell r="A3738" t="str">
            <v>SHARP (INDIA) LTD</v>
          </cell>
          <cell r="B3738">
            <v>523449</v>
          </cell>
          <cell r="C3738" t="str">
            <v>Not Listed</v>
          </cell>
        </row>
        <row r="3739">
          <cell r="A3739" t="str">
            <v>SHARP INDIA LTD</v>
          </cell>
          <cell r="B3739">
            <v>523449</v>
          </cell>
          <cell r="C3739" t="str">
            <v>Not Listed</v>
          </cell>
        </row>
        <row r="3740">
          <cell r="A3740" t="str">
            <v>SHARP INVESTMENTS LTD</v>
          </cell>
          <cell r="B3740">
            <v>538212</v>
          </cell>
          <cell r="C3740" t="str">
            <v>Not Listed</v>
          </cell>
        </row>
        <row r="3741">
          <cell r="A3741" t="str">
            <v>SHASHANK TRADERS LTD</v>
          </cell>
          <cell r="B3741">
            <v>540221</v>
          </cell>
          <cell r="C3741" t="str">
            <v>Not Listed</v>
          </cell>
        </row>
        <row r="3742">
          <cell r="A3742" t="str">
            <v>SHASHIJIT INFRAPROJECTS LTD</v>
          </cell>
          <cell r="B3742">
            <v>540147</v>
          </cell>
          <cell r="C3742" t="str">
            <v>Not Listed</v>
          </cell>
        </row>
        <row r="3743">
          <cell r="A3743" t="str">
            <v>SHEELA FOAM LTD</v>
          </cell>
          <cell r="B3743">
            <v>540203</v>
          </cell>
          <cell r="C3743" t="str">
            <v>SFL</v>
          </cell>
        </row>
        <row r="3744">
          <cell r="A3744" t="str">
            <v>SHEETAL COOL PRODUCTS LTD</v>
          </cell>
          <cell r="B3744">
            <v>540757</v>
          </cell>
          <cell r="C3744" t="str">
            <v>Not Listed</v>
          </cell>
        </row>
        <row r="3745">
          <cell r="A3745" t="str">
            <v>SHEETAL DIAMONDS LTD</v>
          </cell>
          <cell r="B3745">
            <v>530525</v>
          </cell>
          <cell r="C3745" t="str">
            <v>Not Listed</v>
          </cell>
        </row>
        <row r="3746">
          <cell r="A3746" t="str">
            <v>SHEKHAWATI POLY-YARN LTD</v>
          </cell>
          <cell r="B3746">
            <v>533301</v>
          </cell>
          <cell r="C3746" t="str">
            <v>SPYL</v>
          </cell>
        </row>
        <row r="3747">
          <cell r="A3747" t="str">
            <v>SHELTER INFRA PROJECTS LTD</v>
          </cell>
          <cell r="B3747">
            <v>526839</v>
          </cell>
          <cell r="C3747" t="str">
            <v>Not Listed</v>
          </cell>
        </row>
        <row r="3748">
          <cell r="A3748" t="str">
            <v>SHEMAROO ENTERTAINMENT LTD</v>
          </cell>
          <cell r="B3748">
            <v>538685</v>
          </cell>
          <cell r="C3748" t="str">
            <v>SHEMAROO</v>
          </cell>
        </row>
        <row r="3749">
          <cell r="A3749" t="str">
            <v>SHERATON PROPERTIES &amp; FINANCE LTD</v>
          </cell>
          <cell r="B3749">
            <v>512367</v>
          </cell>
          <cell r="C3749" t="str">
            <v>Not Listed</v>
          </cell>
        </row>
        <row r="3750">
          <cell r="A3750" t="str">
            <v>SHERVANI INDUSTRIAL SYNDICATE LTD</v>
          </cell>
          <cell r="B3750">
            <v>526117</v>
          </cell>
          <cell r="C3750" t="str">
            <v>Not Listed</v>
          </cell>
        </row>
        <row r="3751">
          <cell r="A3751" t="str">
            <v>SHESHADRI INDUSTRIES LTD</v>
          </cell>
          <cell r="B3751">
            <v>539111</v>
          </cell>
          <cell r="C3751" t="str">
            <v>Not Listed</v>
          </cell>
        </row>
        <row r="3752">
          <cell r="A3752" t="str">
            <v>SHETRON LTD</v>
          </cell>
          <cell r="B3752">
            <v>526137</v>
          </cell>
          <cell r="C3752" t="str">
            <v>Not Listed</v>
          </cell>
        </row>
        <row r="3753">
          <cell r="A3753" t="str">
            <v>SHIKHAR LEASING &amp; TRADING LTD</v>
          </cell>
          <cell r="B3753">
            <v>507952</v>
          </cell>
          <cell r="C3753" t="str">
            <v>Not Listed</v>
          </cell>
        </row>
        <row r="3754">
          <cell r="A3754" t="str">
            <v>SHILCHAR TECHNOLOGIES LTD</v>
          </cell>
          <cell r="B3754">
            <v>531201</v>
          </cell>
          <cell r="C3754" t="str">
            <v>Not Listed</v>
          </cell>
        </row>
        <row r="3755">
          <cell r="A3755" t="str">
            <v>SHILP GRAVURES LTD</v>
          </cell>
          <cell r="B3755">
            <v>513709</v>
          </cell>
          <cell r="C3755" t="str">
            <v>Not Listed</v>
          </cell>
        </row>
        <row r="3756">
          <cell r="A3756" t="str">
            <v>SHILPA MEDICARE LTD</v>
          </cell>
          <cell r="B3756">
            <v>530549</v>
          </cell>
          <cell r="C3756" t="str">
            <v>SHILPAMED</v>
          </cell>
        </row>
        <row r="3757">
          <cell r="A3757" t="str">
            <v>SHILPI CABLE TECHNOLOGIES LTD</v>
          </cell>
          <cell r="B3757">
            <v>533389</v>
          </cell>
          <cell r="C3757" t="str">
            <v>SHILPI</v>
          </cell>
        </row>
        <row r="3758">
          <cell r="A3758" t="str">
            <v>SHIPPING CORPORATION OF (INDIA) LTD</v>
          </cell>
          <cell r="B3758">
            <v>523598</v>
          </cell>
          <cell r="C3758" t="str">
            <v>SCI</v>
          </cell>
        </row>
        <row r="3759">
          <cell r="A3759" t="str">
            <v>SHIPPING CORPORATION OF INDIA LTD</v>
          </cell>
          <cell r="B3759">
            <v>523598</v>
          </cell>
          <cell r="C3759" t="str">
            <v>SCI</v>
          </cell>
        </row>
        <row r="3760">
          <cell r="A3760" t="str">
            <v>SHIRPUR GOLD REFINERY LTD</v>
          </cell>
          <cell r="B3760">
            <v>512289</v>
          </cell>
          <cell r="C3760" t="str">
            <v>SHIRPUR-G</v>
          </cell>
        </row>
        <row r="3761">
          <cell r="A3761" t="str">
            <v>SHISH INDUSTRIES LTD</v>
          </cell>
          <cell r="B3761">
            <v>540693</v>
          </cell>
          <cell r="C3761" t="str">
            <v>Not Listed</v>
          </cell>
        </row>
        <row r="3762">
          <cell r="A3762" t="str">
            <v>SHIVA CEMENT LTD</v>
          </cell>
          <cell r="B3762">
            <v>532323</v>
          </cell>
          <cell r="C3762" t="str">
            <v>Not Listed</v>
          </cell>
        </row>
        <row r="3763">
          <cell r="A3763" t="str">
            <v>SHIVA GLOBAL AGRO INDUSTRIES LTD</v>
          </cell>
          <cell r="B3763">
            <v>530433</v>
          </cell>
          <cell r="C3763" t="str">
            <v>Not Listed</v>
          </cell>
        </row>
        <row r="3764">
          <cell r="A3764" t="str">
            <v>SHIVA GRANITO EXPORT LTD</v>
          </cell>
          <cell r="B3764">
            <v>540072</v>
          </cell>
          <cell r="C3764" t="str">
            <v>Not Listed</v>
          </cell>
        </row>
        <row r="3765">
          <cell r="A3765" t="str">
            <v>SHIVA MEDICARE LTD.</v>
          </cell>
          <cell r="B3765">
            <v>524602</v>
          </cell>
          <cell r="C3765" t="str">
            <v>SHIVMED</v>
          </cell>
        </row>
        <row r="3766">
          <cell r="A3766" t="str">
            <v>SHIVA MILLS LTD</v>
          </cell>
          <cell r="B3766">
            <v>540961</v>
          </cell>
          <cell r="C3766" t="str">
            <v>SHIVAMILLS</v>
          </cell>
        </row>
        <row r="3767">
          <cell r="A3767" t="str">
            <v>SHIVA SUITINGS LTD</v>
          </cell>
          <cell r="B3767">
            <v>521003</v>
          </cell>
          <cell r="C3767" t="str">
            <v>Not Listed</v>
          </cell>
        </row>
        <row r="3768">
          <cell r="A3768" t="str">
            <v>SHIVA TEXYARN LTD</v>
          </cell>
          <cell r="B3768">
            <v>511108</v>
          </cell>
          <cell r="C3768" t="str">
            <v>SHIVATEX</v>
          </cell>
        </row>
        <row r="3769">
          <cell r="A3769" t="str">
            <v>SHIVAGRICO IMPLEMENTS LTD</v>
          </cell>
          <cell r="B3769">
            <v>522237</v>
          </cell>
          <cell r="C3769" t="str">
            <v>Not Listed</v>
          </cell>
        </row>
        <row r="3770">
          <cell r="A3770" t="str">
            <v>SHIVALIK BIMETAL CONTROLS LTD</v>
          </cell>
          <cell r="B3770">
            <v>513097</v>
          </cell>
          <cell r="C3770" t="str">
            <v>Not Listed</v>
          </cell>
        </row>
        <row r="3771">
          <cell r="A3771" t="str">
            <v>SHIVALIK RASAYAN LTD</v>
          </cell>
          <cell r="B3771">
            <v>539148</v>
          </cell>
          <cell r="C3771" t="str">
            <v>Not Listed</v>
          </cell>
        </row>
        <row r="3772">
          <cell r="A3772" t="str">
            <v>SHIVAM AUTOTECH LTD</v>
          </cell>
          <cell r="B3772">
            <v>532776</v>
          </cell>
          <cell r="C3772" t="str">
            <v>SHIVAMAUTO</v>
          </cell>
        </row>
        <row r="3773">
          <cell r="A3773" t="str">
            <v>SHIVANSH FINSERVE LTD</v>
          </cell>
          <cell r="B3773">
            <v>539593</v>
          </cell>
          <cell r="C3773" t="str">
            <v>Not Listed</v>
          </cell>
        </row>
        <row r="3774">
          <cell r="A3774" t="str">
            <v>SHIVKAMAL IMPEX LTD</v>
          </cell>
          <cell r="B3774">
            <v>539683</v>
          </cell>
          <cell r="C3774" t="str">
            <v>Not Listed</v>
          </cell>
        </row>
        <row r="3775">
          <cell r="A3775" t="str">
            <v>SHIVOM INVESTMENT &amp; CONSULTANCY LTD</v>
          </cell>
          <cell r="B3775">
            <v>539833</v>
          </cell>
          <cell r="C3775" t="str">
            <v>Not Listed</v>
          </cell>
        </row>
        <row r="3776">
          <cell r="A3776" t="str">
            <v>SHOPPERS STOP LTD</v>
          </cell>
          <cell r="B3776">
            <v>532638</v>
          </cell>
          <cell r="C3776" t="str">
            <v>SHOPERSTOP</v>
          </cell>
        </row>
        <row r="3777">
          <cell r="A3777" t="str">
            <v>SHRADHA INFRAPROJECTS NAGPUR LTD</v>
          </cell>
          <cell r="B3777" t="str">
            <v>Not Listed</v>
          </cell>
          <cell r="C3777" t="str">
            <v>SHRADHA</v>
          </cell>
        </row>
        <row r="3778">
          <cell r="A3778" t="str">
            <v>SHREE AJIT PULP AND PAPER LTD</v>
          </cell>
          <cell r="B3778">
            <v>538795</v>
          </cell>
          <cell r="C3778" t="str">
            <v>Not Listed</v>
          </cell>
        </row>
        <row r="3779">
          <cell r="A3779" t="str">
            <v>SHREE BHAVYA FABRICS LTD</v>
          </cell>
          <cell r="B3779">
            <v>521131</v>
          </cell>
          <cell r="C3779" t="str">
            <v>Not Listed</v>
          </cell>
        </row>
        <row r="3780">
          <cell r="A3780" t="str">
            <v>SHREE BHAWANI PAPER MILLS LTD</v>
          </cell>
          <cell r="B3780">
            <v>502563</v>
          </cell>
          <cell r="C3780" t="str">
            <v>Not Listed</v>
          </cell>
        </row>
        <row r="3781">
          <cell r="A3781" t="str">
            <v>SHREE CEMENT LTD</v>
          </cell>
          <cell r="B3781">
            <v>500387</v>
          </cell>
          <cell r="C3781" t="str">
            <v>SHREECEM</v>
          </cell>
        </row>
        <row r="3782">
          <cell r="A3782" t="str">
            <v>SHREE DIGVIJAY CEMENT CO LTD</v>
          </cell>
          <cell r="B3782">
            <v>502180</v>
          </cell>
          <cell r="C3782" t="str">
            <v>Not Listed</v>
          </cell>
        </row>
        <row r="3783">
          <cell r="A3783" t="str">
            <v>SHREE GANESH BIOTECH (INDIA) LTD</v>
          </cell>
          <cell r="B3783">
            <v>539470</v>
          </cell>
          <cell r="C3783" t="str">
            <v>Not Listed</v>
          </cell>
        </row>
        <row r="3784">
          <cell r="A3784" t="str">
            <v>SHREE GANESH BIOTECH INDIA LTD</v>
          </cell>
          <cell r="B3784">
            <v>539470</v>
          </cell>
          <cell r="C3784" t="str">
            <v>Not Listed</v>
          </cell>
        </row>
        <row r="3785">
          <cell r="A3785" t="str">
            <v>SHREE GANESH ELASTOPLAST LTD</v>
          </cell>
          <cell r="B3785">
            <v>530797</v>
          </cell>
          <cell r="C3785" t="str">
            <v>Not Listed</v>
          </cell>
        </row>
        <row r="3786">
          <cell r="A3786" t="str">
            <v>SHREE GANESH FORGINGS LTD</v>
          </cell>
          <cell r="B3786">
            <v>532643</v>
          </cell>
          <cell r="C3786" t="str">
            <v>SGFL</v>
          </cell>
        </row>
        <row r="3787">
          <cell r="A3787" t="str">
            <v>SHREE GANESH REMEDIES LTD</v>
          </cell>
          <cell r="B3787">
            <v>540737</v>
          </cell>
          <cell r="C3787" t="str">
            <v>Not Listed</v>
          </cell>
        </row>
        <row r="3788">
          <cell r="A3788" t="str">
            <v>SHREE GLOBAL TRADEFIN LTD</v>
          </cell>
          <cell r="B3788">
            <v>512463</v>
          </cell>
          <cell r="C3788" t="str">
            <v>Not Listed</v>
          </cell>
        </row>
        <row r="3789">
          <cell r="A3789" t="str">
            <v>SHREE HARI CHEMICALS EXPORT LTD</v>
          </cell>
          <cell r="B3789">
            <v>524336</v>
          </cell>
          <cell r="C3789" t="str">
            <v>Not Listed</v>
          </cell>
        </row>
        <row r="3790">
          <cell r="A3790" t="str">
            <v>SHREE KARTHIK PAPERS LTD</v>
          </cell>
          <cell r="B3790">
            <v>516106</v>
          </cell>
          <cell r="C3790" t="str">
            <v>Not Listed</v>
          </cell>
        </row>
        <row r="3791">
          <cell r="A3791" t="str">
            <v>SHREE KRISHNA INFRASTRUCTURE LTD</v>
          </cell>
          <cell r="B3791">
            <v>542146</v>
          </cell>
          <cell r="C3791" t="str">
            <v>Not Listed</v>
          </cell>
        </row>
        <row r="3792">
          <cell r="A3792" t="str">
            <v>SHREE KRISHNA PAPER MILLS &amp; INDUSTRIES LTD</v>
          </cell>
          <cell r="B3792">
            <v>500388</v>
          </cell>
          <cell r="C3792" t="str">
            <v>Not Listed</v>
          </cell>
        </row>
        <row r="3793">
          <cell r="A3793" t="str">
            <v>SHREE MANUFACTURING CO LTD</v>
          </cell>
          <cell r="B3793">
            <v>503863</v>
          </cell>
          <cell r="C3793" t="str">
            <v>Not Listed</v>
          </cell>
        </row>
        <row r="3794">
          <cell r="A3794" t="str">
            <v>SHREE METALLOYS LTD</v>
          </cell>
          <cell r="B3794">
            <v>531962</v>
          </cell>
          <cell r="C3794" t="str">
            <v>Not Listed</v>
          </cell>
        </row>
        <row r="3795">
          <cell r="A3795" t="str">
            <v>SHREE NIDHI TRADING CO  LTD</v>
          </cell>
          <cell r="B3795">
            <v>540253</v>
          </cell>
          <cell r="C3795" t="str">
            <v>Not Listed</v>
          </cell>
        </row>
        <row r="3796">
          <cell r="A3796" t="str">
            <v>SHREE OM TRADES LTD</v>
          </cell>
          <cell r="B3796">
            <v>506180</v>
          </cell>
          <cell r="C3796" t="str">
            <v>Not Listed</v>
          </cell>
        </row>
        <row r="3797">
          <cell r="A3797" t="str">
            <v>SHREE PACETRONIX LTD</v>
          </cell>
          <cell r="B3797">
            <v>527005</v>
          </cell>
          <cell r="C3797" t="str">
            <v>Not Listed</v>
          </cell>
        </row>
        <row r="3798">
          <cell r="A3798" t="str">
            <v>SHREE PRECOATED STEELS LTD</v>
          </cell>
          <cell r="B3798">
            <v>533110</v>
          </cell>
          <cell r="C3798" t="str">
            <v>Not Listed</v>
          </cell>
        </row>
        <row r="3799">
          <cell r="A3799" t="str">
            <v>SHREE PUSHKAR CHEMICALS &amp; FERTILISERS LTD</v>
          </cell>
          <cell r="B3799">
            <v>539334</v>
          </cell>
          <cell r="C3799" t="str">
            <v>SHREEPUSHK</v>
          </cell>
        </row>
        <row r="3800">
          <cell r="A3800" t="str">
            <v>SHREE RAJASTHAN SYNTEX LTD</v>
          </cell>
          <cell r="B3800">
            <v>503837</v>
          </cell>
          <cell r="C3800" t="str">
            <v>Not Listed</v>
          </cell>
        </row>
        <row r="3801">
          <cell r="A3801" t="str">
            <v>SHREE RAJESHWARANAND PAPER MILLS LTD</v>
          </cell>
          <cell r="B3801">
            <v>516086</v>
          </cell>
          <cell r="C3801" t="str">
            <v>Not Listed</v>
          </cell>
        </row>
        <row r="3802">
          <cell r="A3802" t="str">
            <v>SHREE RAM PROTEINS LTD</v>
          </cell>
          <cell r="B3802" t="str">
            <v>Not Listed</v>
          </cell>
          <cell r="C3802" t="str">
            <v>SRPL</v>
          </cell>
        </row>
        <row r="3803">
          <cell r="A3803" t="str">
            <v>SHREE RAMA MULTI-TECH LTD</v>
          </cell>
          <cell r="B3803">
            <v>532310</v>
          </cell>
          <cell r="C3803" t="str">
            <v>SHREERAMA</v>
          </cell>
        </row>
        <row r="3804">
          <cell r="A3804" t="str">
            <v>SHREE RAMA NEWSPRINT LTD</v>
          </cell>
          <cell r="B3804">
            <v>500356</v>
          </cell>
          <cell r="C3804" t="str">
            <v>RAMANEWS</v>
          </cell>
        </row>
        <row r="3805">
          <cell r="A3805" t="str">
            <v>SHREE RENUKA SUGARS LTD</v>
          </cell>
          <cell r="B3805">
            <v>532670</v>
          </cell>
          <cell r="C3805" t="str">
            <v>RENUKA</v>
          </cell>
        </row>
        <row r="3806">
          <cell r="A3806" t="str">
            <v>SHREE SALASAR INVESTMENT LTD</v>
          </cell>
          <cell r="B3806">
            <v>503635</v>
          </cell>
          <cell r="C3806" t="str">
            <v>Not Listed</v>
          </cell>
        </row>
        <row r="3807">
          <cell r="A3807" t="str">
            <v>SHREE SECURITIES LTD</v>
          </cell>
          <cell r="B3807">
            <v>538975</v>
          </cell>
          <cell r="C3807" t="str">
            <v>Not Listed</v>
          </cell>
        </row>
        <row r="3808">
          <cell r="A3808" t="str">
            <v>SHREE STEEL WIRE ROPES LTD</v>
          </cell>
          <cell r="B3808">
            <v>513488</v>
          </cell>
          <cell r="C3808" t="str">
            <v>Not Listed</v>
          </cell>
        </row>
        <row r="3809">
          <cell r="A3809" t="str">
            <v>SHREE SURGOVIND TRADELINK LTD</v>
          </cell>
          <cell r="B3809">
            <v>531667</v>
          </cell>
          <cell r="C3809" t="str">
            <v>Not Listed</v>
          </cell>
        </row>
        <row r="3810">
          <cell r="A3810" t="str">
            <v>SHREE TIRUPATI BALAJEE FIBC LTD</v>
          </cell>
          <cell r="B3810" t="str">
            <v>Not Listed</v>
          </cell>
          <cell r="C3810" t="str">
            <v>TIRUPATI</v>
          </cell>
        </row>
        <row r="3811">
          <cell r="A3811" t="str">
            <v>SHREE TULSI ONLINE COM LTD</v>
          </cell>
          <cell r="B3811">
            <v>590128</v>
          </cell>
          <cell r="C3811" t="str">
            <v>Not Listed</v>
          </cell>
        </row>
        <row r="3812">
          <cell r="A3812" t="str">
            <v>SHREE VASU LOGISTICS LTD</v>
          </cell>
          <cell r="B3812" t="str">
            <v>Not Listed</v>
          </cell>
          <cell r="C3812" t="str">
            <v>SVLL</v>
          </cell>
        </row>
        <row r="3813">
          <cell r="A3813" t="str">
            <v>SHREE WORSTEX LTD</v>
          </cell>
          <cell r="B3813">
            <v>541358</v>
          </cell>
          <cell r="C3813" t="str">
            <v>Not Listed</v>
          </cell>
        </row>
        <row r="3814">
          <cell r="A3814" t="str">
            <v>SHREEJI TRANSLOGISTICS LTD</v>
          </cell>
          <cell r="B3814">
            <v>540738</v>
          </cell>
          <cell r="C3814" t="str">
            <v>Not Listed</v>
          </cell>
        </row>
        <row r="3815">
          <cell r="A3815" t="str">
            <v>SHREENATH INVESTMENTS CO LTD</v>
          </cell>
          <cell r="B3815">
            <v>503696</v>
          </cell>
          <cell r="C3815" t="str">
            <v>Not Listed</v>
          </cell>
        </row>
        <row r="3816">
          <cell r="A3816" t="str">
            <v>SHREEOSWAL SEEDS AND CHEMICALS LTD</v>
          </cell>
          <cell r="B3816" t="str">
            <v>Not Listed</v>
          </cell>
          <cell r="C3816" t="str">
            <v>OSWALSEEDS</v>
          </cell>
        </row>
        <row r="3817">
          <cell r="A3817" t="str">
            <v>SHREESHAY ENGINEERS LTD</v>
          </cell>
          <cell r="B3817">
            <v>541112</v>
          </cell>
          <cell r="C3817" t="str">
            <v>Not Listed</v>
          </cell>
        </row>
        <row r="3818">
          <cell r="A3818" t="str">
            <v>SHREEVATSAA FINANCE &amp; LEASING LTD</v>
          </cell>
          <cell r="B3818">
            <v>532007</v>
          </cell>
          <cell r="C3818" t="str">
            <v>Not Listed</v>
          </cell>
        </row>
        <row r="3819">
          <cell r="A3819" t="str">
            <v>SHRENIK LTD</v>
          </cell>
          <cell r="B3819" t="str">
            <v>Not Listed</v>
          </cell>
          <cell r="C3819" t="str">
            <v>SHRENIK</v>
          </cell>
        </row>
        <row r="3820">
          <cell r="A3820" t="str">
            <v>SHREYANS INDUSTRIES LTD</v>
          </cell>
          <cell r="B3820">
            <v>516016</v>
          </cell>
          <cell r="C3820" t="str">
            <v>SHREYANIND</v>
          </cell>
        </row>
        <row r="3821">
          <cell r="A3821" t="str">
            <v>SHREYAS INTERMEDIATES LTD</v>
          </cell>
          <cell r="B3821">
            <v>526335</v>
          </cell>
          <cell r="C3821" t="str">
            <v>Not Listed</v>
          </cell>
        </row>
        <row r="3822">
          <cell r="A3822" t="str">
            <v>SHREYAS SHIPPING &amp; LOGISTICS LTD</v>
          </cell>
          <cell r="B3822">
            <v>520151</v>
          </cell>
          <cell r="C3822" t="str">
            <v>SHREYAS</v>
          </cell>
        </row>
        <row r="3823">
          <cell r="A3823" t="str">
            <v>SHRI BAJRANG ALLOYS LTD</v>
          </cell>
          <cell r="B3823">
            <v>526981</v>
          </cell>
          <cell r="C3823" t="str">
            <v>Not Listed</v>
          </cell>
        </row>
        <row r="3824">
          <cell r="A3824" t="str">
            <v>SHRI BHOLANATH CARPETS LTD</v>
          </cell>
          <cell r="B3824">
            <v>530841</v>
          </cell>
          <cell r="C3824" t="str">
            <v>Not Listed</v>
          </cell>
        </row>
        <row r="3825">
          <cell r="A3825" t="str">
            <v>SHRI DINESH MILLS LTD</v>
          </cell>
          <cell r="B3825">
            <v>503804</v>
          </cell>
          <cell r="C3825" t="str">
            <v>Not Listed</v>
          </cell>
        </row>
        <row r="3826">
          <cell r="A3826" t="str">
            <v>SHRI JAGDAMBA POLYMERS LTD</v>
          </cell>
          <cell r="B3826">
            <v>512453</v>
          </cell>
          <cell r="C3826" t="str">
            <v>Not Listed</v>
          </cell>
        </row>
        <row r="3827">
          <cell r="A3827" t="str">
            <v>SHRI KALYAN HOLDINGS LTD</v>
          </cell>
          <cell r="B3827">
            <v>532083</v>
          </cell>
          <cell r="C3827" t="str">
            <v>Not Listed</v>
          </cell>
        </row>
        <row r="3828">
          <cell r="A3828" t="str">
            <v>SHRI KESHAV CEMENTS AND INFRA LTD</v>
          </cell>
          <cell r="B3828">
            <v>530977</v>
          </cell>
          <cell r="C3828" t="str">
            <v>Not Listed</v>
          </cell>
        </row>
        <row r="3829">
          <cell r="A3829" t="str">
            <v>SHRI KRISHNA DEVCON LTD</v>
          </cell>
          <cell r="B3829">
            <v>531080</v>
          </cell>
          <cell r="C3829" t="str">
            <v>Not Listed</v>
          </cell>
        </row>
        <row r="3830">
          <cell r="A3830" t="str">
            <v>SHRI NIWAS LEASING AND FINANCE LTD</v>
          </cell>
          <cell r="B3830">
            <v>538897</v>
          </cell>
          <cell r="C3830" t="str">
            <v>Not Listed</v>
          </cell>
        </row>
        <row r="3831">
          <cell r="A3831" t="str">
            <v>SHRI RAM SWITCHGEARS LTD</v>
          </cell>
          <cell r="B3831" t="str">
            <v>Not Listed</v>
          </cell>
          <cell r="C3831" t="str">
            <v>SRIRAM</v>
          </cell>
        </row>
        <row r="3832">
          <cell r="A3832" t="str">
            <v>SHRICON INDUSTRIES LTD</v>
          </cell>
          <cell r="B3832">
            <v>508961</v>
          </cell>
          <cell r="C3832" t="str">
            <v>Not Listed</v>
          </cell>
        </row>
        <row r="3833">
          <cell r="A3833" t="str">
            <v>SHRIRAM ASSET MANAGEMENT CO LTD</v>
          </cell>
          <cell r="B3833">
            <v>531359</v>
          </cell>
          <cell r="C3833" t="str">
            <v>Not Listed</v>
          </cell>
        </row>
        <row r="3834">
          <cell r="A3834" t="str">
            <v>SHRIRAM CITY UNION FINANCE LTD</v>
          </cell>
          <cell r="B3834">
            <v>532498</v>
          </cell>
          <cell r="C3834" t="str">
            <v>SHRIRAMCIT</v>
          </cell>
        </row>
        <row r="3835">
          <cell r="A3835" t="str">
            <v>SHRIRAM EPC LTD</v>
          </cell>
          <cell r="B3835">
            <v>532945</v>
          </cell>
          <cell r="C3835" t="str">
            <v>SHRIRAMEPC</v>
          </cell>
        </row>
        <row r="3836">
          <cell r="A3836" t="str">
            <v>SHRIRAM PISTONS &amp; RINGS LTD</v>
          </cell>
          <cell r="B3836" t="str">
            <v>Not Listed</v>
          </cell>
          <cell r="C3836" t="str">
            <v>SHRIPISTON</v>
          </cell>
        </row>
        <row r="3837">
          <cell r="A3837" t="str">
            <v>SHRIRAM TRANSPORT FINANCE COMPANY LTD</v>
          </cell>
          <cell r="B3837">
            <v>511218</v>
          </cell>
          <cell r="C3837" t="str">
            <v>SRTRANSFIN</v>
          </cell>
        </row>
        <row r="3838">
          <cell r="A3838" t="str">
            <v>SHRISTI INFRASTRUCTURE DEVELOPMENT CORPORATION LTD</v>
          </cell>
          <cell r="B3838">
            <v>511411</v>
          </cell>
          <cell r="C3838" t="str">
            <v>Not Listed</v>
          </cell>
        </row>
        <row r="3839">
          <cell r="A3839" t="str">
            <v>SHUBHAM POLYSPIN LTD</v>
          </cell>
          <cell r="B3839">
            <v>542019</v>
          </cell>
          <cell r="C3839" t="str">
            <v>Not Listed</v>
          </cell>
        </row>
        <row r="3840">
          <cell r="A3840" t="str">
            <v>SHUBHLAXMI JEWEL ART LTD</v>
          </cell>
          <cell r="B3840" t="str">
            <v>Not Listed</v>
          </cell>
          <cell r="C3840" t="str">
            <v>SHUBHLAXMI</v>
          </cell>
        </row>
        <row r="3841">
          <cell r="A3841" t="str">
            <v>SHUKRA BULLIONS LTD.</v>
          </cell>
          <cell r="B3841">
            <v>531506</v>
          </cell>
          <cell r="C3841" t="str">
            <v>SKRABUL</v>
          </cell>
        </row>
        <row r="3842">
          <cell r="A3842" t="str">
            <v>SHUKRA JEWELLERS LTD</v>
          </cell>
          <cell r="B3842">
            <v>523790</v>
          </cell>
          <cell r="C3842" t="str">
            <v>Not Listed</v>
          </cell>
        </row>
        <row r="3843">
          <cell r="A3843" t="str">
            <v>SHUKRA PHARMACEUTICALS LTD</v>
          </cell>
          <cell r="B3843">
            <v>524632</v>
          </cell>
          <cell r="C3843" t="str">
            <v>Not Listed</v>
          </cell>
        </row>
        <row r="3844">
          <cell r="A3844" t="str">
            <v>SHYAM CENTURY FERROUS LTD</v>
          </cell>
          <cell r="B3844">
            <v>539252</v>
          </cell>
          <cell r="C3844" t="str">
            <v>SHYAMCENT</v>
          </cell>
        </row>
        <row r="3845">
          <cell r="A3845" t="str">
            <v>SHYAM TELECOM LTD</v>
          </cell>
          <cell r="B3845">
            <v>517411</v>
          </cell>
          <cell r="C3845" t="str">
            <v>SHYAMTEL</v>
          </cell>
        </row>
        <row r="3846">
          <cell r="A3846" t="str">
            <v>SHYAMA INFOSYS LTD</v>
          </cell>
          <cell r="B3846">
            <v>531219</v>
          </cell>
          <cell r="C3846" t="str">
            <v>Not Listed</v>
          </cell>
        </row>
        <row r="3847">
          <cell r="A3847" t="str">
            <v>SHYAMKAMAL INVESTMENTS LTD</v>
          </cell>
          <cell r="B3847">
            <v>505515</v>
          </cell>
          <cell r="C3847" t="str">
            <v>Not Listed</v>
          </cell>
        </row>
        <row r="3848">
          <cell r="A3848" t="str">
            <v>SI CAPITAL &amp; FINANCIAL SERVICES LTD</v>
          </cell>
          <cell r="B3848">
            <v>530907</v>
          </cell>
          <cell r="C3848" t="str">
            <v>Not Listed</v>
          </cell>
        </row>
        <row r="3849">
          <cell r="A3849" t="str">
            <v>SIBAR AUTO PARTS LTD</v>
          </cell>
          <cell r="B3849">
            <v>520141</v>
          </cell>
          <cell r="C3849" t="str">
            <v>Not Listed</v>
          </cell>
        </row>
        <row r="3850">
          <cell r="A3850" t="str">
            <v>SICAGEN (INDIA) LTD</v>
          </cell>
          <cell r="B3850">
            <v>533014</v>
          </cell>
          <cell r="C3850" t="str">
            <v>SICAGEN</v>
          </cell>
        </row>
        <row r="3851">
          <cell r="A3851" t="str">
            <v>SICAGEN INDIA LTD</v>
          </cell>
          <cell r="B3851">
            <v>533014</v>
          </cell>
          <cell r="C3851" t="str">
            <v>SICAGEN</v>
          </cell>
        </row>
        <row r="3852">
          <cell r="A3852" t="str">
            <v>SICAL LOGISTICS LTD</v>
          </cell>
          <cell r="B3852">
            <v>520086</v>
          </cell>
          <cell r="C3852" t="str">
            <v>SICAL</v>
          </cell>
        </row>
        <row r="3853">
          <cell r="A3853" t="str">
            <v>SIDDHARTH EDUCATION SERVICES LTD</v>
          </cell>
          <cell r="B3853">
            <v>540736</v>
          </cell>
          <cell r="C3853" t="str">
            <v>Not Listed</v>
          </cell>
        </row>
        <row r="3854">
          <cell r="A3854" t="str">
            <v>SIDH AUTOMOBILES LTD</v>
          </cell>
          <cell r="B3854">
            <v>539983</v>
          </cell>
          <cell r="C3854" t="str">
            <v>Not Listed</v>
          </cell>
        </row>
        <row r="3855">
          <cell r="A3855" t="str">
            <v>SIEL FINANCIAL SERVICES LTD</v>
          </cell>
          <cell r="B3855">
            <v>532217</v>
          </cell>
          <cell r="C3855" t="str">
            <v>Not Listed</v>
          </cell>
        </row>
        <row r="3856">
          <cell r="A3856" t="str">
            <v>SIEMENS LTD</v>
          </cell>
          <cell r="B3856">
            <v>500550</v>
          </cell>
          <cell r="C3856" t="str">
            <v>SIEMENS</v>
          </cell>
        </row>
        <row r="3857">
          <cell r="A3857" t="str">
            <v>SIGNET INDUSTRIES LTD</v>
          </cell>
          <cell r="B3857">
            <v>512131</v>
          </cell>
          <cell r="C3857" t="str">
            <v>SIGIND</v>
          </cell>
        </row>
        <row r="3858">
          <cell r="A3858" t="str">
            <v>SIKA INTERPLANT SYSTEMS LTD</v>
          </cell>
          <cell r="B3858">
            <v>523606</v>
          </cell>
          <cell r="C3858" t="str">
            <v>Not Listed</v>
          </cell>
        </row>
        <row r="3859">
          <cell r="A3859" t="str">
            <v>SIKKO INDUSTRIES LTD</v>
          </cell>
          <cell r="B3859" t="str">
            <v>Not Listed</v>
          </cell>
          <cell r="C3859" t="str">
            <v>SIKKO</v>
          </cell>
        </row>
        <row r="3860">
          <cell r="A3860" t="str">
            <v>SIKOZY REALTORS LTD</v>
          </cell>
          <cell r="B3860">
            <v>524642</v>
          </cell>
          <cell r="C3860" t="str">
            <v>Not Listed</v>
          </cell>
        </row>
        <row r="3861">
          <cell r="A3861" t="str">
            <v>SIL INVESTMENTS LTD</v>
          </cell>
          <cell r="B3861">
            <v>521194</v>
          </cell>
          <cell r="C3861" t="str">
            <v>SILINV</v>
          </cell>
        </row>
        <row r="3862">
          <cell r="A3862" t="str">
            <v>SILGO RETAIL LTD</v>
          </cell>
          <cell r="B3862" t="str">
            <v>Not Listed</v>
          </cell>
          <cell r="C3862" t="str">
            <v>SILGO</v>
          </cell>
        </row>
        <row r="3863">
          <cell r="A3863" t="str">
            <v>SILLY MONKS ENTERTAINMENT LTD</v>
          </cell>
          <cell r="B3863" t="str">
            <v>Not Listed</v>
          </cell>
          <cell r="C3863" t="str">
            <v>SILLYMONKS</v>
          </cell>
        </row>
        <row r="3864">
          <cell r="A3864" t="str">
            <v>SILVER OAK (INDIA) LTD</v>
          </cell>
          <cell r="B3864">
            <v>531635</v>
          </cell>
          <cell r="C3864" t="str">
            <v>Not Listed</v>
          </cell>
        </row>
        <row r="3865">
          <cell r="A3865" t="str">
            <v>SILVER OAK COMMERCIAL LTD</v>
          </cell>
          <cell r="B3865">
            <v>512197</v>
          </cell>
          <cell r="C3865" t="str">
            <v>Not Listed</v>
          </cell>
        </row>
        <row r="3866">
          <cell r="A3866" t="str">
            <v>SILVER OAK INDIA LTD</v>
          </cell>
          <cell r="B3866">
            <v>531635</v>
          </cell>
          <cell r="C3866" t="str">
            <v>Not Listed</v>
          </cell>
        </row>
        <row r="3867">
          <cell r="A3867" t="str">
            <v>SILVER TOUCH TECHNOLOGIES LTD</v>
          </cell>
          <cell r="B3867" t="str">
            <v>Not Listed</v>
          </cell>
          <cell r="C3867" t="str">
            <v>SILVERTUC</v>
          </cell>
        </row>
        <row r="3868">
          <cell r="A3868" t="str">
            <v>SILVERPOINT INFRATECH LTD</v>
          </cell>
          <cell r="B3868">
            <v>536073</v>
          </cell>
          <cell r="C3868" t="str">
            <v>Not Listed</v>
          </cell>
        </row>
        <row r="3869">
          <cell r="A3869" t="str">
            <v>SIMBHAOLI SUGARS LTD</v>
          </cell>
          <cell r="B3869">
            <v>539742</v>
          </cell>
          <cell r="C3869" t="str">
            <v>SIMBHALS</v>
          </cell>
        </row>
        <row r="3870">
          <cell r="A3870" t="str">
            <v>SIMMONDS MARSHALL LTD</v>
          </cell>
          <cell r="B3870">
            <v>507998</v>
          </cell>
          <cell r="C3870" t="str">
            <v>Not Listed</v>
          </cell>
        </row>
        <row r="3871">
          <cell r="A3871" t="str">
            <v>SIMPLEX CASTINGS LTD</v>
          </cell>
          <cell r="B3871">
            <v>513472</v>
          </cell>
          <cell r="C3871" t="str">
            <v>Not Listed</v>
          </cell>
        </row>
        <row r="3872">
          <cell r="A3872" t="str">
            <v>SIMPLEX INFRASTRUCTURES LTD</v>
          </cell>
          <cell r="B3872">
            <v>523838</v>
          </cell>
          <cell r="C3872" t="str">
            <v>SIMPLEXINF</v>
          </cell>
        </row>
        <row r="3873">
          <cell r="A3873" t="str">
            <v>SIMPLEX MILLS COMPANY LTD</v>
          </cell>
          <cell r="B3873">
            <v>533018</v>
          </cell>
          <cell r="C3873" t="str">
            <v>Not Listed</v>
          </cell>
        </row>
        <row r="3874">
          <cell r="A3874" t="str">
            <v>SIMPLEX PAPERS LTD</v>
          </cell>
          <cell r="B3874">
            <v>533019</v>
          </cell>
          <cell r="C3874" t="str">
            <v>Not Listed</v>
          </cell>
        </row>
        <row r="3875">
          <cell r="A3875" t="str">
            <v>SIMPLEX REALTY LTD</v>
          </cell>
          <cell r="B3875">
            <v>503229</v>
          </cell>
          <cell r="C3875" t="str">
            <v>Not Listed</v>
          </cell>
        </row>
        <row r="3876">
          <cell r="A3876" t="str">
            <v>SIMRAN FARMS LTD</v>
          </cell>
          <cell r="B3876">
            <v>519566</v>
          </cell>
          <cell r="C3876" t="str">
            <v>Not Listed</v>
          </cell>
        </row>
        <row r="3877">
          <cell r="A3877" t="str">
            <v>SINCLAIRS HOTELS LTD</v>
          </cell>
          <cell r="B3877">
            <v>523023</v>
          </cell>
          <cell r="C3877" t="str">
            <v>Not Listed</v>
          </cell>
        </row>
        <row r="3878">
          <cell r="A3878" t="str">
            <v>SINDHU TRADE LINKS LTD</v>
          </cell>
          <cell r="B3878">
            <v>532029</v>
          </cell>
          <cell r="C3878" t="str">
            <v>Not Listed</v>
          </cell>
        </row>
        <row r="3879">
          <cell r="A3879" t="str">
            <v>SINDU VALLEY TECHNOLOGIES LTD</v>
          </cell>
          <cell r="B3879">
            <v>505504</v>
          </cell>
          <cell r="C3879" t="str">
            <v>Not Listed</v>
          </cell>
        </row>
        <row r="3880">
          <cell r="A3880" t="str">
            <v>SINGER (INDIA) LTD</v>
          </cell>
          <cell r="B3880">
            <v>505729</v>
          </cell>
          <cell r="C3880" t="str">
            <v>Not Listed</v>
          </cell>
        </row>
        <row r="3881">
          <cell r="A3881" t="str">
            <v>SINGER INDIA LTD</v>
          </cell>
          <cell r="B3881">
            <v>505729</v>
          </cell>
          <cell r="C3881" t="str">
            <v>Not Listed</v>
          </cell>
        </row>
        <row r="3882">
          <cell r="A3882" t="str">
            <v>SINNAR BIDI UDYOG LTD</v>
          </cell>
          <cell r="B3882">
            <v>509887</v>
          </cell>
          <cell r="C3882" t="str">
            <v>Not Listed</v>
          </cell>
        </row>
        <row r="3883">
          <cell r="A3883" t="str">
            <v>SINNER ENERGY (INDIA) LTD</v>
          </cell>
          <cell r="B3883">
            <v>539410</v>
          </cell>
          <cell r="C3883" t="str">
            <v>Not Listed</v>
          </cell>
        </row>
        <row r="3884">
          <cell r="A3884" t="str">
            <v>SINNER ENERGY INDIA LTD</v>
          </cell>
          <cell r="B3884">
            <v>539410</v>
          </cell>
          <cell r="C3884" t="str">
            <v>Not Listed</v>
          </cell>
        </row>
        <row r="3885">
          <cell r="A3885" t="str">
            <v>SINTERCOM (INDIA) LTD</v>
          </cell>
          <cell r="B3885" t="str">
            <v>Not Listed</v>
          </cell>
          <cell r="C3885" t="str">
            <v>SINTERCOM</v>
          </cell>
        </row>
        <row r="3886">
          <cell r="A3886" t="str">
            <v>SINTERCOM INDIA LTD</v>
          </cell>
          <cell r="B3886" t="str">
            <v>Not Listed</v>
          </cell>
          <cell r="C3886" t="str">
            <v>SINTERCOM</v>
          </cell>
        </row>
        <row r="3887">
          <cell r="A3887" t="str">
            <v>SINTEX INDUSTRIES LTD</v>
          </cell>
          <cell r="B3887">
            <v>502742</v>
          </cell>
          <cell r="C3887" t="str">
            <v>SINTEX</v>
          </cell>
        </row>
        <row r="3888">
          <cell r="A3888" t="str">
            <v>SINTEX PLASTICS TECHNOLOGY LTD</v>
          </cell>
          <cell r="B3888">
            <v>540653</v>
          </cell>
          <cell r="C3888" t="str">
            <v>SPTL</v>
          </cell>
        </row>
        <row r="3889">
          <cell r="A3889" t="str">
            <v>SIP INDUSTRIES LTD</v>
          </cell>
          <cell r="B3889">
            <v>523164</v>
          </cell>
          <cell r="C3889" t="str">
            <v>Not Listed</v>
          </cell>
        </row>
        <row r="3890">
          <cell r="A3890" t="str">
            <v>SIR SHADI LAL ENTERPRISES LTD</v>
          </cell>
          <cell r="B3890">
            <v>532879</v>
          </cell>
          <cell r="C3890" t="str">
            <v>Not Listed</v>
          </cell>
        </row>
        <row r="3891">
          <cell r="A3891" t="str">
            <v>SIRCA PAINTS (INDIA) LTD</v>
          </cell>
          <cell r="B3891" t="str">
            <v>Not Listed</v>
          </cell>
          <cell r="C3891" t="str">
            <v>SIRCA</v>
          </cell>
        </row>
        <row r="3892">
          <cell r="A3892" t="str">
            <v>SIRCA PAINTS INDIA LTD</v>
          </cell>
          <cell r="B3892" t="str">
            <v>Not Listed</v>
          </cell>
          <cell r="C3892" t="str">
            <v>SIRCA</v>
          </cell>
        </row>
        <row r="3893">
          <cell r="A3893" t="str">
            <v>SIROHIA &amp; SONS LTD</v>
          </cell>
          <cell r="B3893">
            <v>538667</v>
          </cell>
          <cell r="C3893" t="str">
            <v>Not Listed</v>
          </cell>
        </row>
        <row r="3894">
          <cell r="A3894" t="str">
            <v>SITA ENTERPRISES LTD</v>
          </cell>
          <cell r="B3894">
            <v>512589</v>
          </cell>
          <cell r="C3894" t="str">
            <v>Not Listed</v>
          </cell>
        </row>
        <row r="3895">
          <cell r="A3895" t="str">
            <v>SITA SHREE FOOD PRODUCTS LTD</v>
          </cell>
          <cell r="B3895">
            <v>532961</v>
          </cell>
          <cell r="C3895" t="str">
            <v>SITASHREE</v>
          </cell>
        </row>
        <row r="3896">
          <cell r="A3896" t="str">
            <v>SITI NETWORKS LTD</v>
          </cell>
          <cell r="B3896">
            <v>532795</v>
          </cell>
          <cell r="C3896" t="str">
            <v>SITINET</v>
          </cell>
        </row>
        <row r="3897">
          <cell r="A3897" t="str">
            <v>SIYARAM SILK MILLS LTD</v>
          </cell>
          <cell r="B3897">
            <v>503811</v>
          </cell>
          <cell r="C3897" t="str">
            <v>SIYSIL</v>
          </cell>
        </row>
        <row r="3898">
          <cell r="A3898" t="str">
            <v>SJ CORPORATION LTD</v>
          </cell>
          <cell r="B3898">
            <v>504398</v>
          </cell>
          <cell r="C3898" t="str">
            <v>Not Listed</v>
          </cell>
        </row>
        <row r="3899">
          <cell r="A3899" t="str">
            <v>SJVN LTD</v>
          </cell>
          <cell r="B3899">
            <v>533206</v>
          </cell>
          <cell r="C3899" t="str">
            <v>SJVN</v>
          </cell>
        </row>
        <row r="3900">
          <cell r="A3900" t="str">
            <v>SKF (INDIA) LTD</v>
          </cell>
          <cell r="B3900">
            <v>500472</v>
          </cell>
          <cell r="C3900" t="str">
            <v>SKF(INDIA)</v>
          </cell>
        </row>
        <row r="3901">
          <cell r="A3901" t="str">
            <v>SKF INDIA LTD</v>
          </cell>
          <cell r="B3901">
            <v>500472</v>
          </cell>
          <cell r="C3901" t="str">
            <v>SKFINDIA</v>
          </cell>
        </row>
        <row r="3902">
          <cell r="A3902" t="str">
            <v>SKIL INFRASTRUCTURE LTD</v>
          </cell>
          <cell r="B3902">
            <v>539861</v>
          </cell>
          <cell r="C3902" t="str">
            <v>SKIL</v>
          </cell>
        </row>
        <row r="3903">
          <cell r="A3903" t="str">
            <v>SKIPPER LTD</v>
          </cell>
          <cell r="B3903">
            <v>538562</v>
          </cell>
          <cell r="C3903" t="str">
            <v>SKIPPER</v>
          </cell>
        </row>
        <row r="3904">
          <cell r="A3904" t="str">
            <v>SKM EGG PRODUCTS EXPORT (INDIA) LTD</v>
          </cell>
          <cell r="B3904">
            <v>532143</v>
          </cell>
          <cell r="C3904" t="str">
            <v>SKMEGGPROD</v>
          </cell>
        </row>
        <row r="3905">
          <cell r="A3905" t="str">
            <v>SKM EGG PRODUCTS EXPORT INDIA LTD</v>
          </cell>
          <cell r="B3905">
            <v>532143</v>
          </cell>
          <cell r="C3905" t="str">
            <v>SKMEGGPROD</v>
          </cell>
        </row>
        <row r="3906">
          <cell r="A3906" t="str">
            <v>SKP SECURITIES LTD</v>
          </cell>
          <cell r="B3906">
            <v>531169</v>
          </cell>
          <cell r="C3906" t="str">
            <v>Not Listed</v>
          </cell>
        </row>
        <row r="3907">
          <cell r="A3907" t="str">
            <v>SKS TEXTILES LTD</v>
          </cell>
          <cell r="B3907" t="str">
            <v>Not Listed</v>
          </cell>
          <cell r="C3907" t="str">
            <v>SKSTEXTILE</v>
          </cell>
        </row>
        <row r="3908">
          <cell r="A3908" t="str">
            <v>SKY GOLD LTD</v>
          </cell>
          <cell r="B3908">
            <v>541967</v>
          </cell>
          <cell r="C3908" t="str">
            <v>Not Listed</v>
          </cell>
        </row>
        <row r="3909">
          <cell r="A3909" t="str">
            <v>SKY INDUSTRIES LTD</v>
          </cell>
          <cell r="B3909">
            <v>526479</v>
          </cell>
          <cell r="C3909" t="str">
            <v>Not Listed</v>
          </cell>
        </row>
        <row r="3910">
          <cell r="A3910" t="str">
            <v>SKYLINE MILLARS LTD</v>
          </cell>
          <cell r="B3910">
            <v>505650</v>
          </cell>
          <cell r="C3910" t="str">
            <v>Not Listed</v>
          </cell>
        </row>
        <row r="3911">
          <cell r="A3911" t="str">
            <v>SKYLINE VENTURES (INDIA) LTD</v>
          </cell>
          <cell r="B3911">
            <v>538919</v>
          </cell>
          <cell r="C3911" t="str">
            <v>Not Listed</v>
          </cell>
        </row>
        <row r="3912">
          <cell r="A3912" t="str">
            <v>SKYLINE VENTURES INDIA LTD</v>
          </cell>
          <cell r="B3912">
            <v>538919</v>
          </cell>
          <cell r="C3912" t="str">
            <v>Not Listed</v>
          </cell>
        </row>
        <row r="3913">
          <cell r="A3913" t="str">
            <v>SMART FINSEC LTD</v>
          </cell>
          <cell r="B3913">
            <v>539494</v>
          </cell>
          <cell r="C3913" t="str">
            <v>Not Listed</v>
          </cell>
        </row>
        <row r="3914">
          <cell r="A3914" t="str">
            <v>SMARTLINK HOLDINGS LTD</v>
          </cell>
          <cell r="B3914">
            <v>532419</v>
          </cell>
          <cell r="C3914" t="str">
            <v>SMARTLINK</v>
          </cell>
        </row>
        <row r="3915">
          <cell r="A3915" t="str">
            <v>SMIFS CAPITAL MARKETS LTD</v>
          </cell>
          <cell r="B3915">
            <v>508905</v>
          </cell>
          <cell r="C3915" t="str">
            <v>Not Listed</v>
          </cell>
        </row>
        <row r="3916">
          <cell r="A3916" t="str">
            <v>SML ISUZU LTD</v>
          </cell>
          <cell r="B3916">
            <v>505192</v>
          </cell>
          <cell r="C3916" t="str">
            <v>SMLISUZU</v>
          </cell>
        </row>
        <row r="3917">
          <cell r="A3917" t="str">
            <v>SMRUTHI ORGANICS LTD</v>
          </cell>
          <cell r="B3917">
            <v>540686</v>
          </cell>
          <cell r="C3917" t="str">
            <v>Not Listed</v>
          </cell>
        </row>
        <row r="3918">
          <cell r="A3918" t="str">
            <v>SMS LIFESCIENCES (INDIA) LTD</v>
          </cell>
          <cell r="B3918">
            <v>540679</v>
          </cell>
          <cell r="C3918" t="str">
            <v>SMSLIFE</v>
          </cell>
        </row>
        <row r="3919">
          <cell r="A3919" t="str">
            <v>SMS LIFESCIENCES INDIA LTD</v>
          </cell>
          <cell r="B3919">
            <v>540679</v>
          </cell>
          <cell r="C3919" t="str">
            <v>SMSLIFE</v>
          </cell>
        </row>
        <row r="3920">
          <cell r="A3920" t="str">
            <v>SMS PHARMACEUTICALS LTD</v>
          </cell>
          <cell r="B3920">
            <v>532815</v>
          </cell>
          <cell r="C3920" t="str">
            <v>SMSPHARMA</v>
          </cell>
        </row>
        <row r="3921">
          <cell r="A3921" t="str">
            <v>SMVD POLY PACK LTD</v>
          </cell>
          <cell r="B3921" t="str">
            <v>Not Listed</v>
          </cell>
          <cell r="C3921" t="str">
            <v>SMVD</v>
          </cell>
        </row>
        <row r="3922">
          <cell r="A3922" t="str">
            <v>SNL BEARINGS LTD</v>
          </cell>
          <cell r="B3922">
            <v>505827</v>
          </cell>
          <cell r="C3922" t="str">
            <v>Not Listed</v>
          </cell>
        </row>
        <row r="3923">
          <cell r="A3923" t="str">
            <v>SNOWMAN LOGISTICS LTD</v>
          </cell>
          <cell r="B3923">
            <v>538635</v>
          </cell>
          <cell r="C3923" t="str">
            <v>SNOWMAN</v>
          </cell>
        </row>
        <row r="3924">
          <cell r="A3924" t="str">
            <v>SOBHA LTD</v>
          </cell>
          <cell r="B3924">
            <v>532784</v>
          </cell>
          <cell r="C3924" t="str">
            <v>SOBHA</v>
          </cell>
        </row>
        <row r="3925">
          <cell r="A3925" t="str">
            <v>SOBHAGYA MERCHANTILE LTD</v>
          </cell>
          <cell r="B3925">
            <v>512014</v>
          </cell>
          <cell r="C3925" t="str">
            <v>Not Listed</v>
          </cell>
        </row>
        <row r="3926">
          <cell r="A3926" t="str">
            <v>SOFCOM SYSTEMS LTD</v>
          </cell>
          <cell r="B3926">
            <v>538923</v>
          </cell>
          <cell r="C3926" t="str">
            <v>Not Listed</v>
          </cell>
        </row>
        <row r="3927">
          <cell r="A3927" t="str">
            <v>SOFTBPO GLOBAL SERVICES LTD</v>
          </cell>
          <cell r="B3927">
            <v>504375</v>
          </cell>
          <cell r="C3927" t="str">
            <v>Not Listed</v>
          </cell>
        </row>
        <row r="3928">
          <cell r="A3928" t="str">
            <v>SOFTSOL (INDIA) LTD</v>
          </cell>
          <cell r="B3928">
            <v>532344</v>
          </cell>
          <cell r="C3928" t="str">
            <v>Not Listed</v>
          </cell>
        </row>
        <row r="3929">
          <cell r="A3929" t="str">
            <v>SOFTSOL INDIA LTD</v>
          </cell>
          <cell r="B3929">
            <v>532344</v>
          </cell>
          <cell r="C3929" t="str">
            <v>Not Listed</v>
          </cell>
        </row>
        <row r="3930">
          <cell r="A3930" t="str">
            <v>SOFTTECH ENGINEERS LTD</v>
          </cell>
          <cell r="B3930" t="str">
            <v>Not Listed</v>
          </cell>
          <cell r="C3930" t="str">
            <v>SOFTTECH</v>
          </cell>
        </row>
        <row r="3931">
          <cell r="A3931" t="str">
            <v>SOLAR INDUSTRIES (INDIA) LTD</v>
          </cell>
          <cell r="B3931">
            <v>532725</v>
          </cell>
          <cell r="C3931" t="str">
            <v>SOLARINDS</v>
          </cell>
        </row>
        <row r="3932">
          <cell r="A3932" t="str">
            <v>SOLAR INDUSTRIES INDIA LTD</v>
          </cell>
          <cell r="B3932">
            <v>532725</v>
          </cell>
          <cell r="C3932" t="str">
            <v>SOLARINDS</v>
          </cell>
        </row>
        <row r="3933">
          <cell r="A3933" t="str">
            <v>SOLARA ACTIVE PHARMA SCIENCES LTD</v>
          </cell>
          <cell r="B3933">
            <v>541540</v>
          </cell>
          <cell r="C3933" t="str">
            <v>SOLARA</v>
          </cell>
        </row>
        <row r="3934">
          <cell r="A3934" t="str">
            <v>SOLEX ENERGY LTD</v>
          </cell>
          <cell r="B3934" t="str">
            <v>Not Listed</v>
          </cell>
          <cell r="C3934" t="str">
            <v>SOLEX</v>
          </cell>
        </row>
        <row r="3935">
          <cell r="A3935" t="str">
            <v>SOLID CARBIDE TOOLS LTD</v>
          </cell>
          <cell r="B3935">
            <v>500394</v>
          </cell>
          <cell r="C3935" t="str">
            <v>Not Listed</v>
          </cell>
        </row>
        <row r="3936">
          <cell r="A3936" t="str">
            <v>SOLID CONTAINERS LTD</v>
          </cell>
          <cell r="B3936">
            <v>502460</v>
          </cell>
          <cell r="C3936" t="str">
            <v>Not Listed</v>
          </cell>
        </row>
        <row r="3937">
          <cell r="A3937" t="str">
            <v>SOLID STONE COMPANY LTD</v>
          </cell>
          <cell r="B3937">
            <v>513699</v>
          </cell>
          <cell r="C3937" t="str">
            <v>Not Listed</v>
          </cell>
        </row>
        <row r="3938">
          <cell r="A3938" t="str">
            <v>SOLIS MARKETING LTD</v>
          </cell>
          <cell r="B3938">
            <v>538575</v>
          </cell>
          <cell r="C3938" t="str">
            <v>Not Listed</v>
          </cell>
        </row>
        <row r="3939">
          <cell r="A3939" t="str">
            <v>SOLITAIRE MACHINE TOOLS LTD</v>
          </cell>
          <cell r="B3939">
            <v>522152</v>
          </cell>
          <cell r="C3939" t="str">
            <v>Not Listed</v>
          </cell>
        </row>
        <row r="3940">
          <cell r="A3940" t="str">
            <v>SOM DATT FINANCE CORPORATION LTD</v>
          </cell>
          <cell r="B3940">
            <v>511571</v>
          </cell>
          <cell r="C3940" t="str">
            <v>Not Listed</v>
          </cell>
        </row>
        <row r="3941">
          <cell r="A3941" t="str">
            <v>SOM DISTILLERIES &amp; BREWERIES LTD</v>
          </cell>
          <cell r="B3941">
            <v>507514</v>
          </cell>
          <cell r="C3941" t="str">
            <v>SDBL</v>
          </cell>
        </row>
        <row r="3942">
          <cell r="A3942" t="str">
            <v>SOMA TEXTILES &amp; INDUSTRIES LTD</v>
          </cell>
          <cell r="B3942">
            <v>521034</v>
          </cell>
          <cell r="C3942" t="str">
            <v>SOMATEX</v>
          </cell>
        </row>
        <row r="3943">
          <cell r="A3943" t="str">
            <v>SOMANY CERAMICS LTD</v>
          </cell>
          <cell r="B3943">
            <v>531548</v>
          </cell>
          <cell r="C3943" t="str">
            <v>SOMANYCERA</v>
          </cell>
        </row>
        <row r="3944">
          <cell r="A3944" t="str">
            <v>SOMI CONVEYOR BELTINGS LTD</v>
          </cell>
          <cell r="B3944">
            <v>533001</v>
          </cell>
          <cell r="C3944" t="str">
            <v>SOMICONVEY</v>
          </cell>
        </row>
        <row r="3945">
          <cell r="A3945" t="str">
            <v>SONAL ADHESIVES LTD</v>
          </cell>
          <cell r="B3945">
            <v>526901</v>
          </cell>
          <cell r="C3945" t="str">
            <v>Not Listed</v>
          </cell>
        </row>
        <row r="3946">
          <cell r="A3946" t="str">
            <v>SONAL MERCANTILE LTD</v>
          </cell>
          <cell r="B3946">
            <v>538943</v>
          </cell>
          <cell r="C3946" t="str">
            <v>Not Listed</v>
          </cell>
        </row>
        <row r="3947">
          <cell r="A3947" t="str">
            <v>SONAM CLOCK LTD</v>
          </cell>
          <cell r="B3947" t="str">
            <v>Not Listed</v>
          </cell>
          <cell r="C3947" t="str">
            <v>SONAMCLOCK</v>
          </cell>
        </row>
        <row r="3948">
          <cell r="A3948" t="str">
            <v>SONATA SOFTWARE LTD</v>
          </cell>
          <cell r="B3948">
            <v>532221</v>
          </cell>
          <cell r="C3948" t="str">
            <v>SONATSOFTW</v>
          </cell>
        </row>
        <row r="3949">
          <cell r="A3949" t="str">
            <v>SONI MEDICARE LTD</v>
          </cell>
          <cell r="B3949">
            <v>539378</v>
          </cell>
          <cell r="C3949" t="str">
            <v>Not Listed</v>
          </cell>
        </row>
        <row r="3950">
          <cell r="A3950" t="str">
            <v>SONI SOYA PRODUCTS LTD</v>
          </cell>
          <cell r="B3950" t="str">
            <v>Not Listed</v>
          </cell>
          <cell r="C3950" t="str">
            <v>SONISOYA</v>
          </cell>
        </row>
        <row r="3951">
          <cell r="A3951" t="str">
            <v>SOPHIA TRAEXPO LTD</v>
          </cell>
          <cell r="B3951">
            <v>541633</v>
          </cell>
          <cell r="C3951" t="str">
            <v>Not Listed</v>
          </cell>
        </row>
        <row r="3952">
          <cell r="A3952" t="str">
            <v>SORIL INFRA RESOURCES LTD</v>
          </cell>
          <cell r="B3952">
            <v>532679</v>
          </cell>
          <cell r="C3952" t="str">
            <v>SORILINFRA</v>
          </cell>
        </row>
        <row r="3953">
          <cell r="A3953" t="str">
            <v>SOURCE INDUSTRIES (INDIA) LTD</v>
          </cell>
          <cell r="B3953">
            <v>521036</v>
          </cell>
          <cell r="C3953" t="str">
            <v>Not Listed</v>
          </cell>
        </row>
        <row r="3954">
          <cell r="A3954" t="str">
            <v>SOURCE INDUSTRIES INDIA LTD</v>
          </cell>
          <cell r="B3954">
            <v>521036</v>
          </cell>
          <cell r="C3954" t="str">
            <v>Not Listed</v>
          </cell>
        </row>
        <row r="3955">
          <cell r="A3955" t="str">
            <v>SOURCE NATURAL FOODS &amp; HERBAL SUPPL LTD</v>
          </cell>
          <cell r="B3955">
            <v>531398</v>
          </cell>
          <cell r="C3955" t="str">
            <v>Not Listed</v>
          </cell>
        </row>
        <row r="3956">
          <cell r="A3956" t="str">
            <v>SOUTH ASIAN ENTERPRISES LTD</v>
          </cell>
          <cell r="B3956">
            <v>526477</v>
          </cell>
          <cell r="C3956" t="str">
            <v>Not Listed</v>
          </cell>
        </row>
        <row r="3957">
          <cell r="A3957" t="str">
            <v>SOUTH INDIA PAPER MILLS LTD</v>
          </cell>
          <cell r="B3957">
            <v>516108</v>
          </cell>
          <cell r="C3957" t="str">
            <v>Not Listed</v>
          </cell>
        </row>
        <row r="3958">
          <cell r="A3958" t="str">
            <v>SOUTH INDIA PROJECTS LTD</v>
          </cell>
          <cell r="B3958">
            <v>538891</v>
          </cell>
          <cell r="C3958" t="str">
            <v>Not Listed</v>
          </cell>
        </row>
        <row r="3959">
          <cell r="A3959" t="str">
            <v>SOUTH WEST PINNACLE EXPLORATION LTD</v>
          </cell>
          <cell r="B3959" t="str">
            <v>Not Listed</v>
          </cell>
          <cell r="C3959" t="str">
            <v>SOUTHWEST</v>
          </cell>
        </row>
        <row r="3960">
          <cell r="A3960" t="str">
            <v>SOUTHERN GAS LTD</v>
          </cell>
          <cell r="B3960">
            <v>509910</v>
          </cell>
          <cell r="C3960" t="str">
            <v>Not Listed</v>
          </cell>
        </row>
        <row r="3961">
          <cell r="A3961" t="str">
            <v>SOUTHERN INFOSYS LTD</v>
          </cell>
          <cell r="B3961">
            <v>540174</v>
          </cell>
          <cell r="C3961" t="str">
            <v>Not Listed</v>
          </cell>
        </row>
        <row r="3962">
          <cell r="A3962" t="str">
            <v>SOUTHERN LATEX LTD</v>
          </cell>
          <cell r="B3962">
            <v>514454</v>
          </cell>
          <cell r="C3962" t="str">
            <v>Not Listed</v>
          </cell>
        </row>
        <row r="3963">
          <cell r="A3963" t="str">
            <v>SOUTHERN MAGNESIUM &amp; CHEMICALS LTD</v>
          </cell>
          <cell r="B3963">
            <v>513498</v>
          </cell>
          <cell r="C3963" t="str">
            <v>Not Listed</v>
          </cell>
        </row>
        <row r="3964">
          <cell r="A3964" t="str">
            <v>SOUTHERN ONLINE BIO TECHNOLOGIES LTD</v>
          </cell>
          <cell r="B3964">
            <v>532669</v>
          </cell>
          <cell r="C3964" t="str">
            <v>Not Listed</v>
          </cell>
        </row>
        <row r="3965">
          <cell r="A3965" t="str">
            <v>SOUTHERN PETROCHEMICALS INDUSTRIES CORPORATION LTD</v>
          </cell>
          <cell r="B3965">
            <v>590030</v>
          </cell>
          <cell r="C3965" t="str">
            <v>SPIC</v>
          </cell>
        </row>
        <row r="3966">
          <cell r="A3966" t="str">
            <v>SOVEREIGN DIAMONDS LTD</v>
          </cell>
          <cell r="B3966">
            <v>523826</v>
          </cell>
          <cell r="C3966" t="str">
            <v>Not Listed</v>
          </cell>
        </row>
        <row r="3967">
          <cell r="A3967" t="str">
            <v>SOWBHAGYA MEDIA LTD</v>
          </cell>
          <cell r="B3967">
            <v>532025</v>
          </cell>
          <cell r="C3967" t="str">
            <v>Not Listed</v>
          </cell>
        </row>
        <row r="3968">
          <cell r="A3968" t="str">
            <v>SP CAPITAL FINANCING LTD</v>
          </cell>
          <cell r="B3968">
            <v>530289</v>
          </cell>
          <cell r="C3968" t="str">
            <v>Not Listed</v>
          </cell>
        </row>
        <row r="3969">
          <cell r="A3969" t="str">
            <v>SPA Capital Services Ltd</v>
          </cell>
          <cell r="B3969">
            <v>542376</v>
          </cell>
          <cell r="C3969" t="str">
            <v>SPACAPS</v>
          </cell>
        </row>
        <row r="3970">
          <cell r="A3970" t="str">
            <v>SPACE INCUBATRICS TECHNOLOGIES LTD</v>
          </cell>
          <cell r="B3970">
            <v>541890</v>
          </cell>
          <cell r="C3970" t="str">
            <v>Not Listed</v>
          </cell>
        </row>
        <row r="3971">
          <cell r="A3971" t="str">
            <v>SPACEAGE PRODUCTS LTD</v>
          </cell>
          <cell r="B3971">
            <v>538920</v>
          </cell>
          <cell r="C3971" t="str">
            <v>Not Listed</v>
          </cell>
        </row>
        <row r="3972">
          <cell r="A3972" t="str">
            <v>SPACENET ENTERPRISES (INDIA) LTD</v>
          </cell>
          <cell r="B3972" t="str">
            <v>Not Listed</v>
          </cell>
          <cell r="C3972" t="str">
            <v>SPCENET</v>
          </cell>
        </row>
        <row r="3973">
          <cell r="A3973" t="str">
            <v>SPACENET ENTERPRISES INDIA LTD</v>
          </cell>
          <cell r="B3973" t="str">
            <v>Not Listed</v>
          </cell>
          <cell r="C3973" t="str">
            <v>SPCENET</v>
          </cell>
        </row>
        <row r="3974">
          <cell r="A3974" t="str">
            <v>SPAN DIVERGENT LTD</v>
          </cell>
          <cell r="B3974">
            <v>524727</v>
          </cell>
          <cell r="C3974" t="str">
            <v>Not Listed</v>
          </cell>
        </row>
        <row r="3975">
          <cell r="A3975" t="str">
            <v>SPARC SYSTEMS LTD</v>
          </cell>
          <cell r="B3975">
            <v>531370</v>
          </cell>
          <cell r="C3975" t="str">
            <v>Not Listed</v>
          </cell>
        </row>
        <row r="3976">
          <cell r="A3976" t="str">
            <v>SPARKLING INDIA FINSHARES LTD</v>
          </cell>
          <cell r="B3976">
            <v>540211</v>
          </cell>
          <cell r="C3976" t="str">
            <v>Not Listed</v>
          </cell>
        </row>
        <row r="3977">
          <cell r="A3977" t="str">
            <v>SPECIALITY RESTAURANTS LTD</v>
          </cell>
          <cell r="B3977">
            <v>534425</v>
          </cell>
          <cell r="C3977" t="str">
            <v>SPECIALITY</v>
          </cell>
        </row>
        <row r="3978">
          <cell r="A3978" t="str">
            <v>SPECTRA INDUSTRIES LTD</v>
          </cell>
          <cell r="B3978">
            <v>513687</v>
          </cell>
          <cell r="C3978" t="str">
            <v>Not Listed</v>
          </cell>
        </row>
        <row r="3979">
          <cell r="A3979" t="str">
            <v>SPECTRUM ELECTRICAL INDUSTRIES LTD</v>
          </cell>
          <cell r="B3979" t="str">
            <v>Not Listed</v>
          </cell>
          <cell r="C3979" t="str">
            <v>SPECTRUM</v>
          </cell>
        </row>
        <row r="3980">
          <cell r="A3980" t="str">
            <v>SPECTRUM FOODS LTD</v>
          </cell>
          <cell r="B3980">
            <v>531982</v>
          </cell>
          <cell r="C3980" t="str">
            <v>Not Listed</v>
          </cell>
        </row>
        <row r="3981">
          <cell r="A3981" t="str">
            <v>SPECULAR MARKETING &amp; FINANCING LTD</v>
          </cell>
          <cell r="B3981">
            <v>512153</v>
          </cell>
          <cell r="C3981" t="str">
            <v>Not Listed</v>
          </cell>
        </row>
        <row r="3982">
          <cell r="A3982" t="str">
            <v>SPEEDAGE COMMERCIALS LTD</v>
          </cell>
          <cell r="B3982">
            <v>512291</v>
          </cell>
          <cell r="C3982" t="str">
            <v>Not Listed</v>
          </cell>
        </row>
        <row r="3983">
          <cell r="A3983" t="str">
            <v>SPEL SEMICONDUCTOR LTD</v>
          </cell>
          <cell r="B3983">
            <v>517166</v>
          </cell>
          <cell r="C3983" t="str">
            <v>Not Listed</v>
          </cell>
        </row>
        <row r="3984">
          <cell r="A3984" t="str">
            <v>Spencers Retail Ltd</v>
          </cell>
          <cell r="B3984">
            <v>542337</v>
          </cell>
          <cell r="C3984" t="str">
            <v>SPENCER</v>
          </cell>
        </row>
        <row r="3985">
          <cell r="A3985" t="str">
            <v>Spencer's Retail LTD</v>
          </cell>
          <cell r="B3985" t="str">
            <v>Not Listed</v>
          </cell>
          <cell r="C3985" t="str">
            <v>SPENCERS</v>
          </cell>
        </row>
        <row r="3986">
          <cell r="A3986" t="str">
            <v>SPENTA INTERNATIONAL LTD</v>
          </cell>
          <cell r="B3986">
            <v>526161</v>
          </cell>
          <cell r="C3986" t="str">
            <v>Not Listed</v>
          </cell>
        </row>
        <row r="3987">
          <cell r="A3987" t="str">
            <v>SPENTEX INDUSTRIES LTD</v>
          </cell>
          <cell r="B3987">
            <v>521082</v>
          </cell>
          <cell r="C3987" t="str">
            <v>SPENTEX</v>
          </cell>
        </row>
        <row r="3988">
          <cell r="A3988" t="str">
            <v>SPICE ISLANDS APPARELS LTD</v>
          </cell>
          <cell r="B3988">
            <v>526827</v>
          </cell>
          <cell r="C3988" t="str">
            <v>Not Listed</v>
          </cell>
        </row>
        <row r="3989">
          <cell r="A3989" t="str">
            <v>SPICE MOBILITY LTD</v>
          </cell>
          <cell r="B3989">
            <v>517214</v>
          </cell>
          <cell r="C3989" t="str">
            <v>SPICEMOBI</v>
          </cell>
        </row>
        <row r="3990">
          <cell r="A3990" t="str">
            <v>SPICEJET LTD</v>
          </cell>
          <cell r="B3990">
            <v>500285</v>
          </cell>
          <cell r="C3990" t="str">
            <v>Not Listed</v>
          </cell>
        </row>
        <row r="3991">
          <cell r="A3991" t="str">
            <v>SPICY ENTERTAINMENT AND MEDIA LTD</v>
          </cell>
          <cell r="B3991">
            <v>540084</v>
          </cell>
          <cell r="C3991" t="str">
            <v>Not Listed</v>
          </cell>
        </row>
        <row r="3992">
          <cell r="A3992" t="str">
            <v>SPL INDUSTRIES LTD</v>
          </cell>
          <cell r="B3992">
            <v>532651</v>
          </cell>
          <cell r="C3992" t="str">
            <v>SPLIL</v>
          </cell>
        </row>
        <row r="3993">
          <cell r="A3993" t="str">
            <v>SPLENDID METAL PRODUCTS LTD</v>
          </cell>
          <cell r="B3993">
            <v>513414</v>
          </cell>
          <cell r="C3993" t="str">
            <v>SMPL</v>
          </cell>
        </row>
        <row r="3994">
          <cell r="A3994" t="str">
            <v>SPML INFRA LTD</v>
          </cell>
          <cell r="B3994">
            <v>500402</v>
          </cell>
          <cell r="C3994" t="str">
            <v>SPMLINFRA</v>
          </cell>
        </row>
        <row r="3995">
          <cell r="A3995" t="str">
            <v>SPORTKING (INDIA) LTD</v>
          </cell>
          <cell r="B3995">
            <v>539221</v>
          </cell>
          <cell r="C3995" t="str">
            <v>Not Listed</v>
          </cell>
        </row>
        <row r="3996">
          <cell r="A3996" t="str">
            <v>SPORTKING INDIA LTD</v>
          </cell>
          <cell r="B3996">
            <v>539221</v>
          </cell>
          <cell r="C3996" t="str">
            <v>Not Listed</v>
          </cell>
        </row>
        <row r="3997">
          <cell r="A3997" t="str">
            <v>SPRAYKING AGRO EQUIPMENT LTD</v>
          </cell>
          <cell r="B3997">
            <v>540079</v>
          </cell>
          <cell r="C3997" t="str">
            <v>Not Listed</v>
          </cell>
        </row>
        <row r="3998">
          <cell r="A3998" t="str">
            <v>Spring Fields Infraventure Ltd</v>
          </cell>
          <cell r="B3998">
            <v>540570</v>
          </cell>
          <cell r="C3998" t="str">
            <v>SFIVL</v>
          </cell>
        </row>
        <row r="3999">
          <cell r="A3999" t="str">
            <v>SPS FINQUEST LTD</v>
          </cell>
          <cell r="B3999">
            <v>538402</v>
          </cell>
          <cell r="C3999" t="str">
            <v>Not Listed</v>
          </cell>
        </row>
        <row r="4000">
          <cell r="A4000" t="str">
            <v>SPS INTERNATIONAL LTD</v>
          </cell>
          <cell r="B4000">
            <v>530177</v>
          </cell>
          <cell r="C4000" t="str">
            <v>Not Listed</v>
          </cell>
        </row>
        <row r="4001">
          <cell r="A4001" t="str">
            <v>SQS INDIA BFSI LTD</v>
          </cell>
          <cell r="B4001">
            <v>533121</v>
          </cell>
          <cell r="C4001" t="str">
            <v>SQSBFSI</v>
          </cell>
        </row>
        <row r="4002">
          <cell r="A4002" t="str">
            <v>SQUARE FOUR PROJECTS (INDIA) LTD</v>
          </cell>
          <cell r="B4002">
            <v>526532</v>
          </cell>
          <cell r="C4002" t="str">
            <v>Not Listed</v>
          </cell>
        </row>
        <row r="4003">
          <cell r="A4003" t="str">
            <v>SQUARE FOUR PROJECTS INDIA LTD</v>
          </cell>
          <cell r="B4003">
            <v>526532</v>
          </cell>
          <cell r="C4003" t="str">
            <v>Not Listed</v>
          </cell>
        </row>
        <row r="4004">
          <cell r="A4004" t="str">
            <v>SREE JAYALAKSHMI AUTOSPIN LTD</v>
          </cell>
          <cell r="B4004">
            <v>530037</v>
          </cell>
          <cell r="C4004" t="str">
            <v>Not Listed</v>
          </cell>
        </row>
        <row r="4005">
          <cell r="A4005" t="str">
            <v>SREE RAYALASEEMA HI-STRENGTH HYPO LTD</v>
          </cell>
          <cell r="B4005">
            <v>532842</v>
          </cell>
          <cell r="C4005" t="str">
            <v>SRHHYPOLTD</v>
          </cell>
        </row>
        <row r="4006">
          <cell r="A4006" t="str">
            <v>SREECHEM RESINS LTD</v>
          </cell>
          <cell r="B4006">
            <v>514248</v>
          </cell>
          <cell r="C4006" t="str">
            <v>Not Listed</v>
          </cell>
        </row>
        <row r="4007">
          <cell r="A4007" t="str">
            <v>SREELEATHERS LTD</v>
          </cell>
          <cell r="B4007">
            <v>535601</v>
          </cell>
          <cell r="C4007" t="str">
            <v>SREEL</v>
          </cell>
        </row>
        <row r="4008">
          <cell r="A4008" t="str">
            <v>SREI INFRASTRUCTURE FINANCE LTD</v>
          </cell>
          <cell r="B4008">
            <v>523756</v>
          </cell>
          <cell r="C4008" t="str">
            <v>SREINFRA</v>
          </cell>
        </row>
        <row r="4009">
          <cell r="A4009" t="str">
            <v>SRESTHA FINVEST LTD</v>
          </cell>
          <cell r="B4009">
            <v>539217</v>
          </cell>
          <cell r="C4009" t="str">
            <v>Not Listed</v>
          </cell>
        </row>
        <row r="4010">
          <cell r="A4010" t="str">
            <v>SRF LTD</v>
          </cell>
          <cell r="B4010">
            <v>503806</v>
          </cell>
          <cell r="C4010" t="str">
            <v>SRF</v>
          </cell>
        </row>
        <row r="4011">
          <cell r="A4011" t="str">
            <v>SRG HOUSING FINANCE LTD</v>
          </cell>
          <cell r="B4011">
            <v>534680</v>
          </cell>
          <cell r="C4011" t="str">
            <v>Not Listed</v>
          </cell>
        </row>
        <row r="4012">
          <cell r="A4012" t="str">
            <v>SRI ADHIKARI BROTHERS TELEVISION NETWORK LTD</v>
          </cell>
          <cell r="B4012">
            <v>530943</v>
          </cell>
          <cell r="C4012" t="str">
            <v>SABTN</v>
          </cell>
        </row>
        <row r="4013">
          <cell r="A4013" t="str">
            <v>SRI AMARNATH FINANCE LTD</v>
          </cell>
          <cell r="B4013">
            <v>538863</v>
          </cell>
          <cell r="C4013" t="str">
            <v>Not Listed</v>
          </cell>
        </row>
        <row r="4014">
          <cell r="A4014" t="str">
            <v>SRI HAVISHA HOSPITALITY AND INFRASTRUCTURE LTD</v>
          </cell>
          <cell r="B4014">
            <v>531322</v>
          </cell>
          <cell r="C4014" t="str">
            <v>HAVISHA</v>
          </cell>
        </row>
        <row r="4015">
          <cell r="A4015" t="str">
            <v>SRI KPR INDUSTRIES LTD</v>
          </cell>
          <cell r="B4015">
            <v>514442</v>
          </cell>
          <cell r="C4015" t="str">
            <v>Not Listed</v>
          </cell>
        </row>
        <row r="4016">
          <cell r="A4016" t="str">
            <v>SRI KRISHNA CONSTRUCTIONS (INDIA) LTD</v>
          </cell>
          <cell r="B4016">
            <v>539363</v>
          </cell>
          <cell r="C4016" t="str">
            <v>Not Listed</v>
          </cell>
        </row>
        <row r="4017">
          <cell r="A4017" t="str">
            <v>SRI KRISHNA CONSTRUCTIONS INDIA LTD</v>
          </cell>
          <cell r="B4017">
            <v>539363</v>
          </cell>
          <cell r="C4017" t="str">
            <v>Not Listed</v>
          </cell>
        </row>
        <row r="4018">
          <cell r="A4018" t="str">
            <v>SRI KRISHNA METCOM LTD</v>
          </cell>
          <cell r="B4018" t="str">
            <v>Not Listed</v>
          </cell>
          <cell r="C4018" t="str">
            <v>SKML</v>
          </cell>
        </row>
        <row r="4019">
          <cell r="A4019" t="str">
            <v>SRI LAKSHMI SARASWATHI TEXTILES ARNI LTD</v>
          </cell>
          <cell r="B4019">
            <v>521161</v>
          </cell>
          <cell r="C4019" t="str">
            <v>Not Listed</v>
          </cell>
        </row>
        <row r="4020">
          <cell r="A4020" t="str">
            <v>SRI NACHAMMAI COTTON MILLS LTD</v>
          </cell>
          <cell r="B4020">
            <v>521234</v>
          </cell>
          <cell r="C4020" t="str">
            <v>Not Listed</v>
          </cell>
        </row>
        <row r="4021">
          <cell r="A4021" t="str">
            <v>SRI RAMAKRISHNA MILLS COIMBATORE LTD</v>
          </cell>
          <cell r="B4021">
            <v>521178</v>
          </cell>
          <cell r="C4021" t="str">
            <v>Not Listed</v>
          </cell>
        </row>
        <row r="4022">
          <cell r="A4022" t="str">
            <v>SRI VAJRA GRANITES LTD</v>
          </cell>
          <cell r="B4022">
            <v>515081</v>
          </cell>
          <cell r="C4022" t="str">
            <v>Not Listed</v>
          </cell>
        </row>
        <row r="4023">
          <cell r="A4023" t="str">
            <v>SRIKALAHASTHI PIPES LTD</v>
          </cell>
          <cell r="B4023">
            <v>513605</v>
          </cell>
          <cell r="C4023" t="str">
            <v>SRIPIPES</v>
          </cell>
        </row>
        <row r="4024">
          <cell r="A4024" t="str">
            <v>SRM ENERGY LTD</v>
          </cell>
          <cell r="B4024">
            <v>523222</v>
          </cell>
          <cell r="C4024" t="str">
            <v>Not Listed</v>
          </cell>
        </row>
        <row r="4025">
          <cell r="A4025" t="str">
            <v>SRS FINANCE LTD</v>
          </cell>
          <cell r="B4025">
            <v>536799</v>
          </cell>
          <cell r="C4025" t="str">
            <v>Not Listed</v>
          </cell>
        </row>
        <row r="4026">
          <cell r="A4026" t="str">
            <v>SRS LTD</v>
          </cell>
          <cell r="B4026">
            <v>533569</v>
          </cell>
          <cell r="C4026" t="str">
            <v>SRSLTD</v>
          </cell>
        </row>
        <row r="4027">
          <cell r="A4027" t="str">
            <v>SRU STEELS LTD</v>
          </cell>
          <cell r="B4027">
            <v>540914</v>
          </cell>
          <cell r="C4027" t="str">
            <v>Not Listed</v>
          </cell>
        </row>
        <row r="4028">
          <cell r="A4028" t="str">
            <v>SS ORGANICS LTD</v>
          </cell>
          <cell r="B4028">
            <v>524636</v>
          </cell>
          <cell r="C4028" t="str">
            <v>Not Listed</v>
          </cell>
        </row>
        <row r="4029">
          <cell r="A4029" t="str">
            <v>SSPDL LTD</v>
          </cell>
          <cell r="B4029">
            <v>530821</v>
          </cell>
          <cell r="C4029" t="str">
            <v>Not Listed</v>
          </cell>
        </row>
        <row r="4030">
          <cell r="A4030" t="str">
            <v>SSPN FINANCE LTD</v>
          </cell>
          <cell r="B4030">
            <v>539026</v>
          </cell>
          <cell r="C4030" t="str">
            <v>Not Listed</v>
          </cell>
        </row>
        <row r="4031">
          <cell r="A4031" t="str">
            <v>STAMPEDE CAPITAL LTD</v>
          </cell>
          <cell r="B4031">
            <v>531723</v>
          </cell>
          <cell r="C4031" t="str">
            <v>STAMPEDE</v>
          </cell>
        </row>
        <row r="4032">
          <cell r="A4032" t="str">
            <v>STAMPEDE CAPITAL LTD</v>
          </cell>
          <cell r="B4032">
            <v>570005</v>
          </cell>
          <cell r="C4032" t="str">
            <v>SCAPDVR</v>
          </cell>
        </row>
        <row r="4033">
          <cell r="A4033" t="str">
            <v>STANDARD BATTERIES LTD</v>
          </cell>
          <cell r="B4033">
            <v>504180</v>
          </cell>
          <cell r="C4033" t="str">
            <v>Not Listed</v>
          </cell>
        </row>
        <row r="4034">
          <cell r="A4034" t="str">
            <v>STANDARD CAPITAL MARKETS LTD</v>
          </cell>
          <cell r="B4034">
            <v>511700</v>
          </cell>
          <cell r="C4034" t="str">
            <v>Not Listed</v>
          </cell>
        </row>
        <row r="4035">
          <cell r="A4035" t="str">
            <v>STANDARD CHARTERED PLC</v>
          </cell>
          <cell r="B4035">
            <v>580001</v>
          </cell>
          <cell r="C4035" t="str">
            <v>Not Listed</v>
          </cell>
        </row>
        <row r="4036">
          <cell r="A4036" t="str">
            <v>STANDARD INDUSTRIES LTD</v>
          </cell>
          <cell r="B4036">
            <v>530017</v>
          </cell>
          <cell r="C4036" t="str">
            <v>SIL</v>
          </cell>
        </row>
        <row r="4037">
          <cell r="A4037" t="str">
            <v>STANDARD SHOE SOLE AND MOULD (INDIA) LTD</v>
          </cell>
          <cell r="B4037">
            <v>523351</v>
          </cell>
          <cell r="C4037" t="str">
            <v>Not Listed</v>
          </cell>
        </row>
        <row r="4038">
          <cell r="A4038" t="str">
            <v>STANDARD SHOE SOLE AND MOULD INDIA LTD</v>
          </cell>
          <cell r="B4038">
            <v>523351</v>
          </cell>
          <cell r="C4038" t="str">
            <v>Not Listed</v>
          </cell>
        </row>
        <row r="4039">
          <cell r="A4039" t="str">
            <v>STANDARD SURFACTANTS LTD</v>
          </cell>
          <cell r="B4039">
            <v>526231</v>
          </cell>
          <cell r="C4039" t="str">
            <v>Not Listed</v>
          </cell>
        </row>
        <row r="4040">
          <cell r="A4040" t="str">
            <v>STANPACKS (INDIA) LTD</v>
          </cell>
          <cell r="B4040">
            <v>530931</v>
          </cell>
          <cell r="C4040" t="str">
            <v>Not Listed</v>
          </cell>
        </row>
        <row r="4041">
          <cell r="A4041" t="str">
            <v>STANPACKS INDIA LTD</v>
          </cell>
          <cell r="B4041">
            <v>530931</v>
          </cell>
          <cell r="C4041" t="str">
            <v>Not Listed</v>
          </cell>
        </row>
        <row r="4042">
          <cell r="A4042" t="str">
            <v>STANROSE MAFATLAL INVESTMENTS AND FINANCE LTD</v>
          </cell>
          <cell r="B4042">
            <v>506105</v>
          </cell>
          <cell r="C4042" t="str">
            <v>Not Listed</v>
          </cell>
        </row>
        <row r="4043">
          <cell r="A4043" t="str">
            <v>STAR CEMENT LTD</v>
          </cell>
          <cell r="B4043">
            <v>540575</v>
          </cell>
          <cell r="C4043" t="str">
            <v>STARCEMENT</v>
          </cell>
        </row>
        <row r="4044">
          <cell r="A4044" t="str">
            <v>STAR DELTA TRANSFORMERS LTD</v>
          </cell>
          <cell r="B4044">
            <v>539255</v>
          </cell>
          <cell r="C4044" t="str">
            <v>Not Listed</v>
          </cell>
        </row>
        <row r="4045">
          <cell r="A4045" t="str">
            <v>STAR PAPER MILLS LTD</v>
          </cell>
          <cell r="B4045">
            <v>516022</v>
          </cell>
          <cell r="C4045" t="str">
            <v>STARPAPER</v>
          </cell>
        </row>
        <row r="4046">
          <cell r="A4046" t="str">
            <v>STARCOM INFORMATION TECHNOLOGY LTD</v>
          </cell>
          <cell r="B4046">
            <v>531616</v>
          </cell>
          <cell r="C4046" t="str">
            <v>Not Listed</v>
          </cell>
        </row>
        <row r="4047">
          <cell r="A4047" t="str">
            <v>STARLIT POWER SYSTEMS LTD</v>
          </cell>
          <cell r="B4047">
            <v>538733</v>
          </cell>
          <cell r="C4047" t="str">
            <v>Not Listed</v>
          </cell>
        </row>
        <row r="4048">
          <cell r="A4048" t="str">
            <v>STARLITE COMPONENTS LTD</v>
          </cell>
          <cell r="B4048">
            <v>517548</v>
          </cell>
          <cell r="C4048" t="str">
            <v>Not Listed</v>
          </cell>
        </row>
        <row r="4049">
          <cell r="A4049" t="str">
            <v>STARLOG ENTERPRISES LTD</v>
          </cell>
          <cell r="B4049">
            <v>520155</v>
          </cell>
          <cell r="C4049" t="str">
            <v>Not Listed</v>
          </cell>
        </row>
        <row r="4050">
          <cell r="A4050" t="str">
            <v>STATE BANK OF INDIA</v>
          </cell>
          <cell r="B4050">
            <v>500112</v>
          </cell>
          <cell r="C4050" t="str">
            <v>SBIN</v>
          </cell>
        </row>
        <row r="4051">
          <cell r="A4051" t="str">
            <v>STEEL AUTHORITY OF (INDIA) LTD</v>
          </cell>
          <cell r="B4051">
            <v>500113</v>
          </cell>
          <cell r="C4051" t="str">
            <v>SAIL</v>
          </cell>
        </row>
        <row r="4052">
          <cell r="A4052" t="str">
            <v>STEEL AUTHORITY OF INDIA LTD</v>
          </cell>
          <cell r="B4052">
            <v>500113</v>
          </cell>
          <cell r="C4052" t="str">
            <v>SAIL</v>
          </cell>
        </row>
        <row r="4053">
          <cell r="A4053" t="str">
            <v>STEEL CITY SECURITIES LTD</v>
          </cell>
          <cell r="B4053" t="str">
            <v>Not Listed</v>
          </cell>
          <cell r="C4053" t="str">
            <v>STEELCITY</v>
          </cell>
        </row>
        <row r="4054">
          <cell r="A4054" t="str">
            <v>STEEL EXCHANGE (INDIA) LTD</v>
          </cell>
          <cell r="B4054">
            <v>534748</v>
          </cell>
          <cell r="C4054" t="str">
            <v>STEELXIND</v>
          </cell>
        </row>
        <row r="4055">
          <cell r="A4055" t="str">
            <v>STEEL EXCHANGE INDIA LTD</v>
          </cell>
          <cell r="B4055">
            <v>534748</v>
          </cell>
          <cell r="C4055" t="str">
            <v>STEELXIND</v>
          </cell>
        </row>
        <row r="4056">
          <cell r="A4056" t="str">
            <v>STEEL STRIPS INFRASTRUCTURES LTD</v>
          </cell>
          <cell r="B4056">
            <v>513173</v>
          </cell>
          <cell r="C4056" t="str">
            <v>Not Listed</v>
          </cell>
        </row>
        <row r="4057">
          <cell r="A4057" t="str">
            <v>STEEL STRIPS LTD.</v>
          </cell>
          <cell r="B4057">
            <v>504717</v>
          </cell>
          <cell r="C4057" t="str">
            <v>STRIPMT</v>
          </cell>
        </row>
        <row r="4058">
          <cell r="A4058" t="str">
            <v>STEEL STRIPS WHEELS LTD</v>
          </cell>
          <cell r="B4058">
            <v>513262</v>
          </cell>
          <cell r="C4058" t="str">
            <v>SSWL</v>
          </cell>
        </row>
        <row r="4059">
          <cell r="A4059" t="str">
            <v>STEELCAST LTD</v>
          </cell>
          <cell r="B4059">
            <v>513517</v>
          </cell>
          <cell r="C4059" t="str">
            <v>Not Listed</v>
          </cell>
        </row>
        <row r="4060">
          <cell r="A4060" t="str">
            <v>STEELCO GUJARAT LTD</v>
          </cell>
          <cell r="B4060">
            <v>500399</v>
          </cell>
          <cell r="C4060" t="str">
            <v>Not Listed</v>
          </cell>
        </row>
        <row r="4061">
          <cell r="A4061" t="str">
            <v>STEL HOLDINGS LTD</v>
          </cell>
          <cell r="B4061">
            <v>533316</v>
          </cell>
          <cell r="C4061" t="str">
            <v>STEL</v>
          </cell>
        </row>
        <row r="4062">
          <cell r="A4062" t="str">
            <v>STELLANT SECURITIES (INDIA) LTD</v>
          </cell>
          <cell r="B4062">
            <v>526071</v>
          </cell>
          <cell r="C4062" t="str">
            <v>Not Listed</v>
          </cell>
        </row>
        <row r="4063">
          <cell r="A4063" t="str">
            <v>STELLANT SECURITIES INDIA LTD</v>
          </cell>
          <cell r="B4063">
            <v>526071</v>
          </cell>
          <cell r="C4063" t="str">
            <v>Not Listed</v>
          </cell>
        </row>
        <row r="4064">
          <cell r="A4064" t="str">
            <v>STELLAR CAPITAL SERVICES LTD</v>
          </cell>
          <cell r="B4064">
            <v>536738</v>
          </cell>
          <cell r="C4064" t="str">
            <v>Not Listed</v>
          </cell>
        </row>
        <row r="4065">
          <cell r="A4065" t="str">
            <v>STEP TWO CORPORATION LTD</v>
          </cell>
          <cell r="B4065">
            <v>531509</v>
          </cell>
          <cell r="C4065" t="str">
            <v>Not Listed</v>
          </cell>
        </row>
        <row r="4066">
          <cell r="A4066" t="str">
            <v>STERLING GREEN WOODS LTD</v>
          </cell>
          <cell r="B4066">
            <v>526500</v>
          </cell>
          <cell r="C4066" t="str">
            <v>Not Listed</v>
          </cell>
        </row>
        <row r="4067">
          <cell r="A4067" t="str">
            <v>STERLING GUARANTY &amp;amp; FINANCE LTD.</v>
          </cell>
          <cell r="B4067">
            <v>508963</v>
          </cell>
          <cell r="C4067" t="str">
            <v>STRLGUA</v>
          </cell>
        </row>
        <row r="4068">
          <cell r="A4068" t="str">
            <v>STERLING SPINNERS LTD</v>
          </cell>
          <cell r="B4068">
            <v>531628</v>
          </cell>
          <cell r="C4068" t="str">
            <v>Not Listed</v>
          </cell>
        </row>
        <row r="4069">
          <cell r="A4069" t="str">
            <v>STERLING TOOLS LTD</v>
          </cell>
          <cell r="B4069">
            <v>530759</v>
          </cell>
          <cell r="C4069" t="str">
            <v>STERTOOLS</v>
          </cell>
        </row>
        <row r="4070">
          <cell r="A4070" t="str">
            <v>STERLITE TECHNOLOGIES LTD</v>
          </cell>
          <cell r="B4070">
            <v>532374</v>
          </cell>
          <cell r="C4070" t="str">
            <v>STRTECH</v>
          </cell>
        </row>
        <row r="4071">
          <cell r="A4071" t="str">
            <v>STI (INDIA) LTD</v>
          </cell>
          <cell r="B4071">
            <v>513151</v>
          </cell>
          <cell r="C4071" t="str">
            <v>ST(INDIA)</v>
          </cell>
        </row>
        <row r="4072">
          <cell r="A4072" t="str">
            <v>STI INDIA LTD</v>
          </cell>
          <cell r="B4072">
            <v>513151</v>
          </cell>
          <cell r="C4072" t="str">
            <v>STINDIA</v>
          </cell>
        </row>
        <row r="4073">
          <cell r="A4073" t="str">
            <v>STL GLOBAL LTD</v>
          </cell>
          <cell r="B4073">
            <v>532730</v>
          </cell>
          <cell r="C4073" t="str">
            <v>SGL</v>
          </cell>
        </row>
        <row r="4074">
          <cell r="A4074" t="str">
            <v>STOVEC INDUSTRIES LTD</v>
          </cell>
          <cell r="B4074">
            <v>504959</v>
          </cell>
          <cell r="C4074" t="str">
            <v>Not Listed</v>
          </cell>
        </row>
        <row r="4075">
          <cell r="A4075" t="str">
            <v>STRATMONT INDUSTRIES LTD</v>
          </cell>
          <cell r="B4075">
            <v>530495</v>
          </cell>
          <cell r="C4075" t="str">
            <v>Not Listed</v>
          </cell>
        </row>
        <row r="4076">
          <cell r="A4076" t="str">
            <v>STRIDES PHARMA SCIENCE LTD</v>
          </cell>
          <cell r="B4076">
            <v>532531</v>
          </cell>
          <cell r="C4076" t="str">
            <v>STAR</v>
          </cell>
        </row>
        <row r="4077">
          <cell r="A4077" t="str">
            <v>STURDY INDUSTRIES LTD</v>
          </cell>
          <cell r="B4077">
            <v>530611</v>
          </cell>
          <cell r="C4077" t="str">
            <v>Not Listed</v>
          </cell>
        </row>
        <row r="4078">
          <cell r="A4078" t="str">
            <v>STYLAM INDUSTRIES LTD</v>
          </cell>
          <cell r="B4078">
            <v>526951</v>
          </cell>
          <cell r="C4078" t="str">
            <v>Not Listed</v>
          </cell>
        </row>
        <row r="4079">
          <cell r="A4079" t="str">
            <v>Subex LTD</v>
          </cell>
          <cell r="B4079" t="str">
            <v>Not Listed</v>
          </cell>
          <cell r="C4079" t="str">
            <v>SUBEX</v>
          </cell>
        </row>
        <row r="4080">
          <cell r="A4080" t="str">
            <v>SUBEX LTD</v>
          </cell>
          <cell r="B4080">
            <v>532348</v>
          </cell>
          <cell r="C4080" t="str">
            <v>Not Listed</v>
          </cell>
        </row>
        <row r="4081">
          <cell r="A4081" t="str">
            <v>SUBHASH SILK MILLS LTD</v>
          </cell>
          <cell r="B4081">
            <v>530231</v>
          </cell>
          <cell r="C4081" t="str">
            <v>Not Listed</v>
          </cell>
        </row>
        <row r="4082">
          <cell r="A4082" t="str">
            <v>SUBROS LTD</v>
          </cell>
          <cell r="B4082">
            <v>517168</v>
          </cell>
          <cell r="C4082" t="str">
            <v>SUBROS</v>
          </cell>
        </row>
        <row r="4083">
          <cell r="A4083" t="str">
            <v>SUBWAY FINANCE &amp; INVESTMENT CO LTD</v>
          </cell>
          <cell r="B4083">
            <v>511024</v>
          </cell>
          <cell r="C4083" t="str">
            <v>Not Listed</v>
          </cell>
        </row>
        <row r="4084">
          <cell r="A4084" t="str">
            <v>SUCHITRA FINANCE &amp; TRADING COMPANY LTD</v>
          </cell>
          <cell r="B4084">
            <v>538714</v>
          </cell>
          <cell r="C4084" t="str">
            <v>Not Listed</v>
          </cell>
        </row>
        <row r="4085">
          <cell r="A4085" t="str">
            <v>SUDAL INDUSTRIES LTD</v>
          </cell>
          <cell r="B4085">
            <v>506003</v>
          </cell>
          <cell r="C4085" t="str">
            <v>Not Listed</v>
          </cell>
        </row>
        <row r="4086">
          <cell r="A4086" t="str">
            <v>SUDARSHAN CHEMICAL INDUSTRIES LTD</v>
          </cell>
          <cell r="B4086">
            <v>506655</v>
          </cell>
          <cell r="C4086" t="str">
            <v>SUDARSCHEM</v>
          </cell>
        </row>
        <row r="4087">
          <cell r="A4087" t="str">
            <v>SUDITI INDUSTRIES LTD</v>
          </cell>
          <cell r="B4087">
            <v>521113</v>
          </cell>
          <cell r="C4087" t="str">
            <v>Not Listed</v>
          </cell>
        </row>
        <row r="4088">
          <cell r="A4088" t="str">
            <v>SUERYAA KNITWEAR LTD</v>
          </cell>
          <cell r="B4088">
            <v>540318</v>
          </cell>
          <cell r="C4088" t="str">
            <v>Not Listed</v>
          </cell>
        </row>
        <row r="4089">
          <cell r="A4089" t="str">
            <v>SUGAL &amp; DAMANI SHARE BROKERS LTD</v>
          </cell>
          <cell r="B4089">
            <v>511654</v>
          </cell>
          <cell r="C4089" t="str">
            <v>Not Listed</v>
          </cell>
        </row>
        <row r="4090">
          <cell r="A4090" t="str">
            <v>Suich Industries Ltd</v>
          </cell>
          <cell r="B4090">
            <v>542683</v>
          </cell>
          <cell r="C4090" t="str">
            <v>SUICH</v>
          </cell>
        </row>
        <row r="4091">
          <cell r="A4091" t="str">
            <v>SUJALA TRADING &amp; HOLDINGS LTD</v>
          </cell>
          <cell r="B4091">
            <v>539117</v>
          </cell>
          <cell r="C4091" t="str">
            <v>Not Listed</v>
          </cell>
        </row>
        <row r="4092">
          <cell r="A4092" t="str">
            <v>SUJANA UNIVERSAL INDUSTRIES LTD</v>
          </cell>
          <cell r="B4092">
            <v>517224</v>
          </cell>
          <cell r="C4092" t="str">
            <v>SUJANAUNI</v>
          </cell>
        </row>
        <row r="4093">
          <cell r="A4093" t="str">
            <v>SUKHJIT STARCH &amp; CHEMICALS LTD</v>
          </cell>
          <cell r="B4093">
            <v>524542</v>
          </cell>
          <cell r="C4093" t="str">
            <v>Not Listed</v>
          </cell>
        </row>
        <row r="4094">
          <cell r="A4094" t="str">
            <v>SULABH ENGINEERS &amp; SERVICES LTD</v>
          </cell>
          <cell r="B4094">
            <v>508969</v>
          </cell>
          <cell r="C4094" t="str">
            <v>Not Listed</v>
          </cell>
        </row>
        <row r="4095">
          <cell r="A4095" t="str">
            <v>SUMEDHA FISCAL SERVICES LTD</v>
          </cell>
          <cell r="B4095">
            <v>530419</v>
          </cell>
          <cell r="C4095" t="str">
            <v>Not Listed</v>
          </cell>
        </row>
        <row r="4096">
          <cell r="A4096" t="str">
            <v>SUMEET INDUSTRIES LTD</v>
          </cell>
          <cell r="B4096">
            <v>514211</v>
          </cell>
          <cell r="C4096" t="str">
            <v>SUMEETINDS</v>
          </cell>
        </row>
        <row r="4097">
          <cell r="A4097" t="str">
            <v>SUMERU INDUSTRIES LTD</v>
          </cell>
          <cell r="B4097">
            <v>530445</v>
          </cell>
          <cell r="C4097" t="str">
            <v>Not Listed</v>
          </cell>
        </row>
        <row r="4098">
          <cell r="A4098" t="str">
            <v>SUMIT WOODS LTD</v>
          </cell>
          <cell r="B4098" t="str">
            <v>Not Listed</v>
          </cell>
          <cell r="C4098" t="str">
            <v>SUMIT</v>
          </cell>
        </row>
        <row r="4099">
          <cell r="A4099" t="str">
            <v>SUMMIT SECURITIES LTD</v>
          </cell>
          <cell r="B4099">
            <v>533306</v>
          </cell>
          <cell r="C4099" t="str">
            <v>SUMMITSEC</v>
          </cell>
        </row>
        <row r="4100">
          <cell r="A4100" t="str">
            <v>SUN AND SHINE WORLDWIDE LTD</v>
          </cell>
          <cell r="B4100">
            <v>532154</v>
          </cell>
          <cell r="C4100" t="str">
            <v>Not Listed</v>
          </cell>
        </row>
        <row r="4101">
          <cell r="A4101" t="str">
            <v>SUN PHARMA ADVANCED RESEARCH COMPANY LTD</v>
          </cell>
          <cell r="B4101">
            <v>532872</v>
          </cell>
          <cell r="C4101" t="str">
            <v>SPARC</v>
          </cell>
        </row>
        <row r="4102">
          <cell r="A4102" t="str">
            <v>SUN PHARMACEUTICAL INDUSTRIES LTD</v>
          </cell>
          <cell r="B4102">
            <v>524715</v>
          </cell>
          <cell r="C4102" t="str">
            <v>SUNPHARMA</v>
          </cell>
        </row>
        <row r="4103">
          <cell r="A4103" t="str">
            <v>SUN RETAIL LTD</v>
          </cell>
          <cell r="B4103">
            <v>542025</v>
          </cell>
          <cell r="C4103" t="str">
            <v>Not Listed</v>
          </cell>
        </row>
        <row r="4104">
          <cell r="A4104" t="str">
            <v>SUN SOURCE (INDIA) LTD</v>
          </cell>
          <cell r="B4104">
            <v>517403</v>
          </cell>
          <cell r="C4104" t="str">
            <v>Not Listed</v>
          </cell>
        </row>
        <row r="4105">
          <cell r="A4105" t="str">
            <v>SUN SOURCE INDIA LTD</v>
          </cell>
          <cell r="B4105">
            <v>517403</v>
          </cell>
          <cell r="C4105" t="str">
            <v>Not Listed</v>
          </cell>
        </row>
        <row r="4106">
          <cell r="A4106" t="str">
            <v>SUN TECHNO OVERSEAS LTD</v>
          </cell>
          <cell r="B4106">
            <v>531752</v>
          </cell>
          <cell r="C4106" t="str">
            <v>Not Listed</v>
          </cell>
        </row>
        <row r="4107">
          <cell r="A4107" t="str">
            <v>SUN TV NETWORK LTD</v>
          </cell>
          <cell r="B4107">
            <v>532733</v>
          </cell>
          <cell r="C4107" t="str">
            <v>SUNTV</v>
          </cell>
        </row>
        <row r="4108">
          <cell r="A4108" t="str">
            <v>SUNCARE TRADERS LTD</v>
          </cell>
          <cell r="B4108">
            <v>539526</v>
          </cell>
          <cell r="C4108" t="str">
            <v>Not Listed</v>
          </cell>
        </row>
        <row r="4109">
          <cell r="A4109" t="str">
            <v>SUNCITY SYNTHETICS LTD</v>
          </cell>
          <cell r="B4109">
            <v>530795</v>
          </cell>
          <cell r="C4109" t="str">
            <v>Not Listed</v>
          </cell>
        </row>
        <row r="4110">
          <cell r="A4110" t="str">
            <v>SUNDARAM BRAKE LININGS LTD</v>
          </cell>
          <cell r="B4110">
            <v>590072</v>
          </cell>
          <cell r="C4110" t="str">
            <v>SUNDRMBRAK</v>
          </cell>
        </row>
        <row r="4111">
          <cell r="A4111" t="str">
            <v>SUNDARAM CLAYTON LTD</v>
          </cell>
          <cell r="B4111">
            <v>520056</v>
          </cell>
          <cell r="C4111" t="str">
            <v>SUNCLAYLTD</v>
          </cell>
        </row>
        <row r="4112">
          <cell r="A4112" t="str">
            <v>SUNDARAM FINANCE HOLDINGS LTD</v>
          </cell>
          <cell r="B4112" t="str">
            <v>Not Listed</v>
          </cell>
          <cell r="C4112" t="str">
            <v>SUNDARMHLD</v>
          </cell>
        </row>
        <row r="4113">
          <cell r="A4113" t="str">
            <v>SUNDARAM FINANCE LTD</v>
          </cell>
          <cell r="B4113">
            <v>590071</v>
          </cell>
          <cell r="C4113" t="str">
            <v>SUNDARMFIN</v>
          </cell>
        </row>
        <row r="4114">
          <cell r="A4114" t="str">
            <v>SUNDARAM MULTI PAP LTD</v>
          </cell>
          <cell r="B4114">
            <v>533166</v>
          </cell>
          <cell r="C4114" t="str">
            <v>SUNDARAM</v>
          </cell>
        </row>
        <row r="4115">
          <cell r="A4115" t="str">
            <v>SUNDRAM FASTENERS LTD</v>
          </cell>
          <cell r="B4115">
            <v>500403</v>
          </cell>
          <cell r="C4115" t="str">
            <v>SUNDRMFAST</v>
          </cell>
        </row>
        <row r="4116">
          <cell r="A4116" t="str">
            <v>SUNFLAG IRON AND STEEL COMPANY LTD</v>
          </cell>
          <cell r="B4116">
            <v>500404</v>
          </cell>
          <cell r="C4116" t="str">
            <v>SUNFLAG</v>
          </cell>
        </row>
        <row r="4117">
          <cell r="A4117" t="str">
            <v>SUNGOLD CAPITAL LTD</v>
          </cell>
          <cell r="B4117">
            <v>531433</v>
          </cell>
          <cell r="C4117" t="str">
            <v>Not Listed</v>
          </cell>
        </row>
        <row r="4118">
          <cell r="A4118" t="str">
            <v>SUNGOLD MEDIA AND ENTERTAINMENT LTD</v>
          </cell>
          <cell r="B4118">
            <v>541799</v>
          </cell>
          <cell r="C4118" t="str">
            <v>Not Listed</v>
          </cell>
        </row>
        <row r="4119">
          <cell r="A4119" t="str">
            <v>SUNIL AGRO FOODS LTD</v>
          </cell>
          <cell r="B4119">
            <v>530953</v>
          </cell>
          <cell r="C4119" t="str">
            <v>Not Listed</v>
          </cell>
        </row>
        <row r="4120">
          <cell r="A4120" t="str">
            <v>SUNIL HEALTHCARE LTD</v>
          </cell>
          <cell r="B4120">
            <v>537253</v>
          </cell>
          <cell r="C4120" t="str">
            <v>Not Listed</v>
          </cell>
        </row>
        <row r="4121">
          <cell r="A4121" t="str">
            <v>SUNIL HITECH ENGINEERS LTD</v>
          </cell>
          <cell r="B4121">
            <v>532711</v>
          </cell>
          <cell r="C4121" t="str">
            <v>SUNILHITEC</v>
          </cell>
        </row>
        <row r="4122">
          <cell r="A4122" t="str">
            <v>SUNIL INDUSTRIES LTD</v>
          </cell>
          <cell r="B4122">
            <v>521232</v>
          </cell>
          <cell r="C4122" t="str">
            <v>Not Listed</v>
          </cell>
        </row>
        <row r="4123">
          <cell r="A4123" t="str">
            <v>SUNRAJ DIAMOND EXPORTS LTD.</v>
          </cell>
          <cell r="B4123">
            <v>523425</v>
          </cell>
          <cell r="C4123" t="str">
            <v>SUNRAJDI</v>
          </cell>
        </row>
        <row r="4124">
          <cell r="A4124" t="str">
            <v>SUNRISE INDUSTRIAL TRADERS LTD</v>
          </cell>
          <cell r="B4124">
            <v>501110</v>
          </cell>
          <cell r="C4124" t="str">
            <v>Not Listed</v>
          </cell>
        </row>
        <row r="4125">
          <cell r="A4125" t="str">
            <v>SUNSHIELD CHEMICALS LTD</v>
          </cell>
          <cell r="B4125">
            <v>530845</v>
          </cell>
          <cell r="C4125" t="str">
            <v>Not Listed</v>
          </cell>
        </row>
        <row r="4126">
          <cell r="A4126" t="str">
            <v>SUNSHINE CAPITAL LTD</v>
          </cell>
          <cell r="B4126">
            <v>539574</v>
          </cell>
          <cell r="C4126" t="str">
            <v>Not Listed</v>
          </cell>
        </row>
        <row r="4127">
          <cell r="A4127" t="str">
            <v>SUNSTAR REALTY DEVELOPMENT LTD</v>
          </cell>
          <cell r="B4127">
            <v>535141</v>
          </cell>
          <cell r="C4127" t="str">
            <v>Not Listed</v>
          </cell>
        </row>
        <row r="4128">
          <cell r="A4128" t="str">
            <v>SUNTECK REALTY LTD</v>
          </cell>
          <cell r="B4128">
            <v>512179</v>
          </cell>
          <cell r="C4128" t="str">
            <v>SUNTECK</v>
          </cell>
        </row>
        <row r="4129">
          <cell r="A4129" t="str">
            <v>SUPER BAKERS (INDIA) LTD</v>
          </cell>
          <cell r="B4129">
            <v>530735</v>
          </cell>
          <cell r="C4129" t="str">
            <v>Not Listed</v>
          </cell>
        </row>
        <row r="4130">
          <cell r="A4130" t="str">
            <v>SUPER BAKERS INDIA LTD</v>
          </cell>
          <cell r="B4130">
            <v>530735</v>
          </cell>
          <cell r="C4130" t="str">
            <v>Not Listed</v>
          </cell>
        </row>
        <row r="4131">
          <cell r="A4131" t="str">
            <v>SUPER CROP SAFE LTD</v>
          </cell>
          <cell r="B4131">
            <v>530883</v>
          </cell>
          <cell r="C4131" t="str">
            <v>Not Listed</v>
          </cell>
        </row>
        <row r="4132">
          <cell r="A4132" t="str">
            <v>SUPER DOMESTIC MACHINES LTD</v>
          </cell>
          <cell r="B4132">
            <v>531699</v>
          </cell>
          <cell r="C4132" t="str">
            <v>Not Listed</v>
          </cell>
        </row>
        <row r="4133">
          <cell r="A4133" t="str">
            <v>SUPER FINE KNITTERS LTD</v>
          </cell>
          <cell r="B4133">
            <v>540269</v>
          </cell>
          <cell r="C4133" t="str">
            <v>Not Listed</v>
          </cell>
        </row>
        <row r="4134">
          <cell r="A4134" t="str">
            <v>SUPER SALES (INDIA) LTD</v>
          </cell>
          <cell r="B4134">
            <v>512527</v>
          </cell>
          <cell r="C4134" t="str">
            <v>Not Listed</v>
          </cell>
        </row>
        <row r="4135">
          <cell r="A4135" t="str">
            <v>SUPER SALES INDIA LTD</v>
          </cell>
          <cell r="B4135">
            <v>512527</v>
          </cell>
          <cell r="C4135" t="str">
            <v>Not Listed</v>
          </cell>
        </row>
        <row r="4136">
          <cell r="A4136" t="str">
            <v>SUPER SPINNING MILLS LTD</v>
          </cell>
          <cell r="B4136">
            <v>521180</v>
          </cell>
          <cell r="C4136" t="str">
            <v>SUPERSPIN</v>
          </cell>
        </row>
        <row r="4137">
          <cell r="A4137" t="str">
            <v>SUPER TANNERY LTD</v>
          </cell>
          <cell r="B4137">
            <v>523842</v>
          </cell>
          <cell r="C4137" t="str">
            <v>Not Listed</v>
          </cell>
        </row>
        <row r="4138">
          <cell r="A4138" t="str">
            <v>SUPERB PAPERS LTD</v>
          </cell>
          <cell r="B4138">
            <v>532070</v>
          </cell>
          <cell r="C4138" t="str">
            <v>Not Listed</v>
          </cell>
        </row>
        <row r="4139">
          <cell r="A4139" t="str">
            <v>SUPERHOUSE LTD</v>
          </cell>
          <cell r="B4139">
            <v>523283</v>
          </cell>
          <cell r="C4139" t="str">
            <v>SUPERHOUSE</v>
          </cell>
        </row>
        <row r="4140">
          <cell r="A4140" t="str">
            <v>SUPERIOR FINLEASE LTD</v>
          </cell>
          <cell r="B4140">
            <v>539835</v>
          </cell>
          <cell r="C4140" t="str">
            <v>Not Listed</v>
          </cell>
        </row>
        <row r="4141">
          <cell r="A4141" t="str">
            <v>Superior Industrial Enterprises LTD</v>
          </cell>
          <cell r="B4141">
            <v>519234</v>
          </cell>
          <cell r="C4141" t="str">
            <v>SIEL</v>
          </cell>
        </row>
        <row r="4142">
          <cell r="A4142" t="str">
            <v>SUPERNOVA ADVERTISING LTD</v>
          </cell>
          <cell r="B4142">
            <v>780008</v>
          </cell>
          <cell r="C4142" t="str">
            <v>Not Listed</v>
          </cell>
        </row>
        <row r="4143">
          <cell r="A4143" t="str">
            <v>SUPERSHAKTI METALIKS LTD</v>
          </cell>
          <cell r="B4143">
            <v>541701</v>
          </cell>
          <cell r="C4143" t="str">
            <v>Not Listed</v>
          </cell>
        </row>
        <row r="4144">
          <cell r="A4144" t="str">
            <v>SUPERTEX INDUSTRIES LTD</v>
          </cell>
          <cell r="B4144">
            <v>526133</v>
          </cell>
          <cell r="C4144" t="str">
            <v>Not Listed</v>
          </cell>
        </row>
        <row r="4145">
          <cell r="A4145" t="str">
            <v>SUPRA PACIFIC MANAGEMENT CONSULTANCY LTD</v>
          </cell>
          <cell r="B4145">
            <v>540168</v>
          </cell>
          <cell r="C4145" t="str">
            <v>Not Listed</v>
          </cell>
        </row>
        <row r="4146">
          <cell r="A4146" t="str">
            <v>SUPRA TRENDS LTD</v>
          </cell>
          <cell r="B4146">
            <v>511539</v>
          </cell>
          <cell r="C4146" t="str">
            <v>Not Listed</v>
          </cell>
        </row>
        <row r="4147">
          <cell r="A4147" t="str">
            <v>SUPRAJIT ENGINEERING LTD</v>
          </cell>
          <cell r="B4147">
            <v>532509</v>
          </cell>
          <cell r="C4147" t="str">
            <v>SUPRAJIT</v>
          </cell>
        </row>
        <row r="4148">
          <cell r="A4148" t="str">
            <v>SUPREME ENGINEERING LTD</v>
          </cell>
          <cell r="B4148" t="str">
            <v>Not Listed</v>
          </cell>
          <cell r="C4148" t="str">
            <v>SUPREMEENG</v>
          </cell>
        </row>
        <row r="4149">
          <cell r="A4149" t="str">
            <v>SUPREME HOLDINGS &amp; HOSPITALITY (INDIA) LTD</v>
          </cell>
          <cell r="B4149">
            <v>530677</v>
          </cell>
          <cell r="C4149" t="str">
            <v>Not Listed</v>
          </cell>
        </row>
        <row r="4150">
          <cell r="A4150" t="str">
            <v>SUPREME HOLDINGS &amp; HOSPITALITY INDIA LTD</v>
          </cell>
          <cell r="B4150">
            <v>530677</v>
          </cell>
          <cell r="C4150" t="str">
            <v>Not Listed</v>
          </cell>
        </row>
        <row r="4151">
          <cell r="A4151" t="str">
            <v>SUPREME INDIA IMPEX LTD</v>
          </cell>
          <cell r="B4151" t="str">
            <v>Not Listed</v>
          </cell>
          <cell r="C4151" t="str">
            <v>SIIL</v>
          </cell>
        </row>
        <row r="4152">
          <cell r="A4152" t="str">
            <v>SUPREME INDUSTRIES LTD</v>
          </cell>
          <cell r="B4152">
            <v>509930</v>
          </cell>
          <cell r="C4152" t="str">
            <v>SUPREMEIND</v>
          </cell>
        </row>
        <row r="4153">
          <cell r="A4153" t="str">
            <v>SUPREME INFRASTRUCTURE (INDIA) LTD</v>
          </cell>
          <cell r="B4153">
            <v>532904</v>
          </cell>
          <cell r="C4153" t="str">
            <v>SUPREMEINF</v>
          </cell>
        </row>
        <row r="4154">
          <cell r="A4154" t="str">
            <v>SUPREME INFRASTRUCTURE INDIA LTD</v>
          </cell>
          <cell r="B4154">
            <v>532904</v>
          </cell>
          <cell r="C4154" t="str">
            <v>SUPREMEINF</v>
          </cell>
        </row>
        <row r="4155">
          <cell r="A4155" t="str">
            <v>SUPREME PETROCHEM LTD</v>
          </cell>
          <cell r="B4155">
            <v>500405</v>
          </cell>
          <cell r="C4155" t="str">
            <v>SUPPETRO</v>
          </cell>
        </row>
        <row r="4156">
          <cell r="A4156" t="str">
            <v>SUPREMEX SHINE STEELS LTD</v>
          </cell>
          <cell r="B4156">
            <v>534733</v>
          </cell>
          <cell r="C4156" t="str">
            <v>Not Listed</v>
          </cell>
        </row>
        <row r="4157">
          <cell r="A4157" t="str">
            <v>SURAJ LTD</v>
          </cell>
          <cell r="B4157">
            <v>531638</v>
          </cell>
          <cell r="C4157" t="str">
            <v>Not Listed</v>
          </cell>
        </row>
        <row r="4158">
          <cell r="A4158" t="str">
            <v>SURAJ PRODUCTS LTD</v>
          </cell>
          <cell r="B4158">
            <v>518075</v>
          </cell>
          <cell r="C4158" t="str">
            <v>Not Listed</v>
          </cell>
        </row>
        <row r="4159">
          <cell r="A4159" t="str">
            <v>SURANA SOLAR LTD</v>
          </cell>
          <cell r="B4159">
            <v>533298</v>
          </cell>
          <cell r="C4159" t="str">
            <v>SURANASOL</v>
          </cell>
        </row>
        <row r="4160">
          <cell r="A4160" t="str">
            <v>SURANA TELECOM AND POWER LTD</v>
          </cell>
          <cell r="B4160">
            <v>517530</v>
          </cell>
          <cell r="C4160" t="str">
            <v>SURANAT&amp;P</v>
          </cell>
        </row>
        <row r="4161">
          <cell r="A4161" t="str">
            <v>SURAT TEXTILE MILLS LTD</v>
          </cell>
          <cell r="B4161">
            <v>530185</v>
          </cell>
          <cell r="C4161" t="str">
            <v>Not Listed</v>
          </cell>
        </row>
        <row r="4162">
          <cell r="A4162" t="str">
            <v>SUREVIN BPO SERVICES LTD</v>
          </cell>
          <cell r="B4162" t="str">
            <v>Not Listed</v>
          </cell>
          <cell r="C4162" t="str">
            <v>SUREVIN</v>
          </cell>
        </row>
        <row r="4163">
          <cell r="A4163" t="str">
            <v>SURYA (INDIA) LTD</v>
          </cell>
          <cell r="B4163">
            <v>539253</v>
          </cell>
          <cell r="C4163" t="str">
            <v>Not Listed</v>
          </cell>
        </row>
        <row r="4164">
          <cell r="A4164" t="str">
            <v>SURYA INDIA LTD</v>
          </cell>
          <cell r="B4164">
            <v>539253</v>
          </cell>
          <cell r="C4164" t="str">
            <v>Not Listed</v>
          </cell>
        </row>
        <row r="4165">
          <cell r="A4165" t="str">
            <v>SURYA ROSHNI LTD</v>
          </cell>
          <cell r="B4165">
            <v>500336</v>
          </cell>
          <cell r="C4165" t="str">
            <v>SURYAROSNI</v>
          </cell>
        </row>
        <row r="4166">
          <cell r="A4166" t="str">
            <v>SURYAAMBA SPINNING MILLS LTD</v>
          </cell>
          <cell r="B4166">
            <v>533101</v>
          </cell>
          <cell r="C4166" t="str">
            <v>Not Listed</v>
          </cell>
        </row>
        <row r="4167">
          <cell r="A4167" t="str">
            <v>SURYACHAKRA POWER CORPORATION LTD</v>
          </cell>
          <cell r="B4167">
            <v>532874</v>
          </cell>
          <cell r="C4167" t="str">
            <v>Not Listed</v>
          </cell>
        </row>
        <row r="4168">
          <cell r="A4168" t="str">
            <v>SURYAKRIPA FINANCE LTD</v>
          </cell>
          <cell r="B4168">
            <v>511185</v>
          </cell>
          <cell r="C4168" t="str">
            <v>Not Listed</v>
          </cell>
        </row>
        <row r="4169">
          <cell r="A4169" t="str">
            <v>SURYALAKSHMI COTTON MILLS LTD</v>
          </cell>
          <cell r="B4169">
            <v>521200</v>
          </cell>
          <cell r="C4169" t="str">
            <v>SURYALAXMI</v>
          </cell>
        </row>
        <row r="4170">
          <cell r="A4170" t="str">
            <v>SURYALATA SPINNING MILLS LTD</v>
          </cell>
          <cell r="B4170">
            <v>514138</v>
          </cell>
          <cell r="C4170" t="str">
            <v>Not Listed</v>
          </cell>
        </row>
        <row r="4171">
          <cell r="A4171" t="str">
            <v>SURYAVANSHI SPINNING MILLS LTD</v>
          </cell>
          <cell r="B4171">
            <v>514140</v>
          </cell>
          <cell r="C4171" t="str">
            <v>Not Listed</v>
          </cell>
        </row>
        <row r="4172">
          <cell r="A4172" t="str">
            <v>SURYO FOODS &amp;amp; INDUSTRIES LTD.</v>
          </cell>
          <cell r="B4172">
            <v>519604</v>
          </cell>
          <cell r="C4172" t="str">
            <v>SURFI</v>
          </cell>
        </row>
        <row r="4173">
          <cell r="A4173" t="str">
            <v>SUTLEJ TEXTILES AND INDUSTRIES LTD</v>
          </cell>
          <cell r="B4173">
            <v>532782</v>
          </cell>
          <cell r="C4173" t="str">
            <v>SUTLEJTEX</v>
          </cell>
        </row>
        <row r="4174">
          <cell r="A4174" t="str">
            <v>SUUMAYA LIFESTYLE LTD</v>
          </cell>
          <cell r="B4174" t="str">
            <v>Not Listed</v>
          </cell>
          <cell r="C4174" t="str">
            <v>SUULD</v>
          </cell>
        </row>
        <row r="4175">
          <cell r="A4175" t="str">
            <v>SUVEN LIFE SCIENCES LTD</v>
          </cell>
          <cell r="B4175">
            <v>530239</v>
          </cell>
          <cell r="C4175" t="str">
            <v>SUVEN</v>
          </cell>
        </row>
        <row r="4176">
          <cell r="A4176" t="str">
            <v>SUVIDHA INFRAESTATE CORPORATION LTD</v>
          </cell>
          <cell r="B4176">
            <v>531640</v>
          </cell>
          <cell r="C4176" t="str">
            <v>Not Listed</v>
          </cell>
        </row>
        <row r="4177">
          <cell r="A4177" t="str">
            <v>SUYOG TELEMATICS LTD</v>
          </cell>
          <cell r="B4177">
            <v>537259</v>
          </cell>
          <cell r="C4177" t="str">
            <v>Not Listed</v>
          </cell>
        </row>
        <row r="4178">
          <cell r="A4178" t="str">
            <v>SUZLON ENERGY LTD</v>
          </cell>
          <cell r="B4178">
            <v>532667</v>
          </cell>
          <cell r="C4178" t="str">
            <v>SUZLON</v>
          </cell>
        </row>
        <row r="4179">
          <cell r="A4179" t="str">
            <v>SVA (INDIA) LTD</v>
          </cell>
          <cell r="B4179">
            <v>531885</v>
          </cell>
          <cell r="C4179" t="str">
            <v>Not Listed</v>
          </cell>
        </row>
        <row r="4180">
          <cell r="A4180" t="str">
            <v>SVA INDIA LTD</v>
          </cell>
          <cell r="B4180">
            <v>531885</v>
          </cell>
          <cell r="C4180" t="str">
            <v>Not Listed</v>
          </cell>
        </row>
        <row r="4181">
          <cell r="A4181" t="str">
            <v>SVAM SOFTWARE LTD</v>
          </cell>
          <cell r="B4181">
            <v>523722</v>
          </cell>
          <cell r="C4181" t="str">
            <v>Not Listed</v>
          </cell>
        </row>
        <row r="4182">
          <cell r="A4182" t="str">
            <v>SVARAJ TRADING &amp; AGENCIES LTD</v>
          </cell>
          <cell r="B4182">
            <v>503624</v>
          </cell>
          <cell r="C4182" t="str">
            <v>Not Listed</v>
          </cell>
        </row>
        <row r="4183">
          <cell r="A4183" t="str">
            <v>SVARNIM TRADE UDYOG LTD</v>
          </cell>
          <cell r="B4183">
            <v>539911</v>
          </cell>
          <cell r="C4183" t="str">
            <v>Not Listed</v>
          </cell>
        </row>
        <row r="4184">
          <cell r="A4184" t="str">
            <v>SVC INDUSTRIES Ltd</v>
          </cell>
          <cell r="B4184">
            <v>524488</v>
          </cell>
          <cell r="C4184" t="str">
            <v>SVCIND</v>
          </cell>
        </row>
        <row r="4185">
          <cell r="A4185" t="str">
            <v>SVC RESOURCES LTD</v>
          </cell>
          <cell r="B4185">
            <v>512449</v>
          </cell>
          <cell r="C4185" t="str">
            <v>Not Listed</v>
          </cell>
        </row>
        <row r="4186">
          <cell r="A4186" t="str">
            <v>SVP GLOBAL VENTURES LTD</v>
          </cell>
          <cell r="B4186">
            <v>505590</v>
          </cell>
          <cell r="C4186" t="str">
            <v>Not Listed</v>
          </cell>
        </row>
        <row r="4187">
          <cell r="A4187" t="str">
            <v>SVP HOUSING LTD</v>
          </cell>
          <cell r="B4187">
            <v>539041</v>
          </cell>
          <cell r="C4187" t="str">
            <v>Not Listed</v>
          </cell>
        </row>
        <row r="4188">
          <cell r="A4188" t="str">
            <v>SW INVESTMENTS LTD</v>
          </cell>
          <cell r="B4188">
            <v>503659</v>
          </cell>
          <cell r="C4188" t="str">
            <v>Not Listed</v>
          </cell>
        </row>
        <row r="4189">
          <cell r="A4189" t="str">
            <v>SWADESHI INDUSTRIES LEASING CO LTD</v>
          </cell>
          <cell r="B4189">
            <v>506863</v>
          </cell>
          <cell r="C4189" t="str">
            <v>Not Listed</v>
          </cell>
        </row>
        <row r="4190">
          <cell r="A4190" t="str">
            <v>SWADESHI POLYTEX LTD</v>
          </cell>
          <cell r="B4190">
            <v>503816</v>
          </cell>
          <cell r="C4190" t="str">
            <v>Not Listed</v>
          </cell>
        </row>
        <row r="4191">
          <cell r="A4191" t="str">
            <v>SWAGRUHA INFRASTRUCTURE LTD</v>
          </cell>
          <cell r="B4191">
            <v>531909</v>
          </cell>
          <cell r="C4191" t="str">
            <v>Not Listed</v>
          </cell>
        </row>
        <row r="4192">
          <cell r="A4192" t="str">
            <v>SWAGTAM TRADING &amp; SERVICES LTD</v>
          </cell>
          <cell r="B4192">
            <v>539406</v>
          </cell>
          <cell r="C4192" t="str">
            <v>Not Listed</v>
          </cell>
        </row>
        <row r="4193">
          <cell r="A4193" t="str">
            <v>SWAN ENERGY LTD</v>
          </cell>
          <cell r="B4193">
            <v>503310</v>
          </cell>
          <cell r="C4193" t="str">
            <v>SWANENERGY</v>
          </cell>
        </row>
        <row r="4194">
          <cell r="A4194" t="str">
            <v>SWARAJ AUTOMOTIVES LTD</v>
          </cell>
          <cell r="B4194">
            <v>539353</v>
          </cell>
          <cell r="C4194" t="str">
            <v>Not Listed</v>
          </cell>
        </row>
        <row r="4195">
          <cell r="A4195" t="str">
            <v>SWARAJ ENGINES LTD</v>
          </cell>
          <cell r="B4195">
            <v>500407</v>
          </cell>
          <cell r="C4195" t="str">
            <v>SWARAJENG</v>
          </cell>
        </row>
        <row r="4196">
          <cell r="A4196" t="str">
            <v>SWARNA SECURITIES LTD</v>
          </cell>
          <cell r="B4196">
            <v>531003</v>
          </cell>
          <cell r="C4196" t="str">
            <v>Not Listed</v>
          </cell>
        </row>
        <row r="4197">
          <cell r="A4197" t="str">
            <v>SWARNSARITA GEMS LTD</v>
          </cell>
          <cell r="B4197">
            <v>526365</v>
          </cell>
          <cell r="C4197" t="str">
            <v>Not Listed</v>
          </cell>
        </row>
        <row r="4198">
          <cell r="A4198" t="str">
            <v>SWASTI VINAYAKA ART AND HERITAGE CORPORATION LTD</v>
          </cell>
          <cell r="B4198">
            <v>512257</v>
          </cell>
          <cell r="C4198" t="str">
            <v>Not Listed</v>
          </cell>
        </row>
        <row r="4199">
          <cell r="A4199" t="str">
            <v>SWASTI VINAYAKA SYNTHETICS LTD</v>
          </cell>
          <cell r="B4199">
            <v>510245</v>
          </cell>
          <cell r="C4199" t="str">
            <v>Not Listed</v>
          </cell>
        </row>
        <row r="4200">
          <cell r="A4200" t="str">
            <v>SWASTIK SAFE DEPOSIT &amp; INVESTMENTS LTD</v>
          </cell>
          <cell r="B4200">
            <v>501386</v>
          </cell>
          <cell r="C4200" t="str">
            <v>Not Listed</v>
          </cell>
        </row>
        <row r="4201">
          <cell r="A4201" t="str">
            <v>SWASTIKA INVESTMART LTD</v>
          </cell>
          <cell r="B4201">
            <v>530585</v>
          </cell>
          <cell r="C4201" t="str">
            <v>Not Listed</v>
          </cell>
        </row>
        <row r="4202">
          <cell r="A4202" t="str">
            <v>SWELECT ENERGY SYSTEMS LTD</v>
          </cell>
          <cell r="B4202">
            <v>532051</v>
          </cell>
          <cell r="C4202" t="str">
            <v>SWELECTES</v>
          </cell>
        </row>
        <row r="4203">
          <cell r="A4203" t="str">
            <v>SWISS GLASCOAT EQUIPMENTS LTD</v>
          </cell>
          <cell r="B4203">
            <v>522215</v>
          </cell>
          <cell r="C4203" t="str">
            <v>Not Listed</v>
          </cell>
        </row>
        <row r="4204">
          <cell r="A4204" t="str">
            <v>SWITCHING TECHNOLOGIES GUNTHER LTD</v>
          </cell>
          <cell r="B4204">
            <v>517201</v>
          </cell>
          <cell r="C4204" t="str">
            <v>Not Listed</v>
          </cell>
        </row>
        <row r="4205">
          <cell r="A4205" t="str">
            <v>SWORD &amp; SHIELD PHARMA LTD</v>
          </cell>
          <cell r="B4205">
            <v>531637</v>
          </cell>
          <cell r="C4205" t="str">
            <v>Not Listed</v>
          </cell>
        </row>
        <row r="4206">
          <cell r="A4206" t="str">
            <v>SWORD-EDGE COMMERCIALS LTD</v>
          </cell>
          <cell r="B4206">
            <v>512359</v>
          </cell>
          <cell r="C4206" t="str">
            <v>Not Listed</v>
          </cell>
        </row>
        <row r="4207">
          <cell r="A4207" t="str">
            <v>SYBLY INDUSTRIES LTD</v>
          </cell>
          <cell r="B4207">
            <v>531499</v>
          </cell>
          <cell r="C4207" t="str">
            <v>Not Listed</v>
          </cell>
        </row>
        <row r="4208">
          <cell r="A4208" t="str">
            <v>SYLPH EDUCATION SOLUTIONS LTD</v>
          </cell>
          <cell r="B4208">
            <v>539682</v>
          </cell>
          <cell r="C4208" t="str">
            <v>Not Listed</v>
          </cell>
        </row>
        <row r="4209">
          <cell r="A4209" t="str">
            <v>SYLPH TECHNOLOGIES LTD</v>
          </cell>
          <cell r="B4209">
            <v>511447</v>
          </cell>
          <cell r="C4209" t="str">
            <v>Not Listed</v>
          </cell>
        </row>
        <row r="4210">
          <cell r="A4210" t="str">
            <v>SYMBIOX INVESTMENT &amp; TRADING COMPANY LTD</v>
          </cell>
          <cell r="B4210">
            <v>539278</v>
          </cell>
          <cell r="C4210" t="str">
            <v>Not Listed</v>
          </cell>
        </row>
        <row r="4211">
          <cell r="A4211" t="str">
            <v>SYMPHONY LTD</v>
          </cell>
          <cell r="B4211">
            <v>517385</v>
          </cell>
          <cell r="C4211" t="str">
            <v>SYMPHONY</v>
          </cell>
        </row>
        <row r="4212">
          <cell r="A4212" t="str">
            <v>SYNCOM FORMULATIONS (INDIA) LTD</v>
          </cell>
          <cell r="B4212">
            <v>524470</v>
          </cell>
          <cell r="C4212" t="str">
            <v>Not Listed</v>
          </cell>
        </row>
        <row r="4213">
          <cell r="A4213" t="str">
            <v>SYNCOM FORMULATIONS INDIA LTD</v>
          </cell>
          <cell r="B4213">
            <v>524470</v>
          </cell>
          <cell r="C4213" t="str">
            <v>Not Listed</v>
          </cell>
        </row>
        <row r="4214">
          <cell r="A4214" t="str">
            <v>SYNCOM HEALTHCARE LTD</v>
          </cell>
          <cell r="B4214">
            <v>533157</v>
          </cell>
          <cell r="C4214" t="str">
            <v>SYNCOM</v>
          </cell>
        </row>
        <row r="4215">
          <cell r="A4215" t="str">
            <v>SYNDICATE BANK</v>
          </cell>
          <cell r="B4215">
            <v>532276</v>
          </cell>
          <cell r="C4215" t="str">
            <v>SYNDIBANK</v>
          </cell>
        </row>
        <row r="4216">
          <cell r="A4216" t="str">
            <v>SYNERGY GREEN INDUSTRIES LTD</v>
          </cell>
          <cell r="B4216">
            <v>541929</v>
          </cell>
          <cell r="C4216" t="str">
            <v>Not Listed</v>
          </cell>
        </row>
        <row r="4217">
          <cell r="A4217" t="str">
            <v>SYNGENE INTERNATIONAL LTD</v>
          </cell>
          <cell r="B4217">
            <v>539268</v>
          </cell>
          <cell r="C4217" t="str">
            <v>SYNGENE</v>
          </cell>
        </row>
        <row r="4218">
          <cell r="A4218" t="str">
            <v>SYNTHIKO FOILS LTD</v>
          </cell>
          <cell r="B4218">
            <v>513307</v>
          </cell>
          <cell r="C4218" t="str">
            <v>Not Listed</v>
          </cell>
        </row>
        <row r="4219">
          <cell r="A4219" t="str">
            <v>SYSCHEM (INDIA) LTD</v>
          </cell>
          <cell r="B4219">
            <v>531173</v>
          </cell>
          <cell r="C4219" t="str">
            <v>Not Listed</v>
          </cell>
        </row>
        <row r="4220">
          <cell r="A4220" t="str">
            <v>SYSCHEM INDIA LTD</v>
          </cell>
          <cell r="B4220">
            <v>531173</v>
          </cell>
          <cell r="C4220" t="str">
            <v>Not Listed</v>
          </cell>
        </row>
        <row r="4221">
          <cell r="A4221" t="str">
            <v>SYSCO INDUSTRIES LTD</v>
          </cell>
          <cell r="B4221">
            <v>539842</v>
          </cell>
          <cell r="C4221" t="str">
            <v>Not Listed</v>
          </cell>
        </row>
        <row r="4222">
          <cell r="A4222" t="str">
            <v>SYSTEMATIX CORPORATE SERVICES LTD</v>
          </cell>
          <cell r="B4222">
            <v>526506</v>
          </cell>
          <cell r="C4222" t="str">
            <v>Not Listed</v>
          </cell>
        </row>
        <row r="4223">
          <cell r="A4223" t="str">
            <v>SYSTEMATIX SECURITIES LTD</v>
          </cell>
          <cell r="B4223">
            <v>531432</v>
          </cell>
          <cell r="C4223" t="str">
            <v>Not Listed</v>
          </cell>
        </row>
        <row r="4224">
          <cell r="A4224" t="str">
            <v>T &amp; I GLOBAL LTD</v>
          </cell>
          <cell r="B4224">
            <v>522294</v>
          </cell>
          <cell r="C4224" t="str">
            <v>Not Listed</v>
          </cell>
        </row>
        <row r="4225">
          <cell r="A4225" t="str">
            <v>T D POWER SYSTEMS LTD</v>
          </cell>
          <cell r="B4225">
            <v>533553</v>
          </cell>
          <cell r="C4225" t="str">
            <v>Not Listed</v>
          </cell>
        </row>
        <row r="4226">
          <cell r="A4226" t="str">
            <v>T SPIRITUAL WORLD LTD</v>
          </cell>
          <cell r="B4226">
            <v>532444</v>
          </cell>
          <cell r="C4226" t="str">
            <v>Not Listed</v>
          </cell>
        </row>
        <row r="4227">
          <cell r="A4227" t="str">
            <v>T T LTD</v>
          </cell>
          <cell r="B4227">
            <v>514142</v>
          </cell>
          <cell r="C4227" t="str">
            <v>TTL</v>
          </cell>
        </row>
        <row r="4228">
          <cell r="A4228" t="str">
            <v>TAAL ENTERPRISES LTD</v>
          </cell>
          <cell r="B4228">
            <v>539956</v>
          </cell>
          <cell r="C4228" t="str">
            <v>Not Listed</v>
          </cell>
        </row>
        <row r="4229">
          <cell r="A4229" t="str">
            <v>TAAZA INTERNATIONAL LTD</v>
          </cell>
          <cell r="B4229">
            <v>537392</v>
          </cell>
          <cell r="C4229" t="str">
            <v>Not Listed</v>
          </cell>
        </row>
        <row r="4230">
          <cell r="A4230" t="str">
            <v>TAI INDUSTRIES LTD</v>
          </cell>
          <cell r="B4230">
            <v>519483</v>
          </cell>
          <cell r="C4230" t="str">
            <v>Not Listed</v>
          </cell>
        </row>
        <row r="4231">
          <cell r="A4231" t="str">
            <v>TAINWALA CHEMICAL AND PLASTIC I LTD</v>
          </cell>
          <cell r="B4231">
            <v>507785</v>
          </cell>
          <cell r="C4231" t="str">
            <v>TAINWALCHM</v>
          </cell>
        </row>
        <row r="4232">
          <cell r="A4232" t="str">
            <v>TAJ GVK HOTELS &amp; RESORTS LTD</v>
          </cell>
          <cell r="B4232">
            <v>532390</v>
          </cell>
          <cell r="C4232" t="str">
            <v>TAJGVK</v>
          </cell>
        </row>
        <row r="4233">
          <cell r="A4233" t="str">
            <v>TAKE SOLUTIONS LTD</v>
          </cell>
          <cell r="B4233">
            <v>532890</v>
          </cell>
          <cell r="C4233" t="str">
            <v>TAKE</v>
          </cell>
        </row>
        <row r="4234">
          <cell r="A4234" t="str">
            <v>TALBROS AUTOMOTIVE COMPONENTS LTD</v>
          </cell>
          <cell r="B4234">
            <v>505160</v>
          </cell>
          <cell r="C4234" t="str">
            <v>TALBROAUTO</v>
          </cell>
        </row>
        <row r="4235">
          <cell r="A4235" t="str">
            <v>TALBROS ENGINEERING LTD</v>
          </cell>
          <cell r="B4235">
            <v>538987</v>
          </cell>
          <cell r="C4235" t="str">
            <v>Not Listed</v>
          </cell>
        </row>
        <row r="4236">
          <cell r="A4236" t="str">
            <v>TALWALKARS BETTER VALUE FITNESS LTD</v>
          </cell>
          <cell r="B4236">
            <v>533200</v>
          </cell>
          <cell r="C4236" t="str">
            <v>TALWALKARS</v>
          </cell>
        </row>
        <row r="4237">
          <cell r="A4237" t="str">
            <v>TALWALKARS LIFESTYLES LTD</v>
          </cell>
          <cell r="B4237">
            <v>541545</v>
          </cell>
          <cell r="C4237" t="str">
            <v>TALWGYM</v>
          </cell>
        </row>
        <row r="4238">
          <cell r="A4238" t="str">
            <v>TAMBOLI CAPITAL LTD</v>
          </cell>
          <cell r="B4238">
            <v>533170</v>
          </cell>
          <cell r="C4238" t="str">
            <v>Not Listed</v>
          </cell>
        </row>
        <row r="4239">
          <cell r="A4239" t="str">
            <v>TAMIL NADU NEWSPRINT &amp; PAPERS LTD</v>
          </cell>
          <cell r="B4239">
            <v>531426</v>
          </cell>
          <cell r="C4239" t="str">
            <v>TNPL</v>
          </cell>
        </row>
        <row r="4240">
          <cell r="A4240" t="str">
            <v>TAMILNADU JAIBHARAT MILLS LTD</v>
          </cell>
          <cell r="B4240">
            <v>521038</v>
          </cell>
          <cell r="C4240" t="str">
            <v>Not Listed</v>
          </cell>
        </row>
        <row r="4241">
          <cell r="A4241" t="str">
            <v>TAMILNADU PETROPRODUCTS LTD</v>
          </cell>
          <cell r="B4241">
            <v>500777</v>
          </cell>
          <cell r="C4241" t="str">
            <v>TNPETRO</v>
          </cell>
        </row>
        <row r="4242">
          <cell r="A4242" t="str">
            <v>TAMILNADU STEEL TUBES LTD</v>
          </cell>
          <cell r="B4242">
            <v>513540</v>
          </cell>
          <cell r="C4242" t="str">
            <v>Not Listed</v>
          </cell>
        </row>
        <row r="4243">
          <cell r="A4243" t="str">
            <v>TAMILNADU TELECOMMUNICATION LTD</v>
          </cell>
          <cell r="B4243">
            <v>523419</v>
          </cell>
          <cell r="C4243" t="str">
            <v>TNTELE</v>
          </cell>
        </row>
        <row r="4244">
          <cell r="A4244" t="str">
            <v>TANEJA AEROSPACE &amp; AVIATION LTD</v>
          </cell>
          <cell r="B4244">
            <v>522229</v>
          </cell>
          <cell r="C4244" t="str">
            <v>Not Listed</v>
          </cell>
        </row>
        <row r="4245">
          <cell r="A4245" t="str">
            <v>TANFAC INDUSTRIES LTD</v>
          </cell>
          <cell r="B4245">
            <v>506854</v>
          </cell>
          <cell r="C4245" t="str">
            <v>Not Listed</v>
          </cell>
        </row>
        <row r="4246">
          <cell r="A4246" t="str">
            <v>TANLA SOLUTIONS LTD</v>
          </cell>
          <cell r="B4246">
            <v>532790</v>
          </cell>
          <cell r="C4246" t="str">
            <v>TANLA</v>
          </cell>
        </row>
        <row r="4247">
          <cell r="A4247" t="str">
            <v>TANTIA CONSTRUCTIONS LTD</v>
          </cell>
          <cell r="B4247">
            <v>532738</v>
          </cell>
          <cell r="C4247" t="str">
            <v>TANTIACONS</v>
          </cell>
        </row>
        <row r="4248">
          <cell r="A4248" t="str">
            <v>TANVI FOODS (INDIA) LTD</v>
          </cell>
          <cell r="B4248">
            <v>540332</v>
          </cell>
          <cell r="C4248" t="str">
            <v>Not Listed</v>
          </cell>
        </row>
        <row r="4249">
          <cell r="A4249" t="str">
            <v>TANVI FOODS INDIA LTD</v>
          </cell>
          <cell r="B4249">
            <v>540332</v>
          </cell>
          <cell r="C4249" t="str">
            <v>Not Listed</v>
          </cell>
        </row>
        <row r="4250">
          <cell r="A4250" t="str">
            <v>TAPARIA TOOLS LTD</v>
          </cell>
          <cell r="B4250">
            <v>505685</v>
          </cell>
          <cell r="C4250" t="str">
            <v>Not Listed</v>
          </cell>
        </row>
        <row r="4251">
          <cell r="A4251" t="str">
            <v>TARA CHAND LOGISTIC SOLUTIONS LTD</v>
          </cell>
          <cell r="B4251" t="str">
            <v>Not Listed</v>
          </cell>
          <cell r="C4251" t="str">
            <v>TARACHAND</v>
          </cell>
        </row>
        <row r="4252">
          <cell r="A4252" t="str">
            <v>TARA JEWELS LTD</v>
          </cell>
          <cell r="B4252">
            <v>534756</v>
          </cell>
          <cell r="C4252" t="str">
            <v>TARAJEWELS</v>
          </cell>
        </row>
        <row r="4253">
          <cell r="A4253" t="str">
            <v>TARAI FOODS LTD</v>
          </cell>
          <cell r="B4253">
            <v>519285</v>
          </cell>
          <cell r="C4253" t="str">
            <v>Not Listed</v>
          </cell>
        </row>
        <row r="4254">
          <cell r="A4254" t="str">
            <v>TARAPUR TRANSFORMERS LTD</v>
          </cell>
          <cell r="B4254">
            <v>533203</v>
          </cell>
          <cell r="C4254" t="str">
            <v>TARAPUR</v>
          </cell>
        </row>
        <row r="4255">
          <cell r="A4255" t="str">
            <v>TARINI INTERNATIONAL LTD</v>
          </cell>
          <cell r="B4255">
            <v>538496</v>
          </cell>
          <cell r="C4255" t="str">
            <v>Not Listed</v>
          </cell>
        </row>
        <row r="4256">
          <cell r="A4256" t="str">
            <v>TARMAT LTD</v>
          </cell>
          <cell r="B4256">
            <v>532869</v>
          </cell>
          <cell r="C4256" t="str">
            <v>TARMAT</v>
          </cell>
        </row>
        <row r="4257">
          <cell r="A4257" t="str">
            <v>TASHI (INDIA) LTD</v>
          </cell>
          <cell r="B4257">
            <v>512271</v>
          </cell>
          <cell r="C4257" t="str">
            <v>Not Listed</v>
          </cell>
        </row>
        <row r="4258">
          <cell r="A4258" t="str">
            <v>TASHI INDIA LTD</v>
          </cell>
          <cell r="B4258">
            <v>512271</v>
          </cell>
          <cell r="C4258" t="str">
            <v>Not Listed</v>
          </cell>
        </row>
        <row r="4259">
          <cell r="A4259" t="str">
            <v>TASTY BITE EATABLES LTD</v>
          </cell>
          <cell r="B4259">
            <v>519091</v>
          </cell>
          <cell r="C4259" t="str">
            <v>TASTYBITE</v>
          </cell>
        </row>
        <row r="4260">
          <cell r="A4260" t="str">
            <v>TASTY DAIRY SPECIALITIES LTD</v>
          </cell>
          <cell r="B4260">
            <v>540955</v>
          </cell>
          <cell r="C4260" t="str">
            <v>Not Listed</v>
          </cell>
        </row>
        <row r="4261">
          <cell r="A4261" t="str">
            <v>TATA CHEMICALS LTD</v>
          </cell>
          <cell r="B4261">
            <v>500770</v>
          </cell>
          <cell r="C4261" t="str">
            <v>TATACHEM</v>
          </cell>
        </row>
        <row r="4262">
          <cell r="A4262" t="str">
            <v>TATA COFFEE LTD</v>
          </cell>
          <cell r="B4262">
            <v>532301</v>
          </cell>
          <cell r="C4262" t="str">
            <v>TATACOFFEE</v>
          </cell>
        </row>
        <row r="4263">
          <cell r="A4263" t="str">
            <v>TATA COMMUNICATIONS LTD</v>
          </cell>
          <cell r="B4263">
            <v>500483</v>
          </cell>
          <cell r="C4263" t="str">
            <v>TATACOMM</v>
          </cell>
        </row>
        <row r="4264">
          <cell r="A4264" t="str">
            <v>TATA CONSULTANCY SERVICES LTD</v>
          </cell>
          <cell r="B4264">
            <v>532540</v>
          </cell>
          <cell r="C4264" t="str">
            <v>TCS</v>
          </cell>
        </row>
        <row r="4265">
          <cell r="A4265" t="str">
            <v>TATA ELXSI LTD</v>
          </cell>
          <cell r="B4265">
            <v>500408</v>
          </cell>
          <cell r="C4265" t="str">
            <v>TATAELXSI</v>
          </cell>
        </row>
        <row r="4266">
          <cell r="A4266" t="str">
            <v>TATA GLOBAL BEVERAGES LTD</v>
          </cell>
          <cell r="B4266">
            <v>500800</v>
          </cell>
          <cell r="C4266" t="str">
            <v>TATAGLOBAL</v>
          </cell>
        </row>
        <row r="4267">
          <cell r="A4267" t="str">
            <v>TATA INVESTMENT CORPORATION LTD</v>
          </cell>
          <cell r="B4267">
            <v>501301</v>
          </cell>
          <cell r="C4267" t="str">
            <v>TATAINVEST</v>
          </cell>
        </row>
        <row r="4268">
          <cell r="A4268" t="str">
            <v>TATA METALIKS LTD</v>
          </cell>
          <cell r="B4268">
            <v>513434</v>
          </cell>
          <cell r="C4268" t="str">
            <v>TATAMETALI</v>
          </cell>
        </row>
        <row r="4269">
          <cell r="A4269" t="str">
            <v>TATA MOTORS LTD</v>
          </cell>
          <cell r="B4269">
            <v>500570</v>
          </cell>
          <cell r="C4269" t="str">
            <v>TATAMOTORS</v>
          </cell>
        </row>
        <row r="4270">
          <cell r="A4270" t="str">
            <v>TATA MOTORS LTD</v>
          </cell>
          <cell r="B4270">
            <v>570001</v>
          </cell>
          <cell r="C4270" t="str">
            <v>TATAMTRDVR</v>
          </cell>
        </row>
        <row r="4271">
          <cell r="A4271" t="str">
            <v>TATA POWER COMPANY LTD</v>
          </cell>
          <cell r="B4271">
            <v>500400</v>
          </cell>
          <cell r="C4271" t="str">
            <v>TATAPOWER</v>
          </cell>
        </row>
        <row r="4272">
          <cell r="A4272" t="str">
            <v>TATA SPONGE IRON LTD</v>
          </cell>
          <cell r="B4272">
            <v>513010</v>
          </cell>
          <cell r="C4272" t="str">
            <v>TATASPONGE</v>
          </cell>
        </row>
        <row r="4273">
          <cell r="A4273" t="str">
            <v>Tata Steel Bsl LTD</v>
          </cell>
          <cell r="B4273" t="str">
            <v>Not Listed</v>
          </cell>
          <cell r="C4273" t="str">
            <v>TATASTLBSL</v>
          </cell>
        </row>
        <row r="4274">
          <cell r="A4274" t="str">
            <v>TATA STEEL LTD</v>
          </cell>
          <cell r="B4274">
            <v>500470</v>
          </cell>
          <cell r="C4274" t="str">
            <v>TATASTEEL</v>
          </cell>
        </row>
        <row r="4275">
          <cell r="A4275" t="str">
            <v>TATA TELESERVICES MAHARASHTRA LTD</v>
          </cell>
          <cell r="B4275">
            <v>532371</v>
          </cell>
          <cell r="C4275" t="str">
            <v>TTML</v>
          </cell>
        </row>
        <row r="4276">
          <cell r="A4276" t="str">
            <v>TATIA GLOBAL VENNTURE LTD</v>
          </cell>
          <cell r="B4276">
            <v>521228</v>
          </cell>
          <cell r="C4276" t="str">
            <v>Not Listed</v>
          </cell>
        </row>
        <row r="4277">
          <cell r="A4277" t="str">
            <v>TAVERNIER RESOURCES LTD</v>
          </cell>
          <cell r="B4277">
            <v>531190</v>
          </cell>
          <cell r="C4277" t="str">
            <v>Not Listed</v>
          </cell>
        </row>
        <row r="4278">
          <cell r="A4278" t="str">
            <v>TAYLORMADE RENEWABLES LTD</v>
          </cell>
          <cell r="B4278">
            <v>541228</v>
          </cell>
          <cell r="C4278" t="str">
            <v>Not Listed</v>
          </cell>
        </row>
        <row r="4279">
          <cell r="A4279" t="str">
            <v>TAYO ROLLS LTD</v>
          </cell>
          <cell r="B4279">
            <v>504961</v>
          </cell>
          <cell r="C4279" t="str">
            <v>Not Listed</v>
          </cell>
        </row>
        <row r="4280">
          <cell r="A4280" t="str">
            <v>TCFC FINANCE LTD</v>
          </cell>
          <cell r="B4280">
            <v>532284</v>
          </cell>
          <cell r="C4280" t="str">
            <v>Not Listed</v>
          </cell>
        </row>
        <row r="4281">
          <cell r="A4281" t="str">
            <v>TCI DEVELOPERS LTD</v>
          </cell>
          <cell r="B4281">
            <v>533393</v>
          </cell>
          <cell r="C4281" t="str">
            <v>TCIDEVELOP</v>
          </cell>
        </row>
        <row r="4282">
          <cell r="A4282" t="str">
            <v>TCI EXPRESS LTD</v>
          </cell>
          <cell r="B4282">
            <v>540212</v>
          </cell>
          <cell r="C4282" t="str">
            <v>TCIEXP</v>
          </cell>
        </row>
        <row r="4283">
          <cell r="A4283" t="str">
            <v>TCI FINANCE LTD</v>
          </cell>
          <cell r="B4283">
            <v>501242</v>
          </cell>
          <cell r="C4283" t="str">
            <v>TCIFINANCE</v>
          </cell>
        </row>
        <row r="4284">
          <cell r="A4284" t="str">
            <v>TCI INDUSTRIES LTD</v>
          </cell>
          <cell r="B4284">
            <v>532262</v>
          </cell>
          <cell r="C4284" t="str">
            <v>Not Listed</v>
          </cell>
        </row>
        <row r="4285">
          <cell r="A4285" t="str">
            <v>TCM LTD</v>
          </cell>
          <cell r="B4285">
            <v>524156</v>
          </cell>
          <cell r="C4285" t="str">
            <v>Not Listed</v>
          </cell>
        </row>
        <row r="4286">
          <cell r="A4286" t="str">
            <v>TCNS CLOTHING CO LTD</v>
          </cell>
          <cell r="B4286">
            <v>541700</v>
          </cell>
          <cell r="C4286" t="str">
            <v>TCNSBRANDS</v>
          </cell>
        </row>
        <row r="4287">
          <cell r="A4287" t="str">
            <v>TCPL PACKAGING LTD</v>
          </cell>
          <cell r="B4287">
            <v>523301</v>
          </cell>
          <cell r="C4287" t="str">
            <v>TCPLPACK</v>
          </cell>
        </row>
        <row r="4288">
          <cell r="A4288" t="str">
            <v>TD POWER SYSTEMS LTD</v>
          </cell>
          <cell r="B4288" t="str">
            <v>Not Listed</v>
          </cell>
          <cell r="C4288" t="str">
            <v>TDPOWERSYS</v>
          </cell>
        </row>
        <row r="4289">
          <cell r="A4289" t="str">
            <v>TEA TIME LTD</v>
          </cell>
          <cell r="B4289">
            <v>512011</v>
          </cell>
          <cell r="C4289" t="str">
            <v>Not Listed</v>
          </cell>
        </row>
        <row r="4290">
          <cell r="A4290" t="str">
            <v>TEAMLEASE SERVICES LTD</v>
          </cell>
          <cell r="B4290">
            <v>539658</v>
          </cell>
          <cell r="C4290" t="str">
            <v>TEAMLEASE</v>
          </cell>
        </row>
        <row r="4291">
          <cell r="A4291" t="str">
            <v>TECH MAHINDRA LTD</v>
          </cell>
          <cell r="B4291">
            <v>532755</v>
          </cell>
          <cell r="C4291" t="str">
            <v>TECHM</v>
          </cell>
        </row>
        <row r="4292">
          <cell r="A4292" t="str">
            <v>TECHINDIA NIRMAN LTD</v>
          </cell>
          <cell r="B4292">
            <v>526576</v>
          </cell>
          <cell r="C4292" t="str">
            <v>TECHIN</v>
          </cell>
        </row>
        <row r="4293">
          <cell r="A4293" t="str">
            <v>TECHNO ELECTRIC &amp; ENGINEERING COMPANY LTD</v>
          </cell>
          <cell r="B4293">
            <v>542141</v>
          </cell>
          <cell r="C4293" t="str">
            <v>TECHNOE</v>
          </cell>
        </row>
        <row r="4294">
          <cell r="A4294" t="str">
            <v>TECHNOCRAFT INDUSTRIES (INDIA) LTD</v>
          </cell>
          <cell r="B4294">
            <v>532804</v>
          </cell>
          <cell r="C4294" t="str">
            <v>TIIL</v>
          </cell>
        </row>
        <row r="4295">
          <cell r="A4295" t="str">
            <v>TECHNOCRAFT INDUSTRIES INDIA LTD</v>
          </cell>
          <cell r="B4295">
            <v>532804</v>
          </cell>
          <cell r="C4295" t="str">
            <v>TIIL</v>
          </cell>
        </row>
        <row r="4296">
          <cell r="A4296" t="str">
            <v>TECHNOFAB ENGINEERING LTD</v>
          </cell>
          <cell r="B4296">
            <v>533216</v>
          </cell>
          <cell r="C4296" t="str">
            <v>TECHNOFAB</v>
          </cell>
        </row>
        <row r="4297">
          <cell r="A4297" t="str">
            <v>TECHNOJET CONSULTANTS LTD</v>
          </cell>
          <cell r="B4297">
            <v>509917</v>
          </cell>
          <cell r="C4297" t="str">
            <v>Not Listed</v>
          </cell>
        </row>
        <row r="4298">
          <cell r="A4298" t="str">
            <v>TECHNVISION VENTURES LTD</v>
          </cell>
          <cell r="B4298">
            <v>501421</v>
          </cell>
          <cell r="C4298" t="str">
            <v>Not Listed</v>
          </cell>
        </row>
        <row r="4299">
          <cell r="A4299" t="str">
            <v>TEESTA AGRO INDUSTRIES LTD</v>
          </cell>
          <cell r="B4299">
            <v>524204</v>
          </cell>
          <cell r="C4299" t="str">
            <v>Not Listed</v>
          </cell>
        </row>
        <row r="4300">
          <cell r="A4300" t="str">
            <v>TEJAS NETWORKS LTD</v>
          </cell>
          <cell r="B4300">
            <v>540595</v>
          </cell>
          <cell r="C4300" t="str">
            <v>TEJASNET</v>
          </cell>
        </row>
        <row r="4301">
          <cell r="A4301" t="str">
            <v>TEJNAKSH HEALTHCARE LTD</v>
          </cell>
          <cell r="B4301">
            <v>539428</v>
          </cell>
          <cell r="C4301" t="str">
            <v>Not Listed</v>
          </cell>
        </row>
        <row r="4302">
          <cell r="A4302" t="str">
            <v>TELECANOR GLOBAL LTD</v>
          </cell>
          <cell r="B4302">
            <v>530595</v>
          </cell>
          <cell r="C4302" t="str">
            <v>Not Listed</v>
          </cell>
        </row>
        <row r="4303">
          <cell r="A4303" t="str">
            <v>TERA SOFTWARE LTD</v>
          </cell>
          <cell r="B4303">
            <v>533982</v>
          </cell>
          <cell r="C4303" t="str">
            <v>TERASOFT</v>
          </cell>
        </row>
        <row r="4304">
          <cell r="A4304" t="str">
            <v>TERAI TEA CO LTD</v>
          </cell>
          <cell r="B4304">
            <v>530533</v>
          </cell>
          <cell r="C4304" t="str">
            <v>Not Listed</v>
          </cell>
        </row>
        <row r="4305">
          <cell r="A4305" t="str">
            <v>TERRAFORM MAGNUM LTD</v>
          </cell>
          <cell r="B4305">
            <v>506162</v>
          </cell>
          <cell r="C4305" t="str">
            <v>Not Listed</v>
          </cell>
        </row>
        <row r="4306">
          <cell r="A4306" t="str">
            <v>TERRAFORM REALSTATE LTD</v>
          </cell>
          <cell r="B4306">
            <v>512157</v>
          </cell>
          <cell r="C4306" t="str">
            <v>Not Listed</v>
          </cell>
        </row>
        <row r="4307">
          <cell r="A4307" t="str">
            <v>TEXMACO INFRASTRUCTURE &amp; HOLDINGS LTD</v>
          </cell>
          <cell r="B4307">
            <v>505400</v>
          </cell>
          <cell r="C4307" t="str">
            <v>TEXINFRA</v>
          </cell>
        </row>
        <row r="4308">
          <cell r="A4308" t="str">
            <v>TEXMACO RAIL &amp; ENGINEERING LTD</v>
          </cell>
          <cell r="B4308">
            <v>533326</v>
          </cell>
          <cell r="C4308" t="str">
            <v>TEXRAIL</v>
          </cell>
        </row>
        <row r="4309">
          <cell r="A4309" t="str">
            <v>TEXMO PIPES AND PRODUCTS LTD</v>
          </cell>
          <cell r="B4309">
            <v>533164</v>
          </cell>
          <cell r="C4309" t="str">
            <v>TEXMOPIPES</v>
          </cell>
        </row>
        <row r="4310">
          <cell r="A4310" t="str">
            <v>TGB BANQUETS AND HOTELS LTD</v>
          </cell>
          <cell r="B4310">
            <v>532845</v>
          </cell>
          <cell r="C4310" t="str">
            <v>TGBHOTELS</v>
          </cell>
        </row>
        <row r="4311">
          <cell r="A4311" t="str">
            <v>TGV SRAAC LTD</v>
          </cell>
          <cell r="B4311">
            <v>507753</v>
          </cell>
          <cell r="C4311" t="str">
            <v>Not Listed</v>
          </cell>
        </row>
        <row r="4312">
          <cell r="A4312" t="str">
            <v>THACKER &amp; CO LTD</v>
          </cell>
          <cell r="B4312">
            <v>509945</v>
          </cell>
          <cell r="C4312" t="str">
            <v>Not Listed</v>
          </cell>
        </row>
        <row r="4313">
          <cell r="A4313" t="str">
            <v>THAKKERS DEVELOPERS LTD</v>
          </cell>
          <cell r="B4313">
            <v>526654</v>
          </cell>
          <cell r="C4313" t="str">
            <v>Not Listed</v>
          </cell>
        </row>
        <row r="4314">
          <cell r="A4314" t="str">
            <v>THAKRAL SERVICES (INDIA) LTD</v>
          </cell>
          <cell r="B4314">
            <v>509015</v>
          </cell>
          <cell r="C4314" t="str">
            <v>Not Listed</v>
          </cell>
        </row>
        <row r="4315">
          <cell r="A4315" t="str">
            <v>THAKRAL SERVICES INDIA LTD</v>
          </cell>
          <cell r="B4315">
            <v>509015</v>
          </cell>
          <cell r="C4315" t="str">
            <v>Not Listed</v>
          </cell>
        </row>
        <row r="4316">
          <cell r="A4316" t="str">
            <v>THAMBBI MODERN SPINNING MILLS LTD</v>
          </cell>
          <cell r="B4316">
            <v>514484</v>
          </cell>
          <cell r="C4316" t="str">
            <v>Not Listed</v>
          </cell>
        </row>
        <row r="4317">
          <cell r="A4317" t="str">
            <v>THANGAMAYIL JEWELLERY LTD</v>
          </cell>
          <cell r="B4317">
            <v>533158</v>
          </cell>
          <cell r="C4317" t="str">
            <v>THANGAMAYL</v>
          </cell>
        </row>
        <row r="4318">
          <cell r="A4318" t="str">
            <v>THE ANDHRA SUGARS LTD</v>
          </cell>
          <cell r="B4318">
            <v>590062</v>
          </cell>
          <cell r="C4318" t="str">
            <v>ANDHRSUGAR</v>
          </cell>
        </row>
        <row r="4319">
          <cell r="A4319" t="str">
            <v>The Anup Engineering Ltd</v>
          </cell>
          <cell r="B4319">
            <v>542460</v>
          </cell>
          <cell r="C4319" t="str">
            <v>ANUP</v>
          </cell>
        </row>
        <row r="4320">
          <cell r="A4320" t="str">
            <v>THE BYKE HOSPITALITY LTD</v>
          </cell>
          <cell r="B4320">
            <v>531373</v>
          </cell>
          <cell r="C4320" t="str">
            <v>BYKE</v>
          </cell>
        </row>
        <row r="4321">
          <cell r="A4321" t="str">
            <v>THE FEDERAL BANK LTD</v>
          </cell>
          <cell r="B4321">
            <v>500469</v>
          </cell>
          <cell r="C4321" t="str">
            <v>FEDERALBNK</v>
          </cell>
        </row>
        <row r="4322">
          <cell r="A4322" t="str">
            <v>THE GREAT EASTERN SHIPPING COMPANY LTD</v>
          </cell>
          <cell r="B4322">
            <v>500620</v>
          </cell>
          <cell r="C4322" t="str">
            <v>GESHIP</v>
          </cell>
        </row>
        <row r="4323">
          <cell r="A4323" t="str">
            <v>THE GROB TEA COMPANY LTD</v>
          </cell>
          <cell r="B4323" t="str">
            <v>Not Listed</v>
          </cell>
          <cell r="C4323" t="str">
            <v>GROBTEA</v>
          </cell>
        </row>
        <row r="4324">
          <cell r="A4324" t="str">
            <v>THE HI-TECH GEARS LTD</v>
          </cell>
          <cell r="B4324">
            <v>522073</v>
          </cell>
          <cell r="C4324" t="str">
            <v>HITECHGEAR</v>
          </cell>
        </row>
        <row r="4325">
          <cell r="A4325" t="str">
            <v>THE INDIA CEMENTS LTD</v>
          </cell>
          <cell r="B4325">
            <v>530005</v>
          </cell>
          <cell r="C4325" t="str">
            <v>INDIACEM</v>
          </cell>
        </row>
        <row r="4326">
          <cell r="A4326" t="str">
            <v>THE INDIAN HOTELS COMPANY LTD</v>
          </cell>
          <cell r="B4326">
            <v>500850</v>
          </cell>
          <cell r="C4326" t="str">
            <v>INDHOTEL</v>
          </cell>
        </row>
        <row r="4327">
          <cell r="A4327" t="str">
            <v>THE INDIAN WOOD PRODUCTS COMPANY LTD</v>
          </cell>
          <cell r="B4327">
            <v>540954</v>
          </cell>
          <cell r="C4327" t="str">
            <v>Not Listed</v>
          </cell>
        </row>
        <row r="4328">
          <cell r="A4328" t="str">
            <v>THE INVESTMENT TRUST OF (INDIA) LTD</v>
          </cell>
          <cell r="B4328">
            <v>530023</v>
          </cell>
          <cell r="C4328" t="str">
            <v>THEINVEST</v>
          </cell>
        </row>
        <row r="4329">
          <cell r="A4329" t="str">
            <v>THE INVESTMENT TRUST OF INDIA LTD</v>
          </cell>
          <cell r="B4329">
            <v>530023</v>
          </cell>
          <cell r="C4329" t="str">
            <v>THEINVEST</v>
          </cell>
        </row>
        <row r="4330">
          <cell r="A4330" t="str">
            <v>THE JAMMU &amp; KASHMIR BANK LTD</v>
          </cell>
          <cell r="B4330">
            <v>532209</v>
          </cell>
          <cell r="C4330" t="str">
            <v>J&amp;KBANK</v>
          </cell>
        </row>
        <row r="4331">
          <cell r="A4331" t="str">
            <v>THE KARNATAKA BANK LTD</v>
          </cell>
          <cell r="B4331">
            <v>532652</v>
          </cell>
          <cell r="C4331" t="str">
            <v>KTKBANK</v>
          </cell>
        </row>
        <row r="4332">
          <cell r="A4332" t="str">
            <v>THE MANDHANA RETAIL VENTURES LTD</v>
          </cell>
          <cell r="B4332">
            <v>540210</v>
          </cell>
          <cell r="C4332" t="str">
            <v>TMRVL</v>
          </cell>
        </row>
        <row r="4333">
          <cell r="A4333" t="str">
            <v>THE MOTOR &amp; GENERAL FINANCE LTD</v>
          </cell>
          <cell r="B4333">
            <v>501343</v>
          </cell>
          <cell r="C4333" t="str">
            <v>MOTOGENFIN</v>
          </cell>
        </row>
        <row r="4334">
          <cell r="A4334" t="str">
            <v>THE NEW INDIA ASSURANCE COMPANY LTD</v>
          </cell>
          <cell r="B4334">
            <v>540769</v>
          </cell>
          <cell r="C4334" t="str">
            <v>NIACL</v>
          </cell>
        </row>
        <row r="4335">
          <cell r="A4335" t="str">
            <v>THE ORISSA MINERALS DEVELOPMENT COMPANY LTD</v>
          </cell>
          <cell r="B4335">
            <v>590086</v>
          </cell>
          <cell r="C4335" t="str">
            <v>ORISSAMINE</v>
          </cell>
        </row>
        <row r="4336">
          <cell r="A4336" t="str">
            <v>THE PERIA KARAMALAI TEA &amp; PRODUCE COMPANY LTD</v>
          </cell>
          <cell r="B4336" t="str">
            <v>Not Listed</v>
          </cell>
          <cell r="C4336" t="str">
            <v>PKTEA</v>
          </cell>
        </row>
        <row r="4337">
          <cell r="A4337" t="str">
            <v>THE PHOENIX MILLS LTD</v>
          </cell>
          <cell r="B4337">
            <v>503100</v>
          </cell>
          <cell r="C4337" t="str">
            <v>PHOENIXLTD</v>
          </cell>
        </row>
        <row r="4338">
          <cell r="A4338" t="str">
            <v>THE PHOSPHATE COMPANY LTD</v>
          </cell>
          <cell r="B4338">
            <v>542123</v>
          </cell>
          <cell r="C4338" t="str">
            <v>Not Listed</v>
          </cell>
        </row>
        <row r="4339">
          <cell r="A4339" t="str">
            <v>THE RAMCO CEMENTS LTD</v>
          </cell>
          <cell r="B4339">
            <v>500260</v>
          </cell>
          <cell r="C4339" t="str">
            <v>RAMCOCEM</v>
          </cell>
        </row>
        <row r="4340">
          <cell r="A4340" t="str">
            <v>THE RUBY MILLS LTD</v>
          </cell>
          <cell r="B4340">
            <v>503169</v>
          </cell>
          <cell r="C4340" t="str">
            <v>RUBYMILLS</v>
          </cell>
        </row>
        <row r="4341">
          <cell r="A4341" t="str">
            <v>THE SANDESH LTD</v>
          </cell>
          <cell r="B4341">
            <v>526725</v>
          </cell>
          <cell r="C4341" t="str">
            <v>SANDESH</v>
          </cell>
        </row>
        <row r="4342">
          <cell r="A4342" t="str">
            <v>THE SOUTH INDIAN BANK LTD</v>
          </cell>
          <cell r="B4342">
            <v>532218</v>
          </cell>
          <cell r="C4342" t="str">
            <v>SOUTHBANK</v>
          </cell>
        </row>
        <row r="4343">
          <cell r="A4343" t="str">
            <v>THE STATE TRADING CORPORATION OF (INDIA) LTD</v>
          </cell>
          <cell r="B4343">
            <v>512531</v>
          </cell>
          <cell r="C4343" t="str">
            <v>STC(INDIA)</v>
          </cell>
        </row>
        <row r="4344">
          <cell r="A4344" t="str">
            <v>THE STATE TRADING CORPORATION OF INDIA LTD</v>
          </cell>
          <cell r="B4344">
            <v>512531</v>
          </cell>
          <cell r="C4344" t="str">
            <v>STCINDIA</v>
          </cell>
        </row>
        <row r="4345">
          <cell r="A4345" t="str">
            <v>THE TINPLATE COMPANY OF (INDIA) LTD</v>
          </cell>
          <cell r="B4345">
            <v>504966</v>
          </cell>
          <cell r="C4345" t="str">
            <v>TINPLATE</v>
          </cell>
        </row>
        <row r="4346">
          <cell r="A4346" t="str">
            <v>THE TINPLATE COMPANY OF INDIA LTD</v>
          </cell>
          <cell r="B4346">
            <v>504966</v>
          </cell>
          <cell r="C4346" t="str">
            <v>TINPLATE</v>
          </cell>
        </row>
        <row r="4347">
          <cell r="A4347" t="str">
            <v>THE UGAR SUGAR WORKS LTD</v>
          </cell>
          <cell r="B4347">
            <v>530363</v>
          </cell>
          <cell r="C4347" t="str">
            <v>UGARSUGAR</v>
          </cell>
        </row>
        <row r="4348">
          <cell r="A4348" t="str">
            <v>THE UNITED NILGIRI TEA ESTATES COMPANY LTD</v>
          </cell>
          <cell r="B4348" t="str">
            <v>Not Listed</v>
          </cell>
          <cell r="C4348" t="str">
            <v>UNITEDTEA</v>
          </cell>
        </row>
        <row r="4349">
          <cell r="A4349" t="str">
            <v>THE WESTERN INDIA PLYWOODS LTD</v>
          </cell>
          <cell r="B4349" t="str">
            <v>Not Listed</v>
          </cell>
          <cell r="C4349" t="str">
            <v>WIPL</v>
          </cell>
        </row>
        <row r="4350">
          <cell r="A4350" t="str">
            <v>THE YAMUNA SYNDICATE LTD</v>
          </cell>
          <cell r="B4350">
            <v>540980</v>
          </cell>
          <cell r="C4350" t="str">
            <v>Not Listed</v>
          </cell>
        </row>
        <row r="4351">
          <cell r="A4351" t="str">
            <v>THEJO ENGINEERING LTD</v>
          </cell>
          <cell r="B4351" t="str">
            <v>Not Listed</v>
          </cell>
          <cell r="C4351" t="str">
            <v>THEJO</v>
          </cell>
        </row>
        <row r="4352">
          <cell r="A4352" t="str">
            <v>THEMIS MEDICARE LTD</v>
          </cell>
          <cell r="B4352">
            <v>530199</v>
          </cell>
          <cell r="C4352" t="str">
            <v>THEMISMED</v>
          </cell>
        </row>
        <row r="4353">
          <cell r="A4353" t="str">
            <v>THERMAX LTD</v>
          </cell>
          <cell r="B4353">
            <v>500411</v>
          </cell>
          <cell r="C4353" t="str">
            <v>THERMAX</v>
          </cell>
        </row>
        <row r="4354">
          <cell r="A4354" t="str">
            <v>THINK INK STUDIO LTD</v>
          </cell>
          <cell r="B4354">
            <v>539310</v>
          </cell>
          <cell r="C4354" t="str">
            <v>Not Listed</v>
          </cell>
        </row>
        <row r="4355">
          <cell r="A4355" t="str">
            <v>THIRANI PROJECTS LTD</v>
          </cell>
          <cell r="B4355">
            <v>538464</v>
          </cell>
          <cell r="C4355" t="str">
            <v>Not Listed</v>
          </cell>
        </row>
        <row r="4356">
          <cell r="A4356" t="str">
            <v>THIRDWAVE FINANCIAL INTERMEDIARIES LTD</v>
          </cell>
          <cell r="B4356">
            <v>531652</v>
          </cell>
          <cell r="C4356" t="str">
            <v>Not Listed</v>
          </cell>
        </row>
        <row r="4357">
          <cell r="A4357" t="str">
            <v>THIRU AROORAN SUGARS LTD</v>
          </cell>
          <cell r="B4357">
            <v>507450</v>
          </cell>
          <cell r="C4357" t="str">
            <v>THIRUSUGAR</v>
          </cell>
        </row>
        <row r="4358">
          <cell r="A4358" t="str">
            <v>THIRUMALAI CHEMICALS LTD</v>
          </cell>
          <cell r="B4358">
            <v>500412</v>
          </cell>
          <cell r="C4358" t="str">
            <v>TIRUMALCHM</v>
          </cell>
        </row>
        <row r="4359">
          <cell r="A4359" t="str">
            <v>THOMAS COOK (INDIA) LTD</v>
          </cell>
          <cell r="B4359">
            <v>500413</v>
          </cell>
          <cell r="C4359" t="str">
            <v>THOMASCOOK</v>
          </cell>
        </row>
        <row r="4360">
          <cell r="A4360" t="str">
            <v>THOMAS COOK INDIA LTD</v>
          </cell>
          <cell r="B4360">
            <v>500413</v>
          </cell>
          <cell r="C4360" t="str">
            <v>THOMASCOOK</v>
          </cell>
        </row>
        <row r="4361">
          <cell r="A4361" t="str">
            <v>THOMAS SCOTT (INDIA) LTD</v>
          </cell>
          <cell r="B4361">
            <v>533941</v>
          </cell>
          <cell r="C4361" t="str">
            <v>THOMASCOTT</v>
          </cell>
        </row>
        <row r="4362">
          <cell r="A4362" t="str">
            <v>THOMAS SCOTT INDIA LTD</v>
          </cell>
          <cell r="B4362">
            <v>533941</v>
          </cell>
          <cell r="C4362" t="str">
            <v>THOMASCOTT</v>
          </cell>
        </row>
        <row r="4363">
          <cell r="A4363" t="str">
            <v>THYROCARE TECHNOLOGIES LTD</v>
          </cell>
          <cell r="B4363">
            <v>539871</v>
          </cell>
          <cell r="C4363" t="str">
            <v>THYROCARE</v>
          </cell>
        </row>
        <row r="4364">
          <cell r="A4364" t="str">
            <v>TI FINANCIAL HOLDINGS LTD</v>
          </cell>
          <cell r="B4364">
            <v>504973</v>
          </cell>
          <cell r="C4364" t="str">
            <v>TIFIN</v>
          </cell>
        </row>
        <row r="4365">
          <cell r="A4365" t="str">
            <v>TIAAN AYURVEDIC &amp; HERBS LTD</v>
          </cell>
          <cell r="B4365">
            <v>540108</v>
          </cell>
          <cell r="C4365" t="str">
            <v>Not Listed</v>
          </cell>
        </row>
        <row r="4366">
          <cell r="A4366" t="str">
            <v>TIDE WATER OIL COMPANY (INDIA) LTD</v>
          </cell>
          <cell r="B4366">
            <v>590005</v>
          </cell>
          <cell r="C4366" t="str">
            <v>TIDEWATER</v>
          </cell>
        </row>
        <row r="4367">
          <cell r="A4367" t="str">
            <v>TIDE WATER OIL COMPANY INDIA LTD</v>
          </cell>
          <cell r="B4367">
            <v>590005</v>
          </cell>
          <cell r="C4367" t="str">
            <v>TIDEWATER</v>
          </cell>
        </row>
        <row r="4368">
          <cell r="A4368" t="str">
            <v>TIGER LOGISTICS (INDIA) LTD</v>
          </cell>
          <cell r="B4368">
            <v>536264</v>
          </cell>
          <cell r="C4368" t="str">
            <v>Not Listed</v>
          </cell>
        </row>
        <row r="4369">
          <cell r="A4369" t="str">
            <v>TIGER LOGISTICS INDIA LTD</v>
          </cell>
          <cell r="B4369">
            <v>536264</v>
          </cell>
          <cell r="C4369" t="str">
            <v>Not Listed</v>
          </cell>
        </row>
        <row r="4370">
          <cell r="A4370" t="str">
            <v>TIJARIA POLYPIPES LTD</v>
          </cell>
          <cell r="B4370">
            <v>533629</v>
          </cell>
          <cell r="C4370" t="str">
            <v>TIJARIA</v>
          </cell>
        </row>
        <row r="4371">
          <cell r="A4371" t="str">
            <v>TIL LTD</v>
          </cell>
          <cell r="B4371">
            <v>505196</v>
          </cell>
          <cell r="C4371" t="str">
            <v>TIL</v>
          </cell>
        </row>
        <row r="4372">
          <cell r="A4372" t="str">
            <v>Tilak Ventures Ltd</v>
          </cell>
          <cell r="B4372">
            <v>503663</v>
          </cell>
          <cell r="C4372" t="str">
            <v>TILAK</v>
          </cell>
        </row>
        <row r="4373">
          <cell r="A4373" t="str">
            <v>TILAKNAGAR INDUSTRIES LTD</v>
          </cell>
          <cell r="B4373">
            <v>507205</v>
          </cell>
          <cell r="C4373" t="str">
            <v>TI</v>
          </cell>
        </row>
        <row r="4374">
          <cell r="A4374" t="str">
            <v>TIME TECHNOPLAST LTD</v>
          </cell>
          <cell r="B4374">
            <v>532856</v>
          </cell>
          <cell r="C4374" t="str">
            <v>TIMETECHNO</v>
          </cell>
        </row>
        <row r="4375">
          <cell r="A4375" t="str">
            <v>TIMES GUARANTY LTD</v>
          </cell>
          <cell r="B4375">
            <v>511559</v>
          </cell>
          <cell r="C4375" t="str">
            <v>TIMESGTY</v>
          </cell>
        </row>
        <row r="4376">
          <cell r="A4376" t="str">
            <v>TIMEX GROUP (INDIA) LTD</v>
          </cell>
          <cell r="B4376">
            <v>500414</v>
          </cell>
          <cell r="C4376" t="str">
            <v>Not Listed</v>
          </cell>
        </row>
        <row r="4377">
          <cell r="A4377" t="str">
            <v>TIMEX GROUP INDIA LTD</v>
          </cell>
          <cell r="B4377">
            <v>500414</v>
          </cell>
          <cell r="C4377" t="str">
            <v>Not Listed</v>
          </cell>
        </row>
        <row r="4378">
          <cell r="A4378" t="str">
            <v>TIMKEN (INDIA) LTD</v>
          </cell>
          <cell r="B4378">
            <v>522113</v>
          </cell>
          <cell r="C4378" t="str">
            <v>TIMKEN</v>
          </cell>
        </row>
        <row r="4379">
          <cell r="A4379" t="str">
            <v>TIMKEN INDIA LTD</v>
          </cell>
          <cell r="B4379">
            <v>522113</v>
          </cell>
          <cell r="C4379" t="str">
            <v>TIMKEN</v>
          </cell>
        </row>
        <row r="4380">
          <cell r="A4380" t="str">
            <v>TINNA RUBBER AND INFRASTRUCTURE LTD</v>
          </cell>
          <cell r="B4380">
            <v>530475</v>
          </cell>
          <cell r="C4380" t="str">
            <v>Not Listed</v>
          </cell>
        </row>
        <row r="4381">
          <cell r="A4381" t="str">
            <v>TINNA TRADE LTD</v>
          </cell>
          <cell r="B4381">
            <v>541741</v>
          </cell>
          <cell r="C4381" t="str">
            <v>Not Listed</v>
          </cell>
        </row>
        <row r="4382">
          <cell r="A4382" t="str">
            <v>TIPS INDUSTRIES LTD</v>
          </cell>
          <cell r="B4382">
            <v>532375</v>
          </cell>
          <cell r="C4382" t="str">
            <v>TIPSINDLTD</v>
          </cell>
        </row>
        <row r="4383">
          <cell r="A4383" t="str">
            <v>TIRUPATI FINLEASE LTD</v>
          </cell>
          <cell r="B4383">
            <v>539488</v>
          </cell>
          <cell r="C4383" t="str">
            <v>Not Listed</v>
          </cell>
        </row>
        <row r="4384">
          <cell r="A4384" t="str">
            <v>TIRUPATI FOAM LTD</v>
          </cell>
          <cell r="B4384">
            <v>540904</v>
          </cell>
          <cell r="C4384" t="str">
            <v>Not Listed</v>
          </cell>
        </row>
        <row r="4385">
          <cell r="A4385" t="str">
            <v>TIRUPATI FORGE LTD</v>
          </cell>
          <cell r="B4385" t="str">
            <v>Not Listed</v>
          </cell>
          <cell r="C4385" t="str">
            <v>TIRUPATIFL</v>
          </cell>
        </row>
        <row r="4386">
          <cell r="A4386" t="str">
            <v>TIRUPATI INDUSTRIES (INDIA) LTD</v>
          </cell>
          <cell r="B4386">
            <v>531547</v>
          </cell>
          <cell r="C4386" t="str">
            <v>Not Listed</v>
          </cell>
        </row>
        <row r="4387">
          <cell r="A4387" t="str">
            <v>TIRUPATI INDUSTRIES INDIA LTD</v>
          </cell>
          <cell r="B4387">
            <v>531547</v>
          </cell>
          <cell r="C4387" t="str">
            <v>Not Listed</v>
          </cell>
        </row>
        <row r="4388">
          <cell r="A4388" t="str">
            <v>TIRUPATI SARJAN LTD</v>
          </cell>
          <cell r="B4388">
            <v>531814</v>
          </cell>
          <cell r="C4388" t="str">
            <v>Not Listed</v>
          </cell>
        </row>
        <row r="4389">
          <cell r="A4389" t="str">
            <v>TIRUPATI STARCH &amp; CHEMICALS LTD</v>
          </cell>
          <cell r="B4389">
            <v>524582</v>
          </cell>
          <cell r="C4389" t="str">
            <v>Not Listed</v>
          </cell>
        </row>
        <row r="4390">
          <cell r="A4390" t="str">
            <v>TIRUPATI TYRES LTD</v>
          </cell>
          <cell r="B4390">
            <v>539040</v>
          </cell>
          <cell r="C4390" t="str">
            <v>Not Listed</v>
          </cell>
        </row>
        <row r="4391">
          <cell r="A4391" t="str">
            <v>TITAANIUM TEN ENTERPRISE LTD</v>
          </cell>
          <cell r="B4391">
            <v>539985</v>
          </cell>
          <cell r="C4391" t="str">
            <v>Not Listed</v>
          </cell>
        </row>
        <row r="4392">
          <cell r="A4392" t="str">
            <v>TITAGARH WAGONS LTD</v>
          </cell>
          <cell r="B4392">
            <v>532966</v>
          </cell>
          <cell r="C4392" t="str">
            <v>TWL</v>
          </cell>
        </row>
        <row r="4393">
          <cell r="A4393" t="str">
            <v>TITAN BIOTECH LTD</v>
          </cell>
          <cell r="B4393">
            <v>524717</v>
          </cell>
          <cell r="C4393" t="str">
            <v>Not Listed</v>
          </cell>
        </row>
        <row r="4394">
          <cell r="A4394" t="str">
            <v>TITAN COMPANY LTD</v>
          </cell>
          <cell r="B4394">
            <v>500114</v>
          </cell>
          <cell r="C4394" t="str">
            <v>TITAN</v>
          </cell>
        </row>
        <row r="4395">
          <cell r="A4395" t="str">
            <v>TITAN SECURITIES LTD</v>
          </cell>
          <cell r="B4395">
            <v>530045</v>
          </cell>
          <cell r="C4395" t="str">
            <v>Not Listed</v>
          </cell>
        </row>
        <row r="4396">
          <cell r="A4396" t="str">
            <v>TIVOLI CONSTRUCTION LTD</v>
          </cell>
          <cell r="B4396">
            <v>511096</v>
          </cell>
          <cell r="C4396" t="str">
            <v>Not Listed</v>
          </cell>
        </row>
        <row r="4397">
          <cell r="A4397" t="str">
            <v>TODAYS WRITING INSTRUMENTS LTD</v>
          </cell>
          <cell r="B4397">
            <v>531830</v>
          </cell>
          <cell r="C4397" t="str">
            <v>TODAYS</v>
          </cell>
        </row>
        <row r="4398">
          <cell r="A4398" t="str">
            <v>TOKYO FINANCE LTD</v>
          </cell>
          <cell r="B4398">
            <v>531644</v>
          </cell>
          <cell r="C4398" t="str">
            <v>Not Listed</v>
          </cell>
        </row>
        <row r="4399">
          <cell r="A4399" t="str">
            <v>TOKYO PLAST INTERNATIONAL LTD</v>
          </cell>
          <cell r="B4399">
            <v>500418</v>
          </cell>
          <cell r="C4399" t="str">
            <v>TOKYOPLAST</v>
          </cell>
        </row>
        <row r="4400">
          <cell r="A4400" t="str">
            <v>TORRENT PHARMACEUTICALS LTD</v>
          </cell>
          <cell r="B4400">
            <v>500420</v>
          </cell>
          <cell r="C4400" t="str">
            <v>TORNTPHARM</v>
          </cell>
        </row>
        <row r="4401">
          <cell r="A4401" t="str">
            <v>TORRENT POWER LTD</v>
          </cell>
          <cell r="B4401">
            <v>532779</v>
          </cell>
          <cell r="C4401" t="str">
            <v>TORNTPOWER</v>
          </cell>
        </row>
        <row r="4402">
          <cell r="A4402" t="str">
            <v>TOTAL EXPORTS LTD</v>
          </cell>
          <cell r="B4402">
            <v>523878</v>
          </cell>
          <cell r="C4402" t="str">
            <v>Not Listed</v>
          </cell>
        </row>
        <row r="4403">
          <cell r="A4403" t="str">
            <v>TOTAL TRANSPORT SYSTEMS LTD</v>
          </cell>
          <cell r="B4403" t="str">
            <v>Not Listed</v>
          </cell>
          <cell r="C4403" t="str">
            <v>TOTAL</v>
          </cell>
        </row>
        <row r="4404">
          <cell r="A4404" t="str">
            <v>TOUCHWOOD ENTERTAINMENT LTD</v>
          </cell>
          <cell r="B4404" t="str">
            <v>Not Listed</v>
          </cell>
          <cell r="C4404" t="str">
            <v>TOUCHWOOD</v>
          </cell>
        </row>
        <row r="4405">
          <cell r="A4405" t="str">
            <v>TOURISM FINANCE CORPORATION OF (INDIA) LTD</v>
          </cell>
          <cell r="B4405">
            <v>526650</v>
          </cell>
          <cell r="C4405" t="str">
            <v>TFCILTD</v>
          </cell>
        </row>
        <row r="4406">
          <cell r="A4406" t="str">
            <v>TOURISM FINANCE CORPORATION OF INDIA LTD</v>
          </cell>
          <cell r="B4406">
            <v>526650</v>
          </cell>
          <cell r="C4406" t="str">
            <v>TFCILTD</v>
          </cell>
        </row>
        <row r="4407">
          <cell r="A4407" t="str">
            <v>TOWA SOKKI LTD</v>
          </cell>
          <cell r="B4407">
            <v>531771</v>
          </cell>
          <cell r="C4407" t="str">
            <v>Not Listed</v>
          </cell>
        </row>
        <row r="4408">
          <cell r="A4408" t="str">
            <v>TOYAM INDUSTRIES LTD</v>
          </cell>
          <cell r="B4408">
            <v>538607</v>
          </cell>
          <cell r="C4408" t="str">
            <v>Not Listed</v>
          </cell>
        </row>
        <row r="4409">
          <cell r="A4409" t="str">
            <v>TPI (INDIA) LTD</v>
          </cell>
          <cell r="B4409">
            <v>500421</v>
          </cell>
          <cell r="C4409" t="str">
            <v>Not Listed</v>
          </cell>
        </row>
        <row r="4410">
          <cell r="A4410" t="str">
            <v>TPI INDIA LTD</v>
          </cell>
          <cell r="B4410">
            <v>500421</v>
          </cell>
          <cell r="C4410" t="str">
            <v>Not Listed</v>
          </cell>
        </row>
        <row r="4411">
          <cell r="A4411" t="str">
            <v>TPL PLASTECH LTD</v>
          </cell>
          <cell r="B4411">
            <v>526582</v>
          </cell>
          <cell r="C4411" t="str">
            <v>TPLPLASTEH</v>
          </cell>
        </row>
        <row r="4412">
          <cell r="A4412" t="str">
            <v>TRADE WINGS LTD</v>
          </cell>
          <cell r="B4412">
            <v>509953</v>
          </cell>
          <cell r="C4412" t="str">
            <v>Not Listed</v>
          </cell>
        </row>
        <row r="4413">
          <cell r="A4413" t="str">
            <v>TRANS ASIA CORPORATION LTD</v>
          </cell>
          <cell r="B4413">
            <v>530783</v>
          </cell>
          <cell r="C4413" t="str">
            <v>Not Listed</v>
          </cell>
        </row>
        <row r="4414">
          <cell r="A4414" t="str">
            <v>TRANS FINANCIAL RESOURCES LTD.</v>
          </cell>
          <cell r="B4414">
            <v>526961</v>
          </cell>
          <cell r="C4414" t="str">
            <v>TRANSFIN</v>
          </cell>
        </row>
        <row r="4415">
          <cell r="A4415" t="str">
            <v>TRANSCHEM LTD</v>
          </cell>
          <cell r="B4415">
            <v>500422</v>
          </cell>
          <cell r="C4415" t="str">
            <v>Not Listed</v>
          </cell>
        </row>
        <row r="4416">
          <cell r="A4416" t="str">
            <v>TRANSCORP INTERNATIONAL LTD</v>
          </cell>
          <cell r="B4416">
            <v>532410</v>
          </cell>
          <cell r="C4416" t="str">
            <v>Not Listed</v>
          </cell>
        </row>
        <row r="4417">
          <cell r="A4417" t="str">
            <v>TRANSFORMERS AND RECTIFIERS (INDIA) LTD</v>
          </cell>
          <cell r="B4417">
            <v>532928</v>
          </cell>
          <cell r="C4417" t="str">
            <v>TRIL</v>
          </cell>
        </row>
        <row r="4418">
          <cell r="A4418" t="str">
            <v>TRANSFORMERS AND RECTIFIERS INDIA LTD</v>
          </cell>
          <cell r="B4418">
            <v>532928</v>
          </cell>
          <cell r="C4418" t="str">
            <v>TRIL</v>
          </cell>
        </row>
        <row r="4419">
          <cell r="A4419" t="str">
            <v>TRANS-FREIGHT CONTAINERS LTD</v>
          </cell>
          <cell r="B4419">
            <v>513063</v>
          </cell>
          <cell r="C4419" t="str">
            <v>Not Listed</v>
          </cell>
        </row>
        <row r="4420">
          <cell r="A4420" t="str">
            <v>TRANSGENE BIOTEK LTD</v>
          </cell>
          <cell r="B4420">
            <v>526139</v>
          </cell>
          <cell r="C4420" t="str">
            <v>Not Listed</v>
          </cell>
        </row>
        <row r="4421">
          <cell r="A4421" t="str">
            <v>TRANSGLOBE FOODS LTD</v>
          </cell>
          <cell r="B4421">
            <v>519367</v>
          </cell>
          <cell r="C4421" t="str">
            <v>Not Listed</v>
          </cell>
        </row>
        <row r="4422">
          <cell r="A4422" t="str">
            <v>TRANSOCEANIC PROPERTIES LTD</v>
          </cell>
          <cell r="B4422">
            <v>509003</v>
          </cell>
          <cell r="C4422" t="str">
            <v>Not Listed</v>
          </cell>
        </row>
        <row r="4423">
          <cell r="A4423" t="str">
            <v>TRANSPEK INDUSTRY LTD</v>
          </cell>
          <cell r="B4423">
            <v>506687</v>
          </cell>
          <cell r="C4423" t="str">
            <v>Not Listed</v>
          </cell>
        </row>
        <row r="4424">
          <cell r="A4424" t="str">
            <v>TRANSPORT CORPORATION OF (INDIA) LTD</v>
          </cell>
          <cell r="B4424">
            <v>532349</v>
          </cell>
          <cell r="C4424" t="str">
            <v>TCI</v>
          </cell>
        </row>
        <row r="4425">
          <cell r="A4425" t="str">
            <v>TRANSPORT CORPORATION OF INDIA LTD</v>
          </cell>
          <cell r="B4425">
            <v>532349</v>
          </cell>
          <cell r="C4425" t="str">
            <v>TCI</v>
          </cell>
        </row>
        <row r="4426">
          <cell r="A4426" t="str">
            <v>TRANSWARRANTY FINANCE LTD</v>
          </cell>
          <cell r="B4426">
            <v>532812</v>
          </cell>
          <cell r="C4426" t="str">
            <v>TFL</v>
          </cell>
        </row>
        <row r="4427">
          <cell r="A4427" t="str">
            <v>TRANSWIND INFRASTRUCTURES LTD</v>
          </cell>
          <cell r="B4427" t="str">
            <v>Not Listed</v>
          </cell>
          <cell r="C4427" t="str">
            <v>TRANSWIND</v>
          </cell>
        </row>
        <row r="4428">
          <cell r="A4428" t="str">
            <v>TREE HOUSE EDUCATION &amp; ACCESSORIES LTD</v>
          </cell>
          <cell r="B4428">
            <v>533540</v>
          </cell>
          <cell r="C4428" t="str">
            <v>TREEHOUSE</v>
          </cell>
        </row>
        <row r="4429">
          <cell r="A4429" t="str">
            <v>Trejhara Solutions Ltd</v>
          </cell>
          <cell r="B4429">
            <v>542233</v>
          </cell>
          <cell r="C4429" t="str">
            <v>TREJHARA</v>
          </cell>
        </row>
        <row r="4430">
          <cell r="A4430" t="str">
            <v>TRENT LTD</v>
          </cell>
          <cell r="B4430">
            <v>500251</v>
          </cell>
          <cell r="C4430" t="str">
            <v>TRENT</v>
          </cell>
        </row>
        <row r="4431">
          <cell r="A4431" t="str">
            <v>TRESCON LTD</v>
          </cell>
          <cell r="B4431">
            <v>532159</v>
          </cell>
          <cell r="C4431" t="str">
            <v>Not Listed</v>
          </cell>
        </row>
        <row r="4432">
          <cell r="A4432" t="str">
            <v>TRF LTD</v>
          </cell>
          <cell r="B4432">
            <v>505854</v>
          </cell>
          <cell r="C4432" t="str">
            <v>TRF</v>
          </cell>
        </row>
        <row r="4433">
          <cell r="A4433" t="str">
            <v>TRIBHOVANDAS BHIMJI ZAVERI LTD</v>
          </cell>
          <cell r="B4433">
            <v>534369</v>
          </cell>
          <cell r="C4433" t="str">
            <v>TBZ</v>
          </cell>
        </row>
        <row r="4434">
          <cell r="A4434" t="str">
            <v>TRICOM FRUIT PRODUCTS LTD</v>
          </cell>
          <cell r="B4434">
            <v>531716</v>
          </cell>
          <cell r="C4434" t="str">
            <v>Not Listed</v>
          </cell>
        </row>
        <row r="4435">
          <cell r="A4435" t="str">
            <v>TRIDENT LTD</v>
          </cell>
          <cell r="B4435">
            <v>521064</v>
          </cell>
          <cell r="C4435" t="str">
            <v>TRIDENT</v>
          </cell>
        </row>
        <row r="4436">
          <cell r="A4436" t="str">
            <v>TRIDENT TEXOFAB LTD</v>
          </cell>
          <cell r="B4436">
            <v>540726</v>
          </cell>
          <cell r="C4436" t="str">
            <v>Not Listed</v>
          </cell>
        </row>
        <row r="4437">
          <cell r="A4437" t="str">
            <v>TRIDENT TOOLS LTD</v>
          </cell>
          <cell r="B4437">
            <v>531972</v>
          </cell>
          <cell r="C4437" t="str">
            <v>Not Listed</v>
          </cell>
        </row>
        <row r="4438">
          <cell r="A4438" t="str">
            <v>TRIGYN TECHNOLOGIES LTD</v>
          </cell>
          <cell r="B4438">
            <v>517562</v>
          </cell>
          <cell r="C4438" t="str">
            <v>TRIGYN</v>
          </cell>
        </row>
        <row r="4439">
          <cell r="A4439" t="str">
            <v>TRIJAL INDUSTRIES LTD</v>
          </cell>
          <cell r="B4439">
            <v>531658</v>
          </cell>
          <cell r="C4439" t="str">
            <v>Not Listed</v>
          </cell>
        </row>
        <row r="4440">
          <cell r="A4440" t="str">
            <v>TRIMURTHI LTD</v>
          </cell>
          <cell r="B4440">
            <v>536565</v>
          </cell>
          <cell r="C4440" t="str">
            <v>Not Listed</v>
          </cell>
        </row>
        <row r="4441">
          <cell r="A4441" t="str">
            <v>TRINITY LEAGUE (INDIA) LTD</v>
          </cell>
          <cell r="B4441">
            <v>531846</v>
          </cell>
          <cell r="C4441" t="str">
            <v>Not Listed</v>
          </cell>
        </row>
        <row r="4442">
          <cell r="A4442" t="str">
            <v>TRINITY LEAGUE INDIA LTD</v>
          </cell>
          <cell r="B4442">
            <v>531846</v>
          </cell>
          <cell r="C4442" t="str">
            <v>Not Listed</v>
          </cell>
        </row>
        <row r="4443">
          <cell r="A4443" t="str">
            <v>TRIO MERCANTILE &amp;amp; TRADING LTD.</v>
          </cell>
          <cell r="B4443">
            <v>534755</v>
          </cell>
          <cell r="C4443" t="str">
            <v>TRIOMERC</v>
          </cell>
        </row>
        <row r="4444">
          <cell r="A4444" t="str">
            <v>TRIOCHEM PRODUCTS LTD</v>
          </cell>
          <cell r="B4444">
            <v>512101</v>
          </cell>
          <cell r="C4444" t="str">
            <v>Not Listed</v>
          </cell>
        </row>
        <row r="4445">
          <cell r="A4445" t="str">
            <v>TRISHAKTI ELECTRONICS &amp; INDUSTRIES LTD</v>
          </cell>
          <cell r="B4445">
            <v>531279</v>
          </cell>
          <cell r="C4445" t="str">
            <v>Not Listed</v>
          </cell>
        </row>
        <row r="4446">
          <cell r="A4446" t="str">
            <v>TRITON CORP LTD</v>
          </cell>
          <cell r="B4446">
            <v>523387</v>
          </cell>
          <cell r="C4446" t="str">
            <v>Not Listed</v>
          </cell>
        </row>
        <row r="4447">
          <cell r="A4447" t="str">
            <v>TRITON VALVES LTD</v>
          </cell>
          <cell r="B4447">
            <v>505978</v>
          </cell>
          <cell r="C4447" t="str">
            <v>Not Listed</v>
          </cell>
        </row>
        <row r="4448">
          <cell r="A4448" t="str">
            <v>TRIVENI ENGINEERING &amp; INDUSTRIES LTD</v>
          </cell>
          <cell r="B4448">
            <v>532356</v>
          </cell>
          <cell r="C4448" t="str">
            <v>TRIVENI</v>
          </cell>
        </row>
        <row r="4449">
          <cell r="A4449" t="str">
            <v>Triveni Enterprises Ltd</v>
          </cell>
          <cell r="B4449">
            <v>538569</v>
          </cell>
          <cell r="C4449" t="str">
            <v>TRIVENIENT</v>
          </cell>
        </row>
        <row r="4450">
          <cell r="A4450" t="str">
            <v>TRIVENI GLASS LTD</v>
          </cell>
          <cell r="B4450">
            <v>502281</v>
          </cell>
          <cell r="C4450" t="str">
            <v>Not Listed</v>
          </cell>
        </row>
        <row r="4451">
          <cell r="A4451" t="str">
            <v>TRIVENI TURBINE LTD</v>
          </cell>
          <cell r="B4451">
            <v>533655</v>
          </cell>
          <cell r="C4451" t="str">
            <v>TRITURBINE</v>
          </cell>
        </row>
        <row r="4452">
          <cell r="A4452" t="str">
            <v>TRIVIKRAMA INDUSTRIES LTD</v>
          </cell>
          <cell r="B4452">
            <v>538579</v>
          </cell>
          <cell r="C4452" t="str">
            <v>Not Listed</v>
          </cell>
        </row>
        <row r="4453">
          <cell r="A4453" t="str">
            <v>TROMBO EXTRACTIONS LTD</v>
          </cell>
          <cell r="B4453">
            <v>519303</v>
          </cell>
          <cell r="C4453" t="str">
            <v>Not Listed</v>
          </cell>
        </row>
        <row r="4454">
          <cell r="A4454" t="str">
            <v>TTI ENTERPRISE LTD</v>
          </cell>
          <cell r="B4454">
            <v>538597</v>
          </cell>
          <cell r="C4454" t="str">
            <v>Not Listed</v>
          </cell>
        </row>
        <row r="4455">
          <cell r="A4455" t="str">
            <v>TTK HEALTHCARE LTD</v>
          </cell>
          <cell r="B4455">
            <v>507747</v>
          </cell>
          <cell r="C4455" t="str">
            <v>TTKHLTCARE</v>
          </cell>
        </row>
        <row r="4456">
          <cell r="A4456" t="str">
            <v>TTK PRESTIGE LTD</v>
          </cell>
          <cell r="B4456">
            <v>517506</v>
          </cell>
          <cell r="C4456" t="str">
            <v>TTKPRESTIG</v>
          </cell>
        </row>
        <row r="4457">
          <cell r="A4457" t="str">
            <v>TTL Enterprises Ltd</v>
          </cell>
          <cell r="B4457">
            <v>514236</v>
          </cell>
          <cell r="C4457" t="str">
            <v>TTLEL</v>
          </cell>
        </row>
        <row r="4458">
          <cell r="A4458" t="str">
            <v>TUBE INVESTMENTS OF (INDIA) LTD</v>
          </cell>
          <cell r="B4458">
            <v>540762</v>
          </cell>
          <cell r="C4458" t="str">
            <v>TI(INDIA)</v>
          </cell>
        </row>
        <row r="4459">
          <cell r="A4459" t="str">
            <v>TUBE INVESTMENTS OF INDIA LTD</v>
          </cell>
          <cell r="B4459">
            <v>540762</v>
          </cell>
          <cell r="C4459" t="str">
            <v>TIINDIA</v>
          </cell>
        </row>
        <row r="4460">
          <cell r="A4460" t="str">
            <v>TULASEE BIO-ETHANOL LTD</v>
          </cell>
          <cell r="B4460">
            <v>524514</v>
          </cell>
          <cell r="C4460" t="str">
            <v>Not Listed</v>
          </cell>
        </row>
        <row r="4461">
          <cell r="A4461" t="str">
            <v>TULIP STAR HOTELS LTD</v>
          </cell>
          <cell r="B4461">
            <v>531088</v>
          </cell>
          <cell r="C4461" t="str">
            <v>Not Listed</v>
          </cell>
        </row>
        <row r="4462">
          <cell r="A4462" t="str">
            <v>TULIVE DEVELOPERS LTD</v>
          </cell>
          <cell r="B4462">
            <v>505285</v>
          </cell>
          <cell r="C4462" t="str">
            <v>Not Listed</v>
          </cell>
        </row>
        <row r="4463">
          <cell r="A4463" t="str">
            <v>TULSI EXTRUSIONS LTD</v>
          </cell>
          <cell r="B4463">
            <v>532948</v>
          </cell>
          <cell r="C4463" t="str">
            <v>TULSI</v>
          </cell>
        </row>
        <row r="4464">
          <cell r="A4464" t="str">
            <v>TUMUS ELECTRIC CORPORATION LTD</v>
          </cell>
          <cell r="B4464">
            <v>504273</v>
          </cell>
          <cell r="C4464" t="str">
            <v>Not Listed</v>
          </cell>
        </row>
        <row r="4465">
          <cell r="A4465" t="str">
            <v>TUNI TEXTILE MILLS LTD</v>
          </cell>
          <cell r="B4465">
            <v>531411</v>
          </cell>
          <cell r="C4465" t="str">
            <v>Not Listed</v>
          </cell>
        </row>
        <row r="4466">
          <cell r="A4466" t="str">
            <v>TUTICORIN ALKALI CHEMICALS &amp; FERTILISERS LTD</v>
          </cell>
          <cell r="B4466">
            <v>506808</v>
          </cell>
          <cell r="C4466" t="str">
            <v>Not Listed</v>
          </cell>
        </row>
        <row r="4467">
          <cell r="A4467" t="str">
            <v>TV TODAY NETWORK LTD</v>
          </cell>
          <cell r="B4467">
            <v>532515</v>
          </cell>
          <cell r="C4467" t="str">
            <v>TVTODAY</v>
          </cell>
        </row>
        <row r="4468">
          <cell r="A4468" t="str">
            <v>TV VISION LTD</v>
          </cell>
          <cell r="B4468">
            <v>540083</v>
          </cell>
          <cell r="C4468" t="str">
            <v>TVVISION</v>
          </cell>
        </row>
        <row r="4469">
          <cell r="A4469" t="str">
            <v>TV18 BROADCAST LTD</v>
          </cell>
          <cell r="B4469">
            <v>532800</v>
          </cell>
          <cell r="C4469" t="str">
            <v>TV18BRDCST</v>
          </cell>
        </row>
        <row r="4470">
          <cell r="A4470" t="str">
            <v>TVS ELECTRONICS LTD</v>
          </cell>
          <cell r="B4470">
            <v>532513</v>
          </cell>
          <cell r="C4470" t="str">
            <v>TVSELECT</v>
          </cell>
        </row>
        <row r="4471">
          <cell r="A4471" t="str">
            <v>TVS MOTOR COMPANY LTD</v>
          </cell>
          <cell r="B4471">
            <v>532343</v>
          </cell>
          <cell r="C4471" t="str">
            <v>TVSMOTOR</v>
          </cell>
        </row>
        <row r="4472">
          <cell r="A4472" t="str">
            <v>TVS SRICHAKRA LTD</v>
          </cell>
          <cell r="B4472">
            <v>509243</v>
          </cell>
          <cell r="C4472" t="str">
            <v>TVSSRICHAK</v>
          </cell>
        </row>
        <row r="4473">
          <cell r="A4473" t="str">
            <v>TWIN ROSES TRADES &amp; AGENCIES LTD</v>
          </cell>
          <cell r="B4473">
            <v>512117</v>
          </cell>
          <cell r="C4473" t="str">
            <v>Not Listed</v>
          </cell>
        </row>
        <row r="4474">
          <cell r="A4474" t="str">
            <v>TWINSTAR INDUSTRIES LTD</v>
          </cell>
          <cell r="B4474">
            <v>531917</v>
          </cell>
          <cell r="C4474" t="str">
            <v>Not Listed</v>
          </cell>
        </row>
        <row r="4475">
          <cell r="A4475" t="str">
            <v>TYCHE INDUSTRIES LTD</v>
          </cell>
          <cell r="B4475">
            <v>532384</v>
          </cell>
          <cell r="C4475" t="str">
            <v>Not Listed</v>
          </cell>
        </row>
        <row r="4476">
          <cell r="A4476" t="str">
            <v>TYPHOON FINANCIAL SERVICES LTD</v>
          </cell>
          <cell r="B4476">
            <v>539468</v>
          </cell>
          <cell r="C4476" t="str">
            <v>Not Listed</v>
          </cell>
        </row>
        <row r="4477">
          <cell r="A4477" t="str">
            <v>TYPHOON HOLDINGS LTD</v>
          </cell>
          <cell r="B4477">
            <v>512307</v>
          </cell>
          <cell r="C4477" t="str">
            <v>Not Listed</v>
          </cell>
        </row>
        <row r="4478">
          <cell r="A4478" t="str">
            <v>TYROON TEA CO LTD</v>
          </cell>
          <cell r="B4478">
            <v>526945</v>
          </cell>
          <cell r="C4478" t="str">
            <v>Not Listed</v>
          </cell>
        </row>
        <row r="4479">
          <cell r="A4479" t="str">
            <v>U  H  ZAVERI LTD</v>
          </cell>
          <cell r="B4479">
            <v>541338</v>
          </cell>
          <cell r="C4479" t="str">
            <v>Not Listed</v>
          </cell>
        </row>
        <row r="4480">
          <cell r="A4480" t="str">
            <v>UCAL FUEL SYSTEMS LTD</v>
          </cell>
          <cell r="B4480">
            <v>500464</v>
          </cell>
          <cell r="C4480" t="str">
            <v>UCALFUEL</v>
          </cell>
        </row>
        <row r="4481">
          <cell r="A4481" t="str">
            <v>UCO BANK</v>
          </cell>
          <cell r="B4481">
            <v>532505</v>
          </cell>
          <cell r="C4481" t="str">
            <v>UCOBANK</v>
          </cell>
        </row>
        <row r="4482">
          <cell r="A4482" t="str">
            <v>UDAIPUR CEMENT WORKS LTD</v>
          </cell>
          <cell r="B4482">
            <v>530131</v>
          </cell>
          <cell r="C4482" t="str">
            <v>Not Listed</v>
          </cell>
        </row>
        <row r="4483">
          <cell r="A4483" t="str">
            <v>UDAY JEWELLERY INDUSTRIES LTD</v>
          </cell>
          <cell r="B4483">
            <v>539518</v>
          </cell>
          <cell r="C4483" t="str">
            <v>Not Listed</v>
          </cell>
        </row>
        <row r="4484">
          <cell r="A4484" t="str">
            <v>UFLEX LTD</v>
          </cell>
          <cell r="B4484">
            <v>500148</v>
          </cell>
          <cell r="C4484" t="str">
            <v>UFLEX</v>
          </cell>
        </row>
        <row r="4485">
          <cell r="A4485" t="str">
            <v>UFO MOVIEZ (INDIA) LTD</v>
          </cell>
          <cell r="B4485">
            <v>539141</v>
          </cell>
          <cell r="C4485" t="str">
            <v>UFO</v>
          </cell>
        </row>
        <row r="4486">
          <cell r="A4486" t="str">
            <v>UFO MOVIEZ INDIA LTD</v>
          </cell>
          <cell r="B4486">
            <v>539141</v>
          </cell>
          <cell r="C4486" t="str">
            <v>UFO</v>
          </cell>
        </row>
        <row r="4487">
          <cell r="A4487" t="str">
            <v>UGRO CAPITAL LTD</v>
          </cell>
          <cell r="B4487">
            <v>511742</v>
          </cell>
          <cell r="C4487" t="str">
            <v>Not Listed</v>
          </cell>
        </row>
        <row r="4488">
          <cell r="A4488" t="str">
            <v>UJAAS ENERGY LTD</v>
          </cell>
          <cell r="B4488">
            <v>533644</v>
          </cell>
          <cell r="C4488" t="str">
            <v>UJAAS</v>
          </cell>
        </row>
        <row r="4489">
          <cell r="A4489" t="str">
            <v>UJJIVAN FINANCIAL SERVICES LTD</v>
          </cell>
          <cell r="B4489">
            <v>539874</v>
          </cell>
          <cell r="C4489" t="str">
            <v>UJJIVAN</v>
          </cell>
        </row>
        <row r="4490">
          <cell r="A4490" t="str">
            <v>ULTRA WIRING CONNECTIVITY SYSTEM LTD</v>
          </cell>
          <cell r="B4490" t="str">
            <v>Not Listed</v>
          </cell>
          <cell r="C4490" t="str">
            <v>UWCSL</v>
          </cell>
        </row>
        <row r="4491">
          <cell r="A4491" t="str">
            <v>ULTRACAB (INDIA) LTD</v>
          </cell>
          <cell r="B4491">
            <v>538706</v>
          </cell>
          <cell r="C4491" t="str">
            <v>Not Listed</v>
          </cell>
        </row>
        <row r="4492">
          <cell r="A4492" t="str">
            <v>ULTRACAB INDIA LTD</v>
          </cell>
          <cell r="B4492">
            <v>538706</v>
          </cell>
          <cell r="C4492" t="str">
            <v>Not Listed</v>
          </cell>
        </row>
        <row r="4493">
          <cell r="A4493" t="str">
            <v>ULTRAMARINE &amp; PIGMENTS LTD</v>
          </cell>
          <cell r="B4493">
            <v>506685</v>
          </cell>
          <cell r="C4493" t="str">
            <v>Not Listed</v>
          </cell>
        </row>
        <row r="4494">
          <cell r="A4494" t="str">
            <v>ULTRATECH CEMENT LTD</v>
          </cell>
          <cell r="B4494">
            <v>532538</v>
          </cell>
          <cell r="C4494" t="str">
            <v>ULTRACEMCO</v>
          </cell>
        </row>
        <row r="4495">
          <cell r="A4495" t="str">
            <v>UMANG DAIRIES LTD</v>
          </cell>
          <cell r="B4495">
            <v>500231</v>
          </cell>
          <cell r="C4495" t="str">
            <v>UMANGDAIRY</v>
          </cell>
        </row>
        <row r="4496">
          <cell r="A4496" t="str">
            <v>UMIYA TUBES LTD</v>
          </cell>
          <cell r="B4496">
            <v>539798</v>
          </cell>
          <cell r="C4496" t="str">
            <v>Not Listed</v>
          </cell>
        </row>
        <row r="4497">
          <cell r="A4497" t="str">
            <v>UNI ABEX ALLOY PRODUCTS LTD</v>
          </cell>
          <cell r="B4497">
            <v>504605</v>
          </cell>
          <cell r="C4497" t="str">
            <v>Not Listed</v>
          </cell>
        </row>
        <row r="4498">
          <cell r="A4498" t="str">
            <v>UNICHEM LABORATORIES LTD</v>
          </cell>
          <cell r="B4498">
            <v>506690</v>
          </cell>
          <cell r="C4498" t="str">
            <v>UNICHEMLAB</v>
          </cell>
        </row>
        <row r="4499">
          <cell r="A4499" t="str">
            <v>UNICK FIX-A-FORM AND PRINTERS LTD</v>
          </cell>
          <cell r="B4499">
            <v>541503</v>
          </cell>
          <cell r="C4499" t="str">
            <v>Not Listed</v>
          </cell>
        </row>
        <row r="4500">
          <cell r="A4500" t="str">
            <v>UNIINFO TELECOM SERVICES LTD</v>
          </cell>
          <cell r="B4500" t="str">
            <v>Not Listed</v>
          </cell>
          <cell r="C4500" t="str">
            <v>UNIINFO</v>
          </cell>
        </row>
        <row r="4501">
          <cell r="A4501" t="str">
            <v>UNIJOLLY INVESTMENTS CO LTD</v>
          </cell>
          <cell r="B4501">
            <v>503671</v>
          </cell>
          <cell r="C4501" t="str">
            <v>Not Listed</v>
          </cell>
        </row>
        <row r="4502">
          <cell r="A4502" t="str">
            <v>UNIMODE OVERSEAS LTD.</v>
          </cell>
          <cell r="B4502">
            <v>512595</v>
          </cell>
          <cell r="C4502" t="str">
            <v>UNIMOVR</v>
          </cell>
        </row>
        <row r="4503">
          <cell r="A4503" t="str">
            <v>UNION BANK OF INDIA</v>
          </cell>
          <cell r="B4503">
            <v>532477</v>
          </cell>
          <cell r="C4503" t="str">
            <v>UNIONBANK</v>
          </cell>
        </row>
        <row r="4504">
          <cell r="A4504" t="str">
            <v>UNION QUALITY PLASTICS LTD</v>
          </cell>
          <cell r="B4504">
            <v>526799</v>
          </cell>
          <cell r="C4504" t="str">
            <v>Not Listed</v>
          </cell>
        </row>
        <row r="4505">
          <cell r="A4505" t="str">
            <v>UNIPHOS ENTERPRISES LTD</v>
          </cell>
          <cell r="B4505">
            <v>500429</v>
          </cell>
          <cell r="C4505" t="str">
            <v>UNIENTER</v>
          </cell>
        </row>
        <row r="4506">
          <cell r="A4506" t="str">
            <v>UNIPLY DECOR LTD</v>
          </cell>
          <cell r="B4506">
            <v>526957</v>
          </cell>
          <cell r="C4506" t="str">
            <v>Not Listed</v>
          </cell>
        </row>
        <row r="4507">
          <cell r="A4507" t="str">
            <v>UNIPLY INDUSTRIES LTD</v>
          </cell>
          <cell r="B4507">
            <v>532646</v>
          </cell>
          <cell r="C4507" t="str">
            <v>UNIPLY</v>
          </cell>
        </row>
        <row r="4508">
          <cell r="A4508" t="str">
            <v>UNIQUE ORGANICS LTD</v>
          </cell>
          <cell r="B4508">
            <v>530997</v>
          </cell>
          <cell r="C4508" t="str">
            <v>Not Listed</v>
          </cell>
        </row>
        <row r="4509">
          <cell r="A4509" t="str">
            <v>UNIROYAL INDUSTRIES LTD</v>
          </cell>
          <cell r="B4509">
            <v>521226</v>
          </cell>
          <cell r="C4509" t="str">
            <v>Not Listed</v>
          </cell>
        </row>
        <row r="4510">
          <cell r="A4510" t="str">
            <v>UNIROYAL MARINE EXPORTS LTD</v>
          </cell>
          <cell r="B4510">
            <v>526113</v>
          </cell>
          <cell r="C4510" t="str">
            <v>Not Listed</v>
          </cell>
        </row>
        <row r="4511">
          <cell r="A4511" t="str">
            <v>UNISHIRE URBAN INFRA LTD</v>
          </cell>
          <cell r="B4511">
            <v>537582</v>
          </cell>
          <cell r="C4511" t="str">
            <v>Not Listed</v>
          </cell>
        </row>
        <row r="4512">
          <cell r="A4512" t="str">
            <v>UNISON METALS LTD</v>
          </cell>
          <cell r="B4512">
            <v>538610</v>
          </cell>
          <cell r="C4512" t="str">
            <v>Not Listed</v>
          </cell>
        </row>
        <row r="4513">
          <cell r="A4513" t="str">
            <v>UNISTAR MULTIMEDIA LTD</v>
          </cell>
          <cell r="B4513">
            <v>532035</v>
          </cell>
          <cell r="C4513" t="str">
            <v>Not Listed</v>
          </cell>
        </row>
        <row r="4514">
          <cell r="A4514" t="str">
            <v>UNISYS SOFTWARES &amp; HOLDING INDUSTRIES LTD</v>
          </cell>
          <cell r="B4514">
            <v>531831</v>
          </cell>
          <cell r="C4514" t="str">
            <v>Not Listed</v>
          </cell>
        </row>
        <row r="4515">
          <cell r="A4515" t="str">
            <v>UNITECH INTERNATIONAL LTD</v>
          </cell>
          <cell r="B4515">
            <v>531867</v>
          </cell>
          <cell r="C4515" t="str">
            <v>Not Listed</v>
          </cell>
        </row>
        <row r="4516">
          <cell r="A4516" t="str">
            <v>UNITECH LTD</v>
          </cell>
          <cell r="B4516">
            <v>507878</v>
          </cell>
          <cell r="C4516" t="str">
            <v>UNITECH</v>
          </cell>
        </row>
        <row r="4517">
          <cell r="A4517" t="str">
            <v>UNITED BANK OF INDIA</v>
          </cell>
          <cell r="B4517">
            <v>533171</v>
          </cell>
          <cell r="C4517" t="str">
            <v>UNITEDBNK</v>
          </cell>
        </row>
        <row r="4518">
          <cell r="A4518" t="str">
            <v>UNITED BREWERIES LTD</v>
          </cell>
          <cell r="B4518">
            <v>532478</v>
          </cell>
          <cell r="C4518" t="str">
            <v>UBL</v>
          </cell>
        </row>
        <row r="4519">
          <cell r="A4519" t="str">
            <v>UNITED CREDIT LTD</v>
          </cell>
          <cell r="B4519">
            <v>531091</v>
          </cell>
          <cell r="C4519" t="str">
            <v>Not Listed</v>
          </cell>
        </row>
        <row r="4520">
          <cell r="A4520" t="str">
            <v>UNITED DRILLING TOOLS LTD</v>
          </cell>
          <cell r="B4520">
            <v>522014</v>
          </cell>
          <cell r="C4520" t="str">
            <v>Not Listed</v>
          </cell>
        </row>
        <row r="4521">
          <cell r="A4521" t="str">
            <v>UNITED INTERACTIVE LTD</v>
          </cell>
          <cell r="B4521">
            <v>502893</v>
          </cell>
          <cell r="C4521" t="str">
            <v>Not Listed</v>
          </cell>
        </row>
        <row r="4522">
          <cell r="A4522" t="str">
            <v>UNITED LEASING &amp; INDUSTRIES LTD</v>
          </cell>
          <cell r="B4522">
            <v>507808</v>
          </cell>
          <cell r="C4522" t="str">
            <v>Not Listed</v>
          </cell>
        </row>
        <row r="4523">
          <cell r="A4523" t="str">
            <v>UNITED POLYFAB GUJARAT LTD</v>
          </cell>
          <cell r="B4523" t="str">
            <v>Not Listed</v>
          </cell>
          <cell r="C4523" t="str">
            <v>UNITEDPOLY</v>
          </cell>
        </row>
        <row r="4524">
          <cell r="A4524" t="str">
            <v>UNITED SPIRITS LTD</v>
          </cell>
          <cell r="B4524">
            <v>532432</v>
          </cell>
          <cell r="C4524" t="str">
            <v>MCDOWELL-N</v>
          </cell>
        </row>
        <row r="4525">
          <cell r="A4525" t="str">
            <v>UNITED TEXTILES LTD</v>
          </cell>
          <cell r="B4525">
            <v>521188</v>
          </cell>
          <cell r="C4525" t="str">
            <v>Not Listed</v>
          </cell>
        </row>
        <row r="4526">
          <cell r="A4526" t="str">
            <v>UNITED VAN DER HORST LTD</v>
          </cell>
          <cell r="B4526">
            <v>522091</v>
          </cell>
          <cell r="C4526" t="str">
            <v>Not Listed</v>
          </cell>
        </row>
        <row r="4527">
          <cell r="A4527" t="str">
            <v>UNITY INFRAPROJECTS LTD</v>
          </cell>
          <cell r="B4527">
            <v>532746</v>
          </cell>
          <cell r="C4527" t="str">
            <v>UNITY</v>
          </cell>
        </row>
        <row r="4528">
          <cell r="A4528" t="str">
            <v>UNIVASTU (INDIA) LTD</v>
          </cell>
          <cell r="B4528" t="str">
            <v>Not Listed</v>
          </cell>
          <cell r="C4528" t="str">
            <v>UNIVASTU</v>
          </cell>
        </row>
        <row r="4529">
          <cell r="A4529" t="str">
            <v>UNIVASTU INDIA LTD</v>
          </cell>
          <cell r="B4529" t="str">
            <v>Not Listed</v>
          </cell>
          <cell r="C4529" t="str">
            <v>UNIVASTU</v>
          </cell>
        </row>
        <row r="4530">
          <cell r="A4530" t="str">
            <v>UNIVERSAL ARTS LTD</v>
          </cell>
          <cell r="B4530">
            <v>532378</v>
          </cell>
          <cell r="C4530" t="str">
            <v>Not Listed</v>
          </cell>
        </row>
        <row r="4531">
          <cell r="A4531" t="str">
            <v>UNIVERSAL AUTOFOUNDRY LTD</v>
          </cell>
          <cell r="B4531">
            <v>539314</v>
          </cell>
          <cell r="C4531" t="str">
            <v>Not Listed</v>
          </cell>
        </row>
        <row r="4532">
          <cell r="A4532" t="str">
            <v>UNIVERSAL CABLES LTD</v>
          </cell>
          <cell r="B4532">
            <v>504212</v>
          </cell>
          <cell r="C4532" t="str">
            <v>UNIVCABLES</v>
          </cell>
        </row>
        <row r="4533">
          <cell r="A4533" t="str">
            <v>UNIVERSAL CREDIT &amp; SECURITIES LTD</v>
          </cell>
          <cell r="B4533">
            <v>531963</v>
          </cell>
          <cell r="C4533" t="str">
            <v>Not Listed</v>
          </cell>
        </row>
        <row r="4534">
          <cell r="A4534" t="str">
            <v>UNIVERSAL OFFICE AUTOMATION LTD</v>
          </cell>
          <cell r="B4534">
            <v>523519</v>
          </cell>
          <cell r="C4534" t="str">
            <v>Not Listed</v>
          </cell>
        </row>
        <row r="4535">
          <cell r="A4535" t="str">
            <v>UNIVERSAL PRIME ALUMINIUM LTD</v>
          </cell>
          <cell r="B4535">
            <v>504673</v>
          </cell>
          <cell r="C4535" t="str">
            <v>Not Listed</v>
          </cell>
        </row>
        <row r="4536">
          <cell r="A4536" t="str">
            <v>UNIVERSAL STARCH-CHEM ALLIED LTD</v>
          </cell>
          <cell r="B4536">
            <v>524408</v>
          </cell>
          <cell r="C4536" t="str">
            <v>Not Listed</v>
          </cell>
        </row>
        <row r="4537">
          <cell r="A4537" t="str">
            <v>UNIWORTH LTD</v>
          </cell>
          <cell r="B4537">
            <v>514144</v>
          </cell>
          <cell r="C4537" t="str">
            <v>Not Listed</v>
          </cell>
        </row>
        <row r="4538">
          <cell r="A4538" t="str">
            <v>UNIWORTH SECURITIES LTD</v>
          </cell>
          <cell r="B4538">
            <v>512408</v>
          </cell>
          <cell r="C4538" t="str">
            <v>Not Listed</v>
          </cell>
        </row>
        <row r="4539">
          <cell r="A4539" t="str">
            <v>UNJHA FORMULATIONS LTD</v>
          </cell>
          <cell r="B4539">
            <v>531762</v>
          </cell>
          <cell r="C4539" t="str">
            <v>Not Listed</v>
          </cell>
        </row>
        <row r="4540">
          <cell r="A4540" t="str">
            <v>UPASANA FINANCE LTD</v>
          </cell>
          <cell r="B4540">
            <v>511764</v>
          </cell>
          <cell r="C4540" t="str">
            <v>Not Listed</v>
          </cell>
        </row>
        <row r="4541">
          <cell r="A4541" t="str">
            <v>UPL LTD</v>
          </cell>
          <cell r="B4541">
            <v>512070</v>
          </cell>
          <cell r="C4541" t="str">
            <v>UPL</v>
          </cell>
        </row>
        <row r="4542">
          <cell r="A4542" t="str">
            <v>UPSURGE INVESTMENT &amp; FINANCE LTD</v>
          </cell>
          <cell r="B4542">
            <v>531390</v>
          </cell>
          <cell r="C4542" t="str">
            <v>Not Listed</v>
          </cell>
        </row>
        <row r="4543">
          <cell r="A4543" t="str">
            <v>URAVI T AND WEDGE LAMPS LTD</v>
          </cell>
          <cell r="B4543" t="str">
            <v>Not Listed</v>
          </cell>
          <cell r="C4543" t="str">
            <v>URAVI</v>
          </cell>
        </row>
        <row r="4544">
          <cell r="A4544" t="str">
            <v>URJA GLOBAL LTD</v>
          </cell>
          <cell r="B4544">
            <v>526987</v>
          </cell>
          <cell r="C4544" t="str">
            <v>URJA</v>
          </cell>
        </row>
        <row r="4545">
          <cell r="A4545" t="str">
            <v>USG TECH SOLUTIONS LTD</v>
          </cell>
          <cell r="B4545">
            <v>532402</v>
          </cell>
          <cell r="C4545" t="str">
            <v>Not Listed</v>
          </cell>
        </row>
        <row r="4546">
          <cell r="A4546" t="str">
            <v>USHA MARTIN EDUCATION &amp; SOLUTIONS LTD</v>
          </cell>
          <cell r="B4546">
            <v>532398</v>
          </cell>
          <cell r="C4546" t="str">
            <v>UMESLTD</v>
          </cell>
        </row>
        <row r="4547">
          <cell r="A4547" t="str">
            <v>USHA MARTIN LTD</v>
          </cell>
          <cell r="B4547">
            <v>517146</v>
          </cell>
          <cell r="C4547" t="str">
            <v>USHAMART</v>
          </cell>
        </row>
        <row r="4548">
          <cell r="A4548" t="str">
            <v>USHAKIRAN FINANCE LTD</v>
          </cell>
          <cell r="B4548">
            <v>511507</v>
          </cell>
          <cell r="C4548" t="str">
            <v>Not Listed</v>
          </cell>
        </row>
        <row r="4549">
          <cell r="A4549" t="str">
            <v>USHANTI COLOUR CHEM LTD</v>
          </cell>
          <cell r="B4549" t="str">
            <v>Not Listed</v>
          </cell>
          <cell r="C4549" t="str">
            <v>UCL</v>
          </cell>
        </row>
        <row r="4550">
          <cell r="A4550" t="str">
            <v>USHDEV INTERNATIONAL LTD</v>
          </cell>
          <cell r="B4550">
            <v>511736</v>
          </cell>
          <cell r="C4550" t="str">
            <v>Not Listed</v>
          </cell>
        </row>
        <row r="4551">
          <cell r="A4551" t="str">
            <v>USHER AGRO LTD</v>
          </cell>
          <cell r="B4551">
            <v>532765</v>
          </cell>
          <cell r="C4551" t="str">
            <v>USHERAGRO</v>
          </cell>
        </row>
        <row r="4552">
          <cell r="A4552" t="str">
            <v>UTI MUTUAL FUND - UTI GOLD EXCHANGE TRADED FUND</v>
          </cell>
          <cell r="B4552">
            <v>590101</v>
          </cell>
          <cell r="C4552" t="str">
            <v>GOLDSHARE</v>
          </cell>
        </row>
        <row r="4553">
          <cell r="A4553" t="str">
            <v>UTL INDUSTRIES LTD</v>
          </cell>
          <cell r="B4553">
            <v>500426</v>
          </cell>
          <cell r="C4553" t="str">
            <v>Not Listed</v>
          </cell>
        </row>
        <row r="4554">
          <cell r="A4554" t="str">
            <v>UTTAM GALVA STEELS LTD</v>
          </cell>
          <cell r="B4554">
            <v>513216</v>
          </cell>
          <cell r="C4554" t="str">
            <v>UTTAMSTL</v>
          </cell>
        </row>
        <row r="4555">
          <cell r="A4555" t="str">
            <v>UTTAM SUGAR MILLS LTD</v>
          </cell>
          <cell r="B4555">
            <v>532729</v>
          </cell>
          <cell r="C4555" t="str">
            <v>UTTAMSUGAR</v>
          </cell>
        </row>
        <row r="4556">
          <cell r="A4556" t="str">
            <v>UTTAM VALUE STEELS LTD</v>
          </cell>
          <cell r="B4556">
            <v>500254</v>
          </cell>
          <cell r="C4556" t="str">
            <v>UVSL</v>
          </cell>
        </row>
        <row r="4557">
          <cell r="A4557" t="str">
            <v>V B DESAI FINANCIAL SERVICES LTD</v>
          </cell>
          <cell r="B4557">
            <v>511110</v>
          </cell>
          <cell r="C4557" t="str">
            <v>Not Listed</v>
          </cell>
        </row>
        <row r="4558">
          <cell r="A4558" t="str">
            <v>V B INDUSTRIES LTD</v>
          </cell>
          <cell r="B4558">
            <v>539123</v>
          </cell>
          <cell r="C4558" t="str">
            <v>Not Listed</v>
          </cell>
        </row>
        <row r="4559">
          <cell r="A4559" t="str">
            <v>V R Films &amp;amp; Studios Ltd</v>
          </cell>
          <cell r="B4559">
            <v>542654</v>
          </cell>
          <cell r="C4559" t="str">
            <v>VRFILMS</v>
          </cell>
        </row>
        <row r="4560">
          <cell r="A4560" t="str">
            <v>V R WOODART LTD</v>
          </cell>
          <cell r="B4560">
            <v>523888</v>
          </cell>
          <cell r="C4560" t="str">
            <v>Not Listed</v>
          </cell>
        </row>
        <row r="4561">
          <cell r="A4561" t="str">
            <v>V S T TILLERS TRACTORS LTD</v>
          </cell>
          <cell r="B4561">
            <v>531266</v>
          </cell>
          <cell r="C4561" t="str">
            <v>VSTTILLERS</v>
          </cell>
        </row>
        <row r="4562">
          <cell r="A4562" t="str">
            <v>V2 RETAIL LTD</v>
          </cell>
          <cell r="B4562">
            <v>532867</v>
          </cell>
          <cell r="C4562" t="str">
            <v>V2RETAIL</v>
          </cell>
        </row>
        <row r="4563">
          <cell r="A4563" t="str">
            <v>VA TECH WABAG LTD</v>
          </cell>
          <cell r="B4563">
            <v>533269</v>
          </cell>
          <cell r="C4563" t="str">
            <v>WABAG</v>
          </cell>
        </row>
        <row r="4564">
          <cell r="A4564" t="str">
            <v>VAARAD VENTURES LTD</v>
          </cell>
          <cell r="B4564">
            <v>532320</v>
          </cell>
          <cell r="C4564" t="str">
            <v>Not Listed</v>
          </cell>
        </row>
        <row r="4565">
          <cell r="A4565" t="str">
            <v>VADILAL ENTERPRISES LTD</v>
          </cell>
          <cell r="B4565">
            <v>519152</v>
          </cell>
          <cell r="C4565" t="str">
            <v>Not Listed</v>
          </cell>
        </row>
        <row r="4566">
          <cell r="A4566" t="str">
            <v>VADILAL INDUSTRIES LTD</v>
          </cell>
          <cell r="B4566">
            <v>519156</v>
          </cell>
          <cell r="C4566" t="str">
            <v>VADILALIND</v>
          </cell>
        </row>
        <row r="4567">
          <cell r="A4567" t="str">
            <v>VADIVARHE SPECIALITY CHEMICALS LTD</v>
          </cell>
          <cell r="B4567" t="str">
            <v>Not Listed</v>
          </cell>
          <cell r="C4567" t="str">
            <v>VSCL</v>
          </cell>
        </row>
        <row r="4568">
          <cell r="A4568" t="str">
            <v>VAGHANI TECHNO-BUILD LTD</v>
          </cell>
          <cell r="B4568">
            <v>531676</v>
          </cell>
          <cell r="C4568" t="str">
            <v>Not Listed</v>
          </cell>
        </row>
        <row r="4569">
          <cell r="A4569" t="str">
            <v>VAIBHAV GLOBAL LTD</v>
          </cell>
          <cell r="B4569">
            <v>532156</v>
          </cell>
          <cell r="C4569" t="str">
            <v>VAIBHAVGBL</v>
          </cell>
        </row>
        <row r="4570">
          <cell r="A4570" t="str">
            <v>VAISHALI PHARMA LTD</v>
          </cell>
          <cell r="B4570" t="str">
            <v>Not Listed</v>
          </cell>
          <cell r="C4570" t="str">
            <v>VAISHALI</v>
          </cell>
        </row>
        <row r="4571">
          <cell r="A4571" t="str">
            <v>VAKRANGEE LTD</v>
          </cell>
          <cell r="B4571">
            <v>511431</v>
          </cell>
          <cell r="C4571" t="str">
            <v>VAKRANGEE</v>
          </cell>
        </row>
        <row r="4572">
          <cell r="A4572" t="str">
            <v>VAKSONS AUTOMOBILES LTD</v>
          </cell>
          <cell r="B4572">
            <v>539402</v>
          </cell>
          <cell r="C4572" t="str">
            <v>Not Listed</v>
          </cell>
        </row>
        <row r="4573">
          <cell r="A4573" t="str">
            <v>VALIANT COMMUNICATIONS LTD</v>
          </cell>
          <cell r="B4573">
            <v>526775</v>
          </cell>
          <cell r="C4573" t="str">
            <v>Not Listed</v>
          </cell>
        </row>
        <row r="4574">
          <cell r="A4574" t="str">
            <v>VALIANT ORGANICS LTD</v>
          </cell>
          <cell r="B4574">
            <v>540145</v>
          </cell>
          <cell r="C4574" t="str">
            <v>Not Listed</v>
          </cell>
        </row>
        <row r="4575">
          <cell r="A4575" t="str">
            <v>VALLABH POLY-PLAST INTERNATIONAL LTD</v>
          </cell>
          <cell r="B4575">
            <v>530403</v>
          </cell>
          <cell r="C4575" t="str">
            <v>Not Listed</v>
          </cell>
        </row>
        <row r="4576">
          <cell r="A4576" t="str">
            <v>VALLABH STEELS LTD</v>
          </cell>
          <cell r="B4576">
            <v>513397</v>
          </cell>
          <cell r="C4576" t="str">
            <v>Not Listed</v>
          </cell>
        </row>
        <row r="4577">
          <cell r="A4577" t="str">
            <v>VALLEY MAGNESITE COMPANY LTD</v>
          </cell>
          <cell r="B4577">
            <v>539543</v>
          </cell>
          <cell r="C4577" t="str">
            <v>Not Listed</v>
          </cell>
        </row>
        <row r="4578">
          <cell r="A4578" t="str">
            <v>VALSON INDUSTRIES LTD</v>
          </cell>
          <cell r="B4578">
            <v>530459</v>
          </cell>
          <cell r="C4578" t="str">
            <v>Not Listed</v>
          </cell>
        </row>
        <row r="4579">
          <cell r="A4579" t="str">
            <v>VAMA INDUSTRIES LTD</v>
          </cell>
          <cell r="B4579">
            <v>512175</v>
          </cell>
          <cell r="C4579" t="str">
            <v>Not Listed</v>
          </cell>
        </row>
        <row r="4580">
          <cell r="A4580" t="str">
            <v>VAMSHI RUBBER LTD</v>
          </cell>
          <cell r="B4580">
            <v>530369</v>
          </cell>
          <cell r="C4580" t="str">
            <v>Not Listed</v>
          </cell>
        </row>
        <row r="4581">
          <cell r="A4581" t="str">
            <v>VANDANA KNITWEAR LTD</v>
          </cell>
          <cell r="B4581">
            <v>532090</v>
          </cell>
          <cell r="C4581" t="str">
            <v>Not Listed</v>
          </cell>
        </row>
        <row r="4582">
          <cell r="A4582" t="str">
            <v>VANI COMMERCIALS LTD</v>
          </cell>
          <cell r="B4582">
            <v>538918</v>
          </cell>
          <cell r="C4582" t="str">
            <v>Not Listed</v>
          </cell>
        </row>
        <row r="4583">
          <cell r="A4583" t="str">
            <v>VANTA BIOSCIENCE LTD</v>
          </cell>
          <cell r="B4583">
            <v>540729</v>
          </cell>
          <cell r="C4583" t="str">
            <v>Not Listed</v>
          </cell>
        </row>
        <row r="4584">
          <cell r="A4584" t="str">
            <v>VANTAGE KNOWLEDGE ACADEMY LTD</v>
          </cell>
          <cell r="B4584">
            <v>539761</v>
          </cell>
          <cell r="C4584" t="str">
            <v>Not Listed</v>
          </cell>
        </row>
        <row r="4585">
          <cell r="A4585" t="str">
            <v>VAPI PAPER MILLS LTD</v>
          </cell>
          <cell r="B4585">
            <v>502589</v>
          </cell>
          <cell r="C4585" t="str">
            <v>Not Listed</v>
          </cell>
        </row>
        <row r="4586">
          <cell r="A4586" t="str">
            <v>VARDHAMAN LABORATORIES LTD</v>
          </cell>
          <cell r="B4586">
            <v>524796</v>
          </cell>
          <cell r="C4586" t="str">
            <v>Not Listed</v>
          </cell>
        </row>
        <row r="4587">
          <cell r="A4587" t="str">
            <v>VARDHMAN ACRYLICS LTD</v>
          </cell>
          <cell r="B4587" t="str">
            <v>Not Listed</v>
          </cell>
          <cell r="C4587" t="str">
            <v>VARDHACRLC</v>
          </cell>
        </row>
        <row r="4588">
          <cell r="A4588" t="str">
            <v>VARDHMAN CONCRETE LTD</v>
          </cell>
          <cell r="B4588">
            <v>531444</v>
          </cell>
          <cell r="C4588" t="str">
            <v>Not Listed</v>
          </cell>
        </row>
        <row r="4589">
          <cell r="A4589" t="str">
            <v>VARDHMAN HOLDINGS LTD</v>
          </cell>
          <cell r="B4589">
            <v>500439</v>
          </cell>
          <cell r="C4589" t="str">
            <v>VHL</v>
          </cell>
        </row>
        <row r="4590">
          <cell r="A4590" t="str">
            <v>VARDHMAN INDUSTRIES LTD</v>
          </cell>
          <cell r="B4590">
            <v>513534</v>
          </cell>
          <cell r="C4590" t="str">
            <v>Not Listed</v>
          </cell>
        </row>
        <row r="4591">
          <cell r="A4591" t="str">
            <v>VARDHMAN POLYTEX LTD</v>
          </cell>
          <cell r="B4591">
            <v>514175</v>
          </cell>
          <cell r="C4591" t="str">
            <v>VARDMNPOLY</v>
          </cell>
        </row>
        <row r="4592">
          <cell r="A4592" t="str">
            <v>VARDHMAN SPECIAL STEELS LTD</v>
          </cell>
          <cell r="B4592">
            <v>534392</v>
          </cell>
          <cell r="C4592" t="str">
            <v>VSSL</v>
          </cell>
        </row>
        <row r="4593">
          <cell r="A4593" t="str">
            <v>VARDHMAN TEXTILES LTD</v>
          </cell>
          <cell r="B4593">
            <v>502986</v>
          </cell>
          <cell r="C4593" t="str">
            <v>VTL</v>
          </cell>
        </row>
        <row r="4594">
          <cell r="A4594" t="str">
            <v>VARROC ENGINEERING LTD</v>
          </cell>
          <cell r="B4594">
            <v>541578</v>
          </cell>
          <cell r="C4594" t="str">
            <v>VARROC</v>
          </cell>
        </row>
        <row r="4595">
          <cell r="A4595" t="str">
            <v>VARUN BEVERAGES LTD</v>
          </cell>
          <cell r="B4595">
            <v>540180</v>
          </cell>
          <cell r="C4595" t="str">
            <v>VBL</v>
          </cell>
        </row>
        <row r="4596">
          <cell r="A4596" t="str">
            <v>VARUN MERCANTILE LTD</v>
          </cell>
          <cell r="B4596">
            <v>512511</v>
          </cell>
          <cell r="C4596" t="str">
            <v>Not Listed</v>
          </cell>
        </row>
        <row r="4597">
          <cell r="A4597" t="str">
            <v>VAS INFRASTRUCTURE LTD</v>
          </cell>
          <cell r="B4597">
            <v>531574</v>
          </cell>
          <cell r="C4597" t="str">
            <v>Not Listed</v>
          </cell>
        </row>
        <row r="4598">
          <cell r="A4598" t="str">
            <v>VASA RETAIL AND OVERSEAS LTD</v>
          </cell>
          <cell r="B4598" t="str">
            <v>Not Listed</v>
          </cell>
          <cell r="C4598" t="str">
            <v>VASA</v>
          </cell>
        </row>
        <row r="4599">
          <cell r="A4599" t="str">
            <v>VASCON ENGINEERS LTD</v>
          </cell>
          <cell r="B4599">
            <v>533156</v>
          </cell>
          <cell r="C4599" t="str">
            <v>VASCONEQ</v>
          </cell>
        </row>
        <row r="4600">
          <cell r="A4600" t="str">
            <v>VASUNDHARA RASAYANS LTD</v>
          </cell>
          <cell r="B4600">
            <v>538634</v>
          </cell>
          <cell r="C4600" t="str">
            <v>Not Listed</v>
          </cell>
        </row>
        <row r="4601">
          <cell r="A4601" t="str">
            <v>VASWANI INDUSTRIES LTD</v>
          </cell>
          <cell r="B4601">
            <v>533576</v>
          </cell>
          <cell r="C4601" t="str">
            <v>VASWANI</v>
          </cell>
        </row>
        <row r="4602">
          <cell r="A4602" t="str">
            <v>VAX HOUSING FINANCE CORPORATION LTD</v>
          </cell>
          <cell r="B4602">
            <v>531650</v>
          </cell>
          <cell r="C4602" t="str">
            <v>Not Listed</v>
          </cell>
        </row>
        <row r="4603">
          <cell r="A4603" t="str">
            <v>VBC FERRO ALLOYS LTD</v>
          </cell>
          <cell r="B4603">
            <v>513005</v>
          </cell>
          <cell r="C4603" t="str">
            <v>Not Listed</v>
          </cell>
        </row>
        <row r="4604">
          <cell r="A4604" t="str">
            <v>VCK CAPITAL MARKET SERVICES LTD</v>
          </cell>
          <cell r="B4604">
            <v>511493</v>
          </cell>
          <cell r="C4604" t="str">
            <v>Not Listed</v>
          </cell>
        </row>
        <row r="4605">
          <cell r="A4605" t="str">
            <v>VCU DATA MANAGEMENT LTD</v>
          </cell>
          <cell r="B4605">
            <v>536672</v>
          </cell>
          <cell r="C4605" t="str">
            <v>Not Listed</v>
          </cell>
        </row>
        <row r="4606">
          <cell r="A4606" t="str">
            <v>VEDANTA LTD</v>
          </cell>
          <cell r="B4606">
            <v>500295</v>
          </cell>
          <cell r="C4606" t="str">
            <v>VEDL</v>
          </cell>
        </row>
        <row r="4607">
          <cell r="A4607" t="str">
            <v>VEDAVAAG SYSTEMS LTD</v>
          </cell>
          <cell r="B4607">
            <v>533056</v>
          </cell>
          <cell r="C4607" t="str">
            <v>Not Listed</v>
          </cell>
        </row>
        <row r="4608">
          <cell r="A4608" t="str">
            <v>VEEJAY LAKSHMI ENGINEERING WORKS LTD</v>
          </cell>
          <cell r="B4608">
            <v>522267</v>
          </cell>
          <cell r="C4608" t="str">
            <v>Not Listed</v>
          </cell>
        </row>
        <row r="4609">
          <cell r="A4609" t="str">
            <v>VEER ENERGY &amp; INFRASTRUCTURE LTD</v>
          </cell>
          <cell r="B4609">
            <v>503657</v>
          </cell>
          <cell r="C4609" t="str">
            <v>Not Listed</v>
          </cell>
        </row>
        <row r="4610">
          <cell r="A4610" t="str">
            <v>VEERAM INFRA ENGINEERING LTD</v>
          </cell>
          <cell r="B4610">
            <v>542046</v>
          </cell>
          <cell r="C4610" t="str">
            <v>Not Listed</v>
          </cell>
        </row>
        <row r="4611">
          <cell r="A4611" t="str">
            <v>VEERAM ORNAMENTS LTD</v>
          </cell>
          <cell r="B4611">
            <v>540252</v>
          </cell>
          <cell r="C4611" t="str">
            <v>Not Listed</v>
          </cell>
        </row>
        <row r="4612">
          <cell r="A4612" t="str">
            <v>VEERHEALTH CARE LTD</v>
          </cell>
          <cell r="B4612">
            <v>511523</v>
          </cell>
          <cell r="C4612" t="str">
            <v>Not Listed</v>
          </cell>
        </row>
        <row r="4613">
          <cell r="A4613" t="str">
            <v>VEGETABLE PRODUCTS LTD</v>
          </cell>
          <cell r="B4613">
            <v>539132</v>
          </cell>
          <cell r="C4613" t="str">
            <v>Not Listed</v>
          </cell>
        </row>
        <row r="4614">
          <cell r="A4614" t="str">
            <v>VELAN HOTELS LTD</v>
          </cell>
          <cell r="B4614">
            <v>526755</v>
          </cell>
          <cell r="C4614" t="str">
            <v>Not Listed</v>
          </cell>
        </row>
        <row r="4615">
          <cell r="A4615" t="str">
            <v>VELJAN DENISON LTD</v>
          </cell>
          <cell r="B4615">
            <v>505232</v>
          </cell>
          <cell r="C4615" t="str">
            <v>Not Listed</v>
          </cell>
        </row>
        <row r="4616">
          <cell r="A4616" t="str">
            <v>VENKY'S (INDIA) LTD</v>
          </cell>
          <cell r="B4616">
            <v>523261</v>
          </cell>
          <cell r="C4616" t="str">
            <v>VENKEYS</v>
          </cell>
        </row>
        <row r="4617">
          <cell r="A4617" t="str">
            <v>VENKY'S INDIA LTD</v>
          </cell>
          <cell r="B4617">
            <v>523261</v>
          </cell>
          <cell r="C4617" t="str">
            <v>VENKEYS</v>
          </cell>
        </row>
        <row r="4618">
          <cell r="A4618" t="str">
            <v>VENLON ENTERPRISES LTD</v>
          </cell>
          <cell r="B4618">
            <v>524038</v>
          </cell>
          <cell r="C4618" t="str">
            <v>Not Listed</v>
          </cell>
        </row>
        <row r="4619">
          <cell r="A4619" t="str">
            <v>VENTURA GUARANTY LTD.</v>
          </cell>
          <cell r="B4619">
            <v>512060</v>
          </cell>
          <cell r="C4619" t="str">
            <v>SHYAM</v>
          </cell>
        </row>
        <row r="4620">
          <cell r="A4620" t="str">
            <v>VENTURA TEXTILES LTD</v>
          </cell>
          <cell r="B4620">
            <v>516098</v>
          </cell>
          <cell r="C4620" t="str">
            <v>Not Listed</v>
          </cell>
        </row>
        <row r="4621">
          <cell r="A4621" t="str">
            <v>VENUS REMEDIES LTD</v>
          </cell>
          <cell r="B4621">
            <v>526953</v>
          </cell>
          <cell r="C4621" t="str">
            <v>VENUSREM</v>
          </cell>
        </row>
        <row r="4622">
          <cell r="A4622" t="str">
            <v>VERA SYNTHETIC LTD</v>
          </cell>
          <cell r="B4622" t="str">
            <v>Not Listed</v>
          </cell>
          <cell r="C4622" t="str">
            <v>VERA</v>
          </cell>
        </row>
        <row r="4623">
          <cell r="A4623" t="str">
            <v>VERITAS (INDIA) LTD</v>
          </cell>
          <cell r="B4623">
            <v>512229</v>
          </cell>
          <cell r="C4623" t="str">
            <v>Not Listed</v>
          </cell>
        </row>
        <row r="4624">
          <cell r="A4624" t="str">
            <v>VERITAS INDIA LTD</v>
          </cell>
          <cell r="B4624">
            <v>512229</v>
          </cell>
          <cell r="C4624" t="str">
            <v>Not Listed</v>
          </cell>
        </row>
        <row r="4625">
          <cell r="A4625" t="str">
            <v>VERONICA PRODUCTION LTD</v>
          </cell>
          <cell r="B4625">
            <v>531695</v>
          </cell>
          <cell r="C4625" t="str">
            <v>Not Listed</v>
          </cell>
        </row>
        <row r="4626">
          <cell r="A4626" t="str">
            <v>VERTEX SECURITIES LTD</v>
          </cell>
          <cell r="B4626">
            <v>531950</v>
          </cell>
          <cell r="C4626" t="str">
            <v>Not Listed</v>
          </cell>
        </row>
        <row r="4627">
          <cell r="A4627" t="str">
            <v>VERTICAL INDUSTRIES LTD</v>
          </cell>
          <cell r="B4627">
            <v>515099</v>
          </cell>
          <cell r="C4627" t="str">
            <v>Not Listed</v>
          </cell>
        </row>
        <row r="4628">
          <cell r="A4628" t="str">
            <v>VERTOZ ADVERTISING LTD</v>
          </cell>
          <cell r="B4628" t="str">
            <v>Not Listed</v>
          </cell>
          <cell r="C4628" t="str">
            <v>VERTOZ</v>
          </cell>
        </row>
        <row r="4629">
          <cell r="A4629" t="str">
            <v>VESUVIUS (INDIA) LTD</v>
          </cell>
          <cell r="B4629">
            <v>520113</v>
          </cell>
          <cell r="C4629" t="str">
            <v>VESUVIUS</v>
          </cell>
        </row>
        <row r="4630">
          <cell r="A4630" t="str">
            <v>VESUVIUS INDIA LTD</v>
          </cell>
          <cell r="B4630">
            <v>520113</v>
          </cell>
          <cell r="C4630" t="str">
            <v>VESUVIUS</v>
          </cell>
        </row>
        <row r="4631">
          <cell r="A4631" t="str">
            <v>VETO SWITCHGEARS AND CABLES LTD</v>
          </cell>
          <cell r="B4631">
            <v>539331</v>
          </cell>
          <cell r="C4631" t="str">
            <v>VETO</v>
          </cell>
        </row>
        <row r="4632">
          <cell r="A4632" t="str">
            <v>V-GUARD INDUSTRIES LTD</v>
          </cell>
          <cell r="B4632">
            <v>532953</v>
          </cell>
          <cell r="C4632" t="str">
            <v>VGUARD</v>
          </cell>
        </row>
        <row r="4633">
          <cell r="A4633" t="str">
            <v>VIAAN INDUSTRIES LTD</v>
          </cell>
          <cell r="B4633">
            <v>537524</v>
          </cell>
          <cell r="C4633" t="str">
            <v>Not Listed</v>
          </cell>
        </row>
        <row r="4634">
          <cell r="A4634" t="str">
            <v>VIBRANT GLOBAL CAPITAL LTD</v>
          </cell>
          <cell r="B4634">
            <v>538732</v>
          </cell>
          <cell r="C4634" t="str">
            <v>Not Listed</v>
          </cell>
        </row>
        <row r="4635">
          <cell r="A4635" t="str">
            <v>VICEROY HOTELS LTD</v>
          </cell>
          <cell r="B4635">
            <v>523796</v>
          </cell>
          <cell r="C4635" t="str">
            <v>VICEROY</v>
          </cell>
        </row>
        <row r="4636">
          <cell r="A4636" t="str">
            <v>VICTORIA MILLS LTD</v>
          </cell>
          <cell r="B4636">
            <v>503349</v>
          </cell>
          <cell r="C4636" t="str">
            <v>Not Listed</v>
          </cell>
        </row>
        <row r="4637">
          <cell r="A4637" t="str">
            <v>VICTORY PAPER &amp; BOARDS (INDIA) LTD</v>
          </cell>
          <cell r="B4637">
            <v>531234</v>
          </cell>
          <cell r="C4637" t="str">
            <v>Not Listed</v>
          </cell>
        </row>
        <row r="4638">
          <cell r="A4638" t="str">
            <v>VICTORY PAPER &amp; BOARDS INDIA LTD</v>
          </cell>
          <cell r="B4638">
            <v>531234</v>
          </cell>
          <cell r="C4638" t="str">
            <v>Not Listed</v>
          </cell>
        </row>
        <row r="4639">
          <cell r="A4639" t="str">
            <v>VIDEOCON INDUSTRIES LTD</v>
          </cell>
          <cell r="B4639">
            <v>511389</v>
          </cell>
          <cell r="C4639" t="str">
            <v>VIDEOIND</v>
          </cell>
        </row>
        <row r="4640">
          <cell r="A4640" t="str">
            <v>VIDHI SPECIALTY FOOD INGREDIENTS LTD</v>
          </cell>
          <cell r="B4640">
            <v>531717</v>
          </cell>
          <cell r="C4640" t="str">
            <v>VIDHIING</v>
          </cell>
        </row>
        <row r="4641">
          <cell r="A4641" t="str">
            <v>VIDLI RESTAURANTS LTD</v>
          </cell>
          <cell r="B4641">
            <v>539659</v>
          </cell>
          <cell r="C4641" t="str">
            <v>Not Listed</v>
          </cell>
        </row>
        <row r="4642">
          <cell r="A4642" t="str">
            <v>VIJAY SHANTHI BUILDERS LTD</v>
          </cell>
          <cell r="B4642">
            <v>523724</v>
          </cell>
          <cell r="C4642" t="str">
            <v>VIJSHAN</v>
          </cell>
        </row>
        <row r="4643">
          <cell r="A4643" t="str">
            <v>VIJAY SOLVEX LTD</v>
          </cell>
          <cell r="B4643">
            <v>531069</v>
          </cell>
          <cell r="C4643" t="str">
            <v>Not Listed</v>
          </cell>
        </row>
        <row r="4644">
          <cell r="A4644" t="str">
            <v>VIJAY TEXTILES LTD</v>
          </cell>
          <cell r="B4644">
            <v>530151</v>
          </cell>
          <cell r="C4644" t="str">
            <v>Not Listed</v>
          </cell>
        </row>
        <row r="4645">
          <cell r="A4645" t="str">
            <v>VIJAYA BANK</v>
          </cell>
          <cell r="B4645">
            <v>532401</v>
          </cell>
          <cell r="C4645" t="str">
            <v>VIJAYABANK</v>
          </cell>
        </row>
        <row r="4646">
          <cell r="A4646" t="str">
            <v>VIJI FINANCE LTD</v>
          </cell>
          <cell r="B4646">
            <v>537820</v>
          </cell>
          <cell r="C4646" t="str">
            <v>VIJIFIN</v>
          </cell>
        </row>
        <row r="4647">
          <cell r="A4647" t="str">
            <v>VIKALP SECURITIES LTD</v>
          </cell>
          <cell r="B4647">
            <v>531334</v>
          </cell>
          <cell r="C4647" t="str">
            <v>Not Listed</v>
          </cell>
        </row>
        <row r="4648">
          <cell r="A4648" t="str">
            <v>VIKAS ECOTECH LTD</v>
          </cell>
          <cell r="B4648">
            <v>530961</v>
          </cell>
          <cell r="C4648" t="str">
            <v>VIKASECO</v>
          </cell>
        </row>
        <row r="4649">
          <cell r="A4649" t="str">
            <v>Vikas Multicorp Ltd</v>
          </cell>
          <cell r="B4649">
            <v>542655</v>
          </cell>
          <cell r="C4649" t="str">
            <v>VIKASMCORP</v>
          </cell>
        </row>
        <row r="4650">
          <cell r="A4650" t="str">
            <v>VIKAS PROPPANT &amp; GRANITE LTD</v>
          </cell>
          <cell r="B4650">
            <v>531518</v>
          </cell>
          <cell r="C4650" t="str">
            <v>Not Listed</v>
          </cell>
        </row>
        <row r="4651">
          <cell r="A4651" t="str">
            <v>VIKAS WSP LTD</v>
          </cell>
          <cell r="B4651">
            <v>519307</v>
          </cell>
          <cell r="C4651" t="str">
            <v>Not Listed</v>
          </cell>
        </row>
        <row r="4652">
          <cell r="A4652" t="str">
            <v>VIKRAM THERMO (INDIA) LTD</v>
          </cell>
          <cell r="B4652">
            <v>530477</v>
          </cell>
          <cell r="C4652" t="str">
            <v>Not Listed</v>
          </cell>
        </row>
        <row r="4653">
          <cell r="A4653" t="str">
            <v>VIKRAM THERMO INDIA LTD</v>
          </cell>
          <cell r="B4653">
            <v>530477</v>
          </cell>
          <cell r="C4653" t="str">
            <v>Not Listed</v>
          </cell>
        </row>
        <row r="4654">
          <cell r="A4654" t="str">
            <v>VIKSIT ENGINEERING LTD</v>
          </cell>
          <cell r="B4654">
            <v>506196</v>
          </cell>
          <cell r="C4654" t="str">
            <v>Not Listed</v>
          </cell>
        </row>
        <row r="4655">
          <cell r="A4655" t="str">
            <v>VIMAL OIL &amp; FOODS LTD</v>
          </cell>
          <cell r="B4655">
            <v>519373</v>
          </cell>
          <cell r="C4655" t="str">
            <v>VIMALOIL</v>
          </cell>
        </row>
        <row r="4656">
          <cell r="A4656" t="str">
            <v>VIMTA LABS LTD</v>
          </cell>
          <cell r="B4656">
            <v>524394</v>
          </cell>
          <cell r="C4656" t="str">
            <v>VIMTALABS</v>
          </cell>
        </row>
        <row r="4657">
          <cell r="A4657" t="str">
            <v>VINADITYA TRADING CO LTD</v>
          </cell>
          <cell r="B4657">
            <v>504380</v>
          </cell>
          <cell r="C4657" t="str">
            <v>Not Listed</v>
          </cell>
        </row>
        <row r="4658">
          <cell r="A4658" t="str">
            <v>VINATI ORGANICS LTD</v>
          </cell>
          <cell r="B4658">
            <v>524200</v>
          </cell>
          <cell r="C4658" t="str">
            <v>VINATIORGA</v>
          </cell>
        </row>
        <row r="4659">
          <cell r="A4659" t="str">
            <v>VINAYAK POLYCON INTERNATIONAL LTD</v>
          </cell>
          <cell r="B4659">
            <v>534639</v>
          </cell>
          <cell r="C4659" t="str">
            <v>Not Listed</v>
          </cell>
        </row>
        <row r="4660">
          <cell r="A4660" t="str">
            <v>VINDHYA TELELINKS LTD</v>
          </cell>
          <cell r="B4660">
            <v>517015</v>
          </cell>
          <cell r="C4660" t="str">
            <v>VINDHYATEL</v>
          </cell>
        </row>
        <row r="4661">
          <cell r="A4661" t="str">
            <v>VINNY OVERSEAS LTD</v>
          </cell>
          <cell r="B4661" t="str">
            <v>Not Listed</v>
          </cell>
          <cell r="C4661" t="str">
            <v>VINNY</v>
          </cell>
        </row>
        <row r="4662">
          <cell r="A4662" t="str">
            <v>VINTAGE SECURITIES LTD</v>
          </cell>
          <cell r="B4662">
            <v>531051</v>
          </cell>
          <cell r="C4662" t="str">
            <v>Not Listed</v>
          </cell>
        </row>
        <row r="4663">
          <cell r="A4663" t="str">
            <v>VINYL CHEMICALS (INDIA) LTD</v>
          </cell>
          <cell r="B4663">
            <v>524129</v>
          </cell>
          <cell r="C4663" t="str">
            <v>VINYL(INDIA)</v>
          </cell>
        </row>
        <row r="4664">
          <cell r="A4664" t="str">
            <v>VINYL CHEMICALS INDIA LTD</v>
          </cell>
          <cell r="B4664">
            <v>524129</v>
          </cell>
          <cell r="C4664" t="str">
            <v>VINYLINDIA</v>
          </cell>
        </row>
        <row r="4665">
          <cell r="A4665" t="str">
            <v>VINYOFLEX LTD</v>
          </cell>
          <cell r="B4665">
            <v>530401</v>
          </cell>
          <cell r="C4665" t="str">
            <v>Not Listed</v>
          </cell>
        </row>
        <row r="4666">
          <cell r="A4666" t="str">
            <v>VIP CLOTHING LTD</v>
          </cell>
          <cell r="B4666">
            <v>532613</v>
          </cell>
          <cell r="C4666" t="str">
            <v>VIPCLOTHNG</v>
          </cell>
        </row>
        <row r="4667">
          <cell r="A4667" t="str">
            <v>VIP INDUSTRIES LTD</v>
          </cell>
          <cell r="B4667">
            <v>507880</v>
          </cell>
          <cell r="C4667" t="str">
            <v>VIPIND</v>
          </cell>
        </row>
        <row r="4668">
          <cell r="A4668" t="str">
            <v>VIPPY SPINPRO LTD</v>
          </cell>
          <cell r="B4668">
            <v>514302</v>
          </cell>
          <cell r="C4668" t="str">
            <v>Not Listed</v>
          </cell>
        </row>
        <row r="4669">
          <cell r="A4669" t="str">
            <v>VIPUL LTD</v>
          </cell>
          <cell r="B4669">
            <v>511726</v>
          </cell>
          <cell r="C4669" t="str">
            <v>VIPULLTD</v>
          </cell>
        </row>
        <row r="4670">
          <cell r="A4670" t="str">
            <v>VIPUL ORGANICS LTD</v>
          </cell>
          <cell r="B4670">
            <v>530627</v>
          </cell>
          <cell r="C4670" t="str">
            <v>Not Listed</v>
          </cell>
        </row>
        <row r="4671">
          <cell r="A4671" t="str">
            <v>VIRAT CRANE INDUSTRIES LTD</v>
          </cell>
          <cell r="B4671">
            <v>519457</v>
          </cell>
          <cell r="C4671" t="str">
            <v>Not Listed</v>
          </cell>
        </row>
        <row r="4672">
          <cell r="A4672" t="str">
            <v>VIRAT INDUSTRIES LTD</v>
          </cell>
          <cell r="B4672">
            <v>530521</v>
          </cell>
          <cell r="C4672" t="str">
            <v>Not Listed</v>
          </cell>
        </row>
        <row r="4673">
          <cell r="A4673" t="str">
            <v>VIRAT LEASING LTD</v>
          </cell>
          <cell r="B4673">
            <v>539167</v>
          </cell>
          <cell r="C4673" t="str">
            <v>Not Listed</v>
          </cell>
        </row>
        <row r="4674">
          <cell r="A4674" t="str">
            <v>VIRGO GLOBAL LTD</v>
          </cell>
          <cell r="B4674">
            <v>532354</v>
          </cell>
          <cell r="C4674" t="str">
            <v>Not Listed</v>
          </cell>
        </row>
        <row r="4675">
          <cell r="A4675" t="str">
            <v>VIRINCHI LTD</v>
          </cell>
          <cell r="B4675">
            <v>532372</v>
          </cell>
          <cell r="C4675" t="str">
            <v>Not Listed</v>
          </cell>
        </row>
        <row r="4676">
          <cell r="A4676" t="str">
            <v>VIRTUAL GLOBAL EDUCATION LTD</v>
          </cell>
          <cell r="B4676">
            <v>534741</v>
          </cell>
          <cell r="C4676" t="str">
            <v>Not Listed</v>
          </cell>
        </row>
        <row r="4677">
          <cell r="A4677" t="str">
            <v>VIRTUALSOFT SYSTEMS LTD</v>
          </cell>
          <cell r="B4677">
            <v>531126</v>
          </cell>
          <cell r="C4677" t="str">
            <v>Not Listed</v>
          </cell>
        </row>
        <row r="4678">
          <cell r="A4678" t="str">
            <v>VISA STEEL LTD</v>
          </cell>
          <cell r="B4678">
            <v>532721</v>
          </cell>
          <cell r="C4678" t="str">
            <v>VISASTEEL</v>
          </cell>
        </row>
        <row r="4679">
          <cell r="A4679" t="str">
            <v>VISAGAR FINANCIAL SERVICES LTD</v>
          </cell>
          <cell r="B4679">
            <v>531025</v>
          </cell>
          <cell r="C4679" t="str">
            <v>Not Listed</v>
          </cell>
        </row>
        <row r="4680">
          <cell r="A4680" t="str">
            <v>VISAGAR POLYTEX LTD</v>
          </cell>
          <cell r="B4680">
            <v>506146</v>
          </cell>
          <cell r="C4680" t="str">
            <v>VIVIDHA</v>
          </cell>
        </row>
        <row r="4681">
          <cell r="A4681" t="str">
            <v>VISAKA INDUSTRIES LTD</v>
          </cell>
          <cell r="B4681">
            <v>509055</v>
          </cell>
          <cell r="C4681" t="str">
            <v>VISAKAIND</v>
          </cell>
        </row>
        <row r="4682">
          <cell r="A4682" t="str">
            <v>VISCO TRADE ASSOCIATES LTD</v>
          </cell>
          <cell r="B4682">
            <v>540097</v>
          </cell>
          <cell r="C4682" t="str">
            <v>Not Listed</v>
          </cell>
        </row>
        <row r="4683">
          <cell r="A4683" t="str">
            <v>VISESH INFOTECNICS LTD</v>
          </cell>
          <cell r="B4683">
            <v>532411</v>
          </cell>
          <cell r="C4683" t="str">
            <v>VISESHINFO</v>
          </cell>
        </row>
        <row r="4684">
          <cell r="A4684" t="str">
            <v>VISHAL BEARINGS LTD</v>
          </cell>
          <cell r="B4684">
            <v>539398</v>
          </cell>
          <cell r="C4684" t="str">
            <v>Not Listed</v>
          </cell>
        </row>
        <row r="4685">
          <cell r="A4685" t="str">
            <v>VISHAL FABRICS LTD</v>
          </cell>
          <cell r="B4685">
            <v>538598</v>
          </cell>
          <cell r="C4685" t="str">
            <v>Not Listed</v>
          </cell>
        </row>
        <row r="4686">
          <cell r="A4686" t="str">
            <v>VISHNU CHEMICALS LTD</v>
          </cell>
          <cell r="B4686">
            <v>516072</v>
          </cell>
          <cell r="C4686" t="str">
            <v>VISHNU</v>
          </cell>
        </row>
        <row r="4687">
          <cell r="A4687" t="str">
            <v>Vishvprabha Ventures Ltd</v>
          </cell>
          <cell r="B4687">
            <v>512064</v>
          </cell>
          <cell r="C4687" t="str">
            <v>VISVEN</v>
          </cell>
        </row>
        <row r="4688">
          <cell r="A4688" t="str">
            <v>VISION CINEMAS LTD</v>
          </cell>
          <cell r="B4688">
            <v>526441</v>
          </cell>
          <cell r="C4688" t="str">
            <v>Not Listed</v>
          </cell>
        </row>
        <row r="4689">
          <cell r="A4689" t="str">
            <v>VISION CORPORATION LTD</v>
          </cell>
          <cell r="B4689">
            <v>531668</v>
          </cell>
          <cell r="C4689" t="str">
            <v>Not Listed</v>
          </cell>
        </row>
        <row r="4690">
          <cell r="A4690" t="str">
            <v>VISTA PHARMACEUTICALS LTD</v>
          </cell>
          <cell r="B4690">
            <v>524711</v>
          </cell>
          <cell r="C4690" t="str">
            <v>Not Listed</v>
          </cell>
        </row>
        <row r="4691">
          <cell r="A4691" t="str">
            <v>VISTAR AMAR LTD</v>
          </cell>
          <cell r="B4691">
            <v>538565</v>
          </cell>
          <cell r="C4691" t="str">
            <v>Not Listed</v>
          </cell>
        </row>
        <row r="4692">
          <cell r="A4692" t="str">
            <v>VITESSE AGRO LTD</v>
          </cell>
          <cell r="B4692">
            <v>540823</v>
          </cell>
          <cell r="C4692" t="str">
            <v>Not Listed</v>
          </cell>
        </row>
        <row r="4693">
          <cell r="A4693" t="str">
            <v>VIVANTA INDUSTRIES LTD</v>
          </cell>
          <cell r="B4693">
            <v>541735</v>
          </cell>
          <cell r="C4693" t="str">
            <v>Not Listed</v>
          </cell>
        </row>
        <row r="4694">
          <cell r="A4694" t="str">
            <v>VIVANZA BIOSCIENCES LTD</v>
          </cell>
          <cell r="B4694">
            <v>530057</v>
          </cell>
          <cell r="C4694" t="str">
            <v>Not Listed</v>
          </cell>
        </row>
        <row r="4695">
          <cell r="A4695" t="str">
            <v>VIVID GLOBAL INDUSTRIES LTD</v>
          </cell>
          <cell r="B4695">
            <v>524576</v>
          </cell>
          <cell r="C4695" t="str">
            <v>Not Listed</v>
          </cell>
        </row>
        <row r="4696">
          <cell r="A4696" t="str">
            <v>VIVIMED LABS LTD</v>
          </cell>
          <cell r="B4696">
            <v>532660</v>
          </cell>
          <cell r="C4696" t="str">
            <v>VIVIMEDLAB</v>
          </cell>
        </row>
        <row r="4697">
          <cell r="A4697" t="str">
            <v>VIVO BIO TECH LTD</v>
          </cell>
          <cell r="B4697">
            <v>511509</v>
          </cell>
          <cell r="C4697" t="str">
            <v>Not Listed</v>
          </cell>
        </row>
        <row r="4698">
          <cell r="A4698" t="str">
            <v>VJTF EDUSERVICES LTD</v>
          </cell>
          <cell r="B4698">
            <v>509026</v>
          </cell>
          <cell r="C4698" t="str">
            <v>Not Listed</v>
          </cell>
        </row>
        <row r="4699">
          <cell r="A4699" t="str">
            <v>VKJ INFRADEVELOPERS LTD</v>
          </cell>
          <cell r="B4699">
            <v>536128</v>
          </cell>
          <cell r="C4699" t="str">
            <v>Not Listed</v>
          </cell>
        </row>
        <row r="4700">
          <cell r="A4700" t="str">
            <v>VLS FINANCE LTD</v>
          </cell>
          <cell r="B4700">
            <v>511333</v>
          </cell>
          <cell r="C4700" t="str">
            <v>VLSFINANCE</v>
          </cell>
        </row>
        <row r="4701">
          <cell r="A4701" t="str">
            <v>V-MART RETAIL LTD</v>
          </cell>
          <cell r="B4701">
            <v>534976</v>
          </cell>
          <cell r="C4701" t="str">
            <v>VMART</v>
          </cell>
        </row>
        <row r="4702">
          <cell r="A4702" t="str">
            <v>VMS INDUSTRIES LTD</v>
          </cell>
          <cell r="B4702">
            <v>533427</v>
          </cell>
          <cell r="C4702" t="str">
            <v>Not Listed</v>
          </cell>
        </row>
        <row r="4703">
          <cell r="A4703" t="str">
            <v>VMV HOLIDAYS LTD</v>
          </cell>
          <cell r="B4703">
            <v>539222</v>
          </cell>
          <cell r="C4703" t="str">
            <v>Not Listed</v>
          </cell>
        </row>
        <row r="4704">
          <cell r="A4704" t="str">
            <v>VODAFONE IDEA LTD</v>
          </cell>
          <cell r="B4704">
            <v>532822</v>
          </cell>
          <cell r="C4704" t="str">
            <v>IDEA</v>
          </cell>
        </row>
        <row r="4705">
          <cell r="A4705" t="str">
            <v>VOITH PAPER FABRICS (INDIA) LTD</v>
          </cell>
          <cell r="B4705">
            <v>522122</v>
          </cell>
          <cell r="C4705" t="str">
            <v>Not Listed</v>
          </cell>
        </row>
        <row r="4706">
          <cell r="A4706" t="str">
            <v>VOITH PAPER FABRICS INDIA LTD</v>
          </cell>
          <cell r="B4706">
            <v>522122</v>
          </cell>
          <cell r="C4706" t="str">
            <v>Not Listed</v>
          </cell>
        </row>
        <row r="4707">
          <cell r="A4707" t="str">
            <v>VOLTAIRE LEASING &amp; FINANCE LTD</v>
          </cell>
          <cell r="B4707">
            <v>509038</v>
          </cell>
          <cell r="C4707" t="str">
            <v>Not Listed</v>
          </cell>
        </row>
        <row r="4708">
          <cell r="A4708" t="str">
            <v>VOLTAMP TRANSFORMERS LTD</v>
          </cell>
          <cell r="B4708">
            <v>532757</v>
          </cell>
          <cell r="C4708" t="str">
            <v>VOLTAMP</v>
          </cell>
        </row>
        <row r="4709">
          <cell r="A4709" t="str">
            <v>VOLTAS LTD</v>
          </cell>
          <cell r="B4709">
            <v>500575</v>
          </cell>
          <cell r="C4709" t="str">
            <v>VOLTAS</v>
          </cell>
        </row>
        <row r="4710">
          <cell r="A4710" t="str">
            <v>VORA CONSTRUCTIONS LTD</v>
          </cell>
          <cell r="B4710">
            <v>512215</v>
          </cell>
          <cell r="C4710" t="str">
            <v>Not Listed</v>
          </cell>
        </row>
        <row r="4711">
          <cell r="A4711" t="str">
            <v>VRL LOGISTICS LTD</v>
          </cell>
          <cell r="B4711">
            <v>539118</v>
          </cell>
          <cell r="C4711" t="str">
            <v>VRLLOG</v>
          </cell>
        </row>
        <row r="4712">
          <cell r="A4712" t="str">
            <v>VSF PROJECTS LTD</v>
          </cell>
          <cell r="B4712">
            <v>519331</v>
          </cell>
          <cell r="C4712" t="str">
            <v>Not Listed</v>
          </cell>
        </row>
        <row r="4713">
          <cell r="A4713" t="str">
            <v>VST INDUSTRIES LTD</v>
          </cell>
          <cell r="B4713">
            <v>509966</v>
          </cell>
          <cell r="C4713" t="str">
            <v>VSTIND</v>
          </cell>
        </row>
        <row r="4714">
          <cell r="A4714" t="str">
            <v>VTM LTD</v>
          </cell>
          <cell r="B4714">
            <v>532893</v>
          </cell>
          <cell r="C4714" t="str">
            <v>Not Listed</v>
          </cell>
        </row>
        <row r="4715">
          <cell r="A4715" t="str">
            <v>VXL INSTRUMENTS LTD.</v>
          </cell>
          <cell r="B4715">
            <v>517399</v>
          </cell>
          <cell r="C4715" t="str">
            <v>VXLINSTR</v>
          </cell>
        </row>
        <row r="4716">
          <cell r="A4716" t="str">
            <v>VYAPAR INDUSTRIES LTD</v>
          </cell>
          <cell r="B4716">
            <v>506142</v>
          </cell>
          <cell r="C4716" t="str">
            <v>Not Listed</v>
          </cell>
        </row>
        <row r="4717">
          <cell r="A4717" t="str">
            <v>W H BRADY &amp; CO LTD</v>
          </cell>
          <cell r="B4717">
            <v>501391</v>
          </cell>
          <cell r="C4717" t="str">
            <v>Not Listed</v>
          </cell>
        </row>
        <row r="4718">
          <cell r="A4718" t="str">
            <v>W S INDUSTRIES (INDIA) LTD</v>
          </cell>
          <cell r="B4718">
            <v>504220</v>
          </cell>
          <cell r="C4718" t="str">
            <v>Not Listed</v>
          </cell>
        </row>
        <row r="4719">
          <cell r="A4719" t="str">
            <v>W S INDUSTRIES I LTD</v>
          </cell>
          <cell r="B4719" t="str">
            <v>Not Listed</v>
          </cell>
          <cell r="C4719" t="str">
            <v>WSI</v>
          </cell>
        </row>
        <row r="4720">
          <cell r="A4720" t="str">
            <v>W S INDUSTRIES INDIA LTD</v>
          </cell>
          <cell r="B4720">
            <v>504220</v>
          </cell>
          <cell r="C4720" t="str">
            <v>Not Listed</v>
          </cell>
        </row>
        <row r="4721">
          <cell r="A4721" t="str">
            <v>W W TECHNOLOGY HOLDINGS LTD</v>
          </cell>
          <cell r="B4721">
            <v>505583</v>
          </cell>
          <cell r="C4721" t="str">
            <v>Not Listed</v>
          </cell>
        </row>
        <row r="4722">
          <cell r="A4722" t="str">
            <v>WAA SOLAR LTD</v>
          </cell>
          <cell r="B4722">
            <v>541445</v>
          </cell>
          <cell r="C4722" t="str">
            <v>Not Listed</v>
          </cell>
        </row>
        <row r="4723">
          <cell r="A4723" t="str">
            <v>WABCO (INDIA) LTD</v>
          </cell>
          <cell r="B4723">
            <v>533023</v>
          </cell>
          <cell r="C4723" t="str">
            <v>WABCO(INDIA)</v>
          </cell>
        </row>
        <row r="4724">
          <cell r="A4724" t="str">
            <v>WABCO INDIA LTD</v>
          </cell>
          <cell r="B4724">
            <v>533023</v>
          </cell>
          <cell r="C4724" t="str">
            <v>WABCOINDIA</v>
          </cell>
        </row>
        <row r="4725">
          <cell r="A4725" t="str">
            <v>WAGEND INFRA VENTURE LTD</v>
          </cell>
          <cell r="B4725">
            <v>503675</v>
          </cell>
          <cell r="C4725" t="str">
            <v>Not Listed</v>
          </cell>
        </row>
        <row r="4726">
          <cell r="A4726" t="str">
            <v>WALCHAND PEOPLEFIRST LTD</v>
          </cell>
          <cell r="B4726">
            <v>501370</v>
          </cell>
          <cell r="C4726" t="str">
            <v>Not Listed</v>
          </cell>
        </row>
        <row r="4727">
          <cell r="A4727" t="str">
            <v>WALCHANDNAGAR INDUSTRIES LTD</v>
          </cell>
          <cell r="B4727">
            <v>507410</v>
          </cell>
          <cell r="C4727" t="str">
            <v>WALCHANNAG</v>
          </cell>
        </row>
        <row r="4728">
          <cell r="A4728" t="str">
            <v>WALL STREET FINANCE LTD</v>
          </cell>
          <cell r="B4728">
            <v>511147</v>
          </cell>
          <cell r="C4728" t="str">
            <v>Not Listed</v>
          </cell>
        </row>
        <row r="4729">
          <cell r="A4729" t="str">
            <v>WALLFORT FINANCIAL SERVICES LTD</v>
          </cell>
          <cell r="B4729">
            <v>532053</v>
          </cell>
          <cell r="C4729" t="str">
            <v>Not Listed</v>
          </cell>
        </row>
        <row r="4730">
          <cell r="A4730" t="str">
            <v>WANBURY LTD</v>
          </cell>
          <cell r="B4730">
            <v>524212</v>
          </cell>
          <cell r="C4730" t="str">
            <v>WANBURY</v>
          </cell>
        </row>
        <row r="4731">
          <cell r="A4731" t="str">
            <v>WARNER MULTIMEDIA LTD</v>
          </cell>
          <cell r="B4731">
            <v>511690</v>
          </cell>
          <cell r="C4731" t="str">
            <v>Not Listed</v>
          </cell>
        </row>
        <row r="4732">
          <cell r="A4732" t="str">
            <v>WARREN TEA LTD</v>
          </cell>
          <cell r="B4732">
            <v>508494</v>
          </cell>
          <cell r="C4732" t="str">
            <v>Not Listed</v>
          </cell>
        </row>
        <row r="4733">
          <cell r="A4733" t="str">
            <v>WATERBASE LTD</v>
          </cell>
          <cell r="B4733">
            <v>523660</v>
          </cell>
          <cell r="C4733" t="str">
            <v>Not Listed</v>
          </cell>
        </row>
        <row r="4734">
          <cell r="A4734" t="str">
            <v>WEALTH FIRST PORTFOLIO MANAGERS LTD</v>
          </cell>
          <cell r="B4734" t="str">
            <v>Not Listed</v>
          </cell>
          <cell r="C4734" t="str">
            <v>WEALTH</v>
          </cell>
        </row>
        <row r="4735">
          <cell r="A4735" t="str">
            <v>WEB ELEMENT SOLUTIONS LTD</v>
          </cell>
          <cell r="B4735">
            <v>780016</v>
          </cell>
          <cell r="C4735" t="str">
            <v>Not Listed</v>
          </cell>
        </row>
        <row r="4736">
          <cell r="A4736" t="str">
            <v>WEBSOL ENERGY SYSTEM LTD</v>
          </cell>
          <cell r="B4736">
            <v>517498</v>
          </cell>
          <cell r="C4736" t="str">
            <v>WEBELSOLAR</v>
          </cell>
        </row>
        <row r="4737">
          <cell r="A4737" t="str">
            <v>WEIZMANN FINCORP LTD</v>
          </cell>
          <cell r="B4737">
            <v>511074</v>
          </cell>
          <cell r="C4737" t="str">
            <v>Not Listed</v>
          </cell>
        </row>
        <row r="4738">
          <cell r="A4738" t="str">
            <v>WEIZMANN FOREX LTD</v>
          </cell>
          <cell r="B4738">
            <v>533452</v>
          </cell>
          <cell r="C4738" t="str">
            <v>WEIZFOREX</v>
          </cell>
        </row>
        <row r="4739">
          <cell r="A4739" t="str">
            <v>WEIZMANN LTD</v>
          </cell>
          <cell r="B4739">
            <v>523011</v>
          </cell>
          <cell r="C4739" t="str">
            <v>WEIZMANIND</v>
          </cell>
        </row>
        <row r="4740">
          <cell r="A4740" t="str">
            <v>WELCAST STEELS LTD</v>
          </cell>
          <cell r="B4740">
            <v>504988</v>
          </cell>
          <cell r="C4740" t="str">
            <v>Not Listed</v>
          </cell>
        </row>
        <row r="4741">
          <cell r="A4741" t="str">
            <v>WELCURE DRUGS &amp; PHARMACEUTICALS LTD</v>
          </cell>
          <cell r="B4741">
            <v>524661</v>
          </cell>
          <cell r="C4741" t="str">
            <v>Not Listed</v>
          </cell>
        </row>
        <row r="4742">
          <cell r="A4742" t="str">
            <v>WELLESLEY CORPORATION LTD</v>
          </cell>
          <cell r="B4742">
            <v>532016</v>
          </cell>
          <cell r="C4742" t="str">
            <v>Not Listed</v>
          </cell>
        </row>
        <row r="4743">
          <cell r="A4743" t="str">
            <v>WELLNESS NONI LTD</v>
          </cell>
          <cell r="B4743">
            <v>531211</v>
          </cell>
          <cell r="C4743" t="str">
            <v>Not Listed</v>
          </cell>
        </row>
        <row r="4744">
          <cell r="A4744" t="str">
            <v>WELSPUN (INDIA) LTD</v>
          </cell>
          <cell r="B4744">
            <v>514162</v>
          </cell>
          <cell r="C4744" t="str">
            <v>WELSPUNIND</v>
          </cell>
        </row>
        <row r="4745">
          <cell r="A4745" t="str">
            <v>WELSPUN CORP LTD</v>
          </cell>
          <cell r="B4745">
            <v>532144</v>
          </cell>
          <cell r="C4745" t="str">
            <v>WELCORP</v>
          </cell>
        </row>
        <row r="4746">
          <cell r="A4746" t="str">
            <v>WELSPUN ENTERPRISES LTD</v>
          </cell>
          <cell r="B4746">
            <v>532553</v>
          </cell>
          <cell r="C4746" t="str">
            <v>WELENT</v>
          </cell>
        </row>
        <row r="4747">
          <cell r="A4747" t="str">
            <v>WELSPUN INDIA LTD</v>
          </cell>
          <cell r="B4747">
            <v>514162</v>
          </cell>
          <cell r="C4747" t="str">
            <v>WELSPUNIND</v>
          </cell>
        </row>
        <row r="4748">
          <cell r="A4748" t="str">
            <v>WELSPUN INVESTMENTS AND COMMERCIALS LTD</v>
          </cell>
          <cell r="B4748">
            <v>533252</v>
          </cell>
          <cell r="C4748" t="str">
            <v>WELINV</v>
          </cell>
        </row>
        <row r="4749">
          <cell r="A4749" t="str">
            <v>WELTERMAN INTERNATIONAL LTD</v>
          </cell>
          <cell r="B4749">
            <v>526431</v>
          </cell>
          <cell r="C4749" t="str">
            <v>Not Listed</v>
          </cell>
        </row>
        <row r="4750">
          <cell r="A4750" t="str">
            <v>WENDT (INDIA) LTD</v>
          </cell>
          <cell r="B4750">
            <v>505412</v>
          </cell>
          <cell r="C4750" t="str">
            <v>WENDT</v>
          </cell>
        </row>
        <row r="4751">
          <cell r="A4751" t="str">
            <v>WENDT INDIA LTD</v>
          </cell>
          <cell r="B4751">
            <v>505412</v>
          </cell>
          <cell r="C4751" t="str">
            <v>WENDT</v>
          </cell>
        </row>
        <row r="4752">
          <cell r="A4752" t="str">
            <v>WEP SOLUTIONS LTD</v>
          </cell>
          <cell r="B4752">
            <v>532373</v>
          </cell>
          <cell r="C4752" t="str">
            <v>Not Listed</v>
          </cell>
        </row>
        <row r="4753">
          <cell r="A4753" t="str">
            <v>WEST COAST PAPER MILLS LTD</v>
          </cell>
          <cell r="B4753">
            <v>500444</v>
          </cell>
          <cell r="C4753" t="str">
            <v>WSTCSTPAPR</v>
          </cell>
        </row>
        <row r="4754">
          <cell r="A4754" t="str">
            <v>WEST LEISURE RESORTS LTD</v>
          </cell>
          <cell r="B4754">
            <v>538382</v>
          </cell>
          <cell r="C4754" t="str">
            <v>Not Listed</v>
          </cell>
        </row>
        <row r="4755">
          <cell r="A4755" t="str">
            <v>WESTERN MINISTIL LTD</v>
          </cell>
          <cell r="B4755">
            <v>504998</v>
          </cell>
          <cell r="C4755" t="str">
            <v>Not Listed</v>
          </cell>
        </row>
        <row r="4756">
          <cell r="A4756" t="str">
            <v>WESTLIFE DEVELOPMENT LTD</v>
          </cell>
          <cell r="B4756">
            <v>505533</v>
          </cell>
          <cell r="C4756" t="str">
            <v>Not Listed</v>
          </cell>
        </row>
        <row r="4757">
          <cell r="A4757" t="str">
            <v>WHEELS (INDIA) LTD</v>
          </cell>
          <cell r="B4757">
            <v>590073</v>
          </cell>
          <cell r="C4757" t="str">
            <v>WHEELS</v>
          </cell>
        </row>
        <row r="4758">
          <cell r="A4758" t="str">
            <v>WHEELS INDIA LTD</v>
          </cell>
          <cell r="B4758">
            <v>590073</v>
          </cell>
          <cell r="C4758" t="str">
            <v>WHEELS</v>
          </cell>
        </row>
        <row r="4759">
          <cell r="A4759" t="str">
            <v>WHIRLPOOL OF (INDIA) LTD</v>
          </cell>
          <cell r="B4759">
            <v>500238</v>
          </cell>
          <cell r="C4759" t="str">
            <v>WHIRLPOOL</v>
          </cell>
        </row>
        <row r="4760">
          <cell r="A4760" t="str">
            <v>WHIRLPOOL OF INDIA LTD</v>
          </cell>
          <cell r="B4760">
            <v>500238</v>
          </cell>
          <cell r="C4760" t="str">
            <v>WHIRLPOOL</v>
          </cell>
        </row>
        <row r="4761">
          <cell r="A4761" t="str">
            <v>WHITE ORGANIC AGRO LTD</v>
          </cell>
          <cell r="B4761">
            <v>513713</v>
          </cell>
          <cell r="C4761" t="str">
            <v>Not Listed</v>
          </cell>
        </row>
        <row r="4762">
          <cell r="A4762" t="str">
            <v>White Organic Retail Ltd</v>
          </cell>
          <cell r="B4762">
            <v>542667</v>
          </cell>
          <cell r="C4762" t="str">
            <v>WORL</v>
          </cell>
        </row>
        <row r="4763">
          <cell r="A4763" t="str">
            <v>WILLIAMSON FINANCIAL SERVICES LTD</v>
          </cell>
          <cell r="B4763">
            <v>519214</v>
          </cell>
          <cell r="C4763" t="str">
            <v>Not Listed</v>
          </cell>
        </row>
        <row r="4764">
          <cell r="A4764" t="str">
            <v>WILLIAMSON MAGOR &amp; COMPANY LTD</v>
          </cell>
          <cell r="B4764">
            <v>519224</v>
          </cell>
          <cell r="C4764" t="str">
            <v>WILLAMAGOR</v>
          </cell>
        </row>
        <row r="4765">
          <cell r="A4765" t="str">
            <v>WIM PLAST LTD</v>
          </cell>
          <cell r="B4765">
            <v>526586</v>
          </cell>
          <cell r="C4765" t="str">
            <v>Not Listed</v>
          </cell>
        </row>
        <row r="4766">
          <cell r="A4766" t="str">
            <v>WINDSOR MACHINES LTD</v>
          </cell>
          <cell r="B4766">
            <v>522029</v>
          </cell>
          <cell r="C4766" t="str">
            <v>WINDMACHIN</v>
          </cell>
        </row>
        <row r="4767">
          <cell r="A4767" t="str">
            <v>WINRO COMMERCIAL (INDIA) LTD</v>
          </cell>
          <cell r="B4767">
            <v>512022</v>
          </cell>
          <cell r="C4767" t="str">
            <v>Not Listed</v>
          </cell>
        </row>
        <row r="4768">
          <cell r="A4768" t="str">
            <v>WINRO COMMERCIAL INDIA LTD</v>
          </cell>
          <cell r="B4768">
            <v>512022</v>
          </cell>
          <cell r="C4768" t="str">
            <v>Not Listed</v>
          </cell>
        </row>
        <row r="4769">
          <cell r="A4769" t="str">
            <v>WINSOME BREWERIES LTD</v>
          </cell>
          <cell r="B4769">
            <v>526471</v>
          </cell>
          <cell r="C4769" t="str">
            <v>Not Listed</v>
          </cell>
        </row>
        <row r="4770">
          <cell r="A4770" t="str">
            <v>WINSOME TEXTILE INDUSTRIES LTD</v>
          </cell>
          <cell r="B4770">
            <v>514470</v>
          </cell>
          <cell r="C4770" t="str">
            <v>Not Listed</v>
          </cell>
        </row>
        <row r="4771">
          <cell r="A4771" t="str">
            <v>WINSOME YARNS LTD</v>
          </cell>
          <cell r="B4771">
            <v>514348</v>
          </cell>
          <cell r="C4771" t="str">
            <v>WINSOME</v>
          </cell>
        </row>
        <row r="4772">
          <cell r="A4772" t="str">
            <v>WINTAC LTD</v>
          </cell>
          <cell r="B4772">
            <v>524758</v>
          </cell>
          <cell r="C4772" t="str">
            <v>Not Listed</v>
          </cell>
        </row>
        <row r="4773">
          <cell r="A4773" t="str">
            <v>WINY COMMERCIAL &amp; FISCAL SERVICES LTD</v>
          </cell>
          <cell r="B4773">
            <v>538873</v>
          </cell>
          <cell r="C4773" t="str">
            <v>Not Listed</v>
          </cell>
        </row>
        <row r="4774">
          <cell r="A4774" t="str">
            <v>WIPRO LTD</v>
          </cell>
          <cell r="B4774">
            <v>507685</v>
          </cell>
          <cell r="C4774" t="str">
            <v>WIPRO</v>
          </cell>
        </row>
        <row r="4775">
          <cell r="A4775" t="str">
            <v>WIRES &amp; FABRIKS SA LTD</v>
          </cell>
          <cell r="B4775">
            <v>507817</v>
          </cell>
          <cell r="C4775" t="str">
            <v>Not Listed</v>
          </cell>
        </row>
        <row r="4776">
          <cell r="A4776" t="str">
            <v>WISEC GLOBAL LTD</v>
          </cell>
          <cell r="B4776">
            <v>511642</v>
          </cell>
          <cell r="C4776" t="str">
            <v>Not Listed</v>
          </cell>
        </row>
        <row r="4777">
          <cell r="A4777" t="str">
            <v>WOCKHARDT LTD</v>
          </cell>
          <cell r="B4777">
            <v>532300</v>
          </cell>
          <cell r="C4777" t="str">
            <v>WOCKPHARMA</v>
          </cell>
        </row>
        <row r="4778">
          <cell r="A4778" t="str">
            <v>WOMEN NETWORKS LTD</v>
          </cell>
          <cell r="B4778">
            <v>531396</v>
          </cell>
          <cell r="C4778" t="str">
            <v>Not Listed</v>
          </cell>
        </row>
        <row r="4779">
          <cell r="A4779" t="str">
            <v>WOMENS NEXT LOUNGERIES LTD</v>
          </cell>
          <cell r="B4779">
            <v>538128</v>
          </cell>
          <cell r="C4779" t="str">
            <v>Not Listed</v>
          </cell>
        </row>
        <row r="4780">
          <cell r="A4780" t="str">
            <v>WONDERLA HOLIDAYS LTD</v>
          </cell>
          <cell r="B4780">
            <v>538268</v>
          </cell>
          <cell r="C4780" t="str">
            <v>WONDERLA</v>
          </cell>
        </row>
        <row r="4781">
          <cell r="A4781" t="str">
            <v>WOODSVILLA LTD</v>
          </cell>
          <cell r="B4781">
            <v>526959</v>
          </cell>
          <cell r="C4781" t="str">
            <v>Not Listed</v>
          </cell>
        </row>
        <row r="4782">
          <cell r="A4782" t="str">
            <v>WORLDWIDE LEATHER EXPORTS LTD</v>
          </cell>
          <cell r="B4782">
            <v>526525</v>
          </cell>
          <cell r="C4782" t="str">
            <v>Not Listed</v>
          </cell>
        </row>
        <row r="4783">
          <cell r="A4783" t="str">
            <v>WORTH INVESTMENT &amp; TRADING CO LTD</v>
          </cell>
          <cell r="B4783">
            <v>538451</v>
          </cell>
          <cell r="C4783" t="str">
            <v>Not Listed</v>
          </cell>
        </row>
        <row r="4784">
          <cell r="A4784" t="str">
            <v>WORTH PERIPHERALS LTD</v>
          </cell>
          <cell r="B4784" t="str">
            <v>Not Listed</v>
          </cell>
          <cell r="C4784" t="str">
            <v>WORTH</v>
          </cell>
        </row>
        <row r="4785">
          <cell r="A4785" t="str">
            <v>WPIL LTD</v>
          </cell>
          <cell r="B4785">
            <v>505872</v>
          </cell>
          <cell r="C4785" t="str">
            <v>Not Listed</v>
          </cell>
        </row>
        <row r="4786">
          <cell r="A4786" t="str">
            <v>XCHANGING SOLUTIONS LTD</v>
          </cell>
          <cell r="B4786">
            <v>532616</v>
          </cell>
          <cell r="C4786" t="str">
            <v>XCHANGING</v>
          </cell>
        </row>
        <row r="4787">
          <cell r="A4787" t="str">
            <v>Xelpmoc Design and Tech Ltd</v>
          </cell>
          <cell r="B4787">
            <v>542367</v>
          </cell>
          <cell r="C4787" t="str">
            <v>XELPMOC</v>
          </cell>
        </row>
        <row r="4788">
          <cell r="A4788" t="str">
            <v>XL ENERGY LTD</v>
          </cell>
          <cell r="B4788">
            <v>532788</v>
          </cell>
          <cell r="C4788" t="str">
            <v>XLENERGY</v>
          </cell>
        </row>
        <row r="4789">
          <cell r="A4789" t="str">
            <v>XPRO (INDIA) LTD</v>
          </cell>
          <cell r="B4789">
            <v>590013</v>
          </cell>
          <cell r="C4789" t="str">
            <v>XPRO(INDIA)</v>
          </cell>
        </row>
        <row r="4790">
          <cell r="A4790" t="str">
            <v>XPRO INDIA LTD</v>
          </cell>
          <cell r="B4790">
            <v>590013</v>
          </cell>
          <cell r="C4790" t="str">
            <v>XPROINDIA</v>
          </cell>
        </row>
        <row r="4791">
          <cell r="A4791" t="str">
            <v>YAMINI INVESTMENTS COMPANY LTD</v>
          </cell>
          <cell r="B4791">
            <v>511012</v>
          </cell>
          <cell r="C4791" t="str">
            <v>Not Listed</v>
          </cell>
        </row>
        <row r="4792">
          <cell r="A4792" t="str">
            <v>YARN SYNDICATE LTD</v>
          </cell>
          <cell r="B4792">
            <v>514378</v>
          </cell>
          <cell r="C4792" t="str">
            <v>Not Listed</v>
          </cell>
        </row>
        <row r="4793">
          <cell r="A4793" t="str">
            <v>YASH CHEMEX LTD</v>
          </cell>
          <cell r="B4793">
            <v>539939</v>
          </cell>
          <cell r="C4793" t="str">
            <v>Not Listed</v>
          </cell>
        </row>
        <row r="4794">
          <cell r="A4794" t="str">
            <v>YASH MANAGEMENT &amp; SATELLITE LTD</v>
          </cell>
          <cell r="B4794">
            <v>511601</v>
          </cell>
          <cell r="C4794" t="str">
            <v>Not Listed</v>
          </cell>
        </row>
        <row r="4795">
          <cell r="A4795" t="str">
            <v>YASH PAPERS LTD</v>
          </cell>
          <cell r="B4795">
            <v>516030</v>
          </cell>
          <cell r="C4795" t="str">
            <v>Not Listed</v>
          </cell>
        </row>
        <row r="4796">
          <cell r="A4796" t="str">
            <v>YASHO INDUSTRIES LTD</v>
          </cell>
          <cell r="B4796">
            <v>541167</v>
          </cell>
          <cell r="C4796" t="str">
            <v>Not Listed</v>
          </cell>
        </row>
        <row r="4797">
          <cell r="A4797" t="str">
            <v>YASHRAJ CONTAINEURS LTD</v>
          </cell>
          <cell r="B4797">
            <v>530063</v>
          </cell>
          <cell r="C4797" t="str">
            <v>Not Listed</v>
          </cell>
        </row>
        <row r="4798">
          <cell r="A4798" t="str">
            <v>YES BANK LTD</v>
          </cell>
          <cell r="B4798">
            <v>532648</v>
          </cell>
          <cell r="C4798" t="str">
            <v>YESBANK</v>
          </cell>
        </row>
        <row r="4799">
          <cell r="A4799" t="str">
            <v>YKM INDUSTRIES LTD</v>
          </cell>
          <cell r="B4799">
            <v>531260</v>
          </cell>
          <cell r="C4799" t="str">
            <v>Not Listed</v>
          </cell>
        </row>
        <row r="4800">
          <cell r="A4800" t="str">
            <v>YOGI SUNG-WON (INDIA) LTD</v>
          </cell>
          <cell r="B4800">
            <v>522209</v>
          </cell>
          <cell r="C4800" t="str">
            <v>Not Listed</v>
          </cell>
        </row>
        <row r="4801">
          <cell r="A4801" t="str">
            <v>YOGI SUNG-WON INDIA LTD</v>
          </cell>
          <cell r="B4801">
            <v>522209</v>
          </cell>
          <cell r="C4801" t="str">
            <v>Not Listed</v>
          </cell>
        </row>
        <row r="4802">
          <cell r="A4802" t="str">
            <v>YOGYA ENTERPRISES LTD</v>
          </cell>
          <cell r="B4802">
            <v>539097</v>
          </cell>
          <cell r="C4802" t="str">
            <v>Not Listed</v>
          </cell>
        </row>
        <row r="4803">
          <cell r="A4803" t="str">
            <v>YORK EXPORTS LTD</v>
          </cell>
          <cell r="B4803">
            <v>530675</v>
          </cell>
          <cell r="C4803" t="str">
            <v>Not Listed</v>
          </cell>
        </row>
        <row r="4804">
          <cell r="A4804" t="str">
            <v>YUG DECOR LTD</v>
          </cell>
          <cell r="B4804">
            <v>540550</v>
          </cell>
          <cell r="C4804" t="str">
            <v>Not Listed</v>
          </cell>
        </row>
        <row r="4805">
          <cell r="A4805" t="str">
            <v>YUKEN (INDIA) LTD</v>
          </cell>
          <cell r="B4805">
            <v>522108</v>
          </cell>
          <cell r="C4805" t="str">
            <v>Not Listed</v>
          </cell>
        </row>
        <row r="4806">
          <cell r="A4806" t="str">
            <v>YUKEN INDIA LTD</v>
          </cell>
          <cell r="B4806">
            <v>522108</v>
          </cell>
          <cell r="C4806" t="str">
            <v>Not Listed</v>
          </cell>
        </row>
        <row r="4807">
          <cell r="A4807" t="str">
            <v>YURANUS INFRASTRUCTURE LTD</v>
          </cell>
          <cell r="B4807">
            <v>536846</v>
          </cell>
          <cell r="C4807" t="str">
            <v>Not Listed</v>
          </cell>
        </row>
        <row r="4808">
          <cell r="A4808" t="str">
            <v>YUVRAAJ HYGIENE PRODUCTS LTD.</v>
          </cell>
          <cell r="B4808">
            <v>531663</v>
          </cell>
          <cell r="C4808" t="str">
            <v>YUVRAAJHPL</v>
          </cell>
        </row>
        <row r="4809">
          <cell r="A4809" t="str">
            <v>Z F STEERING GEAR (INDIA) LTD</v>
          </cell>
          <cell r="B4809">
            <v>505163</v>
          </cell>
          <cell r="C4809" t="str">
            <v>Not Listed</v>
          </cell>
        </row>
        <row r="4810">
          <cell r="A4810" t="str">
            <v>Z F STEERING GEAR INDIA LTD</v>
          </cell>
          <cell r="B4810">
            <v>505163</v>
          </cell>
          <cell r="C4810" t="str">
            <v>Not Listed</v>
          </cell>
        </row>
        <row r="4811">
          <cell r="A4811" t="str">
            <v>ZEAL AQUA LTD</v>
          </cell>
          <cell r="B4811">
            <v>539963</v>
          </cell>
          <cell r="C4811" t="str">
            <v>Not Listed</v>
          </cell>
        </row>
        <row r="4812">
          <cell r="A4812" t="str">
            <v>ZEE ENTERTAINMENT ENTERPRISES LTD</v>
          </cell>
          <cell r="B4812">
            <v>505537</v>
          </cell>
          <cell r="C4812" t="str">
            <v>ZEEL</v>
          </cell>
        </row>
        <row r="4813">
          <cell r="A4813" t="str">
            <v>ZEE LEARN LTD</v>
          </cell>
          <cell r="B4813">
            <v>533287</v>
          </cell>
          <cell r="C4813" t="str">
            <v>ZEELEARN</v>
          </cell>
        </row>
        <row r="4814">
          <cell r="A4814" t="str">
            <v>ZEE MEDIA CORPORATION LTD</v>
          </cell>
          <cell r="B4814">
            <v>532794</v>
          </cell>
          <cell r="C4814" t="str">
            <v>ZEEMEDIA</v>
          </cell>
        </row>
        <row r="4815">
          <cell r="A4815" t="str">
            <v>ZEN TECHNOLOGIES LTD</v>
          </cell>
          <cell r="B4815">
            <v>533339</v>
          </cell>
          <cell r="C4815" t="str">
            <v>ZENTEC</v>
          </cell>
        </row>
        <row r="4816">
          <cell r="A4816" t="str">
            <v>ZENITH BIRLA (INDIA) LTD</v>
          </cell>
          <cell r="B4816">
            <v>531845</v>
          </cell>
          <cell r="C4816" t="str">
            <v>ZENITHBIR</v>
          </cell>
        </row>
        <row r="4817">
          <cell r="A4817" t="str">
            <v>ZENITH BIRLA INDIA LTD</v>
          </cell>
          <cell r="B4817">
            <v>531845</v>
          </cell>
          <cell r="C4817" t="str">
            <v>ZENITHBIR</v>
          </cell>
        </row>
        <row r="4818">
          <cell r="A4818" t="str">
            <v>ZENITH EXPORTS LTD</v>
          </cell>
          <cell r="B4818">
            <v>512553</v>
          </cell>
          <cell r="C4818" t="str">
            <v>ZENITHEXPO</v>
          </cell>
        </row>
        <row r="4819">
          <cell r="A4819" t="str">
            <v>ZENITH FIBRES LTD</v>
          </cell>
          <cell r="B4819">
            <v>514266</v>
          </cell>
          <cell r="C4819" t="str">
            <v>Not Listed</v>
          </cell>
        </row>
        <row r="4820">
          <cell r="A4820" t="str">
            <v>ZENITH HEALTH CARE LTD</v>
          </cell>
          <cell r="B4820">
            <v>530665</v>
          </cell>
          <cell r="C4820" t="str">
            <v>Not Listed</v>
          </cell>
        </row>
        <row r="4821">
          <cell r="A4821" t="str">
            <v>ZENLABS ETHICA LTD</v>
          </cell>
          <cell r="B4821">
            <v>530697</v>
          </cell>
          <cell r="C4821" t="str">
            <v>Not Listed</v>
          </cell>
        </row>
        <row r="4822">
          <cell r="A4822" t="str">
            <v>ZENOTECH LABORATORIES LTD</v>
          </cell>
          <cell r="B4822">
            <v>532039</v>
          </cell>
          <cell r="C4822" t="str">
            <v>Not Listed</v>
          </cell>
        </row>
        <row r="4823">
          <cell r="A4823" t="str">
            <v>ZENSAR TECHNOLOGIES LTD</v>
          </cell>
          <cell r="B4823">
            <v>504067</v>
          </cell>
          <cell r="C4823" t="str">
            <v>ZENSARTECH</v>
          </cell>
        </row>
        <row r="4824">
          <cell r="A4824" t="str">
            <v>ZICOM ELECTRONIC SECURITY SYSTEMS LTD</v>
          </cell>
          <cell r="B4824">
            <v>531404</v>
          </cell>
          <cell r="C4824" t="str">
            <v>ZICOM</v>
          </cell>
        </row>
        <row r="4825">
          <cell r="A4825" t="str">
            <v>ZIM LABORATORIES LTD</v>
          </cell>
          <cell r="B4825">
            <v>541400</v>
          </cell>
          <cell r="C4825" t="str">
            <v>Not Listed</v>
          </cell>
        </row>
        <row r="4826">
          <cell r="A4826" t="str">
            <v>ZODIAC CLOTHING COMPANY LTD</v>
          </cell>
          <cell r="B4826">
            <v>521163</v>
          </cell>
          <cell r="C4826" t="str">
            <v>ZODIACLOTH</v>
          </cell>
        </row>
        <row r="4827">
          <cell r="A4827" t="str">
            <v>ZODIAC ENERGY LTD</v>
          </cell>
          <cell r="B4827" t="str">
            <v>Not Listed</v>
          </cell>
          <cell r="C4827" t="str">
            <v>ZODIAC</v>
          </cell>
        </row>
        <row r="4828">
          <cell r="A4828" t="str">
            <v>ZODIAC JRD- MKJ LTD</v>
          </cell>
          <cell r="B4828">
            <v>512587</v>
          </cell>
          <cell r="C4828" t="str">
            <v>ZODJRDMKJ</v>
          </cell>
        </row>
        <row r="4829">
          <cell r="A4829" t="str">
            <v>Zodiac Ventures LTD</v>
          </cell>
          <cell r="B4829">
            <v>503641</v>
          </cell>
          <cell r="C4829" t="str">
            <v>ZODIACVEN</v>
          </cell>
        </row>
        <row r="4830">
          <cell r="A4830" t="str">
            <v>ZOTA HEALTH CARE LTD</v>
          </cell>
          <cell r="B4830" t="str">
            <v>Not Listed</v>
          </cell>
          <cell r="C4830" t="str">
            <v>ZOTA</v>
          </cell>
        </row>
        <row r="4831">
          <cell r="A4831" t="str">
            <v>ZUARI AGRO CHEMICALS LTD</v>
          </cell>
          <cell r="B4831">
            <v>534742</v>
          </cell>
          <cell r="C4831" t="str">
            <v>ZUARI</v>
          </cell>
        </row>
        <row r="4832">
          <cell r="A4832" t="str">
            <v>ZUARI GLOBAL LTD</v>
          </cell>
          <cell r="B4832">
            <v>500780</v>
          </cell>
          <cell r="C4832" t="str">
            <v>ZUARIGLOB</v>
          </cell>
        </row>
        <row r="4833">
          <cell r="A4833" t="str">
            <v>ZYDUS WELLNESS LTD</v>
          </cell>
          <cell r="B4833">
            <v>531335</v>
          </cell>
          <cell r="C4833" t="str">
            <v>ZYDUSWELL</v>
          </cell>
        </row>
        <row r="4834">
          <cell r="A4834" t="str">
            <v>ZYLOG SYSTEMS LTD</v>
          </cell>
          <cell r="B4834">
            <v>532883</v>
          </cell>
          <cell r="C4834" t="str">
            <v>ZYLOG</v>
          </cell>
        </row>
        <row r="4835">
          <cell r="A4835" t="str">
            <v>INDIA LEASE DEVELOPMENT Ltd</v>
          </cell>
          <cell r="B4835">
            <v>500202</v>
          </cell>
          <cell r="C4835" t="str">
            <v>INDLEASE</v>
          </cell>
        </row>
        <row r="4836">
          <cell r="A4836" t="str">
            <v>Kore Foods Ltd</v>
          </cell>
          <cell r="B4836">
            <v>500458</v>
          </cell>
          <cell r="C4836" t="str">
            <v>KORE</v>
          </cell>
        </row>
        <row r="4837">
          <cell r="A4837" t="str">
            <v>GOLD ROCK INVESTMENTS Ltd</v>
          </cell>
          <cell r="B4837">
            <v>501111</v>
          </cell>
          <cell r="C4837" t="str">
            <v>ZGOLDINV</v>
          </cell>
        </row>
        <row r="4838">
          <cell r="A4838" t="str">
            <v>KARTIK INVESTMENTS TRUST Ltd</v>
          </cell>
          <cell r="B4838">
            <v>501151</v>
          </cell>
          <cell r="C4838" t="str">
            <v>KARTKIN</v>
          </cell>
        </row>
        <row r="4839">
          <cell r="A4839" t="str">
            <v>JAYABHARAT CREDIT Ltd</v>
          </cell>
          <cell r="B4839">
            <v>501311</v>
          </cell>
          <cell r="C4839" t="str">
            <v>JAYBHCR</v>
          </cell>
        </row>
        <row r="4840">
          <cell r="A4840" t="str">
            <v>AMALGAMATED ELECTRICITY CO.Ltd</v>
          </cell>
          <cell r="B4840">
            <v>501622</v>
          </cell>
          <cell r="C4840" t="str">
            <v>AMALGAM</v>
          </cell>
        </row>
        <row r="4841">
          <cell r="A4841" t="str">
            <v>GAEKWAR MILLS Ltd</v>
          </cell>
          <cell r="B4841">
            <v>502850</v>
          </cell>
          <cell r="C4841" t="str">
            <v>ZGAEKWAR</v>
          </cell>
        </row>
        <row r="4842">
          <cell r="A4842" t="str">
            <v>K K Fincorp Limited</v>
          </cell>
          <cell r="B4842">
            <v>503669</v>
          </cell>
          <cell r="C4842" t="str">
            <v>KKFIN</v>
          </cell>
        </row>
        <row r="4843">
          <cell r="A4843" t="str">
            <v>RAJASTHAN PETRO SYNTHETICS Ltd</v>
          </cell>
          <cell r="B4843">
            <v>506975</v>
          </cell>
          <cell r="C4843" t="str">
            <v>RAJSPTR</v>
          </cell>
        </row>
        <row r="4844">
          <cell r="A4844" t="str">
            <v>NORTHERN PROJECTS Ltd</v>
          </cell>
          <cell r="B4844">
            <v>508924</v>
          </cell>
          <cell r="C4844" t="str">
            <v>NORTHPR</v>
          </cell>
        </row>
        <row r="4845">
          <cell r="A4845" t="str">
            <v>ID Info Business Services Ltd</v>
          </cell>
          <cell r="B4845">
            <v>511260</v>
          </cell>
          <cell r="C4845" t="str">
            <v>IDINFO</v>
          </cell>
        </row>
        <row r="4846">
          <cell r="A4846" t="str">
            <v>TRC FINANCIAL SERVICES Ltd</v>
          </cell>
          <cell r="B4846">
            <v>511730</v>
          </cell>
          <cell r="C4846" t="str">
            <v>TRCFIN</v>
          </cell>
        </row>
        <row r="4847">
          <cell r="A4847" t="str">
            <v>SPV Global Trading Ltd</v>
          </cell>
          <cell r="B4847">
            <v>512221</v>
          </cell>
          <cell r="C4847" t="str">
            <v>SPVGLOBAL</v>
          </cell>
        </row>
        <row r="4848">
          <cell r="A4848" t="str">
            <v>ARAVALI SECURITIES &amp; FINANCE Ltd</v>
          </cell>
          <cell r="B4848">
            <v>512344</v>
          </cell>
          <cell r="C4848" t="str">
            <v>ARAVALIS</v>
          </cell>
        </row>
        <row r="4849">
          <cell r="A4849" t="str">
            <v>YASH TRADING &amp; FINANCE Ltd</v>
          </cell>
          <cell r="B4849">
            <v>512345</v>
          </cell>
          <cell r="C4849" t="str">
            <v>YASTF</v>
          </cell>
        </row>
        <row r="4850">
          <cell r="A4850" t="str">
            <v>GAYATRI TISSUE &amp; PAPERS Ltd</v>
          </cell>
          <cell r="B4850">
            <v>512479</v>
          </cell>
          <cell r="C4850" t="str">
            <v>GYTRIPA</v>
          </cell>
        </row>
        <row r="4851">
          <cell r="A4851" t="str">
            <v>GRAND FOUNDRY Ltd</v>
          </cell>
          <cell r="B4851">
            <v>513343</v>
          </cell>
          <cell r="C4851" t="str">
            <v>GRANDFONRY</v>
          </cell>
        </row>
        <row r="4852">
          <cell r="A4852" t="str">
            <v>Smiths &amp; Founders (India) Limited</v>
          </cell>
          <cell r="B4852">
            <v>513418</v>
          </cell>
          <cell r="C4852" t="str">
            <v>SMFIL</v>
          </cell>
        </row>
        <row r="4853">
          <cell r="A4853" t="str">
            <v>MODERN INSULATORS Ltd</v>
          </cell>
          <cell r="B4853">
            <v>515008</v>
          </cell>
          <cell r="C4853" t="str">
            <v>MODINSU</v>
          </cell>
        </row>
        <row r="4854">
          <cell r="A4854" t="str">
            <v>S&amp;S POWER SWITCHGEAR Ltd</v>
          </cell>
          <cell r="B4854">
            <v>517273</v>
          </cell>
          <cell r="C4854" t="str">
            <v>S&amp;SPOWER</v>
          </cell>
        </row>
        <row r="4855">
          <cell r="A4855" t="str">
            <v>SBEC SYSTEMS (INDIA) Ltd</v>
          </cell>
          <cell r="B4855">
            <v>517360</v>
          </cell>
          <cell r="C4855" t="str">
            <v>SBECSYS</v>
          </cell>
        </row>
        <row r="4856">
          <cell r="A4856" t="str">
            <v>VINTRON INFORMATICS Ltd</v>
          </cell>
          <cell r="B4856">
            <v>517393</v>
          </cell>
          <cell r="C4856" t="str">
            <v>VINTRON</v>
          </cell>
        </row>
        <row r="4857">
          <cell r="A4857" t="str">
            <v>SHARAT INDUSTRIES Ltd</v>
          </cell>
          <cell r="B4857">
            <v>519397</v>
          </cell>
          <cell r="C4857" t="str">
            <v>SHINDL</v>
          </cell>
        </row>
        <row r="4858">
          <cell r="A4858" t="str">
            <v>BKV INDUSTRIES Ltd</v>
          </cell>
          <cell r="B4858">
            <v>519500</v>
          </cell>
          <cell r="C4858" t="str">
            <v>BKV</v>
          </cell>
        </row>
        <row r="4859">
          <cell r="A4859" t="str">
            <v>TMT (INDIA) Ltd</v>
          </cell>
          <cell r="B4859">
            <v>522171</v>
          </cell>
          <cell r="C4859" t="str">
            <v>TMTIND-B1</v>
          </cell>
        </row>
        <row r="4860">
          <cell r="A4860" t="str">
            <v>PHARMAIDS PHARMACEUTICALS Ltd</v>
          </cell>
          <cell r="B4860">
            <v>524572</v>
          </cell>
          <cell r="C4860" t="str">
            <v>PHARMAID</v>
          </cell>
        </row>
        <row r="4861">
          <cell r="A4861" t="str">
            <v>SURAJ INDUSTRIES Ltd</v>
          </cell>
          <cell r="B4861">
            <v>526211</v>
          </cell>
          <cell r="C4861" t="str">
            <v>SURJIND</v>
          </cell>
        </row>
        <row r="4862">
          <cell r="A4862" t="str">
            <v>TEXEL INDUSTRIES Ltd</v>
          </cell>
          <cell r="B4862">
            <v>526638</v>
          </cell>
          <cell r="C4862" t="str">
            <v>TEXELIN</v>
          </cell>
        </row>
        <row r="4863">
          <cell r="A4863" t="str">
            <v>Paos Industries Ltd</v>
          </cell>
          <cell r="B4863">
            <v>530291</v>
          </cell>
          <cell r="C4863" t="str">
            <v>PAOS</v>
          </cell>
        </row>
        <row r="4864">
          <cell r="A4864" t="str">
            <v>SIDDHA VENTURES Ltd</v>
          </cell>
          <cell r="B4864">
            <v>530439</v>
          </cell>
          <cell r="C4864" t="str">
            <v>SIDDHA</v>
          </cell>
        </row>
        <row r="4865">
          <cell r="A4865" t="str">
            <v>KIRAN SYNTEX Ltd</v>
          </cell>
          <cell r="B4865">
            <v>530443</v>
          </cell>
          <cell r="C4865" t="str">
            <v>KIRANSY-B</v>
          </cell>
        </row>
        <row r="4866">
          <cell r="A4866" t="str">
            <v>KANSAL FIBRES Ltd</v>
          </cell>
          <cell r="B4866">
            <v>531205</v>
          </cell>
          <cell r="C4866" t="str">
            <v>KANSAFB</v>
          </cell>
        </row>
        <row r="4867">
          <cell r="A4867" t="str">
            <v>Xtglobal Infotech Ltd</v>
          </cell>
          <cell r="B4867">
            <v>531225</v>
          </cell>
          <cell r="C4867" t="str">
            <v>XTGLOBAL</v>
          </cell>
        </row>
        <row r="4868">
          <cell r="A4868" t="str">
            <v>Saffron Industries Limited</v>
          </cell>
          <cell r="B4868">
            <v>531436</v>
          </cell>
          <cell r="C4868" t="str">
            <v>SAFFRON</v>
          </cell>
        </row>
        <row r="4869">
          <cell r="A4869" t="str">
            <v>CENTERAC TECHNOLOGIES Ltd</v>
          </cell>
          <cell r="B4869">
            <v>531621</v>
          </cell>
          <cell r="C4869" t="str">
            <v>CENTERAC</v>
          </cell>
        </row>
        <row r="4870">
          <cell r="A4870" t="str">
            <v>Servoteach Industries Ltd</v>
          </cell>
          <cell r="B4870">
            <v>531944</v>
          </cell>
          <cell r="C4870" t="str">
            <v>SERVOTEACH</v>
          </cell>
        </row>
        <row r="4871">
          <cell r="A4871" t="str">
            <v>SMC CREDITS Ltd</v>
          </cell>
          <cell r="B4871">
            <v>532138</v>
          </cell>
          <cell r="C4871" t="str">
            <v>SMCREDT</v>
          </cell>
        </row>
        <row r="4872">
          <cell r="A4872" t="str">
            <v>RAJ OIL MILLS Ltd</v>
          </cell>
          <cell r="B4872">
            <v>533093</v>
          </cell>
          <cell r="C4872" t="str">
            <v>RAJOIL</v>
          </cell>
        </row>
        <row r="4873">
          <cell r="A4873" t="str">
            <v>Axis Mutual Fund - Axis Gold Exchange Traded Fund</v>
          </cell>
          <cell r="B4873">
            <v>533570</v>
          </cell>
          <cell r="C4873" t="str">
            <v>AXISGOLD</v>
          </cell>
        </row>
        <row r="4874">
          <cell r="A4874" t="str">
            <v>IDBI Mutual Fund - IDBI Gold ETF</v>
          </cell>
          <cell r="B4874">
            <v>533719</v>
          </cell>
          <cell r="C4874" t="str">
            <v>IDBIGOLD</v>
          </cell>
        </row>
        <row r="4875">
          <cell r="A4875" t="str">
            <v>SBI Mutual Fund - SBI Sensex ETF</v>
          </cell>
          <cell r="B4875">
            <v>535276</v>
          </cell>
          <cell r="C4875" t="str">
            <v>SBISENSEX</v>
          </cell>
        </row>
        <row r="4876">
          <cell r="A4876" t="str">
            <v>Motilal Oswal Mutual Fund - Motilal Oswal MOSt Shares Midcap 100 ETF- Growth option</v>
          </cell>
          <cell r="B4876">
            <v>536960</v>
          </cell>
          <cell r="C4876" t="str">
            <v>M100</v>
          </cell>
        </row>
        <row r="4877">
          <cell r="A4877" t="str">
            <v>ICICI Prudential Nifty ETF</v>
          </cell>
          <cell r="B4877">
            <v>537007</v>
          </cell>
          <cell r="C4877" t="str">
            <v>ICICINIFTY</v>
          </cell>
        </row>
        <row r="4878">
          <cell r="A4878" t="str">
            <v>ICICI Prudential Nifty 100 ETF</v>
          </cell>
          <cell r="B4878">
            <v>537008</v>
          </cell>
          <cell r="C4878" t="str">
            <v>ICICINF100</v>
          </cell>
        </row>
        <row r="4879">
          <cell r="A4879" t="str">
            <v>NIPPON INDIA ETF NIFTY 100</v>
          </cell>
          <cell r="B4879">
            <v>537483</v>
          </cell>
          <cell r="C4879" t="str">
            <v>NETFNIF100</v>
          </cell>
        </row>
        <row r="4880">
          <cell r="A4880" t="str">
            <v>Kotak Mahindra Mutual Fund - Kotak Nifty ETF</v>
          </cell>
          <cell r="B4880">
            <v>537708</v>
          </cell>
          <cell r="C4880" t="str">
            <v>KOTAKNIFTY</v>
          </cell>
        </row>
        <row r="4881">
          <cell r="A4881" t="str">
            <v>CPSE ETF</v>
          </cell>
          <cell r="B4881">
            <v>538057</v>
          </cell>
          <cell r="C4881" t="str">
            <v>CPSEETF</v>
          </cell>
        </row>
        <row r="4882">
          <cell r="A4882" t="str">
            <v>Response Informatics Ltd</v>
          </cell>
          <cell r="B4882">
            <v>538273</v>
          </cell>
          <cell r="C4882" t="str">
            <v>RESPONSINF</v>
          </cell>
        </row>
        <row r="4883">
          <cell r="A4883" t="str">
            <v>Quasar India Ltd</v>
          </cell>
          <cell r="B4883">
            <v>538452</v>
          </cell>
          <cell r="C4883" t="str">
            <v>QUASAR</v>
          </cell>
        </row>
        <row r="4884">
          <cell r="A4884" t="str">
            <v>ICICI Prudential Growth Fund Series 1 (Regular Dividend Payout)</v>
          </cell>
          <cell r="B4884">
            <v>538501</v>
          </cell>
          <cell r="C4884" t="str">
            <v>IPRU2401</v>
          </cell>
        </row>
        <row r="4885">
          <cell r="A4885" t="str">
            <v>ICICI Prudential Growth Fund Series 1 (Direct Dividend Option)</v>
          </cell>
          <cell r="B4885">
            <v>538502</v>
          </cell>
          <cell r="C4885" t="str">
            <v>IPRU8601</v>
          </cell>
        </row>
        <row r="4886">
          <cell r="A4886" t="str">
            <v>ICICI Prudential Growth Fund Series 2 (Regular Plan - Dividend Payout Option)</v>
          </cell>
          <cell r="B4886">
            <v>538577</v>
          </cell>
          <cell r="C4886" t="str">
            <v>IPRU2428</v>
          </cell>
        </row>
        <row r="4887">
          <cell r="A4887" t="str">
            <v>ICICI Prudential Growth Fund Series 2 (Direct Plan - Dividend Payout Option)</v>
          </cell>
          <cell r="B4887">
            <v>538578</v>
          </cell>
          <cell r="C4887" t="str">
            <v>IPRU8628</v>
          </cell>
        </row>
        <row r="4888">
          <cell r="A4888" t="str">
            <v>QGO Finance Ltd</v>
          </cell>
          <cell r="B4888">
            <v>538646</v>
          </cell>
          <cell r="C4888" t="str">
            <v>QGO</v>
          </cell>
        </row>
        <row r="4889">
          <cell r="A4889" t="str">
            <v>NIPPON INDIA ETF SENSEX</v>
          </cell>
          <cell r="B4889">
            <v>538683</v>
          </cell>
          <cell r="C4889" t="str">
            <v>NETFSENSEX</v>
          </cell>
        </row>
        <row r="4890">
          <cell r="A4890" t="str">
            <v>ICICI Prudential Growth Fund Series 3 (Regular Plan - Dividend Payout Option)</v>
          </cell>
          <cell r="B4890">
            <v>538728</v>
          </cell>
          <cell r="C4890" t="str">
            <v>IPRU2511</v>
          </cell>
        </row>
        <row r="4891">
          <cell r="A4891" t="str">
            <v>ICICI Prudential Growth Fund Series 3 (Direct Plan - Dividend Payout Option)</v>
          </cell>
          <cell r="B4891">
            <v>538729</v>
          </cell>
          <cell r="C4891" t="str">
            <v>IPRU8711</v>
          </cell>
        </row>
        <row r="4892">
          <cell r="A4892" t="str">
            <v>DSP BlackRock 3 Years Close Ended Equity Fund-Regular- Growth</v>
          </cell>
          <cell r="B4892">
            <v>538808</v>
          </cell>
          <cell r="C4892" t="str">
            <v>D3YRCEERG</v>
          </cell>
        </row>
        <row r="4893">
          <cell r="A4893" t="str">
            <v>DSP BlackRock 3 Years Close Ended Equity Fund-Regular- Dividend Payout</v>
          </cell>
          <cell r="B4893">
            <v>538809</v>
          </cell>
          <cell r="C4893" t="str">
            <v>D3YRCEERDP</v>
          </cell>
        </row>
        <row r="4894">
          <cell r="A4894" t="str">
            <v>DSP BlackRock 3 Years Close Ended Equity Fund- Direct Plan - Growth</v>
          </cell>
          <cell r="B4894">
            <v>538810</v>
          </cell>
          <cell r="C4894" t="str">
            <v>D3YRCEEDG</v>
          </cell>
        </row>
        <row r="4895">
          <cell r="A4895" t="str">
            <v>DSP BlackRock 3 Years Close Ended Equity Fund-Direct Plan - Dividend Payout</v>
          </cell>
          <cell r="B4895">
            <v>538811</v>
          </cell>
          <cell r="C4895" t="str">
            <v>D3YRCEEDDP</v>
          </cell>
        </row>
        <row r="4896">
          <cell r="A4896" t="str">
            <v>SBI Mutual Fund - SBI - ETF BSE 100</v>
          </cell>
          <cell r="B4896">
            <v>539031</v>
          </cell>
          <cell r="C4896" t="str">
            <v>SETFBSE100</v>
          </cell>
        </row>
        <row r="4897">
          <cell r="A4897" t="str">
            <v>Rajputana Investment and Finance Ltd</v>
          </cell>
          <cell r="B4897">
            <v>539090</v>
          </cell>
          <cell r="C4897" t="str">
            <v>RAJPUTANA</v>
          </cell>
        </row>
        <row r="4898">
          <cell r="A4898" t="str">
            <v>Edelweiss Mutual Fund - Edelweiss Exchange Traded Scheme - Nifty ( Nifty EES )</v>
          </cell>
          <cell r="B4898">
            <v>539142</v>
          </cell>
          <cell r="C4898" t="str">
            <v>NIFTYEES</v>
          </cell>
        </row>
        <row r="4899">
          <cell r="A4899" t="str">
            <v>Boston Leasing and Finance Ltd</v>
          </cell>
          <cell r="B4899">
            <v>539274</v>
          </cell>
          <cell r="C4899" t="str">
            <v>BLFL</v>
          </cell>
        </row>
        <row r="4900">
          <cell r="A4900" t="str">
            <v>UTI- SENSEX ETF</v>
          </cell>
          <cell r="B4900">
            <v>539312</v>
          </cell>
          <cell r="C4900" t="str">
            <v>UTISENSETF</v>
          </cell>
        </row>
        <row r="4901">
          <cell r="A4901" t="str">
            <v>UTI NIFTY ETF</v>
          </cell>
          <cell r="B4901">
            <v>539313</v>
          </cell>
          <cell r="C4901" t="str">
            <v>UTINIFTETF</v>
          </cell>
        </row>
        <row r="4902">
          <cell r="A4902" t="str">
            <v>LIC MF EXCHANGE TRADED FUND- NIFTY 50</v>
          </cell>
          <cell r="B4902">
            <v>539480</v>
          </cell>
          <cell r="C4902" t="str">
            <v>LICNETFN50</v>
          </cell>
        </row>
        <row r="4903">
          <cell r="A4903" t="str">
            <v>LIC MF EXCHANGE TRADED FUND- SENSEX</v>
          </cell>
          <cell r="B4903">
            <v>539487</v>
          </cell>
          <cell r="C4903" t="str">
            <v>LICNETFSEN</v>
          </cell>
        </row>
        <row r="4904">
          <cell r="A4904" t="str">
            <v>HDFC Nifty ETF</v>
          </cell>
          <cell r="B4904">
            <v>539516</v>
          </cell>
          <cell r="C4904" t="str">
            <v>HDFCNIFETF</v>
          </cell>
        </row>
        <row r="4905">
          <cell r="A4905" t="str">
            <v>HDFC Sensex ETF - Open Ended Traded Fund</v>
          </cell>
          <cell r="B4905">
            <v>539517</v>
          </cell>
          <cell r="C4905" t="str">
            <v>SXETF</v>
          </cell>
        </row>
        <row r="4906">
          <cell r="A4906" t="str">
            <v>Roxy Exports Ltd</v>
          </cell>
          <cell r="B4906">
            <v>539561</v>
          </cell>
          <cell r="C4906" t="str">
            <v>ROXY</v>
          </cell>
        </row>
        <row r="4907">
          <cell r="A4907" t="str">
            <v>LIC MF Exchange Traded Fund- NIFTY 100</v>
          </cell>
          <cell r="B4907">
            <v>539784</v>
          </cell>
          <cell r="C4907" t="str">
            <v>LICNFNHGP</v>
          </cell>
        </row>
        <row r="4908">
          <cell r="A4908" t="str">
            <v>ICICI Prudential NV20 ETF</v>
          </cell>
          <cell r="B4908">
            <v>539945</v>
          </cell>
          <cell r="C4908" t="str">
            <v>ICICINV20</v>
          </cell>
        </row>
        <row r="4909">
          <cell r="A4909" t="str">
            <v>ICICI Prudential Midcap Select ETF</v>
          </cell>
          <cell r="B4909">
            <v>539980</v>
          </cell>
          <cell r="C4909" t="str">
            <v>ICICIMCAP</v>
          </cell>
        </row>
        <row r="4910">
          <cell r="A4910" t="str">
            <v>BIRLA SUN LIFE SENSEX ETF</v>
          </cell>
          <cell r="B4910">
            <v>540008</v>
          </cell>
          <cell r="C4910" t="str">
            <v>BSLSENETFG</v>
          </cell>
        </row>
        <row r="4911">
          <cell r="A4911" t="str">
            <v>IDFC SENSEX ETF</v>
          </cell>
          <cell r="B4911">
            <v>540154</v>
          </cell>
          <cell r="C4911" t="str">
            <v>IDFSENSEXE</v>
          </cell>
        </row>
        <row r="4912">
          <cell r="A4912" t="str">
            <v>Axis Emerging Opportunities Fund-SR 2 (1400 D)-Direct Plan-Dividend Payout</v>
          </cell>
          <cell r="B4912">
            <v>540333</v>
          </cell>
          <cell r="C4912" t="str">
            <v>AXISE2D1D</v>
          </cell>
        </row>
        <row r="4913">
          <cell r="A4913" t="str">
            <v>Axis Emerging Opportunities Fund-SR 2 (1400 D)-Direct Plan-Growth</v>
          </cell>
          <cell r="B4913">
            <v>540334</v>
          </cell>
          <cell r="C4913" t="str">
            <v>AXISE2DGG</v>
          </cell>
        </row>
        <row r="4914">
          <cell r="A4914" t="str">
            <v>Axis Emerging Opportunities Fund-SR 2 (1400 D)-Regular Plan-Dividend Payout</v>
          </cell>
          <cell r="B4914">
            <v>540335</v>
          </cell>
          <cell r="C4914" t="str">
            <v>AXISE2DPD</v>
          </cell>
        </row>
        <row r="4915">
          <cell r="A4915" t="str">
            <v>Axis Emerging Opportunities Fund-SR 2 (1400 D)-Regular Plan-Growth</v>
          </cell>
          <cell r="B4915">
            <v>540336</v>
          </cell>
          <cell r="C4915" t="str">
            <v>AXISE2GPG</v>
          </cell>
        </row>
        <row r="4916">
          <cell r="A4916" t="str">
            <v>ICICI Prudential Value Fund Series 12 - Dividend Payout Option</v>
          </cell>
          <cell r="B4916">
            <v>540469</v>
          </cell>
          <cell r="C4916" t="str">
            <v>IPRU2933</v>
          </cell>
        </row>
        <row r="4917">
          <cell r="A4917" t="str">
            <v>ICICI Prudential Value Fund Series 12 - Direct Plan Dividend Payout Option</v>
          </cell>
          <cell r="B4917">
            <v>540470</v>
          </cell>
          <cell r="C4917" t="str">
            <v>IPRU9135</v>
          </cell>
        </row>
        <row r="4918">
          <cell r="A4918" t="str">
            <v>ICICI Prudential Value Fund- Series 13- Dividend Payout Option</v>
          </cell>
          <cell r="B4918">
            <v>540538</v>
          </cell>
          <cell r="C4918" t="str">
            <v>IPRU2955</v>
          </cell>
        </row>
        <row r="4919">
          <cell r="A4919" t="str">
            <v>ICICI Prudential Value Fund Series- 13- Direct Plan Dividend Payout Option</v>
          </cell>
          <cell r="B4919">
            <v>540539</v>
          </cell>
          <cell r="C4919" t="str">
            <v>IPRU9157</v>
          </cell>
        </row>
        <row r="4920">
          <cell r="A4920" t="str">
            <v>Axis Equity Advantage Fund- Series 1 Direct Plan- Growth</v>
          </cell>
          <cell r="B4920">
            <v>540551</v>
          </cell>
          <cell r="C4920" t="str">
            <v>AXISAEDGG</v>
          </cell>
        </row>
        <row r="4921">
          <cell r="A4921" t="str">
            <v>Axis Equity Advantage Fund- Series 1 Regular Plan- Growth</v>
          </cell>
          <cell r="B4921">
            <v>540552</v>
          </cell>
          <cell r="C4921" t="str">
            <v>AXISAEGPG</v>
          </cell>
        </row>
        <row r="4922">
          <cell r="A4922" t="str">
            <v>ICICI Prudential Value Fund Series 14 - Cumulative</v>
          </cell>
          <cell r="B4922">
            <v>540586</v>
          </cell>
          <cell r="C4922" t="str">
            <v>IPRU2969</v>
          </cell>
        </row>
        <row r="4923">
          <cell r="A4923" t="str">
            <v>ICICI Prudential Value Fund Series 14 - Dividend Payout</v>
          </cell>
          <cell r="B4923">
            <v>540587</v>
          </cell>
          <cell r="C4923" t="str">
            <v>IPRU2970</v>
          </cell>
        </row>
        <row r="4924">
          <cell r="A4924" t="str">
            <v>ICICI Prudential Value Fund Series 14 - Direct Plan Cumulative</v>
          </cell>
          <cell r="B4924">
            <v>540588</v>
          </cell>
          <cell r="C4924" t="str">
            <v>IPRU9171</v>
          </cell>
        </row>
        <row r="4925">
          <cell r="A4925" t="str">
            <v>ICICI Prudential Value Fund Series 14 - Direct Plan Dividend Payout</v>
          </cell>
          <cell r="B4925">
            <v>540589</v>
          </cell>
          <cell r="C4925" t="str">
            <v>IPRU9172</v>
          </cell>
        </row>
        <row r="4926">
          <cell r="A4926" t="str">
            <v>HDFC EOF- II- 1126D May 2017(1)  plan under HDFC Equity Opportunities Fund- Series 2- Direct</v>
          </cell>
          <cell r="B4926">
            <v>540591</v>
          </cell>
          <cell r="C4926" t="str">
            <v>HEOFDG1126</v>
          </cell>
        </row>
        <row r="4927">
          <cell r="A4927" t="str">
            <v>HDFC EOF - II - 1126D May 2017(1)  plan under HDFC Equity Opportunities Fund - Series 2 - Direct</v>
          </cell>
          <cell r="B4927">
            <v>540592</v>
          </cell>
          <cell r="C4927" t="str">
            <v>HEOFDD1126</v>
          </cell>
        </row>
        <row r="4928">
          <cell r="A4928" t="str">
            <v>HDFC EOF- II - 1126D May 2017(1) plan under HDFC Equity Opportunities Fund - Series2 - Regular</v>
          </cell>
          <cell r="B4928">
            <v>540593</v>
          </cell>
          <cell r="C4928" t="str">
            <v>HEOFRG1126</v>
          </cell>
        </row>
        <row r="4929">
          <cell r="A4929" t="str">
            <v>HDFC EOF - II - 1126D May 2017(1)  plan under HDFC Equity Opportunities Fund - Series 2 - Regular</v>
          </cell>
          <cell r="B4929">
            <v>540594</v>
          </cell>
          <cell r="C4929" t="str">
            <v>HEOFRD1126</v>
          </cell>
        </row>
        <row r="4930">
          <cell r="A4930" t="str">
            <v>ICICI Prudential Nifty Low Vol 30 ETF</v>
          </cell>
          <cell r="B4930">
            <v>540612</v>
          </cell>
          <cell r="C4930" t="str">
            <v>ICICILOVOL</v>
          </cell>
        </row>
        <row r="4931">
          <cell r="A4931" t="str">
            <v>Aditya Birla Sun Life RESURGENT INDIA FUND â€“ SERIES 4 REGULAR GROWTH</v>
          </cell>
          <cell r="B4931">
            <v>540617</v>
          </cell>
          <cell r="C4931" t="str">
            <v>BSLRIFS4RG</v>
          </cell>
        </row>
        <row r="4932">
          <cell r="A4932" t="str">
            <v>Aditya Birla Sun Life RESURGENT INDIA FUND â€“ SERIES 4 REGULAR DIVIDEND</v>
          </cell>
          <cell r="B4932">
            <v>540618</v>
          </cell>
          <cell r="C4932" t="str">
            <v>BSLRIFS4RD</v>
          </cell>
        </row>
        <row r="4933">
          <cell r="A4933" t="str">
            <v>Aditya Birla Sun Life RESURGENT INDIA FUND â€“ SERIES 4 DIRECT GROWTH</v>
          </cell>
          <cell r="B4933">
            <v>540619</v>
          </cell>
          <cell r="C4933" t="str">
            <v>BSLRIFS4DG</v>
          </cell>
        </row>
        <row r="4934">
          <cell r="A4934" t="str">
            <v>Aditya Birla Sun Life RESURGENT INDIA FUND â€“ SERIES 4 DIRECT DIVIDEND</v>
          </cell>
          <cell r="B4934">
            <v>540620</v>
          </cell>
          <cell r="C4934" t="str">
            <v>BSLRIFS4DD</v>
          </cell>
        </row>
        <row r="4935">
          <cell r="A4935" t="str">
            <v>ICICI PRUDENTIAL VALUE FUND-SERIES 15-CUMULATIVE</v>
          </cell>
          <cell r="B4935">
            <v>540626</v>
          </cell>
          <cell r="C4935" t="str">
            <v>IPRU2987</v>
          </cell>
        </row>
        <row r="4936">
          <cell r="A4936" t="str">
            <v>ICICI PRUDENTIAL VALUE FUND-SERIES 15-DIVIDEND PAYOUT</v>
          </cell>
          <cell r="B4936">
            <v>540627</v>
          </cell>
          <cell r="C4936" t="str">
            <v>IPRU2988</v>
          </cell>
        </row>
        <row r="4937">
          <cell r="A4937" t="str">
            <v>ICICI PRUDENTIAL VALUE FUND-SERIES 15-DIRECT PLAN CUMULATIVE</v>
          </cell>
          <cell r="B4937">
            <v>540629</v>
          </cell>
          <cell r="C4937" t="str">
            <v>IPRU9189</v>
          </cell>
        </row>
        <row r="4938">
          <cell r="A4938" t="str">
            <v>ICICI PRUDENTIAL VALUE FUND-SERIES 15-DIRECT PLAN DIVIDEND PAYOUT</v>
          </cell>
          <cell r="B4938">
            <v>540631</v>
          </cell>
          <cell r="C4938" t="str">
            <v>IPRU9190</v>
          </cell>
        </row>
        <row r="4939">
          <cell r="A4939" t="str">
            <v>HDFC EQUITY OPPORTUNITIES FUND-II-1100D JUNE 2017(1) SERIES 2-DIRECT OPTION-GROWTH OPTION</v>
          </cell>
          <cell r="B4939">
            <v>540634</v>
          </cell>
          <cell r="C4939" t="str">
            <v>HEOFDG1100</v>
          </cell>
        </row>
        <row r="4940">
          <cell r="A4940" t="str">
            <v>HDFC EQUITY OPPORTUNITIES FUND-II-1100D JUNE 2017(1) SERIES 2-DIRECT OPTION-DIVIDEND PAYOUT OPTION</v>
          </cell>
          <cell r="B4940">
            <v>540635</v>
          </cell>
          <cell r="C4940" t="str">
            <v>HEOFDD1100</v>
          </cell>
        </row>
        <row r="4941">
          <cell r="A4941" t="str">
            <v>HDFC EQUITY OPPORTUNITIES FUND-II-1100D JUNE 2017(1) SERIES 2-REGULAR OPTION-GROWTH OPTION</v>
          </cell>
          <cell r="B4941">
            <v>540636</v>
          </cell>
          <cell r="C4941" t="str">
            <v>HEOFRG1100</v>
          </cell>
        </row>
        <row r="4942">
          <cell r="A4942" t="str">
            <v>HDFC EQUITY OPPORTUNITIES FUND-II-1100D JUNE 2017(1) SERIES 2-REGULAR OPTION-DIVIDEND PAYOUT OPTION</v>
          </cell>
          <cell r="B4942">
            <v>540637</v>
          </cell>
          <cell r="C4942" t="str">
            <v>HEOFRD1100</v>
          </cell>
        </row>
        <row r="4943">
          <cell r="A4943" t="str">
            <v>UTI Nifty Next 50 ETF</v>
          </cell>
          <cell r="B4943">
            <v>540669</v>
          </cell>
          <cell r="C4943" t="str">
            <v>UTINEXT50</v>
          </cell>
        </row>
        <row r="4944">
          <cell r="A4944" t="str">
            <v>Axis Equity Advantage Fund - Series 2 Direct Plan - Growth</v>
          </cell>
          <cell r="B4944">
            <v>540671</v>
          </cell>
          <cell r="C4944" t="str">
            <v>AXISAHDGG</v>
          </cell>
        </row>
        <row r="4945">
          <cell r="A4945" t="str">
            <v>Axis Equity Advantage Fund - Series 2 Regular Plan - Growth</v>
          </cell>
          <cell r="B4945">
            <v>540672</v>
          </cell>
          <cell r="C4945" t="str">
            <v>AXISAHGPG</v>
          </cell>
        </row>
        <row r="4946">
          <cell r="A4946" t="str">
            <v>ICICI Prudential Value Fund - Series 16 - Cumulative Option</v>
          </cell>
          <cell r="B4946">
            <v>540682</v>
          </cell>
          <cell r="C4946" t="str">
            <v>IPRU2991</v>
          </cell>
        </row>
        <row r="4947">
          <cell r="A4947" t="str">
            <v>ICICI Prudential Value Fund - Series 16 - Dividend Payout Option</v>
          </cell>
          <cell r="B4947">
            <v>540683</v>
          </cell>
          <cell r="C4947" t="str">
            <v>IPRU2992</v>
          </cell>
        </row>
        <row r="4948">
          <cell r="A4948" t="str">
            <v>ICICI Prudential Value Fund - Series 16 - Direct Plan Cumulative Option</v>
          </cell>
          <cell r="B4948">
            <v>540684</v>
          </cell>
          <cell r="C4948" t="str">
            <v>IPRU9193</v>
          </cell>
        </row>
        <row r="4949">
          <cell r="A4949" t="str">
            <v>ICICI Prudential Value Fund - Series 16 - Direct Plan Dividend Payout Option</v>
          </cell>
          <cell r="B4949">
            <v>540685</v>
          </cell>
          <cell r="C4949" t="str">
            <v>IPRU9194</v>
          </cell>
        </row>
        <row r="4950">
          <cell r="A4950" t="str">
            <v>ICICI PRUDENTIAL VALUE FUND SERIES 17 - CUMULATIVE OPTION</v>
          </cell>
          <cell r="B4950">
            <v>540711</v>
          </cell>
          <cell r="C4950" t="str">
            <v>IPRU3003</v>
          </cell>
        </row>
        <row r="4951">
          <cell r="A4951" t="str">
            <v>ICICI PRUDENTIAL VALUE FUND SERIES 17 - DIVIDEND OPTION</v>
          </cell>
          <cell r="B4951">
            <v>540712</v>
          </cell>
          <cell r="C4951" t="str">
            <v>IPRU3004</v>
          </cell>
        </row>
        <row r="4952">
          <cell r="A4952" t="str">
            <v>ICICI PRUDENTIAL VALUE FUND SERIES 17 - DIRECT PLAN CUMULATIVE OPTION</v>
          </cell>
          <cell r="B4952">
            <v>540713</v>
          </cell>
          <cell r="C4952" t="str">
            <v>IPRU9205</v>
          </cell>
        </row>
        <row r="4953">
          <cell r="A4953" t="str">
            <v>ICICI PRUDENTIAL VALUE FUND SERIES 17 - DIRECT PLAN DIVIDEND OPTION</v>
          </cell>
          <cell r="B4953">
            <v>540714</v>
          </cell>
          <cell r="C4953" t="str">
            <v>IPRU9206</v>
          </cell>
        </row>
        <row r="4954">
          <cell r="A4954" t="str">
            <v>Aditya Birla Sun Life Resurgent India Fund - Series 5 - Regular Plan Growth</v>
          </cell>
          <cell r="B4954">
            <v>540739</v>
          </cell>
          <cell r="C4954" t="str">
            <v>ABSLRIF5RG</v>
          </cell>
        </row>
        <row r="4955">
          <cell r="A4955" t="str">
            <v>Aditya Birla Sun Life Resurgent India Fund - Series 5 - Regular Plan Dividend Payout</v>
          </cell>
          <cell r="B4955">
            <v>540740</v>
          </cell>
          <cell r="C4955" t="str">
            <v>ABSLRIF5RD</v>
          </cell>
        </row>
        <row r="4956">
          <cell r="A4956" t="str">
            <v>Aditya Birla Sun Life Resurgent India Fund - Series 5 - Direct Plan Growth</v>
          </cell>
          <cell r="B4956">
            <v>540741</v>
          </cell>
          <cell r="C4956" t="str">
            <v>ABSLRIF5DG</v>
          </cell>
        </row>
        <row r="4957">
          <cell r="A4957" t="str">
            <v>Aditya Birla Sun Life Resurgent India Fund - Series 5 - Direct Plan Dividend Payout</v>
          </cell>
          <cell r="B4957">
            <v>540742</v>
          </cell>
          <cell r="C4957" t="str">
            <v>ABSLRIF5DD</v>
          </cell>
        </row>
        <row r="4958">
          <cell r="A4958" t="str">
            <v>ICICI Prudential Value Fund Series 18 - Cumulative Option</v>
          </cell>
          <cell r="B4958">
            <v>540763</v>
          </cell>
          <cell r="C4958" t="str">
            <v>IPRU3013</v>
          </cell>
        </row>
        <row r="4959">
          <cell r="A4959" t="str">
            <v>ICICI Prudential Value Fund Series 18 - Dividend Payout Option</v>
          </cell>
          <cell r="B4959">
            <v>540764</v>
          </cell>
          <cell r="C4959" t="str">
            <v>IPRU3014</v>
          </cell>
        </row>
        <row r="4960">
          <cell r="A4960" t="str">
            <v>ICICI Prudential Value Fund Series 18 - Direct Plan Cumulative Option</v>
          </cell>
          <cell r="B4960">
            <v>540765</v>
          </cell>
          <cell r="C4960" t="str">
            <v>IPRU9215</v>
          </cell>
        </row>
        <row r="4961">
          <cell r="A4961" t="str">
            <v>ICICI Prudential Value Fund Series 18 - Direct Plan Dividend Payout Option</v>
          </cell>
          <cell r="B4961">
            <v>540766</v>
          </cell>
          <cell r="C4961" t="str">
            <v>IPRU9216</v>
          </cell>
        </row>
        <row r="4962">
          <cell r="A4962" t="str">
            <v>NIPPON INDIA MUTUAL FUND  CAPITAL BUILDER FD SR B DR DVP 06JN21</v>
          </cell>
          <cell r="B4962">
            <v>540778</v>
          </cell>
          <cell r="C4962" t="str">
            <v>NCBFIVBDD</v>
          </cell>
        </row>
        <row r="4963">
          <cell r="A4963" t="str">
            <v>NIPPON INDIA MUTUAL FUND  CAPITAL BUILDER FD SR B DR GWTH 06JN21</v>
          </cell>
          <cell r="B4963">
            <v>540779</v>
          </cell>
          <cell r="C4963" t="str">
            <v>NCBFIVBDG</v>
          </cell>
        </row>
        <row r="4964">
          <cell r="A4964" t="str">
            <v>NIPPON INDIA MUTUAL FUND  CAPITAL BUILDER FD SR B RG DVP 06JN21</v>
          </cell>
          <cell r="B4964">
            <v>540780</v>
          </cell>
          <cell r="C4964" t="str">
            <v>NCBFIVBD</v>
          </cell>
        </row>
        <row r="4965">
          <cell r="A4965" t="str">
            <v>NIPPON INDIA MUTUAL FUND  CAPITAL BUILDER FD SR B RG GWTH 06JN21</v>
          </cell>
          <cell r="B4965">
            <v>540781</v>
          </cell>
          <cell r="C4965" t="str">
            <v>NCBFIVBG</v>
          </cell>
        </row>
        <row r="4966">
          <cell r="A4966" t="str">
            <v>BHARAT 22 ETF - ICICI Prudential AMC</v>
          </cell>
          <cell r="B4966">
            <v>540787</v>
          </cell>
          <cell r="C4966" t="str">
            <v>ICICIB22</v>
          </cell>
        </row>
        <row r="4967">
          <cell r="A4967" t="str">
            <v>HDFC HOF-I-1140D November 2017(1) - Direct Option - Growth Option</v>
          </cell>
          <cell r="B4967">
            <v>540791</v>
          </cell>
          <cell r="C4967" t="str">
            <v>HHOF1140DG</v>
          </cell>
        </row>
        <row r="4968">
          <cell r="A4968" t="str">
            <v>HDFC HOF-I-1140D November 2017(1) - Direct Option - Dividend Payout Option</v>
          </cell>
          <cell r="B4968">
            <v>540792</v>
          </cell>
          <cell r="C4968" t="str">
            <v>HHOF1140DD</v>
          </cell>
        </row>
        <row r="4969">
          <cell r="A4969" t="str">
            <v>HDFC HOF-I-1140D November 2017(1) - Regular Option - Growth Option</v>
          </cell>
          <cell r="B4969">
            <v>540793</v>
          </cell>
          <cell r="C4969" t="str">
            <v>HHOF1140RG</v>
          </cell>
        </row>
        <row r="4970">
          <cell r="A4970" t="str">
            <v>HDFC HOF-I-1140D November 2017(1) - Regular  Option - Dividend Payout Option</v>
          </cell>
          <cell r="B4970">
            <v>540794</v>
          </cell>
          <cell r="C4970" t="str">
            <v>HHOF1140RD</v>
          </cell>
        </row>
        <row r="4971">
          <cell r="A4971" t="str">
            <v>DSP BLACKROCK A.C.E. Fund Series 1 - Regular Growth</v>
          </cell>
          <cell r="B4971">
            <v>540799</v>
          </cell>
          <cell r="C4971" t="str">
            <v>DACEFRG</v>
          </cell>
        </row>
        <row r="4972">
          <cell r="A4972" t="str">
            <v>DSP BLACKROCK A.C.E. Fund Series 1 - Regular-Dividend Payout</v>
          </cell>
          <cell r="B4972">
            <v>540800</v>
          </cell>
          <cell r="C4972" t="str">
            <v>DACEFRDP</v>
          </cell>
        </row>
        <row r="4973">
          <cell r="A4973" t="str">
            <v>DSP BLACKROCK A.C.E. Fund Series 1 - Direct Growth</v>
          </cell>
          <cell r="B4973">
            <v>540801</v>
          </cell>
          <cell r="C4973" t="str">
            <v>DACEFDG</v>
          </cell>
        </row>
        <row r="4974">
          <cell r="A4974" t="str">
            <v>DSP BLACKROCK A.C.E. Fund Series 1 - Direct - Dividend Payout</v>
          </cell>
          <cell r="B4974">
            <v>540802</v>
          </cell>
          <cell r="C4974" t="str">
            <v>DACEFDDP</v>
          </cell>
        </row>
        <row r="4975">
          <cell r="A4975" t="str">
            <v>NIPPON INDIA MUTUAL FUND  CAPITAL BUILDER FD IV SR C DR DVP 20MR21</v>
          </cell>
          <cell r="B4975">
            <v>540825</v>
          </cell>
          <cell r="C4975" t="str">
            <v>NCBFIVBCD</v>
          </cell>
        </row>
        <row r="4976">
          <cell r="A4976" t="str">
            <v>NIPPON INDIA MUTUAL FUND  CAPITAL BUILDER FD IV SR C RG GWTH 20MR21</v>
          </cell>
          <cell r="B4976">
            <v>540826</v>
          </cell>
          <cell r="C4976" t="str">
            <v>NCBFIVCG</v>
          </cell>
        </row>
        <row r="4977">
          <cell r="A4977" t="str">
            <v>NIPPON INDIA MUTUAL FUND  CAPITAL BUILDER FD IV SR C DR GWTH 20MR21</v>
          </cell>
          <cell r="B4977">
            <v>540827</v>
          </cell>
          <cell r="C4977" t="str">
            <v>NCBFIVBCG</v>
          </cell>
        </row>
        <row r="4978">
          <cell r="A4978" t="str">
            <v>NIPPON INDIA MUTUAL FUND  CAPITAL BUILDER FD IV SR C RG DVP 20MR21</v>
          </cell>
          <cell r="B4978">
            <v>540828</v>
          </cell>
          <cell r="C4978" t="str">
            <v>NCBFIVCD</v>
          </cell>
        </row>
        <row r="4979">
          <cell r="A4979" t="str">
            <v>ICICI PRUDENTIAL VALUE FUND - SERIES 19 - CUMULATIVE OPTION</v>
          </cell>
          <cell r="B4979">
            <v>540861</v>
          </cell>
          <cell r="C4979" t="str">
            <v>IPRU3018</v>
          </cell>
        </row>
        <row r="4980">
          <cell r="A4980" t="str">
            <v>ICICI PRUDENTIAL VALUE FUND - SERIES 19  - DIVIDEND PAYOUT OPTION</v>
          </cell>
          <cell r="B4980">
            <v>540862</v>
          </cell>
          <cell r="C4980" t="str">
            <v>IPRU3019</v>
          </cell>
        </row>
        <row r="4981">
          <cell r="A4981" t="str">
            <v>ICICI PRUDENTIAL VALUE FUND - SERIES 19  - DIRECT PLAN CUMULATIVE OPTION</v>
          </cell>
          <cell r="B4981">
            <v>540863</v>
          </cell>
          <cell r="C4981" t="str">
            <v>IPRU9220</v>
          </cell>
        </row>
        <row r="4982">
          <cell r="A4982" t="str">
            <v>ICICI PRUDENTIAL VALUE FUND - SERIES 19  -DIRECT PLAN DIVIDEND PAYOUT OPTION</v>
          </cell>
          <cell r="B4982">
            <v>540864</v>
          </cell>
          <cell r="C4982" t="str">
            <v>IPRU9221</v>
          </cell>
        </row>
        <row r="4983">
          <cell r="A4983" t="str">
            <v>NIPPON INDIA MUTUAL FUND  CAPITAL BUILDER FD IV SRD DR DVP 18JN21</v>
          </cell>
          <cell r="B4983">
            <v>540896</v>
          </cell>
          <cell r="C4983" t="str">
            <v>NCBFIVDDD</v>
          </cell>
        </row>
        <row r="4984">
          <cell r="A4984" t="str">
            <v>NIPPON INDIA MUTUAL FUND  CAPITAL BUILDER FD IV SRD RG GWTH 18JN21</v>
          </cell>
          <cell r="B4984">
            <v>540897</v>
          </cell>
          <cell r="C4984" t="str">
            <v>NCBFIVDG</v>
          </cell>
        </row>
        <row r="4985">
          <cell r="A4985" t="str">
            <v>NIPPON INDIA MUTUAL FUND  CAPITAL BUILDER FD IV SRD DR GWTH 18JN21</v>
          </cell>
          <cell r="B4985">
            <v>540898</v>
          </cell>
          <cell r="C4985" t="str">
            <v>NCBFIVDDG</v>
          </cell>
        </row>
        <row r="4986">
          <cell r="A4986" t="str">
            <v>NIPPON INDIA MUTUAL FUND  CAPITAL BUILDER FD IV SRD RG DVP 18JN21</v>
          </cell>
          <cell r="B4986">
            <v>540899</v>
          </cell>
          <cell r="C4986" t="str">
            <v>NCBFIVDD</v>
          </cell>
        </row>
        <row r="4987">
          <cell r="A4987" t="str">
            <v>ICICI Prudential Value Fund - Series 20 - Cumulative Option</v>
          </cell>
          <cell r="B4987">
            <v>540947</v>
          </cell>
          <cell r="C4987" t="str">
            <v>IPRU3034</v>
          </cell>
        </row>
        <row r="4988">
          <cell r="A4988" t="str">
            <v>ICICI Prudential Value Fund - Series 20 - Dividend Option</v>
          </cell>
          <cell r="B4988">
            <v>540949</v>
          </cell>
          <cell r="C4988" t="str">
            <v>IPRU3035</v>
          </cell>
        </row>
        <row r="4989">
          <cell r="A4989" t="str">
            <v>ICICI Prudential Value Fund - Series 20 - Direct Plan Cumulative Option</v>
          </cell>
          <cell r="B4989">
            <v>540950</v>
          </cell>
          <cell r="C4989" t="str">
            <v>IPRU9236</v>
          </cell>
        </row>
        <row r="4990">
          <cell r="A4990" t="str">
            <v>ICICI Prudential Value Fund - Series 20 - Direct Plan Dividend Option</v>
          </cell>
          <cell r="B4990">
            <v>540951</v>
          </cell>
          <cell r="C4990" t="str">
            <v>IPRU9237</v>
          </cell>
        </row>
        <row r="4991">
          <cell r="A4991" t="str">
            <v>Kotak India Growth Fund   Series 4 - Regular Plan Growth Option</v>
          </cell>
          <cell r="B4991">
            <v>540981</v>
          </cell>
          <cell r="C4991" t="str">
            <v>KTKIND4RG</v>
          </cell>
        </row>
        <row r="4992">
          <cell r="A4992" t="str">
            <v>Kotak India Growth Fund   Series 4 - Regular Plan Dividend Option</v>
          </cell>
          <cell r="B4992">
            <v>540982</v>
          </cell>
          <cell r="C4992" t="str">
            <v>KTKIND4RD</v>
          </cell>
        </row>
        <row r="4993">
          <cell r="A4993" t="str">
            <v>KOTAK INDIA GROWTH FUND SERIES 4 DIRECT PLAN DIVIDEND OPTION</v>
          </cell>
          <cell r="B4993">
            <v>540983</v>
          </cell>
          <cell r="C4993" t="str">
            <v>KTKIND4DD</v>
          </cell>
        </row>
        <row r="4994">
          <cell r="A4994" t="str">
            <v>Kotak India Growth Fund   Series 4 - Direct Plan Growth Option</v>
          </cell>
          <cell r="B4994">
            <v>540984</v>
          </cell>
          <cell r="C4994" t="str">
            <v>KTKIND4DG</v>
          </cell>
        </row>
        <row r="4995">
          <cell r="A4995" t="str">
            <v>Axis Capital Builder Fund - Series 1 (1540 Days) - Direct Plan  - Dividend Payout</v>
          </cell>
          <cell r="B4995">
            <v>541068</v>
          </cell>
          <cell r="C4995" t="str">
            <v>AXISCBD1D</v>
          </cell>
        </row>
        <row r="4996">
          <cell r="A4996" t="str">
            <v>Axis Capital Builder Fund - Series 1 (1540 Days) - Direct Plan  - Growth</v>
          </cell>
          <cell r="B4996">
            <v>541069</v>
          </cell>
          <cell r="C4996" t="str">
            <v>AXISCBDGG</v>
          </cell>
        </row>
        <row r="4997">
          <cell r="A4997" t="str">
            <v>Axis Capital Builder Fund - Series 1 (1540 Days) - Regular Plan  - Dividend Payout</v>
          </cell>
          <cell r="B4997">
            <v>541070</v>
          </cell>
          <cell r="C4997" t="str">
            <v>AXISCBDPD</v>
          </cell>
        </row>
        <row r="4998">
          <cell r="A4998" t="str">
            <v>Axis Capital Builder Fund - Series 1 (1540 Days) - Regular Plan  - Growth</v>
          </cell>
          <cell r="B4998">
            <v>541071</v>
          </cell>
          <cell r="C4998" t="str">
            <v>AXISCBGPG</v>
          </cell>
        </row>
        <row r="4999">
          <cell r="A4999" t="str">
            <v>DSP BlackRock A C E Fund - Series 2 - Regular Plan - Growth Option</v>
          </cell>
          <cell r="B4999">
            <v>541084</v>
          </cell>
          <cell r="C4999" t="str">
            <v>DACE2RG</v>
          </cell>
        </row>
        <row r="5000">
          <cell r="A5000" t="str">
            <v>DSP BlackRock A C E Fund - Series 2 - Regular Plan - Dividend Payout Option</v>
          </cell>
          <cell r="B5000">
            <v>541085</v>
          </cell>
          <cell r="C5000" t="str">
            <v>DACE2RDP</v>
          </cell>
        </row>
        <row r="5001">
          <cell r="A5001" t="str">
            <v>DSP BlackRock A C E Fund - Series 2 - Direct Plan - Growth Option</v>
          </cell>
          <cell r="B5001">
            <v>541086</v>
          </cell>
          <cell r="C5001" t="str">
            <v>DACE2DG</v>
          </cell>
        </row>
        <row r="5002">
          <cell r="A5002" t="str">
            <v>DSP BlackRock A C E Fund - Series 2 - Direct Plan - Dividend Payout  Option</v>
          </cell>
          <cell r="B5002">
            <v>541087</v>
          </cell>
          <cell r="C5002" t="str">
            <v>DACE2DDP</v>
          </cell>
        </row>
        <row r="5003">
          <cell r="A5003" t="str">
            <v>ADITYA BIRLA SUN LIFE RESURGENT INDIA FUND - SERIES 6- REGULAR PLAN- GROWTH</v>
          </cell>
          <cell r="B5003">
            <v>541092</v>
          </cell>
          <cell r="C5003" t="str">
            <v>ABSLRIF6RG</v>
          </cell>
        </row>
        <row r="5004">
          <cell r="A5004" t="str">
            <v>ADITYA BIRLA SUN LIFE RESURGENT INDIA FUND - SERIES 6- REGULAR PLAN- DIVIDEND PAYOUT</v>
          </cell>
          <cell r="B5004">
            <v>541093</v>
          </cell>
          <cell r="C5004" t="str">
            <v>ABSLRIF6RD</v>
          </cell>
        </row>
        <row r="5005">
          <cell r="A5005" t="str">
            <v>ADITYA BIRLA SUN LIFE RESURGENT INDIA FUND - SERIES 6- DIRECT PLAN- GROWTH</v>
          </cell>
          <cell r="B5005">
            <v>541094</v>
          </cell>
          <cell r="C5005" t="str">
            <v>ABSLRIF6DG</v>
          </cell>
        </row>
        <row r="5006">
          <cell r="A5006" t="str">
            <v>ADITYA BIRLA SUN LIFE RESURGENT INDIA FUND - SERIES 6- DIRECT PLAN- DIVIDEND PAYOUT</v>
          </cell>
          <cell r="B5006">
            <v>541095</v>
          </cell>
          <cell r="C5006" t="str">
            <v>ABSLRIF6DD</v>
          </cell>
        </row>
        <row r="5007">
          <cell r="A5007" t="str">
            <v>Aditya Birla Sun Life Resurgent India Fund - Series 7 - Regular Plan - Growth Option</v>
          </cell>
          <cell r="B5007">
            <v>541252</v>
          </cell>
          <cell r="C5007" t="str">
            <v>ABSLRIF7RG</v>
          </cell>
        </row>
        <row r="5008">
          <cell r="A5008" t="str">
            <v>Aditya Birla Sun Life Resurgent India Fund - Series 7 - Regular Plan - Dividend Payout</v>
          </cell>
          <cell r="B5008">
            <v>541253</v>
          </cell>
          <cell r="C5008" t="str">
            <v>ABSLRIF7RD</v>
          </cell>
        </row>
        <row r="5009">
          <cell r="A5009" t="str">
            <v>Aditya Birla Sun Life Resurgent India Fund - Series 7 - Direct Plan - Growth Option</v>
          </cell>
          <cell r="B5009">
            <v>541254</v>
          </cell>
          <cell r="C5009" t="str">
            <v>ABSLRIF7DG</v>
          </cell>
        </row>
        <row r="5010">
          <cell r="A5010" t="str">
            <v>Aditya Birla Sun Life Resurgent India Fund - Series 7 - Direct Plan - Dividend Payout</v>
          </cell>
          <cell r="B5010">
            <v>541255</v>
          </cell>
          <cell r="C5010" t="str">
            <v>ABSLRIF7DD</v>
          </cell>
        </row>
        <row r="5011">
          <cell r="A5011" t="str">
            <v>IndInfravit Trust</v>
          </cell>
          <cell r="B5011">
            <v>541300</v>
          </cell>
          <cell r="C5011" t="str">
            <v>INDINFR</v>
          </cell>
        </row>
        <row r="5012">
          <cell r="A5012" t="str">
            <v>ICICI Prudential Bharat Consumption Fund - Series 2 - Cumulative Option</v>
          </cell>
          <cell r="B5012">
            <v>541309</v>
          </cell>
          <cell r="C5012" t="str">
            <v>IPRU3095</v>
          </cell>
        </row>
        <row r="5013">
          <cell r="A5013" t="str">
            <v>ICICI Prudential Bharat Consumption Fund - Series 2 - Dividend Option</v>
          </cell>
          <cell r="B5013">
            <v>541310</v>
          </cell>
          <cell r="C5013" t="str">
            <v>IPRU3096</v>
          </cell>
        </row>
        <row r="5014">
          <cell r="A5014" t="str">
            <v>ICICI Prudential Bharat Consumption Fund - Series 2 - Direct Plan Cumulative Option</v>
          </cell>
          <cell r="B5014">
            <v>541311</v>
          </cell>
          <cell r="C5014" t="str">
            <v>IPRU9297</v>
          </cell>
        </row>
        <row r="5015">
          <cell r="A5015" t="str">
            <v>ICICI Prudential Bharat Consumption Fund - Series 2 - Direct Plan Dividend Option</v>
          </cell>
          <cell r="B5015">
            <v>541312</v>
          </cell>
          <cell r="C5015" t="str">
            <v>IPRU9298</v>
          </cell>
        </row>
        <row r="5016">
          <cell r="A5016" t="str">
            <v>ICICI Prudential S&amp;P BSE 500 ETF</v>
          </cell>
          <cell r="B5016">
            <v>541313</v>
          </cell>
          <cell r="C5016" t="str">
            <v>ICICI500</v>
          </cell>
        </row>
        <row r="5017">
          <cell r="A5017" t="str">
            <v>Kotak India Growth Fund Series 5 - Regular Plan - Growth Option</v>
          </cell>
          <cell r="B5017">
            <v>541341</v>
          </cell>
          <cell r="C5017" t="str">
            <v>KTKIND5RG</v>
          </cell>
        </row>
        <row r="5018">
          <cell r="A5018" t="str">
            <v>Kotak India Growth Fund Series 5 - Regular Plan - Dividend Option</v>
          </cell>
          <cell r="B5018">
            <v>541343</v>
          </cell>
          <cell r="C5018" t="str">
            <v>KTKIND5RD</v>
          </cell>
        </row>
        <row r="5019">
          <cell r="A5019" t="str">
            <v>Kotak India Growth Fund Series 5 - Direct Plan - Growth Option</v>
          </cell>
          <cell r="B5019">
            <v>541345</v>
          </cell>
          <cell r="C5019" t="str">
            <v>KTKIND5DG</v>
          </cell>
        </row>
        <row r="5020">
          <cell r="A5020" t="str">
            <v>Kotak India Growth Fund Series 5 - Direct Plan - Dividend Option</v>
          </cell>
          <cell r="B5020">
            <v>541346</v>
          </cell>
          <cell r="C5020" t="str">
            <v>KTKIND5DD</v>
          </cell>
        </row>
        <row r="5021">
          <cell r="A5021" t="str">
            <v>ICICI Prudential Bharat Consumption Fund  - Series 3 - Cumulative Option</v>
          </cell>
          <cell r="B5021">
            <v>541672</v>
          </cell>
          <cell r="C5021" t="str">
            <v>IPRU3143</v>
          </cell>
        </row>
        <row r="5022">
          <cell r="A5022" t="str">
            <v>ICICI Prudential Bharat Consumption Fund  - Series 3 - Dividend Payout Option</v>
          </cell>
          <cell r="B5022">
            <v>541673</v>
          </cell>
          <cell r="C5022" t="str">
            <v>IPRU3144</v>
          </cell>
        </row>
        <row r="5023">
          <cell r="A5023" t="str">
            <v>ICICI Prudential Bharat Consumption Fund  - Series 3 -  Direct Plan - Cumulative Option</v>
          </cell>
          <cell r="B5023">
            <v>541674</v>
          </cell>
          <cell r="C5023" t="str">
            <v>IPRU9345</v>
          </cell>
        </row>
        <row r="5024">
          <cell r="A5024" t="str">
            <v>ICICI Prudential Bharat Consumption Fund  - Series 3 - Direct Plan - Dividend Payout Option</v>
          </cell>
          <cell r="B5024">
            <v>541675</v>
          </cell>
          <cell r="C5024" t="str">
            <v>IPRU9346</v>
          </cell>
        </row>
        <row r="5025">
          <cell r="A5025" t="str">
            <v>Tata Vaue Fund Series 1 - Regular Plan - Dividend Payout Option</v>
          </cell>
          <cell r="B5025">
            <v>541676</v>
          </cell>
          <cell r="C5025" t="str">
            <v>TVF1D</v>
          </cell>
        </row>
        <row r="5026">
          <cell r="A5026" t="str">
            <v>Tata Vaue Fund Series 1 - Direct Plan - Dividend Payout Option</v>
          </cell>
          <cell r="B5026">
            <v>541677</v>
          </cell>
          <cell r="C5026" t="str">
            <v>TVF1DZ</v>
          </cell>
        </row>
        <row r="5027">
          <cell r="A5027" t="str">
            <v>Tata Vaue Fund Series 1 - Regular Plan - Growth Option</v>
          </cell>
          <cell r="B5027">
            <v>541678</v>
          </cell>
          <cell r="C5027" t="str">
            <v>TVF1G</v>
          </cell>
        </row>
        <row r="5028">
          <cell r="A5028" t="str">
            <v>Tata Vaue Fund Series 1 - Direct Plan - Growth Option</v>
          </cell>
          <cell r="B5028">
            <v>541679</v>
          </cell>
          <cell r="C5028" t="str">
            <v>TVF1GZ</v>
          </cell>
        </row>
        <row r="5029">
          <cell r="A5029" t="str">
            <v>IDFC Equity Opportunity - Series 6 - Regular Plan - Growth Option</v>
          </cell>
          <cell r="B5029">
            <v>541725</v>
          </cell>
          <cell r="C5029" t="str">
            <v>IDFCEOS6RG</v>
          </cell>
        </row>
        <row r="5030">
          <cell r="A5030" t="str">
            <v>IDFC Equity Opportunity - Series 6 - Regular Plan - Dividend Payout  Option</v>
          </cell>
          <cell r="B5030">
            <v>541726</v>
          </cell>
          <cell r="C5030" t="str">
            <v>IDFCEOS6RD</v>
          </cell>
        </row>
        <row r="5031">
          <cell r="A5031" t="str">
            <v>IDFC Equity Opportunity - Series 6 - Direct Plan - Growth Option</v>
          </cell>
          <cell r="B5031">
            <v>541727</v>
          </cell>
          <cell r="C5031" t="str">
            <v>IDFCEOS6DG</v>
          </cell>
        </row>
        <row r="5032">
          <cell r="A5032" t="str">
            <v>IDFC Equity Opportunity - Series 6 - Direct Plan - Dividend Payout Option</v>
          </cell>
          <cell r="B5032">
            <v>541728</v>
          </cell>
          <cell r="C5032" t="str">
            <v>IDFCEOS6DD</v>
          </cell>
        </row>
        <row r="5033">
          <cell r="A5033" t="str">
            <v>TATA Value Fund Series  2 - Regular Plan  - Dividend Payout Option</v>
          </cell>
          <cell r="B5033">
            <v>541742</v>
          </cell>
          <cell r="C5033" t="str">
            <v>TVF2D</v>
          </cell>
        </row>
        <row r="5034">
          <cell r="A5034" t="str">
            <v>TATA Value Fund Series  2 - Direct Plan  - Dividend Payout Option</v>
          </cell>
          <cell r="B5034">
            <v>541743</v>
          </cell>
          <cell r="C5034" t="str">
            <v>TVF2DZ</v>
          </cell>
        </row>
        <row r="5035">
          <cell r="A5035" t="str">
            <v>TATA Value Fund Series  2 - Regular  Plan  - Growth Option</v>
          </cell>
          <cell r="B5035">
            <v>541744</v>
          </cell>
          <cell r="C5035" t="str">
            <v>TVF2G</v>
          </cell>
        </row>
        <row r="5036">
          <cell r="A5036" t="str">
            <v>TATA Value Fund Series  2 - Direct Plan  - Growth Option</v>
          </cell>
          <cell r="B5036">
            <v>541745</v>
          </cell>
          <cell r="C5036" t="str">
            <v>TVF2GZ</v>
          </cell>
        </row>
        <row r="5037">
          <cell r="A5037" t="str">
            <v>ICICI PRU Bharat Consumption Fund - Sr 4 - Cumulative</v>
          </cell>
          <cell r="B5037">
            <v>541804</v>
          </cell>
          <cell r="C5037" t="str">
            <v>IPRU3168</v>
          </cell>
        </row>
        <row r="5038">
          <cell r="A5038" t="str">
            <v>ICICI PRU Bharat Consumption Fund - Sr 4 - Dividend Payout Option</v>
          </cell>
          <cell r="B5038">
            <v>541805</v>
          </cell>
          <cell r="C5038" t="str">
            <v>IPRU3169</v>
          </cell>
        </row>
        <row r="5039">
          <cell r="A5039" t="str">
            <v>ICICI PRU Bharat Consumption Fund - Sr 4 - Direct Plan Cumulative</v>
          </cell>
          <cell r="B5039">
            <v>541806</v>
          </cell>
          <cell r="C5039" t="str">
            <v>IPRU9370</v>
          </cell>
        </row>
        <row r="5040">
          <cell r="A5040" t="str">
            <v>ICICI PRU Bharat Consumption Fund - Sr 4 - Direct Plan Dividend Payout</v>
          </cell>
          <cell r="B5040">
            <v>541807</v>
          </cell>
          <cell r="C5040" t="str">
            <v>IPRU9371</v>
          </cell>
        </row>
        <row r="5041">
          <cell r="A5041" t="str">
            <v>ICICI Prudential Nifty Next 50 ETF</v>
          </cell>
          <cell r="B5041">
            <v>541809</v>
          </cell>
          <cell r="C5041" t="str">
            <v>ICICINXT50</v>
          </cell>
        </row>
        <row r="5042">
          <cell r="A5042" t="str">
            <v>Kotak India Growth Fund Series 7 - Regular Plan - Growth Option</v>
          </cell>
          <cell r="B5042">
            <v>541879</v>
          </cell>
          <cell r="C5042" t="str">
            <v>KTKIND7RG</v>
          </cell>
        </row>
        <row r="5043">
          <cell r="A5043" t="str">
            <v>Kotak India Growth Fund Series 7 - Regular Plan - Dividend Option</v>
          </cell>
          <cell r="B5043">
            <v>541881</v>
          </cell>
          <cell r="C5043" t="str">
            <v>KTKIND7RD</v>
          </cell>
        </row>
        <row r="5044">
          <cell r="A5044" t="str">
            <v>Kotak India Growth Fund Series 7 - Direct Plan - Growth Option</v>
          </cell>
          <cell r="B5044">
            <v>541882</v>
          </cell>
          <cell r="C5044" t="str">
            <v>KTKIND7DG</v>
          </cell>
        </row>
        <row r="5045">
          <cell r="A5045" t="str">
            <v>Kotak India Growth Fund Series 7 - Direct Plan - Dividend Option</v>
          </cell>
          <cell r="B5045">
            <v>541884</v>
          </cell>
          <cell r="C5045" t="str">
            <v>KTKIND7DD</v>
          </cell>
        </row>
        <row r="5046">
          <cell r="A5046" t="str">
            <v>SBI - ETF - SENSEX NEXT 50</v>
          </cell>
          <cell r="B5046">
            <v>541972</v>
          </cell>
          <cell r="C5046" t="str">
            <v>SETFSN50</v>
          </cell>
        </row>
        <row r="5047">
          <cell r="A5047" t="str">
            <v>NIPPON INDIA MUTUAL FUND  INDIA OPPT FD  SR A RG GWTH31JN22</v>
          </cell>
          <cell r="B5047">
            <v>541984</v>
          </cell>
          <cell r="C5047" t="str">
            <v>NIOSAG</v>
          </cell>
        </row>
        <row r="5048">
          <cell r="A5048" t="str">
            <v>NIPPON INDIA MUTUAL FUND  INDIA OPPT FD  SR A RG DVP31JN22</v>
          </cell>
          <cell r="B5048">
            <v>541985</v>
          </cell>
          <cell r="C5048" t="str">
            <v>NIOSAD</v>
          </cell>
        </row>
        <row r="5049">
          <cell r="A5049" t="str">
            <v>NIPPON INDIA MUTUAL FUND  INDIA OPPT FD  SR A DR GWTH31JN22</v>
          </cell>
          <cell r="B5049">
            <v>541986</v>
          </cell>
          <cell r="C5049" t="str">
            <v>NIOSADG</v>
          </cell>
        </row>
        <row r="5050">
          <cell r="A5050" t="str">
            <v>NIPPON INDIA MUTUAL FUND  INDIA OPPT FD  SR A DR DVP31JN22</v>
          </cell>
          <cell r="B5050">
            <v>541987</v>
          </cell>
          <cell r="C5050" t="str">
            <v>NIOSADD</v>
          </cell>
        </row>
        <row r="5051">
          <cell r="A5051" t="str">
            <v>MIRAE ASSET NIFTY 50 ETF (MAN50ETF)</v>
          </cell>
          <cell r="B5051">
            <v>542131</v>
          </cell>
          <cell r="C5051" t="str">
            <v>MAN50ETF</v>
          </cell>
        </row>
        <row r="5052">
          <cell r="A5052" t="str">
            <v>ICICI Prudential Bharat Consumption Fund - Series 5 - Cumulative Option</v>
          </cell>
          <cell r="B5052">
            <v>542156</v>
          </cell>
          <cell r="C5052" t="str">
            <v>IPRU3218</v>
          </cell>
        </row>
        <row r="5053">
          <cell r="A5053" t="str">
            <v>ICICI Prudential Bharat Consumption Fund - Series 5 - Dividend Payout Option</v>
          </cell>
          <cell r="B5053">
            <v>542158</v>
          </cell>
          <cell r="C5053" t="str">
            <v>IPRU3219</v>
          </cell>
        </row>
        <row r="5054">
          <cell r="A5054" t="str">
            <v>ICICI Prudential Bharat Consumption Fund - Series 5 -  Direct Plan - Cumulative Option</v>
          </cell>
          <cell r="B5054">
            <v>542160</v>
          </cell>
          <cell r="C5054" t="str">
            <v>IPRU9420</v>
          </cell>
        </row>
        <row r="5055">
          <cell r="A5055" t="str">
            <v>ICICI Prudential Bharat Consumption Fund - Series 5 -  Direct Plan - Dividend Payout  Option</v>
          </cell>
          <cell r="B5055">
            <v>542163</v>
          </cell>
          <cell r="C5055" t="str">
            <v>IPRU9421</v>
          </cell>
        </row>
        <row r="5056">
          <cell r="A5056" t="str">
            <v>Aditya Birla Sun Life Nifty Next 50 ETF</v>
          </cell>
          <cell r="B5056">
            <v>542230</v>
          </cell>
          <cell r="C5056" t="str">
            <v>ABSLNN50ET</v>
          </cell>
        </row>
        <row r="5057">
          <cell r="A5057" t="str">
            <v>Axis&amp;#160;Capital&amp;#160;Builder&amp;#160;Fund&amp;#160;-&amp;#160;Series&amp;#160;4&amp;#160;(1582&amp;#160;days)&amp;#160;-</v>
          </cell>
          <cell r="B5057">
            <v>542244</v>
          </cell>
          <cell r="C5057" t="str">
            <v>AXISCCDID</v>
          </cell>
        </row>
        <row r="5058">
          <cell r="A5058" t="str">
            <v>Axis&amp;#160;Capital&amp;#160;Builder&amp;#160;Fund&amp;#160;-&amp;#160;Series&amp;#160;4&amp;#160;(1582&amp;#160;days)&amp;#160;-Direct&amp;#160;Plan&amp;#160;-&amp;#160;Growth&amp;#160;Option</v>
          </cell>
          <cell r="B5058">
            <v>542245</v>
          </cell>
          <cell r="C5058" t="str">
            <v>AXISCCDGG</v>
          </cell>
        </row>
        <row r="5059">
          <cell r="A5059" t="str">
            <v>Axis&amp;#160;Capital&amp;#160;Builder&amp;#160;Fund&amp;#160;-&amp;#160;Series&amp;#160;4&amp;#160;(1582&amp;#160;days)&amp;#160;-Regular&amp;#160;Plan&amp;#160;-&amp;#160;Dividend&amp;#160;Payout&amp;#160;Option</v>
          </cell>
          <cell r="B5059">
            <v>542246</v>
          </cell>
          <cell r="C5059" t="str">
            <v>AXISCCDPD</v>
          </cell>
        </row>
        <row r="5060">
          <cell r="A5060" t="str">
            <v>Axis&amp;#160;Capital&amp;#160;Builder&amp;#160;Fund&amp;#160;-&amp;#160;Series&amp;#160;4&amp;#160;(1582&amp;#160;days)&amp;#160;- Regular&amp;#160;Plan&amp;#160;-&amp;#160;Growth&amp;#160;Option</v>
          </cell>
          <cell r="B5060">
            <v>542247</v>
          </cell>
          <cell r="C5060" t="str">
            <v>AXISCCGPG</v>
          </cell>
        </row>
        <row r="5061">
          <cell r="A5061" t="str">
            <v>UTI S&amp;P BSE Sensex Next 50 ETF</v>
          </cell>
          <cell r="B5061">
            <v>542513</v>
          </cell>
          <cell r="C5061" t="str">
            <v>UTISXN50</v>
          </cell>
        </row>
        <row r="5062">
          <cell r="A5062" t="str">
            <v>India Infrastructure Trust</v>
          </cell>
          <cell r="B5062">
            <v>542543</v>
          </cell>
          <cell r="C5062" t="str">
            <v>INFRATRUST</v>
          </cell>
        </row>
        <row r="5063">
          <cell r="A5063" t="str">
            <v>Parshva Enterprises Ltd</v>
          </cell>
          <cell r="B5063">
            <v>542694</v>
          </cell>
          <cell r="C5063" t="str">
            <v>PARSHVA</v>
          </cell>
        </row>
        <row r="5064">
          <cell r="A5064" t="str">
            <v>Anand Rayons Ltd</v>
          </cell>
          <cell r="B5064">
            <v>542721</v>
          </cell>
          <cell r="C5064" t="str">
            <v>ARL</v>
          </cell>
        </row>
        <row r="5065">
          <cell r="A5065" t="str">
            <v>Earum Pharmaceuticals Ltd</v>
          </cell>
          <cell r="B5065">
            <v>542724</v>
          </cell>
          <cell r="C5065" t="str">
            <v>EARUM</v>
          </cell>
        </row>
        <row r="5066">
          <cell r="A5066" t="str">
            <v>SBC Exports Ltd</v>
          </cell>
          <cell r="B5066">
            <v>542725</v>
          </cell>
          <cell r="C5066" t="str">
            <v>SBC</v>
          </cell>
        </row>
        <row r="5067">
          <cell r="A5067" t="str">
            <v>IndiaMART InterMESH Ltd</v>
          </cell>
          <cell r="B5067">
            <v>542726</v>
          </cell>
          <cell r="C5067" t="str">
            <v>INDIAMART</v>
          </cell>
        </row>
        <row r="5068">
          <cell r="A5068" t="str">
            <v>City Pulse Multiplex Ltd</v>
          </cell>
          <cell r="B5068">
            <v>542727</v>
          </cell>
          <cell r="C5068" t="str">
            <v>CPML</v>
          </cell>
        </row>
        <row r="5069">
          <cell r="A5069" t="str">
            <v>SK International Export Ltd</v>
          </cell>
          <cell r="B5069">
            <v>542728</v>
          </cell>
          <cell r="C5069" t="str">
            <v>SKIEL</v>
          </cell>
        </row>
        <row r="5070">
          <cell r="A5070" t="str">
            <v>DCM Nouvelle Ltd</v>
          </cell>
          <cell r="B5070">
            <v>542729</v>
          </cell>
          <cell r="C5070" t="str">
            <v>DCMNVL</v>
          </cell>
        </row>
        <row r="5071">
          <cell r="A5071" t="str">
            <v>ICICI Prudential Bank ETF</v>
          </cell>
          <cell r="B5071">
            <v>542730</v>
          </cell>
          <cell r="C5071" t="str">
            <v>ICICIBANKN</v>
          </cell>
        </row>
        <row r="5072">
          <cell r="A5072" t="str">
            <v>NIPPON INDIA ETF SENSEX NEXT 50</v>
          </cell>
          <cell r="B5072">
            <v>542747</v>
          </cell>
          <cell r="C5072" t="str">
            <v>NETFSNX150</v>
          </cell>
        </row>
        <row r="5073">
          <cell r="A5073" t="str">
            <v>Affle (India) Ltd</v>
          </cell>
          <cell r="B5073">
            <v>542752</v>
          </cell>
          <cell r="C5073" t="str">
            <v>AFFLE</v>
          </cell>
        </row>
        <row r="5074">
          <cell r="A5074" t="str">
            <v>Seacoast Shipping Services Ltd</v>
          </cell>
          <cell r="B5074">
            <v>542753</v>
          </cell>
          <cell r="C5074" t="str">
            <v>SEACOAST</v>
          </cell>
        </row>
        <row r="5075">
          <cell r="A5075" t="str">
            <v>ICICI Prudential Private Banks ETF</v>
          </cell>
          <cell r="B5075">
            <v>542758</v>
          </cell>
          <cell r="C5075" t="str">
            <v>ICICIBANKP</v>
          </cell>
        </row>
        <row r="5076">
          <cell r="A5076" t="str">
            <v>Spandana Sphoorty Financial Ltd</v>
          </cell>
          <cell r="B5076">
            <v>542759</v>
          </cell>
          <cell r="C5076" t="str">
            <v>SPANDANA</v>
          </cell>
        </row>
        <row r="5077">
          <cell r="A5077" t="str">
            <v>Sterling and Wilson Solar Ltd</v>
          </cell>
          <cell r="B5077">
            <v>542760</v>
          </cell>
          <cell r="C5077" t="str">
            <v>SWSOLAR</v>
          </cell>
        </row>
        <row r="5078">
          <cell r="A5078" t="str">
            <v>Transpact Enterprises Ltd</v>
          </cell>
          <cell r="B5078">
            <v>542765</v>
          </cell>
          <cell r="C5078" t="str">
            <v>TRANSPACT</v>
          </cell>
        </row>
        <row r="5079">
          <cell r="A5079" t="str">
            <v>Alphalogic Techsys Ltd</v>
          </cell>
          <cell r="B5079">
            <v>542770</v>
          </cell>
          <cell r="C5079" t="str">
            <v>ALPHALOGIC</v>
          </cell>
        </row>
        <row r="5080">
          <cell r="A5080" t="str">
            <v>Novateor Research Laboratories Ltd</v>
          </cell>
          <cell r="B5080">
            <v>542771</v>
          </cell>
          <cell r="C5080" t="str">
            <v>NOVATEOR</v>
          </cell>
        </row>
        <row r="5081">
          <cell r="A5081" t="str">
            <v>IIFL Wealth Management Ltd</v>
          </cell>
          <cell r="B5081">
            <v>542772</v>
          </cell>
          <cell r="C5081" t="str">
            <v>IIFLWAM</v>
          </cell>
        </row>
        <row r="5082">
          <cell r="A5082" t="str">
            <v>IIFL Securities Ltd</v>
          </cell>
          <cell r="B5082">
            <v>542773</v>
          </cell>
          <cell r="C5082" t="str">
            <v>IIFLSEC</v>
          </cell>
        </row>
        <row r="5083">
          <cell r="A5083" t="str">
            <v>APM Finvest Ltd</v>
          </cell>
          <cell r="B5083">
            <v>542774</v>
          </cell>
          <cell r="C5083" t="str">
            <v>APMFINVEST</v>
          </cell>
        </row>
        <row r="5084">
          <cell r="A5084" t="str">
            <v>Misquita Engineering Ltd</v>
          </cell>
          <cell r="B5084">
            <v>542801</v>
          </cell>
          <cell r="C5084" t="str">
            <v>MISQUITA</v>
          </cell>
        </row>
        <row r="5085">
          <cell r="A5085" t="str">
            <v>Galactico Corporate Services Ltd</v>
          </cell>
          <cell r="B5085">
            <v>542802</v>
          </cell>
          <cell r="C5085" t="str">
            <v>GALACTICO</v>
          </cell>
        </row>
        <row r="5086">
          <cell r="A5086" t="str">
            <v>Ellora Trading Ltd</v>
          </cell>
          <cell r="B5086">
            <v>542803</v>
          </cell>
          <cell r="C5086" t="str">
            <v>ELLORATRAD</v>
          </cell>
        </row>
        <row r="5087">
          <cell r="A5087" t="str">
            <v>NIPPON INDIA EQUITY SAVINGS FUND - SEGREGATED PORTFOLIO 1 - DIVIDEND PLANDIVIDEND PAYOUT</v>
          </cell>
          <cell r="B5087">
            <v>542804</v>
          </cell>
          <cell r="C5087" t="str">
            <v>NIESSPJ</v>
          </cell>
        </row>
        <row r="5088">
          <cell r="A5088" t="str">
            <v>NIPPON INDIA EQUITY SAVINGS FUND - SEGREGATED PORTFOLIO 1 - DIRECT QUARTERLY DIVIDEND PLAN REINVESTMENT</v>
          </cell>
          <cell r="B5088">
            <v>542805</v>
          </cell>
          <cell r="C5088" t="str">
            <v>NIESSPI</v>
          </cell>
        </row>
        <row r="5089">
          <cell r="A5089" t="str">
            <v>NIPPON INDIA EQUITY SAVINGS FUND - SEGREGATED PORTFOLIO 1 - DIRECT BONUS PLAN BONUS</v>
          </cell>
          <cell r="B5089">
            <v>542806</v>
          </cell>
          <cell r="C5089" t="str">
            <v>NIESSPB</v>
          </cell>
        </row>
        <row r="5090">
          <cell r="A5090" t="str">
            <v>NIPPON INDIA EQUITY SAVINGS FUND - SEGREGATED PORTFOLIO 1 - QUARTERLY DIVIDEND PLANDIVIDEND PAYOUT</v>
          </cell>
          <cell r="B5090">
            <v>542807</v>
          </cell>
          <cell r="C5090" t="str">
            <v>NIESSPO</v>
          </cell>
        </row>
        <row r="5091">
          <cell r="A5091" t="str">
            <v>NIPPON INDIA EQUITY SAVINGS FUND - SEGREGATED PORTFOLIO 1 - DIRECT DIVIDEND PLAN DIVIDEND PAYOUT</v>
          </cell>
          <cell r="B5091">
            <v>542808</v>
          </cell>
          <cell r="C5091" t="str">
            <v>NIESSPC</v>
          </cell>
        </row>
        <row r="5092">
          <cell r="A5092" t="str">
            <v>NIPPON INDIA EQUITY SAVINGS FUND - SEGREGATED PORTFOLIO 1 - QUARTERLY DIVIDEND PLAN REINVESTMENT</v>
          </cell>
          <cell r="B5092">
            <v>542809</v>
          </cell>
          <cell r="C5092" t="str">
            <v>NIESSPP</v>
          </cell>
        </row>
        <row r="5093">
          <cell r="A5093" t="str">
            <v>NIPPON INDIA EQUITY SAVINGS FUND - SEGREGATED PORTFOLIO 1 - BONUS PLANBONUS</v>
          </cell>
          <cell r="B5093">
            <v>542810</v>
          </cell>
          <cell r="C5093" t="str">
            <v>NIESSPA</v>
          </cell>
        </row>
        <row r="5094">
          <cell r="A5094" t="str">
            <v>NIPPON INDIA EQUITY SAVINGS FUND - SEGREGATED PORTFOLIO 1 - DIRECT MONTHLY DIVIDEND PLAN REINVESTMENT</v>
          </cell>
          <cell r="B5094">
            <v>542811</v>
          </cell>
          <cell r="C5094" t="str">
            <v>NIESSPG</v>
          </cell>
        </row>
        <row r="5095">
          <cell r="A5095" t="str">
            <v>Gujarat Fluorochemicals Ltd</v>
          </cell>
          <cell r="B5095">
            <v>542812</v>
          </cell>
          <cell r="C5095" t="str">
            <v>FLUOROCHEM</v>
          </cell>
        </row>
        <row r="5096">
          <cell r="A5096" t="str">
            <v>NIPPON INDIA EQUITY HYBRID FUND -&amp;#160;SEGREGATED PORTFOLIO 1- DIRECT DIVIDEND PLAN REINVESTMENT</v>
          </cell>
          <cell r="B5096">
            <v>542813</v>
          </cell>
          <cell r="C5096" t="str">
            <v>NIEHSPA</v>
          </cell>
        </row>
        <row r="5097">
          <cell r="A5097" t="str">
            <v>NIPPON INDIA EQUITY HYBRID FUND -&amp;#160;SEGREGATED PORTFOLIO 1 - DIRECT MONTHLY DIVIDEND PLAN DIVIDEND PAYOUT</v>
          </cell>
          <cell r="B5097">
            <v>542814</v>
          </cell>
          <cell r="C5097" t="str">
            <v>NIEHSPB</v>
          </cell>
        </row>
        <row r="5098">
          <cell r="A5098" t="str">
            <v>NIPPON INDIA EQUITY HYBRID FUND -&amp;#160;SEGREGATED PORTFOLIO 1 - DIRECT MONTHLY DIVIDEND PLAN REINVESTMENT</v>
          </cell>
          <cell r="B5098">
            <v>542815</v>
          </cell>
          <cell r="C5098" t="str">
            <v>NIEHSPC</v>
          </cell>
        </row>
        <row r="5099">
          <cell r="A5099" t="str">
            <v>NIPPON INDIA EQUITY HYBRID FUND -&amp;#160;SEGREGATED PORTFOLIO 1 - QUARTERLY DIVIDEND PLAN REINVESTMENT</v>
          </cell>
          <cell r="B5099">
            <v>542816</v>
          </cell>
          <cell r="C5099" t="str">
            <v>NIEHSPF</v>
          </cell>
        </row>
        <row r="5100">
          <cell r="A5100" t="str">
            <v>NIPPON INDIA EQUITY HYBRID FUND -&amp;#160;SEGREGATED PORTFOLIO 1 - DIRECT QUARTERLY DIVIDEND PLAN DIVIDEND PAYOUT</v>
          </cell>
          <cell r="B5100">
            <v>542817</v>
          </cell>
          <cell r="C5100" t="str">
            <v>NIEHSPI</v>
          </cell>
        </row>
        <row r="5101">
          <cell r="A5101" t="str">
            <v>NIPPON INDIA EQUITY HYBRID FUND -&amp;#160;SEGREGATED PORTFOLIO 1 - DIRECT QUARTERLY DIVIDEND PLAN REINVESTMENT</v>
          </cell>
          <cell r="B5101">
            <v>542818</v>
          </cell>
          <cell r="C5101" t="str">
            <v>NIEHSPK</v>
          </cell>
        </row>
        <row r="5102">
          <cell r="A5102" t="str">
            <v>NIPPON INDIA EQUITY HYBRID FUND -&amp;#160;SEGREGATED PORTFOLIO 1 - DIRECT DIVIDEND PLAN DIVIDEND PAYOUT</v>
          </cell>
          <cell r="B5102">
            <v>542819</v>
          </cell>
          <cell r="C5102" t="str">
            <v>NIEHSPM</v>
          </cell>
        </row>
        <row r="5103">
          <cell r="A5103" t="str">
            <v>NIPPON INDIA EQUITY HYBRID FUND -&amp;#160;SEGREGATED PORTFOLIO 1 - MONTHLY DIVIDEND PLAN REINVESTMENT</v>
          </cell>
          <cell r="B5103">
            <v>542820</v>
          </cell>
          <cell r="C5103" t="str">
            <v>NIEHSPN</v>
          </cell>
        </row>
        <row r="5104">
          <cell r="A5104" t="str">
            <v>Indian Railway Catering and Tourism Corporation Ltd</v>
          </cell>
          <cell r="B5104">
            <v>542830</v>
          </cell>
          <cell r="C5104" t="str">
            <v>IRCTC</v>
          </cell>
        </row>
        <row r="5105">
          <cell r="A5105" t="str">
            <v>NIPPON INDIA EQUITY SAVINGS FUND - SEGREGATED PORTFOLIO 1 - DIRECT DIVIDEND PLAN REINVESTMENT</v>
          </cell>
          <cell r="B5105">
            <v>542836</v>
          </cell>
          <cell r="C5105" t="str">
            <v>NIESSPD</v>
          </cell>
        </row>
        <row r="5106">
          <cell r="A5106" t="str">
            <v>NIPPON INDIA EQUITY SAVINGS FUND - SEGREGATED PORTFOLIO 1 - DIRECT GROWTH PLAN GROWTH</v>
          </cell>
          <cell r="B5106">
            <v>542837</v>
          </cell>
          <cell r="C5106" t="str">
            <v>NIESSPE</v>
          </cell>
        </row>
        <row r="5107">
          <cell r="A5107" t="str">
            <v>NIPPON INDIA EQUITY SAVINGS FUND - SEGREGATED PORTFOLIO 1 - DIRECT MONTHLY DIVIDEND PLAN DIVIDEND PAYOUT</v>
          </cell>
          <cell r="B5107">
            <v>542838</v>
          </cell>
          <cell r="C5107" t="str">
            <v>NIESSPF</v>
          </cell>
        </row>
        <row r="5108">
          <cell r="A5108" t="str">
            <v>NIPPON INDIA EQUITY HYBRID FUND -&amp;#160;SEGREGATED PORTFOLIO 1 - GROWTH PLAN GROWTH</v>
          </cell>
          <cell r="B5108">
            <v>542839</v>
          </cell>
          <cell r="C5108" t="str">
            <v>NIEHSPD</v>
          </cell>
        </row>
        <row r="5109">
          <cell r="A5109" t="str">
            <v>NIPPON INDIA EQUITY SAVINGS FUND - SEGREGATED PORTFOLIO 1 - DIRECT QUARTERLY DIVIDEND PLAN DIVIDEND PAYOUT</v>
          </cell>
          <cell r="B5109">
            <v>542840</v>
          </cell>
          <cell r="C5109" t="str">
            <v>NIESSPH</v>
          </cell>
        </row>
        <row r="5110">
          <cell r="A5110" t="str">
            <v>NIPPON INDIA EQUITY HYBRID FUND -&amp;#160;SEGREGATED PORTFOLIO 1 - QUARTERLY DIVIDEND PLAN DIVIDEND PAYOUT</v>
          </cell>
          <cell r="B5110">
            <v>542841</v>
          </cell>
          <cell r="C5110" t="str">
            <v>NIEHSPE</v>
          </cell>
        </row>
        <row r="5111">
          <cell r="A5111" t="str">
            <v>NIPPON INDIA EQUITY SAVINGS FUND - SEGREGATED PORTFOLIO 1 - DIVIDEND PLAN REINVESTMENT</v>
          </cell>
          <cell r="B5111">
            <v>542842</v>
          </cell>
          <cell r="C5111" t="str">
            <v>NIESSPK</v>
          </cell>
        </row>
        <row r="5112">
          <cell r="A5112" t="str">
            <v>NIPPON INDIA EQUITY HYBRID FUND -&amp;#160;SEGREGATED PORTFOLIO 1 - DIRECT GROWTH PLAN GROWTH</v>
          </cell>
          <cell r="B5112">
            <v>542843</v>
          </cell>
          <cell r="C5112" t="str">
            <v>NIEHSPG</v>
          </cell>
        </row>
        <row r="5113">
          <cell r="A5113" t="str">
            <v>NIPPON INDIA EQUITY HYBRID FUND -&amp;#160;SEGREGATED PORTFOLIO 1 - DIVIDEND PLAN DIVIDEND PAYOUT</v>
          </cell>
          <cell r="B5113">
            <v>542844</v>
          </cell>
          <cell r="C5113" t="str">
            <v>NIEHSPH</v>
          </cell>
        </row>
        <row r="5114">
          <cell r="A5114" t="str">
            <v>NIPPON INDIA EQUITY HYBRID FUND -&amp;#160;SEGREGATED PORTFOLIO 1 - DIVIDEND PLAN REINVESTMENT</v>
          </cell>
          <cell r="B5114">
            <v>542845</v>
          </cell>
          <cell r="C5114" t="str">
            <v>NIEHSPJ</v>
          </cell>
        </row>
        <row r="5115">
          <cell r="A5115" t="str">
            <v>NIPPON INDIA EQUITY HYBRID FUND -&amp;#160;SEGREGATED PORTFOLIO 1 - MONTHLY DIVIDEND PLAN DIVIDEND PAYOUT</v>
          </cell>
          <cell r="B5115">
            <v>542846</v>
          </cell>
          <cell r="C5115" t="str">
            <v>NIEHSPL</v>
          </cell>
        </row>
        <row r="5116">
          <cell r="A5116" t="str">
            <v>NIPPON INDIA EQUITY SAVINGS FUND - SEGREGATED PORTFOLIO 1 - GROWTH PLAN GROWTH</v>
          </cell>
          <cell r="B5116">
            <v>542847</v>
          </cell>
          <cell r="C5116" t="str">
            <v>NIESSPL</v>
          </cell>
        </row>
        <row r="5117">
          <cell r="A5117" t="str">
            <v>NIPPON INDIA EQUITY SAVINGS FUND - SEGREGATED PORTFOLIO 1 - MONTHLY DIVIDEND PLANDIVIDEND PAYOUT</v>
          </cell>
          <cell r="B5117">
            <v>542848</v>
          </cell>
          <cell r="C5117" t="str">
            <v>NIESSPM</v>
          </cell>
        </row>
        <row r="5118">
          <cell r="A5118" t="str">
            <v>NIPPON INDIA EQUITY SAVINGS FUND - SEGREGATED PORTFOLIO 1 - MONTHLY DIVIDEND PLAN REINVESTMENT</v>
          </cell>
          <cell r="B5118">
            <v>542849</v>
          </cell>
          <cell r="C5118" t="str">
            <v>NIESSPN</v>
          </cell>
        </row>
        <row r="5119">
          <cell r="A5119" t="str">
            <v>Goblin India Ltd</v>
          </cell>
          <cell r="B5119">
            <v>542850</v>
          </cell>
          <cell r="C5119" t="str">
            <v>GOBLIN</v>
          </cell>
        </row>
        <row r="5120">
          <cell r="A5120" t="str">
            <v>Gensol Engineering Ltd</v>
          </cell>
          <cell r="B5120">
            <v>542851</v>
          </cell>
          <cell r="C5120" t="str">
            <v>GENSOL</v>
          </cell>
        </row>
        <row r="5121">
          <cell r="A5121" t="str">
            <v>Vishwaraj Sugar Industries Ltd</v>
          </cell>
          <cell r="B5121">
            <v>542852</v>
          </cell>
          <cell r="C5121" t="str">
            <v>VISHWARAJ</v>
          </cell>
        </row>
        <row r="5122">
          <cell r="A5122" t="str">
            <v>Greenpanel Industries Ltd</v>
          </cell>
          <cell r="B5122">
            <v>542857</v>
          </cell>
          <cell r="C5122" t="str">
            <v>GREENPANEL</v>
          </cell>
        </row>
        <row r="5123">
          <cell r="A5123" t="str">
            <v>Shahlon Silk Industries Ltd</v>
          </cell>
          <cell r="B5123">
            <v>542862</v>
          </cell>
          <cell r="C5123" t="str">
            <v>SHAHLON</v>
          </cell>
        </row>
        <row r="5124">
          <cell r="A5124" t="str">
            <v>ADITYA BIRLA SUN LIFE BANKING ETF</v>
          </cell>
          <cell r="B5124">
            <v>542863</v>
          </cell>
          <cell r="C5124" t="str">
            <v>ABSLBANETF</v>
          </cell>
        </row>
        <row r="5125">
          <cell r="A5125" t="str">
            <v>Mount Housing and Infrastructure Ltd</v>
          </cell>
          <cell r="B5125">
            <v>542864</v>
          </cell>
          <cell r="C5125" t="str">
            <v>MOUNT</v>
          </cell>
        </row>
        <row r="5126">
          <cell r="A5126" t="str">
            <v>Anuroop Packaging Ltd</v>
          </cell>
          <cell r="B5126">
            <v>542865</v>
          </cell>
          <cell r="C5126" t="str">
            <v>ANUROOP</v>
          </cell>
        </row>
        <row r="5127">
          <cell r="A5127" t="str">
            <v>JSG Leasing Ltd</v>
          </cell>
          <cell r="B5127">
            <v>542866</v>
          </cell>
          <cell r="C5127" t="str">
            <v>JSGLEASING</v>
          </cell>
        </row>
        <row r="5128">
          <cell r="A5128" t="str">
            <v>CSB Bank Ltd</v>
          </cell>
          <cell r="B5128">
            <v>542867</v>
          </cell>
          <cell r="C5128" t="str">
            <v>CSBBANK</v>
          </cell>
        </row>
        <row r="5129">
          <cell r="A5129" t="str">
            <v>Ujjivan Small Finance Bank Ltd</v>
          </cell>
          <cell r="B5129">
            <v>542904</v>
          </cell>
          <cell r="C5129" t="str">
            <v>UJJIVANSFB</v>
          </cell>
        </row>
        <row r="5130">
          <cell r="A5130" t="str">
            <v>Somany Home Innovation Ltd</v>
          </cell>
          <cell r="B5130">
            <v>542905</v>
          </cell>
          <cell r="C5130" t="str">
            <v>SHIL</v>
          </cell>
        </row>
        <row r="5131">
          <cell r="A5131" t="str">
            <v>Easun Capital Markets Ltd</v>
          </cell>
          <cell r="B5131">
            <v>542906</v>
          </cell>
          <cell r="C5131" t="str">
            <v>EASUN</v>
          </cell>
        </row>
        <row r="5132">
          <cell r="A5132" t="str">
            <v>Prince Pipes and Fittings Ltd</v>
          </cell>
          <cell r="B5132">
            <v>542907</v>
          </cell>
          <cell r="C5132" t="str">
            <v>PRINCEPIPE</v>
          </cell>
        </row>
        <row r="5133">
          <cell r="A5133" t="str">
            <v>Valencia Nutrition Ltd</v>
          </cell>
          <cell r="B5133">
            <v>542910</v>
          </cell>
          <cell r="C5133" t="str">
            <v>VALENCIA</v>
          </cell>
        </row>
        <row r="5134">
          <cell r="A5134" t="str">
            <v>Assam Entrade Ltd</v>
          </cell>
          <cell r="B5134">
            <v>542911</v>
          </cell>
          <cell r="C5134" t="str">
            <v>ASSAMENT</v>
          </cell>
        </row>
        <row r="5135">
          <cell r="A5135" t="str">
            <v>Gian Life Care Ltd</v>
          </cell>
          <cell r="B5135">
            <v>542918</v>
          </cell>
          <cell r="C5135" t="str">
            <v>GIANLIFE</v>
          </cell>
        </row>
        <row r="5136">
          <cell r="A5136" t="str">
            <v>Artemis Medicare Services Ltd</v>
          </cell>
          <cell r="B5136">
            <v>542919</v>
          </cell>
          <cell r="C5136" t="str">
            <v>ARTEMISMED</v>
          </cell>
        </row>
        <row r="5137">
          <cell r="A5137" t="str">
            <v>Sumitomo Chemical India Ltd</v>
          </cell>
          <cell r="B5137">
            <v>542920</v>
          </cell>
          <cell r="C5137" t="str">
            <v>SUMICHEM</v>
          </cell>
        </row>
        <row r="5138">
          <cell r="A5138" t="str">
            <v>ICICI Prudential Midcap 150 ETF</v>
          </cell>
          <cell r="B5138">
            <v>542921</v>
          </cell>
          <cell r="C5138" t="str">
            <v>ICICIM150</v>
          </cell>
        </row>
        <row r="5139">
          <cell r="A5139" t="str">
            <v>Mirae Asset Nifty Next 50 ETF (MANXT50ETF)</v>
          </cell>
          <cell r="B5139">
            <v>542922</v>
          </cell>
          <cell r="C5139" t="str">
            <v>MANXT50ETF</v>
          </cell>
        </row>
        <row r="5140">
          <cell r="A5140" t="str">
            <v>Tranway Technologies Ltd</v>
          </cell>
          <cell r="B5140">
            <v>542923</v>
          </cell>
          <cell r="C5140" t="str">
            <v>TRANWAY</v>
          </cell>
        </row>
        <row r="5141">
          <cell r="A5141" t="str">
            <v>Janus Corporation Ltd</v>
          </cell>
          <cell r="B5141">
            <v>542924</v>
          </cell>
          <cell r="C5141" t="str">
            <v>JANUSCORP</v>
          </cell>
        </row>
        <row r="5142">
          <cell r="A5142" t="str">
            <v>Vardhan Capital &amp; Finance Ltd</v>
          </cell>
          <cell r="B5142">
            <v>542931</v>
          </cell>
          <cell r="C5142" t="str">
            <v>VARDHANCFL</v>
          </cell>
        </row>
        <row r="5143">
          <cell r="A5143" t="str">
            <v>Birla Tyres Ltd</v>
          </cell>
          <cell r="B5143">
            <v>542932</v>
          </cell>
          <cell r="C5143" t="str">
            <v>BIRLATYRES</v>
          </cell>
        </row>
        <row r="5144">
          <cell r="A5144" t="str">
            <v>Universus Photo Imagings Ltd</v>
          </cell>
          <cell r="B5144">
            <v>542933</v>
          </cell>
          <cell r="C5144" t="str">
            <v>UNIVPHOTO</v>
          </cell>
        </row>
        <row r="5145">
          <cell r="A5145" t="str">
            <v>Chandra Bhagat Pharma Ltd</v>
          </cell>
          <cell r="B5145">
            <v>542934</v>
          </cell>
          <cell r="C5145" t="str">
            <v>CBPL</v>
          </cell>
        </row>
        <row r="5146">
          <cell r="A5146" t="str">
            <v>ICL Organic Dairy Products Ltd</v>
          </cell>
          <cell r="B5146">
            <v>542935</v>
          </cell>
          <cell r="C5146" t="str">
            <v>ICLORGANIC</v>
          </cell>
        </row>
        <row r="5147">
          <cell r="A5147" t="str">
            <v>Octavius Plantations Ltd</v>
          </cell>
          <cell r="B5147">
            <v>542938</v>
          </cell>
          <cell r="C5147" t="str">
            <v>OCTAVIUSPL</v>
          </cell>
        </row>
        <row r="5148">
          <cell r="A5148" t="str">
            <v>Suven Pharmaceuticals Ltd</v>
          </cell>
          <cell r="B5148">
            <v>543064</v>
          </cell>
          <cell r="C5148" t="str">
            <v>SUVENPHAR</v>
          </cell>
        </row>
        <row r="5149">
          <cell r="A5149" t="str">
            <v>SM Auto Stamping Ltd</v>
          </cell>
          <cell r="B5149">
            <v>543065</v>
          </cell>
          <cell r="C5149" t="str">
            <v>SMAUTO</v>
          </cell>
        </row>
        <row r="5150">
          <cell r="A5150" t="str">
            <v>SBI Cards and Payment Services Ltd</v>
          </cell>
          <cell r="B5150">
            <v>543066</v>
          </cell>
          <cell r="C5150" t="str">
            <v>SBICARD</v>
          </cell>
        </row>
        <row r="5151">
          <cell r="A5151" t="str">
            <v>NIPPON INDIA EQUITY SAVINGS FUND -  SEGREGATED PORTFOLIO 2 - MONTHLY DIVIDEND PLAN(Issue Price: 0.01)</v>
          </cell>
          <cell r="B5151">
            <v>543144</v>
          </cell>
          <cell r="C5151" t="str">
            <v>08MPD</v>
          </cell>
        </row>
        <row r="5152">
          <cell r="A5152" t="str">
            <v>NIPPON INDIA EQUITY SAVINGS FUND -  SEGREGATED PORTFOLIO 2 - DIRECT DIVIDEND PLAN(Issue Price: 0.01)</v>
          </cell>
          <cell r="B5152">
            <v>543145</v>
          </cell>
          <cell r="C5152" t="str">
            <v>08ADR</v>
          </cell>
        </row>
        <row r="5153">
          <cell r="A5153" t="str">
            <v>NIPPON INDIA EQUITY SAVINGS FUND -  SEGREGATED PORTFOLIO 2 - MONTHLY DIVIDEND PLAN(Issue Price: 0.01)</v>
          </cell>
          <cell r="B5153">
            <v>543146</v>
          </cell>
          <cell r="C5153" t="str">
            <v>08MPR</v>
          </cell>
        </row>
        <row r="5154">
          <cell r="A5154" t="str">
            <v>NIPPON INDIA EQUITY SAVINGS FUND -  SEGREGATED PORTFOLIO 2 - DIRECT MONTHLY DIVIDEND PLAN(Issue Price: 0.01)</v>
          </cell>
          <cell r="B5154">
            <v>543147</v>
          </cell>
          <cell r="C5154" t="str">
            <v>08AMD</v>
          </cell>
        </row>
        <row r="5155">
          <cell r="A5155" t="str">
            <v>NIPPON INDIA EQUITY SAVINGS FUND -  SEGREGATED PORTFOLIO 2 - DIRECT MONTHLY DIVIDEND PLAN(Issue Price: 0.01)</v>
          </cell>
          <cell r="B5155">
            <v>543148</v>
          </cell>
          <cell r="C5155" t="str">
            <v>08AMR</v>
          </cell>
        </row>
        <row r="5156">
          <cell r="A5156" t="str">
            <v>NIPPON INDIA EQUITY SAVINGS FUND -  SEGREGATED PORTFOLIO 2 - BONUS PLAN(Issue Price: 0.01)</v>
          </cell>
          <cell r="B5156">
            <v>543149</v>
          </cell>
          <cell r="C5156" t="str">
            <v>08BPB</v>
          </cell>
        </row>
        <row r="5157">
          <cell r="A5157" t="str">
            <v>NIPPON INDIA EQUITY SAVINGS FUND -  SEGREGATED PORTFOLIO 2 - GROWTH PLAN(Issue Price: 0.01)</v>
          </cell>
          <cell r="B5157">
            <v>543150</v>
          </cell>
          <cell r="C5157" t="str">
            <v>08GPG</v>
          </cell>
        </row>
        <row r="5158">
          <cell r="A5158" t="str">
            <v>NIPPON INDIA EQUITY SAVINGS FUND -  SEGREGATED PORTFOLIO 2 - DIRECT BONUS PLAN(Issue Price: 0.01)</v>
          </cell>
          <cell r="B5158">
            <v>543151</v>
          </cell>
          <cell r="C5158" t="str">
            <v>08ABB</v>
          </cell>
        </row>
        <row r="5159">
          <cell r="A5159" t="str">
            <v>NIPPON INDIA EQUITY SAVINGS FUND -  SEGREGATED PORTFOLIO 2 - QUARTERLY DIVIDEND PLAN(Issue Price: 0.01)</v>
          </cell>
          <cell r="B5159">
            <v>543152</v>
          </cell>
          <cell r="C5159" t="str">
            <v>08QPD</v>
          </cell>
        </row>
        <row r="5160">
          <cell r="A5160" t="str">
            <v>NIPPON INDIA EQUITY SAVINGS FUND -  SEGREGATED PORTFOLIO 2 - DIRECT GROWTH PLAN(Issue Price: 0.01)</v>
          </cell>
          <cell r="B5160">
            <v>543153</v>
          </cell>
          <cell r="C5160" t="str">
            <v>08AGG</v>
          </cell>
        </row>
        <row r="5161">
          <cell r="A5161" t="str">
            <v>NIPPON INDIA EQUITY SAVINGS FUND -  SEGREGATED PORTFOLIO 2 - QUARTERLY DIVIDEND PLAN(Issue Price: 0.01)</v>
          </cell>
          <cell r="B5161">
            <v>543154</v>
          </cell>
          <cell r="C5161" t="str">
            <v>08QPR</v>
          </cell>
        </row>
        <row r="5162">
          <cell r="A5162" t="str">
            <v>NIPPON INDIA EQUITY SAVINGS FUND -  SEGREGATED PORTFOLIO 2 - DIRECT QUARTERLY DIVIDEND PLAN(Issue Price: 0.01)</v>
          </cell>
          <cell r="B5162">
            <v>543155</v>
          </cell>
          <cell r="C5162" t="str">
            <v>08AQD</v>
          </cell>
        </row>
        <row r="5163">
          <cell r="A5163" t="str">
            <v>NIPPON INDIA EQUITY SAVINGS FUND -  SEGREGATED PORTFOLIO 2 - DIVIDEND PLAN(Issue Price: 0.01)</v>
          </cell>
          <cell r="B5163">
            <v>543156</v>
          </cell>
          <cell r="C5163" t="str">
            <v>08DPD</v>
          </cell>
        </row>
        <row r="5164">
          <cell r="A5164" t="str">
            <v>NIPPON INDIA EQUITY SAVINGS FUND -  SEGREGATED PORTFOLIO 2 - DIRECT QUARTERLY DIVIDEND PLAN(Issue Price: 0.01)</v>
          </cell>
          <cell r="B5164">
            <v>543168</v>
          </cell>
          <cell r="C5164" t="str">
            <v>08AQR</v>
          </cell>
        </row>
        <row r="5165">
          <cell r="A5165" t="str">
            <v>NIPPON INDIA EQUITY SAVINGS FUND -  SEGREGATED PORTFOLIO 2 - DIVIDEND PLAN(Issue Price: 0.01)</v>
          </cell>
          <cell r="B5165">
            <v>543169</v>
          </cell>
          <cell r="C5165" t="str">
            <v>08DPR</v>
          </cell>
        </row>
        <row r="5166">
          <cell r="A5166" t="str">
            <v>NIPPON INDIA EQUITY SAVINGS FUND -  SEGREGATED PORTFOLIO 2 - DIRECT DIVIDEND PLAN(Issue Price: 0.01)</v>
          </cell>
          <cell r="B5166">
            <v>543170</v>
          </cell>
          <cell r="C5166" t="str">
            <v>08ADD</v>
          </cell>
        </row>
        <row r="5167">
          <cell r="A5167" t="str">
            <v>RO Jewels Ltd</v>
          </cell>
          <cell r="B5167">
            <v>543171</v>
          </cell>
          <cell r="C5167" t="str">
            <v>ROJL</v>
          </cell>
        </row>
        <row r="5168">
          <cell r="A5168" t="str">
            <v>Cospower Engineering Ltd</v>
          </cell>
          <cell r="B5168">
            <v>543172</v>
          </cell>
          <cell r="C5168" t="str">
            <v>COSPOWER</v>
          </cell>
        </row>
        <row r="5169">
          <cell r="A5169" t="str">
            <v>NIPPON INDIA EQUITY HYBRID FUND -  SEGREGATED PORTFOLIO 2DIVIDEND PLANDIVIDEND REINVESTMENT</v>
          </cell>
          <cell r="B5169">
            <v>543173</v>
          </cell>
          <cell r="C5169" t="str">
            <v>11DPR</v>
          </cell>
        </row>
        <row r="5170">
          <cell r="A5170" t="str">
            <v>NIPPON INDIA EQUITY HYBRID FUND -  SEGREGATED PORTFOLIO 2GROWTH PLAN GROWTH OPTIONGROWTH</v>
          </cell>
          <cell r="B5170">
            <v>543174</v>
          </cell>
          <cell r="C5170" t="str">
            <v>11GPG</v>
          </cell>
        </row>
        <row r="5171">
          <cell r="A5171" t="str">
            <v>NIPPON INDIA EQUITY HYBRID FUND -  SEGREGATED PORTFOLIO 2MONTHLY DIVIDEND PLANDIVIDEND PAYOUT</v>
          </cell>
          <cell r="B5171">
            <v>543175</v>
          </cell>
          <cell r="C5171" t="str">
            <v>11MPD</v>
          </cell>
        </row>
        <row r="5172">
          <cell r="A5172" t="str">
            <v>NIPPON INDIA EQUITY HYBRID FUND -  SEGREGATED PORTFOLIO 2MONTHLY DIVIDEND PLANREINVESTMENT</v>
          </cell>
          <cell r="B5172">
            <v>543176</v>
          </cell>
          <cell r="C5172" t="str">
            <v>11MPR</v>
          </cell>
        </row>
        <row r="5173">
          <cell r="A5173" t="str">
            <v>NIPPON INDIA EQUITY HYBRID FUND -  SEGREGATED PORTFOLIO 2QUARTERLY DIVIDEND PLANDIVIDEND PAYOUT</v>
          </cell>
          <cell r="B5173">
            <v>543177</v>
          </cell>
          <cell r="C5173" t="str">
            <v>11QPD</v>
          </cell>
        </row>
        <row r="5174">
          <cell r="A5174" t="str">
            <v>NIPPON INDIA EQUITY HYBRID FUND -  SEGREGATED PORTFOLIO 2QUARTERLY DIVIDEND PLANREINVESTMENT</v>
          </cell>
          <cell r="B5174">
            <v>543178</v>
          </cell>
          <cell r="C5174" t="str">
            <v>11QPR</v>
          </cell>
        </row>
        <row r="5175">
          <cell r="A5175" t="str">
            <v>NIPPON INDIA EQUITY HYBRID FUND -  SEGREGATED PORTFOLIO 2DIRECT PLAN DIVIDEND PLANDIVIDEND PAYOUT</v>
          </cell>
          <cell r="B5175">
            <v>543179</v>
          </cell>
          <cell r="C5175" t="str">
            <v>11ADD</v>
          </cell>
        </row>
        <row r="5176">
          <cell r="A5176" t="str">
            <v>NIPPON INDIA EQUITY HYBRID FUND -  SEGREGATED PORTFOLIO 2DIRECT PLAN DIVIDEND PLANDIVIDEND REINVESTMENT</v>
          </cell>
          <cell r="B5176">
            <v>543180</v>
          </cell>
          <cell r="C5176" t="str">
            <v>11ADR</v>
          </cell>
        </row>
        <row r="5177">
          <cell r="A5177" t="str">
            <v>NIPPON INDIA EQUITY HYBRID FUND -  SEGREGATED PORTFOLIO 2DIRECT GROWTH PLAN GROWTH OPTIONGROWTH</v>
          </cell>
          <cell r="B5177">
            <v>543181</v>
          </cell>
          <cell r="C5177" t="str">
            <v>11AGG</v>
          </cell>
        </row>
        <row r="5178">
          <cell r="A5178" t="str">
            <v>NIPPON INDIA EQUITY HYBRID FUND -  SEGREGATED PORTFOLIO 2DIRECT MONTHLY DIVIDEND PLANDIVIDEND PAYOUT</v>
          </cell>
          <cell r="B5178">
            <v>543182</v>
          </cell>
          <cell r="C5178" t="str">
            <v>11AMD</v>
          </cell>
        </row>
        <row r="5179">
          <cell r="A5179" t="str">
            <v>NIPPON INDIA EQUITY HYBRID FUND -  SEGREGATED PORTFOLIO 2DIRECT MONTHLY DIVIDEND PLANREINVESTMENT</v>
          </cell>
          <cell r="B5179">
            <v>543183</v>
          </cell>
          <cell r="C5179" t="str">
            <v>11AMR</v>
          </cell>
        </row>
        <row r="5180">
          <cell r="A5180" t="str">
            <v>NIPPON INDIA EQUITY HYBRID FUND -  SEGREGATED PORTFOLIO 2DIRECT QUARTERLY DIVIDEND PLANDIVIDEND PAYOUT</v>
          </cell>
          <cell r="B5180">
            <v>543184</v>
          </cell>
          <cell r="C5180" t="str">
            <v>11AQD</v>
          </cell>
        </row>
        <row r="5181">
          <cell r="A5181" t="str">
            <v>NIPPON INDIA EQUITY HYBRID FUND -  SEGREGATED PORTFOLIO 2DIRECT QUARTERLY DIVIDEND PLANREINVESTMENT</v>
          </cell>
          <cell r="B5181">
            <v>543185</v>
          </cell>
          <cell r="C5181" t="str">
            <v>11AQR</v>
          </cell>
        </row>
        <row r="5182">
          <cell r="A5182" t="str">
            <v>NIPPON INDIA EQUITY HYBRID FUND -  SEGREGATED PORTFOLIO 2DIVIDEND PLANDIVIDEND PAYOUT</v>
          </cell>
          <cell r="B5182">
            <v>543186</v>
          </cell>
          <cell r="C5182" t="str">
            <v>11DPD</v>
          </cell>
        </row>
        <row r="5183">
          <cell r="A5183" t="str">
            <v>ABB Power Products and Systems India Ltd</v>
          </cell>
          <cell r="B5183">
            <v>543187</v>
          </cell>
          <cell r="C5183" t="str">
            <v>POWERINDIA</v>
          </cell>
        </row>
        <row r="5184">
          <cell r="A5184" t="str">
            <v>DJ Mediaprint &amp; Logistics Ltd</v>
          </cell>
          <cell r="B5184">
            <v>543193</v>
          </cell>
          <cell r="C5184" t="str">
            <v>DJML</v>
          </cell>
        </row>
        <row r="5185">
          <cell r="A5185" t="str">
            <v>Nirmitee Robotics India Ltd</v>
          </cell>
          <cell r="B5185">
            <v>543194</v>
          </cell>
          <cell r="C5185" t="str">
            <v>NIRMITEE</v>
          </cell>
        </row>
        <row r="5186">
          <cell r="A5186" t="str">
            <v>Natural Biocon (India) Ltd</v>
          </cell>
          <cell r="B5186">
            <v>543207</v>
          </cell>
          <cell r="C5186" t="str">
            <v>NATURAL</v>
          </cell>
        </row>
        <row r="5187">
          <cell r="A5187" t="str">
            <v>Bhartia Bachat Ltd</v>
          </cell>
          <cell r="B5187">
            <v>543208</v>
          </cell>
          <cell r="C5187" t="str">
            <v>BHARTIA</v>
          </cell>
        </row>
        <row r="5188">
          <cell r="A5188" t="str">
            <v>Billwin Industries Ltd</v>
          </cell>
          <cell r="B5188">
            <v>543209</v>
          </cell>
          <cell r="C5188" t="str">
            <v>BILLWIN</v>
          </cell>
        </row>
        <row r="5189">
          <cell r="A5189" t="str">
            <v>Aarti Surfactants Ltd</v>
          </cell>
          <cell r="B5189">
            <v>543210</v>
          </cell>
          <cell r="C5189" t="str">
            <v>AARTISURF</v>
          </cell>
        </row>
        <row r="5190">
          <cell r="A5190" t="str">
            <v>Bonlon Industries Ltd</v>
          </cell>
          <cell r="B5190">
            <v>543211</v>
          </cell>
          <cell r="C5190" t="str">
            <v>BONLON</v>
          </cell>
        </row>
        <row r="5191">
          <cell r="A5191" t="str">
            <v>Borosil Ltd</v>
          </cell>
          <cell r="B5191">
            <v>543212</v>
          </cell>
          <cell r="C5191" t="str">
            <v>BOROLTD</v>
          </cell>
        </row>
        <row r="5192">
          <cell r="A5192" t="str">
            <v>Rossari Biotech Ltd</v>
          </cell>
          <cell r="B5192">
            <v>543213</v>
          </cell>
          <cell r="C5192" t="str">
            <v>ROSSARI</v>
          </cell>
        </row>
        <row r="5193">
          <cell r="A5193" t="str">
            <v>NDR Auto Components Ltd</v>
          </cell>
          <cell r="B5193">
            <v>543214</v>
          </cell>
          <cell r="C5193" t="str">
            <v>NDRAUTO</v>
          </cell>
        </row>
        <row r="5194">
          <cell r="A5194" t="str">
            <v>Mindspace Business Parks REIT</v>
          </cell>
          <cell r="B5194">
            <v>543217</v>
          </cell>
          <cell r="C5194" t="str">
            <v>MINDSPACE</v>
          </cell>
        </row>
        <row r="5195">
          <cell r="A5195" t="str">
            <v>Suratwwala Business Group Ltd</v>
          </cell>
          <cell r="B5195">
            <v>543218</v>
          </cell>
          <cell r="C5195" t="str">
            <v>SBGLP</v>
          </cell>
        </row>
        <row r="5196">
          <cell r="A5196" t="str">
            <v>&amp;#160;ICICI Prudential Alpha Low Vol 30 ETF&amp;#160;</v>
          </cell>
          <cell r="B5196">
            <v>543219</v>
          </cell>
          <cell r="C5196" t="str">
            <v>ICICIALPLV</v>
          </cell>
        </row>
        <row r="5197">
          <cell r="A5197" t="str">
            <v>Max Healthcare Institute Ltd</v>
          </cell>
          <cell r="B5197">
            <v>543220</v>
          </cell>
          <cell r="C5197" t="str">
            <v>MAXHEALTH</v>
          </cell>
        </row>
        <row r="5198">
          <cell r="A5198" t="str">
            <v>ICICI Prudential IT ETF</v>
          </cell>
          <cell r="B5198">
            <v>543221</v>
          </cell>
          <cell r="C5198" t="str">
            <v>ICICITECH</v>
          </cell>
        </row>
        <row r="5199">
          <cell r="A5199" t="str">
            <v>Trekkingtoes.com Ltd</v>
          </cell>
          <cell r="B5199">
            <v>543222</v>
          </cell>
          <cell r="C5199" t="str">
            <v>HIPPOCABS</v>
          </cell>
        </row>
        <row r="5200">
          <cell r="A5200" t="str">
            <v>Max India Ltd</v>
          </cell>
          <cell r="B5200">
            <v>543223</v>
          </cell>
          <cell r="C5200" t="str">
            <v>MAXINDIA</v>
          </cell>
        </row>
        <row r="5201">
          <cell r="A5201" t="str">
            <v>HDFC Banking ETF</v>
          </cell>
          <cell r="B5201">
            <v>543224</v>
          </cell>
          <cell r="C5201" t="str">
            <v>HBANKETF</v>
          </cell>
        </row>
        <row r="5202">
          <cell r="A5202" t="str">
            <v>Tower Infrastructure Trust</v>
          </cell>
          <cell r="B5202">
            <v>543225</v>
          </cell>
          <cell r="C5202" t="str">
            <v>TOWERINFRA</v>
          </cell>
        </row>
        <row r="5203">
          <cell r="A5203" t="str">
            <v>UTI Bank Exchange Traded Fund (UTI Bank ETF)</v>
          </cell>
          <cell r="B5203">
            <v>543226</v>
          </cell>
          <cell r="C5203" t="str">
            <v>UTIBANKETF</v>
          </cell>
        </row>
        <row r="5204">
          <cell r="A5204" t="str">
            <v>Happiest Minds Technologies Ltd</v>
          </cell>
          <cell r="B5204">
            <v>543227</v>
          </cell>
          <cell r="C5204" t="str">
            <v>HAPPSTMNDS</v>
          </cell>
        </row>
        <row r="5205">
          <cell r="A5205" t="str">
            <v>Route Mobile Ltd</v>
          </cell>
          <cell r="B5205">
            <v>543228</v>
          </cell>
          <cell r="C5205" t="str">
            <v>ROUTE</v>
          </cell>
        </row>
        <row r="5206">
          <cell r="A5206" t="str">
            <v>Advait Infratech Ltd</v>
          </cell>
          <cell r="B5206">
            <v>543230</v>
          </cell>
          <cell r="C5206" t="str">
            <v>ADVAIT</v>
          </cell>
        </row>
        <row r="5207">
          <cell r="A5207" t="str">
            <v>Archidply Decor Ltd</v>
          </cell>
          <cell r="B5207">
            <v>543231</v>
          </cell>
          <cell r="C5207" t="str">
            <v>ADL</v>
          </cell>
        </row>
        <row r="5208">
          <cell r="A5208" t="str">
            <v>Computer Age Management Services Ltd</v>
          </cell>
          <cell r="B5208">
            <v>543232</v>
          </cell>
          <cell r="C5208" t="str">
            <v>CAMS</v>
          </cell>
        </row>
        <row r="5209">
          <cell r="A5209" t="str">
            <v>Chemcon Speciality Chemicals Ltd</v>
          </cell>
          <cell r="B5209">
            <v>543233</v>
          </cell>
          <cell r="C5209" t="str">
            <v>CHEMCON</v>
          </cell>
        </row>
        <row r="5210">
          <cell r="A5210" t="str">
            <v>SecMark Consultancy Ltd</v>
          </cell>
          <cell r="B5210">
            <v>543234</v>
          </cell>
          <cell r="C5210" t="str">
            <v>SECMARK</v>
          </cell>
        </row>
        <row r="5211">
          <cell r="A5211" t="str">
            <v>Angel Broking Ltd</v>
          </cell>
          <cell r="B5211">
            <v>543235</v>
          </cell>
          <cell r="C5211" t="str">
            <v>ANGELBRKG</v>
          </cell>
        </row>
        <row r="5212">
          <cell r="A5212" t="str">
            <v>Atam Valves Ltd</v>
          </cell>
          <cell r="B5212">
            <v>543236</v>
          </cell>
          <cell r="C5212" t="str">
            <v>ATAM</v>
          </cell>
        </row>
        <row r="5213">
          <cell r="A5213" t="str">
            <v>Mazagon Dock Shipbuilders Ltd</v>
          </cell>
          <cell r="B5213">
            <v>543237</v>
          </cell>
          <cell r="C5213" t="str">
            <v>MAZDOCK</v>
          </cell>
        </row>
        <row r="5214">
          <cell r="A5214" t="str">
            <v>UTI Asset Management Company Ltd</v>
          </cell>
          <cell r="B5214">
            <v>543238</v>
          </cell>
          <cell r="C5214" t="str">
            <v>UTIAMC</v>
          </cell>
        </row>
        <row r="5215">
          <cell r="A5215" t="str">
            <v>G M Polyplast Ltd</v>
          </cell>
          <cell r="B5215">
            <v>543239</v>
          </cell>
          <cell r="C5215" t="str">
            <v>GMPL</v>
          </cell>
        </row>
        <row r="5216">
          <cell r="A5216" t="str">
            <v>Likhitha Infrastructure Ltd</v>
          </cell>
          <cell r="B5216">
            <v>543240</v>
          </cell>
          <cell r="C5216" t="str">
            <v>LIKHITHA</v>
          </cell>
        </row>
        <row r="5217">
          <cell r="A5217" t="str">
            <v>Veer Global Infraconstruction Ltd</v>
          </cell>
          <cell r="B5217">
            <v>543241</v>
          </cell>
          <cell r="C5217" t="str">
            <v>VGIL</v>
          </cell>
        </row>
        <row r="5218">
          <cell r="A5218" t="str">
            <v>Hemisphere Properties India Ltd</v>
          </cell>
          <cell r="B5218">
            <v>543242</v>
          </cell>
          <cell r="C5218" t="str">
            <v>HEMIPROP</v>
          </cell>
        </row>
        <row r="5219">
          <cell r="A5219" t="str">
            <v>Equitas Small Finance Bank Ltd</v>
          </cell>
          <cell r="B5219">
            <v>543243</v>
          </cell>
          <cell r="C5219" t="str">
            <v>EQUITASBNK</v>
          </cell>
        </row>
        <row r="5220">
          <cell r="A5220" t="str">
            <v>Shine Fashions (India) Ltd</v>
          </cell>
          <cell r="B5220">
            <v>543244</v>
          </cell>
          <cell r="C5220" t="str">
            <v>SHINEFASH</v>
          </cell>
        </row>
        <row r="5221">
          <cell r="A5221" t="str">
            <v>BARODA RAYON CORPORATION LTD</v>
          </cell>
          <cell r="B5221">
            <v>500270</v>
          </cell>
          <cell r="C5221" t="str">
            <v>BARODARY</v>
          </cell>
        </row>
        <row r="5222">
          <cell r="A5222" t="str">
            <v>MEDIAONE GLOBAL ENTERTAINMENT LTD</v>
          </cell>
          <cell r="B5222">
            <v>503685</v>
          </cell>
          <cell r="C5222" t="str">
            <v>MEDIAONE</v>
          </cell>
        </row>
        <row r="5223">
          <cell r="A5223" t="str">
            <v>INDIA RADIATORS LTD</v>
          </cell>
          <cell r="B5223">
            <v>505100</v>
          </cell>
          <cell r="C5223" t="str">
            <v>INRADIA</v>
          </cell>
        </row>
        <row r="5224">
          <cell r="A5224" t="str">
            <v>PB Global Ltd</v>
          </cell>
          <cell r="B5224">
            <v>506580</v>
          </cell>
          <cell r="C5224" t="str">
            <v>PBGLOBAL</v>
          </cell>
        </row>
        <row r="5225">
          <cell r="A5225" t="str">
            <v>INFOMEDIA PRESS LTD</v>
          </cell>
          <cell r="B5225">
            <v>509069</v>
          </cell>
          <cell r="C5225" t="str">
            <v>INFOMEDIA</v>
          </cell>
        </row>
        <row r="5226">
          <cell r="A5226" t="str">
            <v>U.P.HOTELS LTD</v>
          </cell>
          <cell r="B5226">
            <v>509960</v>
          </cell>
          <cell r="C5226" t="str">
            <v>UPHOT</v>
          </cell>
        </row>
        <row r="5227">
          <cell r="A5227" t="str">
            <v>PREMIER CAPITAL SERVICES LTD</v>
          </cell>
          <cell r="B5227">
            <v>511016</v>
          </cell>
          <cell r="C5227" t="str">
            <v>PREMCAP</v>
          </cell>
        </row>
        <row r="5228">
          <cell r="A5228" t="str">
            <v>ICDS LTD</v>
          </cell>
          <cell r="B5228">
            <v>511194</v>
          </cell>
          <cell r="C5228" t="str">
            <v>ICDSLTD</v>
          </cell>
        </row>
        <row r="5229">
          <cell r="A5229" t="str">
            <v>Saianand Commercial Limited</v>
          </cell>
          <cell r="B5229">
            <v>512097</v>
          </cell>
          <cell r="C5229" t="str">
            <v>SAICOM</v>
          </cell>
        </row>
        <row r="5230">
          <cell r="A5230" t="str">
            <v>ROSE MERC.LTD</v>
          </cell>
          <cell r="B5230">
            <v>512115</v>
          </cell>
          <cell r="C5230" t="str">
            <v>ROSEMER</v>
          </cell>
        </row>
        <row r="5231">
          <cell r="A5231" t="str">
            <v>SURBHI INDUSTRIES LTD</v>
          </cell>
          <cell r="B5231">
            <v>514260</v>
          </cell>
          <cell r="C5231" t="str">
            <v>SURBHIN</v>
          </cell>
        </row>
        <row r="5232">
          <cell r="A5232" t="str">
            <v>SHRI GANG INDUSTRIES AND ALLIED PRODUCTS LTD</v>
          </cell>
          <cell r="B5232">
            <v>523309</v>
          </cell>
          <cell r="C5232" t="str">
            <v>SHRIGANG</v>
          </cell>
        </row>
        <row r="5233">
          <cell r="A5233" t="str">
            <v>UBE INDUSTRIES LTD</v>
          </cell>
          <cell r="B5233">
            <v>523868</v>
          </cell>
          <cell r="C5233" t="str">
            <v>UBEINDL</v>
          </cell>
        </row>
        <row r="5234">
          <cell r="A5234" t="str">
            <v>PET PLASTICS LTD</v>
          </cell>
          <cell r="B5234">
            <v>524046</v>
          </cell>
          <cell r="C5234" t="str">
            <v>PETPLST</v>
          </cell>
        </row>
        <row r="5235">
          <cell r="A5235" t="str">
            <v>PANJON LTD</v>
          </cell>
          <cell r="B5235">
            <v>526345</v>
          </cell>
          <cell r="C5235" t="str">
            <v>PANJON</v>
          </cell>
        </row>
        <row r="5236">
          <cell r="A5236" t="str">
            <v>EURO LEDER FASHION LTD</v>
          </cell>
          <cell r="B5236">
            <v>526468</v>
          </cell>
          <cell r="C5236" t="str">
            <v>EUROLED</v>
          </cell>
        </row>
        <row r="5237">
          <cell r="A5237" t="str">
            <v>DSJ keep Learning Ltd</v>
          </cell>
          <cell r="B5237">
            <v>526677</v>
          </cell>
          <cell r="C5237" t="str">
            <v>KEEPLEARN</v>
          </cell>
        </row>
        <row r="5238">
          <cell r="A5238" t="str">
            <v>SIDDHESWARI GARMENTS LTD</v>
          </cell>
          <cell r="B5238">
            <v>526877</v>
          </cell>
          <cell r="C5238" t="str">
            <v>SIDDHEGA</v>
          </cell>
        </row>
        <row r="5239">
          <cell r="A5239" t="str">
            <v>AADI INDUSTRIES LTD</v>
          </cell>
          <cell r="B5239">
            <v>530027</v>
          </cell>
          <cell r="C5239" t="str">
            <v>AADIIND</v>
          </cell>
        </row>
        <row r="5240">
          <cell r="A5240" t="str">
            <v>SHAMROCK INDUSTRIAL CO.LTD</v>
          </cell>
          <cell r="B5240">
            <v>531240</v>
          </cell>
          <cell r="C5240" t="str">
            <v>SHAMROIN</v>
          </cell>
        </row>
        <row r="5241">
          <cell r="A5241" t="str">
            <v>G.G.AUTOMOTIVE GEARS LTD</v>
          </cell>
          <cell r="B5241">
            <v>531399</v>
          </cell>
          <cell r="C5241" t="str">
            <v>GGAUTO</v>
          </cell>
        </row>
        <row r="5242">
          <cell r="A5242" t="str">
            <v>SGN TELECOMS LTD</v>
          </cell>
          <cell r="B5242">
            <v>531812</v>
          </cell>
          <cell r="C5242" t="str">
            <v>SGNTE</v>
          </cell>
        </row>
        <row r="5243">
          <cell r="A5243" t="str">
            <v>LCC INFOTECH LTD</v>
          </cell>
          <cell r="B5243">
            <v>532019</v>
          </cell>
          <cell r="C5243" t="str">
            <v>LCCINFOTEC</v>
          </cell>
        </row>
        <row r="5244">
          <cell r="A5244" t="str">
            <v>AMBICA AGARBATHIES &amp; AROMA INDUSTRIES LTD</v>
          </cell>
          <cell r="B5244">
            <v>532335</v>
          </cell>
          <cell r="C5244" t="str">
            <v>AMBICAAGAR</v>
          </cell>
        </row>
        <row r="5245">
          <cell r="A5245" t="str">
            <v>Shree Hanuman Sugar &amp; Industries Ltd</v>
          </cell>
          <cell r="B5245">
            <v>537709</v>
          </cell>
          <cell r="C5245" t="str">
            <v>HANSUGAR</v>
          </cell>
        </row>
        <row r="5246">
          <cell r="A5246" t="str">
            <v>Samrat Forgings Ltd</v>
          </cell>
          <cell r="B5246">
            <v>543229</v>
          </cell>
          <cell r="C5246" t="str">
            <v>SAMRATFORG</v>
          </cell>
        </row>
        <row r="5247">
          <cell r="A5247" t="str">
            <v>Gland Pharma Ltd</v>
          </cell>
          <cell r="B5247">
            <v>543245</v>
          </cell>
          <cell r="C5247" t="str">
            <v>GLAND</v>
          </cell>
        </row>
        <row r="5248">
          <cell r="A5248" t="str">
            <v>Mirae Asset ESG Sector Leaders ETF</v>
          </cell>
          <cell r="B5248">
            <v>543246</v>
          </cell>
          <cell r="C5248" t="str">
            <v>MAESGETF</v>
          </cell>
        </row>
        <row r="5249">
          <cell r="A5249" t="str">
            <v>Net Pix Shorts Digital Media Ltd</v>
          </cell>
          <cell r="B5249">
            <v>543247</v>
          </cell>
          <cell r="C5249" t="str">
            <v>NETPIX</v>
          </cell>
        </row>
        <row r="5250">
          <cell r="A5250" t="str">
            <v>Restaurant Brands Asia Ltd</v>
          </cell>
          <cell r="B5250">
            <v>543248</v>
          </cell>
          <cell r="C5250" t="str">
            <v>RBA</v>
          </cell>
        </row>
        <row r="5251">
          <cell r="A5251" t="str">
            <v>Tarc Ltd</v>
          </cell>
          <cell r="B5251">
            <v>543249</v>
          </cell>
          <cell r="C5251" t="str">
            <v>TARC</v>
          </cell>
        </row>
        <row r="5252">
          <cell r="A5252" t="str">
            <v>Ravinder Heights Ltd</v>
          </cell>
          <cell r="B5252">
            <v>543251</v>
          </cell>
          <cell r="C5252" t="str">
            <v>RVHL</v>
          </cell>
        </row>
        <row r="5253">
          <cell r="A5253" t="str">
            <v>Fairchem Organics Ltd</v>
          </cell>
          <cell r="B5253">
            <v>543252</v>
          </cell>
          <cell r="C5253" t="str">
            <v>FAIRCHEMOR</v>
          </cell>
        </row>
        <row r="5254">
          <cell r="A5254" t="str">
            <v>Mrs. Bectors Food Specialities Ltd</v>
          </cell>
          <cell r="B5254">
            <v>543253</v>
          </cell>
          <cell r="C5254" t="str">
            <v>BECTORFOOD</v>
          </cell>
        </row>
        <row r="5255">
          <cell r="A5255" t="str">
            <v>Antony Waste Handling Cell Ltd</v>
          </cell>
          <cell r="B5255">
            <v>543254</v>
          </cell>
          <cell r="C5255" t="str">
            <v>AWHCL</v>
          </cell>
        </row>
        <row r="5256">
          <cell r="A5256" t="str">
            <v>NIPPON INDIA ETF INFRA BeES</v>
          </cell>
          <cell r="B5256">
            <v>543255</v>
          </cell>
          <cell r="C5256" t="str">
            <v>INFRABEES</v>
          </cell>
        </row>
        <row r="5257">
          <cell r="A5257" t="str">
            <v>Rita Finance and Leasing Ltd</v>
          </cell>
          <cell r="B5257">
            <v>543256</v>
          </cell>
          <cell r="C5257" t="str">
            <v>RFLL</v>
          </cell>
        </row>
        <row r="5258">
          <cell r="A5258" t="str">
            <v>Indian Railway Finance Corporation Ltd</v>
          </cell>
          <cell r="B5258">
            <v>543257</v>
          </cell>
          <cell r="C5258" t="str">
            <v>IRFC</v>
          </cell>
        </row>
        <row r="5259">
          <cell r="A5259" t="str">
            <v>Indigo Paints Ltd</v>
          </cell>
          <cell r="B5259">
            <v>543258</v>
          </cell>
          <cell r="C5259" t="str">
            <v>INDIGOPNTS</v>
          </cell>
        </row>
        <row r="5260">
          <cell r="A5260" t="str">
            <v>Home First Finance Company India Ltd</v>
          </cell>
          <cell r="B5260">
            <v>543259</v>
          </cell>
          <cell r="C5260" t="str">
            <v>HOMEFIRST</v>
          </cell>
        </row>
        <row r="5261">
          <cell r="A5261" t="str">
            <v>Stove Kraft Ltd</v>
          </cell>
          <cell r="B5261">
            <v>543260</v>
          </cell>
          <cell r="C5261" t="str">
            <v>STOVEKRAFT</v>
          </cell>
        </row>
        <row r="5262">
          <cell r="A5262" t="str">
            <v>Brookfield India Real Estate Trust REIT</v>
          </cell>
          <cell r="B5262">
            <v>543261</v>
          </cell>
          <cell r="C5262" t="str">
            <v>BIRET</v>
          </cell>
        </row>
        <row r="5263">
          <cell r="A5263" t="str">
            <v>MRP Agro Ltd</v>
          </cell>
          <cell r="B5263">
            <v>543262</v>
          </cell>
          <cell r="C5263" t="str">
            <v>MRP</v>
          </cell>
        </row>
        <row r="5264">
          <cell r="A5264" t="str">
            <v>SMC Global Securities Ltd</v>
          </cell>
          <cell r="B5264">
            <v>543263</v>
          </cell>
          <cell r="C5264" t="str">
            <v>SMCGLOBAL*</v>
          </cell>
        </row>
        <row r="5265">
          <cell r="A5265" t="str">
            <v>Nureca Ltd</v>
          </cell>
          <cell r="B5265">
            <v>543264</v>
          </cell>
          <cell r="C5265" t="str">
            <v>NURECA</v>
          </cell>
        </row>
        <row r="5266">
          <cell r="A5266" t="str">
            <v>RailTel Corporation of India Ltd</v>
          </cell>
          <cell r="B5266">
            <v>543265</v>
          </cell>
          <cell r="C5266" t="str">
            <v>RAILTEL</v>
          </cell>
        </row>
        <row r="5267">
          <cell r="A5267" t="str">
            <v>Heranba Industries Ltd</v>
          </cell>
          <cell r="B5267">
            <v>543266</v>
          </cell>
          <cell r="C5267" t="str">
            <v>HERANBA</v>
          </cell>
        </row>
        <row r="5268">
          <cell r="A5268" t="str">
            <v>Davangere Sugar Company Ltd</v>
          </cell>
          <cell r="B5268">
            <v>543267</v>
          </cell>
          <cell r="C5268" t="str">
            <v>DAVANGERE</v>
          </cell>
        </row>
        <row r="5269">
          <cell r="A5269" t="str">
            <v>Adjia Technologies Ltd</v>
          </cell>
          <cell r="B5269">
            <v>543269</v>
          </cell>
          <cell r="C5269" t="str">
            <v>ADJIA</v>
          </cell>
        </row>
        <row r="5270">
          <cell r="A5270" t="str">
            <v>MTAR Technologies Ltd</v>
          </cell>
          <cell r="B5270">
            <v>543270</v>
          </cell>
          <cell r="C5270" t="str">
            <v>MTARTECH</v>
          </cell>
        </row>
        <row r="5271">
          <cell r="A5271" t="str">
            <v>Jubilant Ingrevia Ltd</v>
          </cell>
          <cell r="B5271">
            <v>543271</v>
          </cell>
          <cell r="C5271" t="str">
            <v>JUBLINGREA</v>
          </cell>
        </row>
        <row r="5272">
          <cell r="A5272" t="str">
            <v>Easy Trip Planners Ltd</v>
          </cell>
          <cell r="B5272">
            <v>543272</v>
          </cell>
          <cell r="C5272" t="str">
            <v>EASEMYTRIP</v>
          </cell>
        </row>
        <row r="5273">
          <cell r="A5273" t="str">
            <v>Knowledge Marine &amp; Engineering Works Ltd</v>
          </cell>
          <cell r="B5273">
            <v>543273</v>
          </cell>
          <cell r="C5273" t="str">
            <v>KMEW</v>
          </cell>
        </row>
        <row r="5274">
          <cell r="A5274" t="str">
            <v>Suumaya Corporation Ltd</v>
          </cell>
          <cell r="B5274">
            <v>543274</v>
          </cell>
          <cell r="C5274" t="str">
            <v>SUUMAYA</v>
          </cell>
        </row>
        <row r="5275">
          <cell r="A5275" t="str">
            <v>Anupam Rasayan India Ltd</v>
          </cell>
          <cell r="B5275">
            <v>543275</v>
          </cell>
          <cell r="C5275" t="str">
            <v>ANURAS</v>
          </cell>
        </row>
        <row r="5276">
          <cell r="A5276" t="str">
            <v>Craftsman Automation Ltd</v>
          </cell>
          <cell r="B5276">
            <v>543276</v>
          </cell>
          <cell r="C5276" t="str">
            <v>CRAFTSMAN</v>
          </cell>
        </row>
        <row r="5277">
          <cell r="A5277" t="str">
            <v>Laxmi Organic Industries Ltd</v>
          </cell>
          <cell r="B5277">
            <v>543277</v>
          </cell>
          <cell r="C5277" t="str">
            <v>LXCHEM</v>
          </cell>
        </row>
        <row r="5278">
          <cell r="A5278" t="str">
            <v>Kalyan Jewellers India Ltd</v>
          </cell>
          <cell r="B5278">
            <v>543278</v>
          </cell>
          <cell r="C5278" t="str">
            <v>KALYANKJIL</v>
          </cell>
        </row>
        <row r="5279">
          <cell r="A5279" t="str">
            <v>Suryoday Small Finance Bank Ltd</v>
          </cell>
          <cell r="B5279">
            <v>543279</v>
          </cell>
          <cell r="C5279" t="str">
            <v>SURYODAY</v>
          </cell>
        </row>
        <row r="5280">
          <cell r="A5280" t="str">
            <v>Nazara Technologies Ltd</v>
          </cell>
          <cell r="B5280">
            <v>543280</v>
          </cell>
          <cell r="C5280" t="str">
            <v>NAZARA</v>
          </cell>
        </row>
        <row r="5281">
          <cell r="A5281" t="str">
            <v>Suvidhaa Infoserve Ltd</v>
          </cell>
          <cell r="B5281">
            <v>543281</v>
          </cell>
          <cell r="C5281" t="str">
            <v>SUVIDHAA</v>
          </cell>
        </row>
        <row r="5282">
          <cell r="A5282" t="str">
            <v>Niks Technology Ltd</v>
          </cell>
          <cell r="B5282">
            <v>543282</v>
          </cell>
          <cell r="C5282" t="str">
            <v>NIKSTECH</v>
          </cell>
        </row>
        <row r="5283">
          <cell r="A5283" t="str">
            <v>Barbeque-Nation Hospitality Ltd</v>
          </cell>
          <cell r="B5283">
            <v>543283</v>
          </cell>
          <cell r="C5283" t="str">
            <v>BARBEQUE</v>
          </cell>
        </row>
        <row r="5284">
          <cell r="A5284" t="str">
            <v>EKI Energy Services Ltd</v>
          </cell>
          <cell r="B5284">
            <v>543284</v>
          </cell>
          <cell r="C5284" t="str">
            <v>EKI</v>
          </cell>
        </row>
        <row r="5285">
          <cell r="A5285" t="str">
            <v>Rajeshwari Cans Ltd</v>
          </cell>
          <cell r="B5285">
            <v>543285</v>
          </cell>
          <cell r="C5285" t="str">
            <v>RCAN</v>
          </cell>
        </row>
        <row r="5286">
          <cell r="A5286" t="str">
            <v>Jetmall Spices and Masala Ltd</v>
          </cell>
          <cell r="B5286">
            <v>543286</v>
          </cell>
          <cell r="C5286" t="str">
            <v>JETMALL</v>
          </cell>
        </row>
        <row r="5287">
          <cell r="A5287" t="str">
            <v>Macrotech Developers Ltd</v>
          </cell>
          <cell r="B5287">
            <v>543287</v>
          </cell>
          <cell r="C5287" t="str">
            <v>LODHA</v>
          </cell>
        </row>
        <row r="5288">
          <cell r="A5288" t="str">
            <v>Deep Industries Ltd</v>
          </cell>
          <cell r="B5288">
            <v>543288</v>
          </cell>
          <cell r="C5288" t="str">
            <v>DEEPIND</v>
          </cell>
        </row>
        <row r="5289">
          <cell r="A5289" t="str">
            <v>Kuberan Global Edu Solutions Ltd</v>
          </cell>
          <cell r="B5289">
            <v>543289</v>
          </cell>
          <cell r="C5289" t="str">
            <v>KGES</v>
          </cell>
        </row>
        <row r="5290">
          <cell r="A5290" t="str">
            <v>POWERGRID Infrastructure Investment Trust</v>
          </cell>
          <cell r="B5290">
            <v>543290</v>
          </cell>
          <cell r="C5290" t="str">
            <v>PGINVIT</v>
          </cell>
        </row>
        <row r="5291">
          <cell r="A5291" t="str">
            <v>Mirae Asset NYSE FANG+ ETF</v>
          </cell>
          <cell r="B5291">
            <v>543291</v>
          </cell>
          <cell r="C5291" t="str">
            <v>MAFANG</v>
          </cell>
        </row>
        <row r="5292">
          <cell r="A5292" t="str">
            <v>ICICI Prudential Healthcare ETF</v>
          </cell>
          <cell r="B5292">
            <v>543292</v>
          </cell>
          <cell r="C5292" t="str">
            <v>ICICIPHARM</v>
          </cell>
        </row>
        <row r="5293">
          <cell r="A5293" t="str">
            <v>Inox Wind Energy Ltd</v>
          </cell>
          <cell r="B5293">
            <v>543297</v>
          </cell>
          <cell r="C5293" t="str">
            <v>IWEL</v>
          </cell>
        </row>
        <row r="5294">
          <cell r="A5294" t="str">
            <v>Vineet Laboratories Ltd</v>
          </cell>
          <cell r="B5294">
            <v>543298</v>
          </cell>
          <cell r="C5294" t="str">
            <v>VINEETLAB</v>
          </cell>
        </row>
        <row r="5295">
          <cell r="A5295" t="str">
            <v>Shyam Metalics and Energy Ltd</v>
          </cell>
          <cell r="B5295">
            <v>543299</v>
          </cell>
          <cell r="C5295" t="str">
            <v>SHYAMMETL</v>
          </cell>
        </row>
        <row r="5296">
          <cell r="A5296" t="str">
            <v>Sona BLW Precision Forgings Ltd</v>
          </cell>
          <cell r="B5296">
            <v>543300</v>
          </cell>
          <cell r="C5296" t="str">
            <v>SONACOMS</v>
          </cell>
        </row>
        <row r="5297">
          <cell r="A5297" t="str">
            <v>Navoday Enterprises Ltd</v>
          </cell>
          <cell r="B5297">
            <v>543305</v>
          </cell>
          <cell r="C5297" t="str">
            <v>NAVODAYENT</v>
          </cell>
        </row>
        <row r="5298">
          <cell r="A5298" t="str">
            <v>Dodla Dairy Ltd</v>
          </cell>
          <cell r="B5298">
            <v>543306</v>
          </cell>
          <cell r="C5298" t="str">
            <v>DODLA</v>
          </cell>
        </row>
        <row r="5299">
          <cell r="A5299" t="str">
            <v>Krishna Institute of Medical Sciences Ltd</v>
          </cell>
          <cell r="B5299">
            <v>543308</v>
          </cell>
          <cell r="C5299" t="str">
            <v>KIMS</v>
          </cell>
        </row>
        <row r="5300">
          <cell r="A5300" t="str">
            <v>Adeshwar Meditex Ltd</v>
          </cell>
          <cell r="B5300">
            <v>543309</v>
          </cell>
          <cell r="C5300" t="str">
            <v>ADESHWAR</v>
          </cell>
        </row>
        <row r="5301">
          <cell r="A5301" t="str">
            <v>Times Green Energy (India) Ltd</v>
          </cell>
          <cell r="B5301">
            <v>543310</v>
          </cell>
          <cell r="C5301" t="str">
            <v>TIMESGREEN</v>
          </cell>
        </row>
        <row r="5302">
          <cell r="A5302" t="str">
            <v>India Pesticides Ltd</v>
          </cell>
          <cell r="B5302">
            <v>543311</v>
          </cell>
          <cell r="C5302" t="str">
            <v>IPL</v>
          </cell>
        </row>
        <row r="5303">
          <cell r="A5303" t="str">
            <v>Focus Business Solution Ltd</v>
          </cell>
          <cell r="B5303">
            <v>543312</v>
          </cell>
          <cell r="C5303" t="str">
            <v>FOCUS</v>
          </cell>
        </row>
        <row r="5304">
          <cell r="A5304" t="str">
            <v>G R Infraprojects Ltd</v>
          </cell>
          <cell r="B5304">
            <v>543317</v>
          </cell>
          <cell r="C5304" t="str">
            <v>GRINFRA</v>
          </cell>
        </row>
        <row r="5305">
          <cell r="A5305" t="str">
            <v>Clean Science and Technology Ltd</v>
          </cell>
          <cell r="B5305">
            <v>543318</v>
          </cell>
          <cell r="C5305" t="str">
            <v>CLEAN</v>
          </cell>
        </row>
        <row r="5306">
          <cell r="A5306" t="str">
            <v>AA Plus Tradelink Ltd</v>
          </cell>
          <cell r="B5306">
            <v>543319</v>
          </cell>
          <cell r="C5306" t="str">
            <v>AAPLUSTRAD</v>
          </cell>
        </row>
        <row r="5307">
          <cell r="A5307" t="str">
            <v>Zomato Ltd</v>
          </cell>
          <cell r="B5307">
            <v>543320</v>
          </cell>
          <cell r="C5307" t="str">
            <v>ZOMATO</v>
          </cell>
        </row>
        <row r="5308">
          <cell r="A5308" t="str">
            <v>Tatva Chintan Pharma Chem Ltd</v>
          </cell>
          <cell r="B5308">
            <v>543321</v>
          </cell>
          <cell r="C5308" t="str">
            <v>TATVA</v>
          </cell>
        </row>
        <row r="5309">
          <cell r="A5309" t="str">
            <v>Glenmark Life Sciences Ltd</v>
          </cell>
          <cell r="B5309">
            <v>543322</v>
          </cell>
          <cell r="C5309" t="str">
            <v>GLS</v>
          </cell>
        </row>
        <row r="5310">
          <cell r="A5310" t="str">
            <v>Mirae Asset Nifty Financial Services ETF</v>
          </cell>
          <cell r="B5310">
            <v>543323</v>
          </cell>
          <cell r="C5310" t="str">
            <v>MAFSETF</v>
          </cell>
        </row>
        <row r="5311">
          <cell r="A5311" t="str">
            <v>Gretex Corporate Services Ltd</v>
          </cell>
          <cell r="B5311">
            <v>543324</v>
          </cell>
          <cell r="C5311" t="str">
            <v>GCSL</v>
          </cell>
        </row>
        <row r="5312">
          <cell r="A5312" t="str">
            <v>Rolex Rings Ltd</v>
          </cell>
          <cell r="B5312">
            <v>543325</v>
          </cell>
          <cell r="C5312" t="str">
            <v>ROLEXRINGS</v>
          </cell>
        </row>
        <row r="5313">
          <cell r="A5313" t="str">
            <v>ICICI Prudential FMCG ETF</v>
          </cell>
          <cell r="B5313">
            <v>543326</v>
          </cell>
          <cell r="C5313" t="str">
            <v>ICICIFMCG</v>
          </cell>
        </row>
        <row r="5314">
          <cell r="A5314" t="str">
            <v>Exxaro Tiles Ltd</v>
          </cell>
          <cell r="B5314">
            <v>543327</v>
          </cell>
          <cell r="C5314" t="str">
            <v>EXXARO</v>
          </cell>
        </row>
        <row r="5315">
          <cell r="A5315" t="str">
            <v>Krsnaa Diagnostics Ltd</v>
          </cell>
          <cell r="B5315">
            <v>543328</v>
          </cell>
          <cell r="C5315" t="str">
            <v>KRSNAA</v>
          </cell>
        </row>
        <row r="5316">
          <cell r="A5316" t="str">
            <v>Windlas Biotech Ltd</v>
          </cell>
          <cell r="B5316">
            <v>543329</v>
          </cell>
          <cell r="C5316" t="str">
            <v>WINDLAS</v>
          </cell>
        </row>
        <row r="5317">
          <cell r="A5317" t="str">
            <v>Devyani International Ltd</v>
          </cell>
          <cell r="B5317">
            <v>543330</v>
          </cell>
          <cell r="C5317" t="str">
            <v>DEVYANI</v>
          </cell>
        </row>
        <row r="5318">
          <cell r="A5318" t="str">
            <v>Meghmani Organics Ltd</v>
          </cell>
          <cell r="B5318">
            <v>543331</v>
          </cell>
          <cell r="C5318" t="str">
            <v>MOL</v>
          </cell>
        </row>
        <row r="5319">
          <cell r="A5319" t="str">
            <v>Meghmani Finechem Ltd</v>
          </cell>
          <cell r="B5319">
            <v>543332</v>
          </cell>
          <cell r="C5319" t="str">
            <v>MFL</v>
          </cell>
        </row>
        <row r="5320">
          <cell r="A5320" t="str">
            <v>CarTrade Tech Ltd</v>
          </cell>
          <cell r="B5320">
            <v>543333</v>
          </cell>
          <cell r="C5320" t="str">
            <v>CARTRADE</v>
          </cell>
        </row>
        <row r="5321">
          <cell r="A5321" t="str">
            <v>Nuvoco Vistas Corporation Ltd</v>
          </cell>
          <cell r="B5321">
            <v>543334</v>
          </cell>
          <cell r="C5321" t="str">
            <v>NUVOCO</v>
          </cell>
        </row>
        <row r="5322">
          <cell r="A5322" t="str">
            <v>Aptus Value Housing Finance India Ltd</v>
          </cell>
          <cell r="B5322">
            <v>543335</v>
          </cell>
          <cell r="C5322" t="str">
            <v>APTUS</v>
          </cell>
        </row>
        <row r="5323">
          <cell r="A5323" t="str">
            <v>Chemplast Sanmar Ltd</v>
          </cell>
          <cell r="B5323">
            <v>543336</v>
          </cell>
          <cell r="C5323" t="str">
            <v>CHEMPLASTS</v>
          </cell>
        </row>
        <row r="5324">
          <cell r="A5324" t="str">
            <v>Sharpline Broadcast Ltd</v>
          </cell>
          <cell r="B5324">
            <v>543341</v>
          </cell>
          <cell r="C5324" t="str">
            <v>SHARPLINE</v>
          </cell>
        </row>
        <row r="5325">
          <cell r="A5325" t="str">
            <v>Aashka Hospitals Ltd</v>
          </cell>
          <cell r="B5325">
            <v>543346</v>
          </cell>
          <cell r="C5325" t="str">
            <v>AASHKA</v>
          </cell>
        </row>
        <row r="5326">
          <cell r="A5326" t="str">
            <v>AXIS TECHNOLOGY ETF</v>
          </cell>
          <cell r="B5326">
            <v>543347</v>
          </cell>
          <cell r="C5326" t="str">
            <v>AXISTECETF</v>
          </cell>
        </row>
        <row r="5327">
          <cell r="A5327" t="str">
            <v>AXIS HEALTHCARE ETF</v>
          </cell>
          <cell r="B5327">
            <v>543348</v>
          </cell>
          <cell r="C5327" t="str">
            <v>AXISHETF</v>
          </cell>
        </row>
        <row r="5328">
          <cell r="A5328" t="str">
            <v>Ami Organics Ltd</v>
          </cell>
          <cell r="B5328">
            <v>543349</v>
          </cell>
          <cell r="C5328" t="str">
            <v>AMIORG</v>
          </cell>
        </row>
        <row r="5329">
          <cell r="A5329" t="str">
            <v>Vijaya Diagnostic Centre Ltd</v>
          </cell>
          <cell r="B5329">
            <v>543350</v>
          </cell>
          <cell r="C5329" t="str">
            <v>VIJAYA</v>
          </cell>
        </row>
        <row r="5330">
          <cell r="A5330" t="str">
            <v>Naapbooks Ltd</v>
          </cell>
          <cell r="B5330">
            <v>543351</v>
          </cell>
          <cell r="C5330" t="str">
            <v>NBL</v>
          </cell>
        </row>
        <row r="5331">
          <cell r="A5331" t="str">
            <v>PlatinumOne Business Services Ltd</v>
          </cell>
          <cell r="B5331">
            <v>543352</v>
          </cell>
          <cell r="C5331" t="str">
            <v>POBS</v>
          </cell>
        </row>
        <row r="5332">
          <cell r="A5332" t="str">
            <v>AXIS CONSUMPTION ETF</v>
          </cell>
          <cell r="B5332">
            <v>543357</v>
          </cell>
          <cell r="C5332" t="str">
            <v>AXISCETF</v>
          </cell>
        </row>
        <row r="5333">
          <cell r="A5333" t="str">
            <v>Sansera Engineering Ltd</v>
          </cell>
          <cell r="B5333">
            <v>543358</v>
          </cell>
          <cell r="C5333" t="str">
            <v>SANSERA</v>
          </cell>
        </row>
        <row r="5334">
          <cell r="A5334" t="str">
            <v>Prevest Denpro Ltd</v>
          </cell>
          <cell r="B5334">
            <v>543363</v>
          </cell>
          <cell r="C5334" t="str">
            <v>PREVEST</v>
          </cell>
        </row>
        <row r="5335">
          <cell r="A5335" t="str">
            <v>Markolines Traffic Controls Ltd</v>
          </cell>
          <cell r="B5335">
            <v>543364</v>
          </cell>
          <cell r="C5335" t="str">
            <v>MTCL</v>
          </cell>
        </row>
        <row r="5336">
          <cell r="A5336" t="str">
            <v>Mirae Asset S&amp;P 500 Top 50 ETF</v>
          </cell>
          <cell r="B5336">
            <v>543365</v>
          </cell>
          <cell r="C5336" t="str">
            <v>MASPTOP50</v>
          </cell>
        </row>
        <row r="5337">
          <cell r="A5337" t="str">
            <v>SBL Infratech Ltd</v>
          </cell>
          <cell r="B5337">
            <v>543366</v>
          </cell>
          <cell r="C5337" t="str">
            <v>SBLI</v>
          </cell>
        </row>
        <row r="5338">
          <cell r="A5338" t="str">
            <v>Paras Defence and Space Technologies Ltd</v>
          </cell>
          <cell r="B5338">
            <v>543367</v>
          </cell>
          <cell r="C5338" t="str">
            <v>PARAS</v>
          </cell>
        </row>
        <row r="5339">
          <cell r="A5339" t="str">
            <v>Getalong Enterprise Ltd</v>
          </cell>
          <cell r="B5339">
            <v>543372</v>
          </cell>
          <cell r="C5339" t="str">
            <v>GETALONG</v>
          </cell>
        </row>
        <row r="5340">
          <cell r="A5340" t="str">
            <v>Shri Venkatesh Refineries Ltd</v>
          </cell>
          <cell r="B5340">
            <v>543373</v>
          </cell>
          <cell r="C5340" t="str">
            <v>SVRL</v>
          </cell>
        </row>
        <row r="5341">
          <cell r="A5341" t="str">
            <v>Aditya Birla Sun Life AMC Ltd</v>
          </cell>
          <cell r="B5341">
            <v>543374</v>
          </cell>
          <cell r="C5341" t="str">
            <v>ABSLAMC</v>
          </cell>
        </row>
        <row r="5342">
          <cell r="A5342" t="str">
            <v>Promax Power Ltd</v>
          </cell>
          <cell r="B5342">
            <v>543375</v>
          </cell>
          <cell r="C5342" t="str">
            <v>PROMAX</v>
          </cell>
        </row>
        <row r="5343">
          <cell r="A5343" t="str">
            <v>Samor Reality Ltd</v>
          </cell>
          <cell r="B5343">
            <v>543376</v>
          </cell>
          <cell r="C5343" t="str">
            <v>SAMOR</v>
          </cell>
        </row>
        <row r="5344">
          <cell r="A5344" t="str">
            <v>Adishakti Loha and Ispat Ltd</v>
          </cell>
          <cell r="B5344">
            <v>543377</v>
          </cell>
          <cell r="C5344" t="str">
            <v>ADISHAKTI</v>
          </cell>
        </row>
        <row r="5345">
          <cell r="A5345" t="str">
            <v>CWD Ltd</v>
          </cell>
          <cell r="B5345">
            <v>543378</v>
          </cell>
          <cell r="C5345" t="str">
            <v>CWD</v>
          </cell>
        </row>
        <row r="5346">
          <cell r="A5346" t="str">
            <v>ICICI Prudential Consumption ETF</v>
          </cell>
          <cell r="B5346">
            <v>543383</v>
          </cell>
          <cell r="C5346" t="str">
            <v>ICICICONSU</v>
          </cell>
        </row>
        <row r="5347">
          <cell r="A5347" t="str">
            <v>FSN E-Commerce Ventures Ltd</v>
          </cell>
          <cell r="B5347">
            <v>543384</v>
          </cell>
          <cell r="C5347" t="str">
            <v>NYKAA</v>
          </cell>
        </row>
        <row r="5348">
          <cell r="A5348" t="str">
            <v>National Highways Infra Trust</v>
          </cell>
          <cell r="B5348">
            <v>543385</v>
          </cell>
          <cell r="C5348" t="str">
            <v>NHIT</v>
          </cell>
        </row>
        <row r="5349">
          <cell r="A5349" t="str">
            <v>Fino Payments Bank Ltd</v>
          </cell>
          <cell r="B5349">
            <v>543386</v>
          </cell>
          <cell r="C5349" t="str">
            <v>FINOPB</v>
          </cell>
        </row>
        <row r="5350">
          <cell r="A5350" t="str">
            <v>S.J.S. Enterprises Ltd</v>
          </cell>
          <cell r="B5350">
            <v>543387</v>
          </cell>
          <cell r="C5350" t="str">
            <v>SJS</v>
          </cell>
        </row>
        <row r="5351">
          <cell r="A5351" t="str">
            <v>DSP Nifty 50 Equal Weight ETF</v>
          </cell>
          <cell r="B5351">
            <v>543388</v>
          </cell>
          <cell r="C5351" t="str">
            <v>DSPNEWETF</v>
          </cell>
        </row>
        <row r="5352">
          <cell r="A5352" t="str">
            <v>Sigachi Industries Ltd</v>
          </cell>
          <cell r="B5352">
            <v>543389</v>
          </cell>
          <cell r="C5352" t="str">
            <v>SIGACHI</v>
          </cell>
        </row>
        <row r="5353">
          <cell r="A5353" t="str">
            <v>PB Fintech Ltd</v>
          </cell>
          <cell r="B5353">
            <v>543390</v>
          </cell>
          <cell r="C5353" t="str">
            <v>POLICYBZR</v>
          </cell>
        </row>
        <row r="5354">
          <cell r="A5354" t="str">
            <v>Suyog Gurbaxani Funicular Ropeways Ltd</v>
          </cell>
          <cell r="B5354">
            <v>543391</v>
          </cell>
          <cell r="C5354" t="str">
            <v>SGFRL</v>
          </cell>
        </row>
        <row r="5355">
          <cell r="A5355" t="str">
            <v>One 97 Communications Ltd</v>
          </cell>
          <cell r="B5355">
            <v>543396</v>
          </cell>
          <cell r="C5355" t="str">
            <v>PAYTM</v>
          </cell>
        </row>
        <row r="5356">
          <cell r="A5356" t="str">
            <v>Sapphire Foods India Ltd</v>
          </cell>
          <cell r="B5356">
            <v>543397</v>
          </cell>
          <cell r="C5356" t="str">
            <v>SAPPHIRE</v>
          </cell>
        </row>
        <row r="5357">
          <cell r="A5357" t="str">
            <v>Latent View Analytics Ltd</v>
          </cell>
          <cell r="B5357">
            <v>543398</v>
          </cell>
          <cell r="C5357" t="str">
            <v>LATENTVIEW</v>
          </cell>
        </row>
        <row r="5358">
          <cell r="A5358" t="str">
            <v>Tarsons Products Ltd</v>
          </cell>
          <cell r="B5358">
            <v>543399</v>
          </cell>
          <cell r="C5358" t="str">
            <v>TARSONS</v>
          </cell>
        </row>
        <row r="5359">
          <cell r="A5359" t="str">
            <v>Omnipotent Industries Ltd</v>
          </cell>
          <cell r="B5359">
            <v>543400</v>
          </cell>
          <cell r="C5359" t="str">
            <v>OMNIPOTENT</v>
          </cell>
        </row>
        <row r="5360">
          <cell r="A5360" t="str">
            <v>Go Fashion (India) Ltd</v>
          </cell>
          <cell r="B5360">
            <v>543401</v>
          </cell>
          <cell r="C5360" t="str">
            <v>GOCOLORS</v>
          </cell>
        </row>
        <row r="5361">
          <cell r="A5361" t="str">
            <v>DMR Hydroengineering &amp; Infrastructures Ltd</v>
          </cell>
          <cell r="B5361">
            <v>543410</v>
          </cell>
          <cell r="C5361" t="str">
            <v>DMR</v>
          </cell>
        </row>
        <row r="5362">
          <cell r="A5362" t="str">
            <v>Hi-Tech Pipes Ltd</v>
          </cell>
          <cell r="B5362">
            <v>543411</v>
          </cell>
          <cell r="C5362" t="str">
            <v>HITECH</v>
          </cell>
        </row>
        <row r="5363">
          <cell r="A5363" t="str">
            <v>Star Health and Allied Insurance Company Ltd</v>
          </cell>
          <cell r="B5363">
            <v>543412</v>
          </cell>
          <cell r="C5363" t="str">
            <v>STARHEALTH</v>
          </cell>
        </row>
        <row r="5364">
          <cell r="A5364" t="str">
            <v>Tega Industries Ltd</v>
          </cell>
          <cell r="B5364">
            <v>543413</v>
          </cell>
          <cell r="C5364" t="str">
            <v>TEGA</v>
          </cell>
        </row>
        <row r="5365">
          <cell r="A5365" t="str">
            <v>Mirae Asset Hang Seng TECH ETF</v>
          </cell>
          <cell r="B5365">
            <v>543414</v>
          </cell>
          <cell r="C5365" t="str">
            <v>MAHKTECH</v>
          </cell>
        </row>
        <row r="5366">
          <cell r="A5366" t="str">
            <v>Anand Rathi Wealth Ltd</v>
          </cell>
          <cell r="B5366">
            <v>543415</v>
          </cell>
          <cell r="C5366" t="str">
            <v>ANANDRATHI</v>
          </cell>
        </row>
        <row r="5367">
          <cell r="A5367" t="str">
            <v>Zodiac Energy Ltd</v>
          </cell>
          <cell r="B5367">
            <v>543416</v>
          </cell>
          <cell r="C5367" t="str">
            <v>ZODIAC</v>
          </cell>
        </row>
        <row r="5368">
          <cell r="A5368" t="str">
            <v>RateGain Travel Technologies Ltd</v>
          </cell>
          <cell r="B5368">
            <v>543417</v>
          </cell>
          <cell r="C5368" t="str">
            <v>RATEGAIN</v>
          </cell>
        </row>
        <row r="5369">
          <cell r="A5369" t="str">
            <v>Shriram Properties Ltd</v>
          </cell>
          <cell r="B5369">
            <v>543419</v>
          </cell>
          <cell r="C5369" t="str">
            <v>SHRIRAMPPS</v>
          </cell>
        </row>
        <row r="5370">
          <cell r="A5370" t="str">
            <v>Jet Freight Logistics Ltd</v>
          </cell>
          <cell r="B5370">
            <v>543420</v>
          </cell>
          <cell r="C5370" t="str">
            <v>JETFREIGHT</v>
          </cell>
        </row>
        <row r="5371">
          <cell r="A5371" t="str">
            <v>C.E. Info Systems Ltd</v>
          </cell>
          <cell r="B5371">
            <v>543425</v>
          </cell>
          <cell r="C5371" t="str">
            <v>MAPMYINDIA</v>
          </cell>
        </row>
        <row r="5372">
          <cell r="A5372" t="str">
            <v>Metro Brands Ltd</v>
          </cell>
          <cell r="B5372">
            <v>543426</v>
          </cell>
          <cell r="C5372" t="str">
            <v>METROBRAND</v>
          </cell>
        </row>
        <row r="5373">
          <cell r="A5373" t="str">
            <v>Medplus Health Services Ltd</v>
          </cell>
          <cell r="B5373">
            <v>543427</v>
          </cell>
          <cell r="C5373" t="str">
            <v>MEDPLUS</v>
          </cell>
        </row>
        <row r="5374">
          <cell r="A5374" t="str">
            <v>Data Patterns (India) Ltd</v>
          </cell>
          <cell r="B5374">
            <v>543428</v>
          </cell>
          <cell r="C5374" t="str">
            <v>DATAPATTNS</v>
          </cell>
        </row>
        <row r="5375">
          <cell r="A5375" t="str">
            <v>HP Adhesives Ltd</v>
          </cell>
          <cell r="B5375">
            <v>543433</v>
          </cell>
          <cell r="C5375" t="str">
            <v>HPAL</v>
          </cell>
        </row>
        <row r="5376">
          <cell r="A5376" t="str">
            <v>Supriya Lifescience Ltd</v>
          </cell>
          <cell r="B5376">
            <v>543434</v>
          </cell>
          <cell r="C5376" t="str">
            <v>SUPRIYA</v>
          </cell>
        </row>
        <row r="5377">
          <cell r="A5377" t="str">
            <v>Clara Industries Ltd</v>
          </cell>
          <cell r="B5377">
            <v>543435</v>
          </cell>
          <cell r="C5377" t="str">
            <v>CLARA</v>
          </cell>
        </row>
        <row r="5378">
          <cell r="A5378" t="str">
            <v>Wherrelz IT Solutions Ltd</v>
          </cell>
          <cell r="B5378">
            <v>543436</v>
          </cell>
          <cell r="C5378" t="str">
            <v>WITS</v>
          </cell>
        </row>
        <row r="5379">
          <cell r="A5379" t="str">
            <v>Motilal Oswal Nasdaq Q 50 ETF</v>
          </cell>
          <cell r="B5379">
            <v>543437</v>
          </cell>
          <cell r="C5379" t="str">
            <v>MONQ50</v>
          </cell>
        </row>
        <row r="5380">
          <cell r="A5380" t="str">
            <v>DSP Nifty Midcap 150 Quality 50 ETF</v>
          </cell>
          <cell r="B5380">
            <v>543438</v>
          </cell>
          <cell r="C5380" t="str">
            <v>DSPQ50ETF</v>
          </cell>
        </row>
        <row r="5381">
          <cell r="A5381" t="str">
            <v>Brandbucket Media &amp; Technology Ltd</v>
          </cell>
          <cell r="B5381">
            <v>543439</v>
          </cell>
          <cell r="C5381" t="str">
            <v>BRANDBUCKT</v>
          </cell>
        </row>
        <row r="5382">
          <cell r="A5382" t="str">
            <v>DSP Nifty 50 ETF</v>
          </cell>
          <cell r="B5382">
            <v>543440</v>
          </cell>
          <cell r="C5382" t="str">
            <v>DSPN50ETF</v>
          </cell>
        </row>
        <row r="5383">
          <cell r="A5383" t="str">
            <v>CMS Info Systems Ltd</v>
          </cell>
          <cell r="B5383">
            <v>543441</v>
          </cell>
          <cell r="C5383" t="str">
            <v>CMSINFO</v>
          </cell>
        </row>
        <row r="5384">
          <cell r="A5384" t="str">
            <v>Brand Concepts Ltd</v>
          </cell>
          <cell r="B5384">
            <v>543442</v>
          </cell>
          <cell r="C5384" t="str">
            <v>BCONCEPTS</v>
          </cell>
        </row>
        <row r="5385">
          <cell r="A5385" t="str">
            <v>Ascensive Educare Ltd</v>
          </cell>
          <cell r="B5385">
            <v>543443</v>
          </cell>
          <cell r="C5385" t="str">
            <v>ASCENSIVE</v>
          </cell>
        </row>
        <row r="5386">
          <cell r="A5386" t="str">
            <v>Fabino Life Sciences Ltd</v>
          </cell>
          <cell r="B5386">
            <v>543444</v>
          </cell>
          <cell r="C5386" t="str">
            <v>FABINO</v>
          </cell>
        </row>
        <row r="5387">
          <cell r="A5387" t="str">
            <v>Wonder Fibromats Ltd</v>
          </cell>
          <cell r="B5387">
            <v>543449</v>
          </cell>
          <cell r="C5387" t="str">
            <v>WFL</v>
          </cell>
        </row>
        <row r="5388">
          <cell r="A5388" t="str">
            <v>ICICI Prudential Nifty Auto ETF</v>
          </cell>
          <cell r="B5388">
            <v>543450</v>
          </cell>
          <cell r="C5388" t="str">
            <v>ICICIAUTO</v>
          </cell>
        </row>
        <row r="5389">
          <cell r="A5389" t="str">
            <v>AGS Transact Technologies Ltd</v>
          </cell>
          <cell r="B5389">
            <v>543451</v>
          </cell>
          <cell r="C5389" t="str">
            <v>AGSTRA</v>
          </cell>
        </row>
        <row r="5390">
          <cell r="A5390" t="str">
            <v>ICICI Prudential Silver ETF</v>
          </cell>
          <cell r="B5390">
            <v>543452</v>
          </cell>
          <cell r="C5390" t="str">
            <v>ICICISILVE</v>
          </cell>
        </row>
        <row r="5391">
          <cell r="A5391" t="str">
            <v>Alkosign Ltd</v>
          </cell>
          <cell r="B5391">
            <v>543453</v>
          </cell>
          <cell r="C5391" t="str">
            <v>ALKOSIGN</v>
          </cell>
        </row>
        <row r="5392">
          <cell r="A5392" t="str">
            <v>Mirae Asset Nifty India Manufacturing ETF</v>
          </cell>
          <cell r="B5392">
            <v>543454</v>
          </cell>
          <cell r="C5392" t="str">
            <v>MAMFGETF</v>
          </cell>
        </row>
        <row r="5393">
          <cell r="A5393" t="str">
            <v>Adani Wilmar Ltd</v>
          </cell>
          <cell r="B5393">
            <v>543458</v>
          </cell>
          <cell r="C5393" t="str">
            <v>AWL</v>
          </cell>
        </row>
        <row r="5394">
          <cell r="A5394" t="str">
            <v>Quality RO Industries Ltd</v>
          </cell>
          <cell r="B5394">
            <v>543460</v>
          </cell>
          <cell r="C5394" t="str">
            <v>QRIL</v>
          </cell>
        </row>
        <row r="5395">
          <cell r="A5395" t="str">
            <v>Safa Systems &amp; Technologies Ltd</v>
          </cell>
          <cell r="B5395">
            <v>543461</v>
          </cell>
          <cell r="C5395" t="str">
            <v>SSTL</v>
          </cell>
        </row>
        <row r="5396">
          <cell r="A5396" t="str">
            <v>Dev Information Technology Ltd</v>
          </cell>
          <cell r="B5396">
            <v>543462</v>
          </cell>
          <cell r="C5396" t="str">
            <v>DEVIT</v>
          </cell>
        </row>
        <row r="5397">
          <cell r="A5397" t="str">
            <v>Vedant Fashions Ltd</v>
          </cell>
          <cell r="B5397">
            <v>543463</v>
          </cell>
          <cell r="C5397" t="str">
            <v>MANYAVAR</v>
          </cell>
        </row>
        <row r="5398">
          <cell r="A5398" t="str">
            <v>Maruti Interior Products Ltd</v>
          </cell>
          <cell r="B5398">
            <v>543464</v>
          </cell>
          <cell r="C5398" t="str">
            <v>MARUTIIPL</v>
          </cell>
        </row>
        <row r="5399">
          <cell r="A5399" t="str">
            <v>Motilal Oswal Nifty 200 Momentum 30 ETF</v>
          </cell>
          <cell r="B5399">
            <v>543465</v>
          </cell>
          <cell r="C5399" t="str">
            <v>MOMOMENTUM</v>
          </cell>
        </row>
        <row r="5400">
          <cell r="A5400" t="str">
            <v>Softtech Engineers Ltd</v>
          </cell>
          <cell r="B5400">
            <v>543470</v>
          </cell>
          <cell r="C5400" t="str">
            <v>SOFTTECH</v>
          </cell>
        </row>
        <row r="5401">
          <cell r="A5401" t="str">
            <v>Aditya Birla Sun Life Silver ETF</v>
          </cell>
          <cell r="B5401">
            <v>543471</v>
          </cell>
          <cell r="C5401" t="str">
            <v>SILVER</v>
          </cell>
        </row>
        <row r="5402">
          <cell r="A5402" t="str">
            <v>Aditya Birla Sunlife Nifty IT ETF</v>
          </cell>
          <cell r="B5402">
            <v>543472</v>
          </cell>
          <cell r="C5402" t="str">
            <v>TECH</v>
          </cell>
        </row>
        <row r="5403">
          <cell r="A5403" t="str">
            <v>Aditya Birla Sun Life Nifty Healthcare ETF</v>
          </cell>
          <cell r="B5403">
            <v>543473</v>
          </cell>
          <cell r="C5403" t="str">
            <v>HEALTHY</v>
          </cell>
        </row>
        <row r="5404">
          <cell r="A5404" t="str">
            <v>Aditya Birla Sun Life Nifty ETF</v>
          </cell>
          <cell r="B5404">
            <v>543474</v>
          </cell>
          <cell r="C5404" t="str">
            <v>BSLNIFTY</v>
          </cell>
        </row>
        <row r="5405">
          <cell r="A5405" t="str">
            <v>Ekennis Software Service Ltd</v>
          </cell>
          <cell r="B5405">
            <v>543475</v>
          </cell>
          <cell r="C5405" t="str">
            <v>EKENNIS</v>
          </cell>
        </row>
        <row r="5406">
          <cell r="A5406" t="str">
            <v>Mirae Asset Nifty Midcap 150 ETF</v>
          </cell>
          <cell r="B5406">
            <v>543481</v>
          </cell>
          <cell r="C5406" t="str">
            <v>MAM150ETF</v>
          </cell>
        </row>
        <row r="5407">
          <cell r="A5407" t="str">
            <v>Eureka Forbes Ltd</v>
          </cell>
          <cell r="B5407">
            <v>543482</v>
          </cell>
          <cell r="C5407" t="str">
            <v>EUREKAFORBE</v>
          </cell>
        </row>
        <row r="5408">
          <cell r="A5408" t="str">
            <v>Gateway Distriparks Ltd</v>
          </cell>
          <cell r="B5408">
            <v>543489</v>
          </cell>
          <cell r="C5408" t="str">
            <v>GATEWAY</v>
          </cell>
        </row>
        <row r="5409">
          <cell r="A5409" t="str">
            <v>GMR Power and Urban Infra Ltd</v>
          </cell>
          <cell r="B5409">
            <v>543490</v>
          </cell>
          <cell r="C5409" t="str">
            <v>GMRP&amp;UI</v>
          </cell>
        </row>
        <row r="5410">
          <cell r="A5410" t="str">
            <v>Bhatia Colour Chem Ltd</v>
          </cell>
          <cell r="B5410">
            <v>543497</v>
          </cell>
          <cell r="C5410" t="str">
            <v>BCCL</v>
          </cell>
        </row>
        <row r="5411">
          <cell r="A5411" t="str">
            <v>Motherson Sumi Wiring India Ltd</v>
          </cell>
          <cell r="B5411">
            <v>543498</v>
          </cell>
          <cell r="C5411" t="str">
            <v>MSUMI</v>
          </cell>
        </row>
        <row r="5412">
          <cell r="A5412" t="str">
            <v>Achyut Healthcare Ltd</v>
          </cell>
          <cell r="B5412">
            <v>543499</v>
          </cell>
          <cell r="C5412" t="str">
            <v>ACHYUT</v>
          </cell>
        </row>
        <row r="5413">
          <cell r="A5413" t="str">
            <v>Evoq Remedies Ltd</v>
          </cell>
          <cell r="B5413">
            <v>543500</v>
          </cell>
          <cell r="C5413" t="str">
            <v>EVOQ</v>
          </cell>
        </row>
        <row r="5414">
          <cell r="A5414" t="str">
            <v>Motilal Oswal S&amp;P BSE Low Volatility ETF</v>
          </cell>
          <cell r="B5414">
            <v>543501</v>
          </cell>
          <cell r="C5414" t="str">
            <v>MOLOWVOL</v>
          </cell>
        </row>
        <row r="5415">
          <cell r="A5415" t="str">
            <v>Avro India Ltd</v>
          </cell>
          <cell r="B5415">
            <v>543512</v>
          </cell>
          <cell r="C5415" t="str">
            <v>AVROIND</v>
          </cell>
        </row>
        <row r="5416">
          <cell r="A5416" t="str">
            <v>Uma Exports Ltd</v>
          </cell>
          <cell r="B5416">
            <v>543513</v>
          </cell>
          <cell r="C5416" t="str">
            <v>UMAEXPORTS</v>
          </cell>
        </row>
        <row r="5417">
          <cell r="A5417" t="str">
            <v>Veranda Learning Solutions Ltd</v>
          </cell>
          <cell r="B5417">
            <v>543514</v>
          </cell>
          <cell r="C5417" t="str">
            <v>VERANDA</v>
          </cell>
        </row>
        <row r="5418">
          <cell r="A5418" t="str">
            <v>Sunrise Efficient Marketing Ltd</v>
          </cell>
          <cell r="B5418">
            <v>543515</v>
          </cell>
          <cell r="C5418" t="str">
            <v>SEML</v>
          </cell>
        </row>
        <row r="5419">
          <cell r="A5419" t="str">
            <v>Dhyaani Tile and Marblez Ltd</v>
          </cell>
          <cell r="B5419">
            <v>543516</v>
          </cell>
          <cell r="C5419" t="str">
            <v>DHYAANI</v>
          </cell>
        </row>
        <row r="5420">
          <cell r="A5420" t="str">
            <v>Hariom Pipe Industries Ltd</v>
          </cell>
          <cell r="B5420">
            <v>543517</v>
          </cell>
          <cell r="C5420" t="str">
            <v>HARIOMPIPE</v>
          </cell>
        </row>
        <row r="5421">
          <cell r="A5421" t="str">
            <v>Eighty Jewellers Ltd</v>
          </cell>
          <cell r="B5421">
            <v>543518</v>
          </cell>
          <cell r="C5421" t="str">
            <v>EIGHTY</v>
          </cell>
        </row>
        <row r="5422">
          <cell r="A5422" t="str">
            <v>Shashwat Furnishing Solutions Ltd</v>
          </cell>
          <cell r="B5422">
            <v>543519</v>
          </cell>
          <cell r="C5422" t="str">
            <v>SFSL</v>
          </cell>
        </row>
        <row r="5423">
          <cell r="A5423" t="str">
            <v>Global Longlife Hospital and Research Ltd</v>
          </cell>
          <cell r="B5423">
            <v>543520</v>
          </cell>
          <cell r="C5423" t="str">
            <v>GLHRL</v>
          </cell>
        </row>
        <row r="5424">
          <cell r="A5424" t="str">
            <v>Fone4 Communications (India) Ltd</v>
          </cell>
          <cell r="B5424">
            <v>543521</v>
          </cell>
          <cell r="C5424" t="str">
            <v>FONE4</v>
          </cell>
        </row>
        <row r="5425">
          <cell r="A5425" t="str">
            <v>Nanavati Ventures Ltd</v>
          </cell>
          <cell r="B5425">
            <v>543522</v>
          </cell>
          <cell r="C5425" t="str">
            <v>NVENTURES</v>
          </cell>
        </row>
        <row r="5426">
          <cell r="A5426" t="str">
            <v>Campus Activewear Ltd</v>
          </cell>
          <cell r="B5426">
            <v>543523</v>
          </cell>
          <cell r="C5426" t="str">
            <v>CAMPUS</v>
          </cell>
        </row>
        <row r="5427">
          <cell r="A5427" t="str">
            <v>Rainbow Children's Medicare Ltd</v>
          </cell>
          <cell r="B5427">
            <v>543524</v>
          </cell>
          <cell r="C5427" t="str">
            <v>RAINBOW</v>
          </cell>
        </row>
        <row r="5428">
          <cell r="A5428" t="str">
            <v>Silver Touch Technologies Ltd</v>
          </cell>
          <cell r="B5428">
            <v>543525</v>
          </cell>
          <cell r="C5428" t="str">
            <v>SILVERTUC</v>
          </cell>
        </row>
        <row r="5429">
          <cell r="A5429" t="str">
            <v>Life Insurance Corporation of India</v>
          </cell>
          <cell r="B5429">
            <v>543526</v>
          </cell>
          <cell r="C5429" t="str">
            <v>LICI</v>
          </cell>
        </row>
        <row r="5430">
          <cell r="A5430" t="str">
            <v>Prudent Corporate Advisory Services Ltd</v>
          </cell>
          <cell r="B5430">
            <v>543527</v>
          </cell>
          <cell r="C5430" t="str">
            <v>PRUDENT</v>
          </cell>
        </row>
        <row r="5431">
          <cell r="A5431" t="str">
            <v>Venus Pipes &amp; Tubes Ltd</v>
          </cell>
          <cell r="B5431">
            <v>543528</v>
          </cell>
          <cell r="C5431" t="str">
            <v>VENUSPIPES</v>
          </cell>
        </row>
        <row r="5432">
          <cell r="A5432" t="str">
            <v>Delhivery Ltd</v>
          </cell>
          <cell r="B5432">
            <v>543529</v>
          </cell>
          <cell r="C5432" t="str">
            <v>DELHIVERY</v>
          </cell>
        </row>
        <row r="5433">
          <cell r="A5433" t="str">
            <v>Paradeep Phosphates Ltd</v>
          </cell>
          <cell r="B5433">
            <v>543530</v>
          </cell>
          <cell r="C5433" t="str">
            <v>PARADEEP</v>
          </cell>
        </row>
        <row r="5434">
          <cell r="A5434" t="str">
            <v>Tierra Agrotech Ltd</v>
          </cell>
          <cell r="B5434">
            <v>543531</v>
          </cell>
          <cell r="C5434" t="str">
            <v>TIERRA</v>
          </cell>
        </row>
        <row r="5435">
          <cell r="A5435" t="str">
            <v>Ethos Ltd</v>
          </cell>
          <cell r="B5435">
            <v>543532</v>
          </cell>
          <cell r="C5435" t="str">
            <v>ETHOSLTD</v>
          </cell>
        </row>
        <row r="5436">
          <cell r="A5436" t="str">
            <v>eMudhra Ltd</v>
          </cell>
          <cell r="B5436">
            <v>543533</v>
          </cell>
          <cell r="C5436" t="str">
            <v>EMUDHRA</v>
          </cell>
        </row>
        <row r="5437">
          <cell r="A5437" t="str">
            <v>Aether Industries Ltd</v>
          </cell>
          <cell r="B5437">
            <v>543534</v>
          </cell>
          <cell r="C5437" t="str">
            <v>AETHER</v>
          </cell>
        </row>
        <row r="5438">
          <cell r="A5438" t="str">
            <v>We Win Ltd</v>
          </cell>
          <cell r="B5438">
            <v>543535</v>
          </cell>
          <cell r="C5438" t="str">
            <v>WEWIN</v>
          </cell>
        </row>
        <row r="5439">
          <cell r="A5439" t="str">
            <v>Silver Pearl Hospitality &amp; Luxury Spaces Ltd</v>
          </cell>
          <cell r="B5439">
            <v>543536</v>
          </cell>
          <cell r="C5439" t="str">
            <v>SILVERPRL</v>
          </cell>
        </row>
        <row r="5440">
          <cell r="A5440" t="str">
            <v>Kotak Banking ETF - Dividend Payout Option</v>
          </cell>
          <cell r="B5440">
            <v>590136</v>
          </cell>
          <cell r="C5440" t="str">
            <v>KOTAKBKETF</v>
          </cell>
        </row>
        <row r="5441">
          <cell r="A5441" t="str">
            <v>SBI-ETF NIFTY BANK</v>
          </cell>
          <cell r="B5441">
            <v>590137</v>
          </cell>
          <cell r="C5441" t="str">
            <v>SETFNIFBK</v>
          </cell>
        </row>
        <row r="5442">
          <cell r="A5442" t="str">
            <v>SBI-ETF NIFTY 50</v>
          </cell>
          <cell r="B5442">
            <v>590138</v>
          </cell>
          <cell r="C5442" t="str">
            <v>SETFNIF50</v>
          </cell>
        </row>
      </sheetData>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hyperlink" Target="https://www.screener.in/exce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665A6F-FAE9-493F-95C8-EA88CC872622}">
  <sheetPr>
    <tabColor theme="8" tint="-0.499984740745262"/>
  </sheetPr>
  <dimension ref="A1"/>
  <sheetViews>
    <sheetView workbookViewId="0">
      <selection activeCell="G12" sqref="G12"/>
    </sheetView>
  </sheetViews>
  <sheetFormatPr defaultRowHeight="14.4" x14ac:dyDescent="0.3"/>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65E12-E142-48AD-908C-A9ADB1403414}">
  <sheetPr>
    <pageSetUpPr fitToPage="1"/>
  </sheetPr>
  <dimension ref="A1:O109"/>
  <sheetViews>
    <sheetView showGridLines="0" topLeftCell="A10" zoomScale="86" zoomScaleNormal="110" workbookViewId="0">
      <selection activeCell="J15" sqref="J15"/>
    </sheetView>
  </sheetViews>
  <sheetFormatPr defaultRowHeight="14.4" x14ac:dyDescent="0.3"/>
  <cols>
    <col min="1" max="1" width="1.88671875" customWidth="1"/>
    <col min="2" max="2" width="28.44140625" bestFit="1" customWidth="1"/>
    <col min="3" max="12" width="13" customWidth="1"/>
  </cols>
  <sheetData>
    <row r="1" spans="1:15" ht="15" thickBot="1" x14ac:dyDescent="0.35"/>
    <row r="2" spans="1:15" ht="29.4" customHeight="1" thickTop="1" x14ac:dyDescent="0.55000000000000004">
      <c r="B2" s="238" t="str">
        <f>'Data Sheet'!B1</f>
        <v>GODREJ CONSUMER PRODUCTS LTD</v>
      </c>
      <c r="C2" s="238"/>
      <c r="D2" s="238"/>
      <c r="E2" s="238"/>
      <c r="F2" s="238"/>
      <c r="G2" s="238"/>
      <c r="H2" s="193"/>
      <c r="I2" s="193"/>
      <c r="J2" s="193"/>
      <c r="K2" s="193"/>
      <c r="L2" s="193"/>
    </row>
    <row r="3" spans="1:15" ht="18.600000000000001" thickBot="1" x14ac:dyDescent="0.4">
      <c r="B3" s="239" t="s">
        <v>9336</v>
      </c>
      <c r="C3" s="239"/>
      <c r="D3" s="239"/>
      <c r="E3" s="239"/>
      <c r="F3" s="194"/>
      <c r="G3" s="194"/>
      <c r="H3" s="194"/>
      <c r="I3" s="194"/>
      <c r="J3" s="194"/>
      <c r="K3" s="194"/>
      <c r="L3" s="194"/>
    </row>
    <row r="4" spans="1:15" ht="15" thickTop="1" x14ac:dyDescent="0.3"/>
    <row r="5" spans="1:15" ht="21" x14ac:dyDescent="0.4">
      <c r="B5" s="236" t="str">
        <f>"Historical Financial Statement - "&amp;'Data Sheet'!B1</f>
        <v>Historical Financial Statement - GODREJ CONSUMER PRODUCTS LTD</v>
      </c>
      <c r="C5" s="236"/>
      <c r="D5" s="236"/>
      <c r="E5" s="236"/>
      <c r="F5" s="236"/>
      <c r="G5" s="236"/>
      <c r="H5" s="236"/>
      <c r="I5" s="236"/>
      <c r="J5" s="236"/>
      <c r="K5" s="236"/>
      <c r="L5" s="236"/>
    </row>
    <row r="6" spans="1:15" ht="15.6" x14ac:dyDescent="0.3">
      <c r="B6" s="25" t="s">
        <v>56</v>
      </c>
      <c r="C6" s="26">
        <f>'Data Sheet'!B16</f>
        <v>42094</v>
      </c>
      <c r="D6" s="26">
        <f>'Data Sheet'!C16</f>
        <v>42460</v>
      </c>
      <c r="E6" s="26">
        <f>'Data Sheet'!D16</f>
        <v>42825</v>
      </c>
      <c r="F6" s="26">
        <f>'Data Sheet'!E16</f>
        <v>43190</v>
      </c>
      <c r="G6" s="26">
        <f>'Data Sheet'!F16</f>
        <v>43555</v>
      </c>
      <c r="H6" s="26">
        <f>'Data Sheet'!G16</f>
        <v>43921</v>
      </c>
      <c r="I6" s="26">
        <f>'Data Sheet'!H16</f>
        <v>44286</v>
      </c>
      <c r="J6" s="26">
        <f>'Data Sheet'!I16</f>
        <v>44651</v>
      </c>
      <c r="K6" s="26">
        <f>'Data Sheet'!J16</f>
        <v>45016</v>
      </c>
      <c r="L6" s="26">
        <f>'Data Sheet'!K16</f>
        <v>45382</v>
      </c>
    </row>
    <row r="7" spans="1:15" s="19" customFormat="1" x14ac:dyDescent="0.3">
      <c r="B7" s="20"/>
      <c r="C7" s="21"/>
      <c r="D7" s="21"/>
      <c r="E7" s="21"/>
      <c r="F7" s="21"/>
      <c r="G7" s="21"/>
      <c r="H7" s="21"/>
      <c r="I7" s="21"/>
      <c r="J7" s="21"/>
      <c r="K7" s="21"/>
      <c r="L7" s="21"/>
    </row>
    <row r="8" spans="1:15" ht="18" x14ac:dyDescent="0.35">
      <c r="A8" t="s">
        <v>58</v>
      </c>
      <c r="B8" s="237" t="s">
        <v>57</v>
      </c>
      <c r="C8" s="237"/>
      <c r="D8" s="237"/>
      <c r="E8" s="237"/>
      <c r="F8" s="237"/>
      <c r="G8" s="237"/>
      <c r="H8" s="237"/>
      <c r="I8" s="237"/>
      <c r="J8" s="237"/>
      <c r="K8" s="237"/>
      <c r="L8" s="237"/>
    </row>
    <row r="9" spans="1:15" x14ac:dyDescent="0.3">
      <c r="B9" t="s">
        <v>12</v>
      </c>
      <c r="C9" s="13">
        <f>IFERROR('Data Sheet'!B17,0)</f>
        <v>8273.15</v>
      </c>
      <c r="D9" s="13">
        <f>IFERROR('Data Sheet'!C17,0)</f>
        <v>8423.8799999999992</v>
      </c>
      <c r="E9" s="13">
        <f>IFERROR('Data Sheet'!D17,0)</f>
        <v>9267.91</v>
      </c>
      <c r="F9" s="13">
        <f>IFERROR('Data Sheet'!E17,0)</f>
        <v>9847.43</v>
      </c>
      <c r="G9" s="13">
        <f>IFERROR('Data Sheet'!F17,0)</f>
        <v>10314.34</v>
      </c>
      <c r="H9" s="13">
        <f>IFERROR('Data Sheet'!G17,0)</f>
        <v>9910.7999999999993</v>
      </c>
      <c r="I9" s="13">
        <f>IFERROR('Data Sheet'!H17,0)</f>
        <v>11028.62</v>
      </c>
      <c r="J9" s="13">
        <f>IFERROR('Data Sheet'!I17,0)</f>
        <v>12276.5</v>
      </c>
      <c r="K9" s="13">
        <f>IFERROR('Data Sheet'!J17,0)</f>
        <v>13315.97</v>
      </c>
      <c r="L9" s="13">
        <f>IFERROR('Data Sheet'!K17,0)</f>
        <v>14096.11</v>
      </c>
    </row>
    <row r="10" spans="1:15" x14ac:dyDescent="0.3">
      <c r="B10" s="15" t="s">
        <v>59</v>
      </c>
      <c r="C10" s="16" t="s">
        <v>60</v>
      </c>
      <c r="D10" s="17">
        <f>D9/C9-1</f>
        <v>1.8219178910088507E-2</v>
      </c>
      <c r="E10" s="17">
        <f t="shared" ref="E10:L10" si="0">E9/D9-1</f>
        <v>0.10019492205492009</v>
      </c>
      <c r="F10" s="17">
        <f t="shared" si="0"/>
        <v>6.2529739714779264E-2</v>
      </c>
      <c r="G10" s="17">
        <f t="shared" si="0"/>
        <v>4.7414401524052519E-2</v>
      </c>
      <c r="H10" s="17">
        <f t="shared" si="0"/>
        <v>-3.9124170814613501E-2</v>
      </c>
      <c r="I10" s="17">
        <f t="shared" si="0"/>
        <v>0.11278806958065957</v>
      </c>
      <c r="J10" s="17">
        <f t="shared" si="0"/>
        <v>0.11314924260696246</v>
      </c>
      <c r="K10" s="17">
        <f t="shared" si="0"/>
        <v>8.4671526900989669E-2</v>
      </c>
      <c r="L10" s="17">
        <f t="shared" si="0"/>
        <v>5.8586794653337382E-2</v>
      </c>
    </row>
    <row r="11" spans="1:15" x14ac:dyDescent="0.3">
      <c r="O11" s="19"/>
    </row>
    <row r="12" spans="1:15" x14ac:dyDescent="0.3">
      <c r="B12" t="s">
        <v>61</v>
      </c>
      <c r="C12" s="13">
        <f>IFERROR(SUM('Data Sheet'!B18,'Data Sheet'!B20:B22)-1*'Data Sheet'!B19,0)</f>
        <v>4952.3599999999997</v>
      </c>
      <c r="D12" s="13">
        <f>IFERROR(SUM('Data Sheet'!C18,'Data Sheet'!C20:C22)-1*'Data Sheet'!C19,0)</f>
        <v>5157.59</v>
      </c>
      <c r="E12" s="13">
        <f>IFERROR(SUM('Data Sheet'!D18,'Data Sheet'!D20:D22)-1*'Data Sheet'!D19,0)</f>
        <v>5512.8500000000013</v>
      </c>
      <c r="F12" s="13">
        <f>IFERROR(SUM('Data Sheet'!E18,'Data Sheet'!E20:E22)-1*'Data Sheet'!E19,0)</f>
        <v>5751.6299999999992</v>
      </c>
      <c r="G12" s="13">
        <f>IFERROR(SUM('Data Sheet'!F18,'Data Sheet'!F20:F22)-1*'Data Sheet'!F19,0)</f>
        <v>6071.83</v>
      </c>
      <c r="H12" s="13">
        <f>IFERROR(SUM('Data Sheet'!G18,'Data Sheet'!G20:G22)-1*'Data Sheet'!G19,0)</f>
        <v>5777.48</v>
      </c>
      <c r="I12" s="13">
        <f>IFERROR(SUM('Data Sheet'!H18,'Data Sheet'!H20:H22)-1*'Data Sheet'!H19,0)</f>
        <v>6556.24</v>
      </c>
      <c r="J12" s="13">
        <f>IFERROR(SUM('Data Sheet'!I18,'Data Sheet'!I20:I22)-1*'Data Sheet'!I19,0)</f>
        <v>7743.02</v>
      </c>
      <c r="K12" s="13">
        <f>IFERROR(SUM('Data Sheet'!J18,'Data Sheet'!J20:J22)-1*'Data Sheet'!J19,0)</f>
        <v>8407.8100000000013</v>
      </c>
      <c r="L12" s="13">
        <f>IFERROR(SUM('Data Sheet'!K18,'Data Sheet'!K20:K22)-1*'Data Sheet'!K19,0)</f>
        <v>8140.920000000001</v>
      </c>
    </row>
    <row r="13" spans="1:15" x14ac:dyDescent="0.3">
      <c r="B13" s="15" t="s">
        <v>62</v>
      </c>
      <c r="C13" s="17">
        <f>C12/C9</f>
        <v>0.59860633495101623</v>
      </c>
      <c r="D13" s="17">
        <f t="shared" ref="D13:L13" si="1">D12/D9</f>
        <v>0.61225824679363916</v>
      </c>
      <c r="E13" s="17">
        <f t="shared" si="1"/>
        <v>0.59483206030270053</v>
      </c>
      <c r="F13" s="17">
        <f t="shared" si="1"/>
        <v>0.58407422038034285</v>
      </c>
      <c r="G13" s="17">
        <f t="shared" si="1"/>
        <v>0.58867848063957562</v>
      </c>
      <c r="H13" s="17">
        <f t="shared" si="1"/>
        <v>0.58294789522541068</v>
      </c>
      <c r="I13" s="17">
        <f t="shared" si="1"/>
        <v>0.5944751020526593</v>
      </c>
      <c r="J13" s="17">
        <f t="shared" si="1"/>
        <v>0.63071885309330844</v>
      </c>
      <c r="K13" s="17">
        <f t="shared" si="1"/>
        <v>0.63140800106939277</v>
      </c>
      <c r="L13" s="17">
        <f t="shared" si="1"/>
        <v>0.57752954538521628</v>
      </c>
    </row>
    <row r="15" spans="1:15" x14ac:dyDescent="0.3">
      <c r="B15" s="27" t="s">
        <v>63</v>
      </c>
      <c r="C15" s="28">
        <f>C9-C12</f>
        <v>3320.79</v>
      </c>
      <c r="D15" s="28">
        <f t="shared" ref="D15:L15" si="2">D9-D12</f>
        <v>3266.2899999999991</v>
      </c>
      <c r="E15" s="28">
        <f t="shared" si="2"/>
        <v>3755.0599999999986</v>
      </c>
      <c r="F15" s="28">
        <f t="shared" si="2"/>
        <v>4095.8000000000011</v>
      </c>
      <c r="G15" s="28">
        <f t="shared" si="2"/>
        <v>4242.51</v>
      </c>
      <c r="H15" s="28">
        <f t="shared" si="2"/>
        <v>4133.32</v>
      </c>
      <c r="I15" s="28">
        <f t="shared" si="2"/>
        <v>4472.380000000001</v>
      </c>
      <c r="J15" s="28">
        <f t="shared" si="2"/>
        <v>4533.4799999999996</v>
      </c>
      <c r="K15" s="28">
        <f t="shared" si="2"/>
        <v>4908.159999999998</v>
      </c>
      <c r="L15" s="28">
        <f t="shared" si="2"/>
        <v>5955.19</v>
      </c>
    </row>
    <row r="16" spans="1:15" x14ac:dyDescent="0.3">
      <c r="B16" s="15" t="s">
        <v>69</v>
      </c>
      <c r="C16" s="17">
        <f>C15/C9</f>
        <v>0.40139366504898377</v>
      </c>
      <c r="D16" s="17">
        <f t="shared" ref="D16:L16" si="3">D15/D9</f>
        <v>0.3877417532063609</v>
      </c>
      <c r="E16" s="17">
        <f t="shared" si="3"/>
        <v>0.40516793969729947</v>
      </c>
      <c r="F16" s="17">
        <f t="shared" si="3"/>
        <v>0.41592577961965721</v>
      </c>
      <c r="G16" s="17">
        <f t="shared" si="3"/>
        <v>0.41132151936042444</v>
      </c>
      <c r="H16" s="17">
        <f t="shared" si="3"/>
        <v>0.41705210477458932</v>
      </c>
      <c r="I16" s="17">
        <f t="shared" si="3"/>
        <v>0.4055248979473407</v>
      </c>
      <c r="J16" s="17">
        <f t="shared" si="3"/>
        <v>0.36928114690669162</v>
      </c>
      <c r="K16" s="17">
        <f t="shared" si="3"/>
        <v>0.36859199893060723</v>
      </c>
      <c r="L16" s="17">
        <f t="shared" si="3"/>
        <v>0.42247045461478377</v>
      </c>
    </row>
    <row r="18" spans="2:12" x14ac:dyDescent="0.3">
      <c r="B18" t="s">
        <v>64</v>
      </c>
      <c r="C18" s="18">
        <f>IFERROR(SUM('Data Sheet'!B23:B24),0)</f>
        <v>1941.84</v>
      </c>
      <c r="D18" s="18">
        <f>IFERROR(SUM('Data Sheet'!C23:C24),0)</f>
        <v>1608.91</v>
      </c>
      <c r="E18" s="18">
        <f>IFERROR(SUM('Data Sheet'!D23:D24),0)</f>
        <v>1848.3500000000001</v>
      </c>
      <c r="F18" s="18">
        <f>IFERROR(SUM('Data Sheet'!E23:E24),0)</f>
        <v>2011.4</v>
      </c>
      <c r="G18" s="18">
        <f>IFERROR(SUM('Data Sheet'!F23:F24),0)</f>
        <v>2110.94</v>
      </c>
      <c r="H18" s="18">
        <f>IFERROR(SUM('Data Sheet'!G23:G24),0)</f>
        <v>1979.5700000000002</v>
      </c>
      <c r="I18" s="18">
        <f>IFERROR(SUM('Data Sheet'!H23:H24),0)</f>
        <v>2073.12</v>
      </c>
      <c r="J18" s="18">
        <f>IFERROR(SUM('Data Sheet'!I23:I24),0)</f>
        <v>2124.3000000000002</v>
      </c>
      <c r="K18" s="18">
        <f>IFERROR(SUM('Data Sheet'!J23:J24),0)</f>
        <v>2464.96</v>
      </c>
      <c r="L18" s="18">
        <f>IFERROR(SUM('Data Sheet'!K23:K24),0)</f>
        <v>2997.87</v>
      </c>
    </row>
    <row r="19" spans="2:12" x14ac:dyDescent="0.3">
      <c r="B19" s="15" t="s">
        <v>65</v>
      </c>
      <c r="C19" s="17">
        <f>C18/C9</f>
        <v>0.23471591836241334</v>
      </c>
      <c r="D19" s="17">
        <f t="shared" ref="D19:L19" si="4">D18/D9</f>
        <v>0.19099393628589204</v>
      </c>
      <c r="E19" s="17">
        <f t="shared" si="4"/>
        <v>0.1994354714277545</v>
      </c>
      <c r="F19" s="17">
        <f t="shared" si="4"/>
        <v>0.20425633896356715</v>
      </c>
      <c r="G19" s="17">
        <f t="shared" si="4"/>
        <v>0.20466069569162931</v>
      </c>
      <c r="H19" s="17">
        <f t="shared" si="4"/>
        <v>0.19973866892682732</v>
      </c>
      <c r="I19" s="17">
        <f t="shared" si="4"/>
        <v>0.18797637419731569</v>
      </c>
      <c r="J19" s="17">
        <f t="shared" si="4"/>
        <v>0.17303791797336376</v>
      </c>
      <c r="K19" s="17">
        <f t="shared" si="4"/>
        <v>0.18511306348692586</v>
      </c>
      <c r="L19" s="17">
        <f t="shared" si="4"/>
        <v>0.2126735673884497</v>
      </c>
    </row>
    <row r="21" spans="2:12" x14ac:dyDescent="0.3">
      <c r="B21" s="27" t="s">
        <v>28</v>
      </c>
      <c r="C21" s="28">
        <f t="shared" ref="C21:L21" si="5">C15-C18</f>
        <v>1378.95</v>
      </c>
      <c r="D21" s="28">
        <f t="shared" si="5"/>
        <v>1657.379999999999</v>
      </c>
      <c r="E21" s="28">
        <f t="shared" si="5"/>
        <v>1906.7099999999984</v>
      </c>
      <c r="F21" s="28">
        <f t="shared" si="5"/>
        <v>2084.400000000001</v>
      </c>
      <c r="G21" s="28">
        <f t="shared" si="5"/>
        <v>2131.5700000000002</v>
      </c>
      <c r="H21" s="28">
        <f t="shared" si="5"/>
        <v>2153.7499999999995</v>
      </c>
      <c r="I21" s="28">
        <f t="shared" si="5"/>
        <v>2399.2600000000011</v>
      </c>
      <c r="J21" s="28">
        <f t="shared" si="5"/>
        <v>2409.1799999999994</v>
      </c>
      <c r="K21" s="28">
        <f t="shared" si="5"/>
        <v>2443.199999999998</v>
      </c>
      <c r="L21" s="28">
        <f t="shared" si="5"/>
        <v>2957.3199999999997</v>
      </c>
    </row>
    <row r="22" spans="2:12" x14ac:dyDescent="0.3">
      <c r="B22" s="15" t="s">
        <v>66</v>
      </c>
      <c r="C22" s="17">
        <f>C21/C9</f>
        <v>0.16667774668657043</v>
      </c>
      <c r="D22" s="17">
        <f t="shared" ref="D22:L22" si="6">D21/D9</f>
        <v>0.19674781692046886</v>
      </c>
      <c r="E22" s="17">
        <f t="shared" si="6"/>
        <v>0.20573246826954497</v>
      </c>
      <c r="F22" s="17">
        <f t="shared" si="6"/>
        <v>0.21166944065609006</v>
      </c>
      <c r="G22" s="17">
        <f t="shared" si="6"/>
        <v>0.2066608236687951</v>
      </c>
      <c r="H22" s="17">
        <f t="shared" si="6"/>
        <v>0.217313435847762</v>
      </c>
      <c r="I22" s="17">
        <f t="shared" si="6"/>
        <v>0.21754852375002501</v>
      </c>
      <c r="J22" s="17">
        <f t="shared" si="6"/>
        <v>0.19624322893332785</v>
      </c>
      <c r="K22" s="17">
        <f t="shared" si="6"/>
        <v>0.18347893544368141</v>
      </c>
      <c r="L22" s="17">
        <f t="shared" si="6"/>
        <v>0.20979688722633405</v>
      </c>
    </row>
    <row r="24" spans="2:12" x14ac:dyDescent="0.3">
      <c r="B24" t="s">
        <v>22</v>
      </c>
      <c r="C24" s="18">
        <f>IFERROR('Data Sheet'!B27,0)</f>
        <v>112.46</v>
      </c>
      <c r="D24" s="18">
        <f>IFERROR('Data Sheet'!C27,0)</f>
        <v>128.04</v>
      </c>
      <c r="E24" s="18">
        <f>IFERROR('Data Sheet'!D27,0)</f>
        <v>154.19</v>
      </c>
      <c r="F24" s="18">
        <f>IFERROR('Data Sheet'!E27,0)</f>
        <v>173.12</v>
      </c>
      <c r="G24" s="18">
        <f>IFERROR('Data Sheet'!F27,0)</f>
        <v>238.21</v>
      </c>
      <c r="H24" s="18">
        <f>IFERROR('Data Sheet'!G27,0)</f>
        <v>228.13</v>
      </c>
      <c r="I24" s="18">
        <f>IFERROR('Data Sheet'!H27,0)</f>
        <v>137.65</v>
      </c>
      <c r="J24" s="18">
        <f>IFERROR('Data Sheet'!I27,0)</f>
        <v>122.26</v>
      </c>
      <c r="K24" s="18">
        <f>IFERROR('Data Sheet'!J27,0)</f>
        <v>188.48</v>
      </c>
      <c r="L24" s="18">
        <f>IFERROR('Data Sheet'!K27,0)</f>
        <v>309.57</v>
      </c>
    </row>
    <row r="25" spans="2:12" x14ac:dyDescent="0.3">
      <c r="B25" s="15" t="s">
        <v>67</v>
      </c>
      <c r="C25" s="17">
        <f>C24/C9</f>
        <v>1.3593371327728858E-2</v>
      </c>
      <c r="D25" s="17">
        <f t="shared" ref="D25:L25" si="7">D24/D9</f>
        <v>1.5199646718614226E-2</v>
      </c>
      <c r="E25" s="17">
        <f t="shared" si="7"/>
        <v>1.6636976405683696E-2</v>
      </c>
      <c r="F25" s="17">
        <f t="shared" si="7"/>
        <v>1.7580221438486997E-2</v>
      </c>
      <c r="G25" s="17">
        <f t="shared" si="7"/>
        <v>2.3095030801776942E-2</v>
      </c>
      <c r="H25" s="17">
        <f t="shared" si="7"/>
        <v>2.3018323445130565E-2</v>
      </c>
      <c r="I25" s="17">
        <f t="shared" si="7"/>
        <v>1.2481162647729272E-2</v>
      </c>
      <c r="J25" s="17">
        <f t="shared" si="7"/>
        <v>9.9588644972101181E-3</v>
      </c>
      <c r="K25" s="17">
        <f t="shared" si="7"/>
        <v>1.4154432609866199E-2</v>
      </c>
      <c r="L25" s="17">
        <f t="shared" si="7"/>
        <v>2.1961377997192132E-2</v>
      </c>
    </row>
    <row r="27" spans="2:12" x14ac:dyDescent="0.3">
      <c r="B27" t="s">
        <v>21</v>
      </c>
      <c r="C27" s="18">
        <f>IFERROR('Data Sheet'!B26,0)</f>
        <v>90.78</v>
      </c>
      <c r="D27" s="18">
        <f>IFERROR('Data Sheet'!C26,0)</f>
        <v>100.63</v>
      </c>
      <c r="E27" s="18">
        <f>IFERROR('Data Sheet'!D26,0)</f>
        <v>141.57</v>
      </c>
      <c r="F27" s="18">
        <f>IFERROR('Data Sheet'!E26,0)</f>
        <v>155.68</v>
      </c>
      <c r="G27" s="18">
        <f>IFERROR('Data Sheet'!F26,0)</f>
        <v>169.98</v>
      </c>
      <c r="H27" s="18">
        <f>IFERROR('Data Sheet'!G26,0)</f>
        <v>197.28</v>
      </c>
      <c r="I27" s="18">
        <f>IFERROR('Data Sheet'!H26,0)</f>
        <v>203.85</v>
      </c>
      <c r="J27" s="18">
        <f>IFERROR('Data Sheet'!I26,0)</f>
        <v>209.93</v>
      </c>
      <c r="K27" s="18">
        <f>IFERROR('Data Sheet'!J26,0)</f>
        <v>236.29</v>
      </c>
      <c r="L27" s="18">
        <f>IFERROR('Data Sheet'!K26,0)</f>
        <v>240.96</v>
      </c>
    </row>
    <row r="28" spans="2:12" x14ac:dyDescent="0.3">
      <c r="B28" s="15" t="s">
        <v>68</v>
      </c>
      <c r="C28" s="17">
        <f>C27/C9</f>
        <v>1.0972845893039531E-2</v>
      </c>
      <c r="D28" s="17">
        <f t="shared" ref="D28:L28" si="8">D27/D9</f>
        <v>1.1945801697080207E-2</v>
      </c>
      <c r="E28" s="17">
        <f t="shared" si="8"/>
        <v>1.5275288603363649E-2</v>
      </c>
      <c r="F28" s="17">
        <f t="shared" si="8"/>
        <v>1.5809200979341818E-2</v>
      </c>
      <c r="G28" s="17">
        <f t="shared" si="8"/>
        <v>1.6479968664984863E-2</v>
      </c>
      <c r="H28" s="17">
        <f t="shared" si="8"/>
        <v>1.9905557573556124E-2</v>
      </c>
      <c r="I28" s="17">
        <f t="shared" si="8"/>
        <v>1.8483726885140661E-2</v>
      </c>
      <c r="J28" s="17">
        <f t="shared" si="8"/>
        <v>1.7100150694416161E-2</v>
      </c>
      <c r="K28" s="17">
        <f t="shared" si="8"/>
        <v>1.7744858241645182E-2</v>
      </c>
      <c r="L28" s="17">
        <f t="shared" si="8"/>
        <v>1.7094077727827037E-2</v>
      </c>
    </row>
    <row r="30" spans="2:12" x14ac:dyDescent="0.3">
      <c r="B30" s="27" t="s">
        <v>70</v>
      </c>
      <c r="C30" s="28">
        <f>IFERROR(C21-SUM(C27,C24),0)</f>
        <v>1175.71</v>
      </c>
      <c r="D30" s="28">
        <f t="shared" ref="D30:L30" si="9">IFERROR(D21-SUM(D27,D24),0)</f>
        <v>1428.7099999999989</v>
      </c>
      <c r="E30" s="28">
        <f t="shared" si="9"/>
        <v>1610.9499999999985</v>
      </c>
      <c r="F30" s="28">
        <f t="shared" si="9"/>
        <v>1755.600000000001</v>
      </c>
      <c r="G30" s="28">
        <f t="shared" si="9"/>
        <v>1723.38</v>
      </c>
      <c r="H30" s="28">
        <f t="shared" si="9"/>
        <v>1728.3399999999997</v>
      </c>
      <c r="I30" s="29">
        <f t="shared" si="9"/>
        <v>2057.7600000000011</v>
      </c>
      <c r="J30" s="29">
        <f t="shared" si="9"/>
        <v>2076.9899999999993</v>
      </c>
      <c r="K30" s="29">
        <f t="shared" si="9"/>
        <v>2018.429999999998</v>
      </c>
      <c r="L30" s="29">
        <f t="shared" si="9"/>
        <v>2406.79</v>
      </c>
    </row>
    <row r="31" spans="2:12" x14ac:dyDescent="0.3">
      <c r="B31" s="15" t="s">
        <v>71</v>
      </c>
      <c r="C31" s="17">
        <f>C30/C9</f>
        <v>0.14211152946580202</v>
      </c>
      <c r="D31" s="17">
        <f t="shared" ref="D31:L31" si="10">D30/D9</f>
        <v>0.16960236850477442</v>
      </c>
      <c r="E31" s="17">
        <f t="shared" si="10"/>
        <v>0.17382020326049763</v>
      </c>
      <c r="F31" s="17">
        <f t="shared" si="10"/>
        <v>0.17828001823826126</v>
      </c>
      <c r="G31" s="17">
        <f t="shared" si="10"/>
        <v>0.1670858242020333</v>
      </c>
      <c r="H31" s="17">
        <f t="shared" si="10"/>
        <v>0.17438955482907534</v>
      </c>
      <c r="I31" s="17">
        <f t="shared" si="10"/>
        <v>0.1865836342171551</v>
      </c>
      <c r="J31" s="17">
        <f t="shared" si="10"/>
        <v>0.16918421374170156</v>
      </c>
      <c r="K31" s="17">
        <f t="shared" si="10"/>
        <v>0.15157964459217002</v>
      </c>
      <c r="L31" s="17">
        <f t="shared" si="10"/>
        <v>0.17074143150131491</v>
      </c>
    </row>
    <row r="33" spans="2:12" x14ac:dyDescent="0.3">
      <c r="B33" t="s">
        <v>24</v>
      </c>
      <c r="C33" s="13">
        <f>IFERROR('Data Sheet'!B29,0)</f>
        <v>272.29000000000002</v>
      </c>
      <c r="D33" s="13">
        <f>IFERROR('Data Sheet'!C29,0)</f>
        <v>336.05</v>
      </c>
      <c r="E33" s="13">
        <f>IFERROR('Data Sheet'!D29,0)</f>
        <v>379.16</v>
      </c>
      <c r="F33" s="13">
        <f>IFERROR('Data Sheet'!E29,0)</f>
        <v>404.7</v>
      </c>
      <c r="G33" s="13">
        <f>IFERROR('Data Sheet'!F29,0)</f>
        <v>-256.2</v>
      </c>
      <c r="H33" s="13">
        <f>IFERROR('Data Sheet'!G29,0)</f>
        <v>263.82</v>
      </c>
      <c r="I33" s="13">
        <f>IFERROR('Data Sheet'!H29,0)</f>
        <v>359.54</v>
      </c>
      <c r="J33" s="13">
        <f>IFERROR('Data Sheet'!I29,0)</f>
        <v>371.87</v>
      </c>
      <c r="K33" s="13">
        <f>IFERROR('Data Sheet'!J29,0)</f>
        <v>430.27</v>
      </c>
      <c r="L33" s="13">
        <f>IFERROR('Data Sheet'!K29,0)</f>
        <v>758.78</v>
      </c>
    </row>
    <row r="34" spans="2:12" x14ac:dyDescent="0.3">
      <c r="B34" s="15" t="s">
        <v>27</v>
      </c>
      <c r="C34" s="17">
        <f>C33/C30</f>
        <v>0.23159622696073012</v>
      </c>
      <c r="D34" s="17">
        <f t="shared" ref="D34:L34" si="11">D33/D30</f>
        <v>0.23521218441811162</v>
      </c>
      <c r="E34" s="17">
        <f t="shared" si="11"/>
        <v>0.23536422607778043</v>
      </c>
      <c r="F34" s="17">
        <f t="shared" si="11"/>
        <v>0.23051948051948037</v>
      </c>
      <c r="G34" s="17">
        <f t="shared" si="11"/>
        <v>-0.14866135153013263</v>
      </c>
      <c r="H34" s="17">
        <f t="shared" si="11"/>
        <v>0.15264357707395537</v>
      </c>
      <c r="I34" s="17">
        <f t="shared" si="11"/>
        <v>0.17472397169737958</v>
      </c>
      <c r="J34" s="17">
        <f t="shared" si="11"/>
        <v>0.17904274936326131</v>
      </c>
      <c r="K34" s="17">
        <f t="shared" si="11"/>
        <v>0.2131706326204032</v>
      </c>
      <c r="L34" s="17">
        <f t="shared" si="11"/>
        <v>0.31526639216549845</v>
      </c>
    </row>
    <row r="36" spans="2:12" x14ac:dyDescent="0.3">
      <c r="B36" s="27" t="s">
        <v>72</v>
      </c>
      <c r="C36" s="29">
        <f>IFERROR(C30-C33,0)</f>
        <v>903.42000000000007</v>
      </c>
      <c r="D36" s="29">
        <f t="shared" ref="D36:L36" si="12">IFERROR(D30-D33,0)</f>
        <v>1092.6599999999989</v>
      </c>
      <c r="E36" s="29">
        <f t="shared" si="12"/>
        <v>1231.7899999999984</v>
      </c>
      <c r="F36" s="29">
        <f t="shared" si="12"/>
        <v>1350.900000000001</v>
      </c>
      <c r="G36" s="29">
        <f t="shared" si="12"/>
        <v>1979.5800000000002</v>
      </c>
      <c r="H36" s="29">
        <f t="shared" si="12"/>
        <v>1464.5199999999998</v>
      </c>
      <c r="I36" s="29">
        <f t="shared" si="12"/>
        <v>1698.2200000000012</v>
      </c>
      <c r="J36" s="29">
        <f t="shared" si="12"/>
        <v>1705.1199999999994</v>
      </c>
      <c r="K36" s="29">
        <f t="shared" si="12"/>
        <v>1588.159999999998</v>
      </c>
      <c r="L36" s="29">
        <f t="shared" si="12"/>
        <v>1648.01</v>
      </c>
    </row>
    <row r="37" spans="2:12" x14ac:dyDescent="0.3">
      <c r="B37" s="15" t="s">
        <v>73</v>
      </c>
      <c r="C37" s="17">
        <f>C36/C9</f>
        <v>0.10919903543390366</v>
      </c>
      <c r="D37" s="17">
        <f t="shared" ref="D37:L37" si="13">D36/D9</f>
        <v>0.12970982492628089</v>
      </c>
      <c r="E37" s="17">
        <f t="shared" si="13"/>
        <v>0.13290914564340811</v>
      </c>
      <c r="F37" s="17">
        <f t="shared" si="13"/>
        <v>0.13718300104697378</v>
      </c>
      <c r="G37" s="17">
        <f t="shared" si="13"/>
        <v>0.19192502864943373</v>
      </c>
      <c r="H37" s="17">
        <f t="shared" si="13"/>
        <v>0.14777010937563062</v>
      </c>
      <c r="I37" s="17">
        <f t="shared" si="13"/>
        <v>0.15398300059300266</v>
      </c>
      <c r="J37" s="17">
        <f t="shared" si="13"/>
        <v>0.13889300696452567</v>
      </c>
      <c r="K37" s="17">
        <f t="shared" si="13"/>
        <v>0.11926731586208125</v>
      </c>
      <c r="L37" s="17">
        <f t="shared" si="13"/>
        <v>0.11691239639872276</v>
      </c>
    </row>
    <row r="39" spans="2:12" x14ac:dyDescent="0.3">
      <c r="B39" t="s">
        <v>74</v>
      </c>
      <c r="C39">
        <f>IFERROR('Data Sheet'!B93,0)</f>
        <v>102.14</v>
      </c>
      <c r="D39">
        <f>IFERROR('Data Sheet'!C93,0)</f>
        <v>102.16</v>
      </c>
      <c r="E39">
        <f>IFERROR('Data Sheet'!D93,0)</f>
        <v>102.18</v>
      </c>
      <c r="F39">
        <f>IFERROR('Data Sheet'!E93,0)</f>
        <v>102.2</v>
      </c>
      <c r="G39">
        <f>IFERROR('Data Sheet'!F93,0)</f>
        <v>102.22</v>
      </c>
      <c r="H39">
        <f>IFERROR('Data Sheet'!G93,0)</f>
        <v>102.23</v>
      </c>
      <c r="I39">
        <f>IFERROR('Data Sheet'!H93,0)</f>
        <v>102.25</v>
      </c>
      <c r="J39">
        <f>IFERROR('Data Sheet'!I93,0)</f>
        <v>102.26</v>
      </c>
      <c r="K39">
        <f>IFERROR('Data Sheet'!J93,0)</f>
        <v>102.27</v>
      </c>
      <c r="L39">
        <f>IFERROR('Data Sheet'!K93,0)</f>
        <v>102.28</v>
      </c>
    </row>
    <row r="40" spans="2:12" x14ac:dyDescent="0.3">
      <c r="C40" s="18"/>
      <c r="D40" s="18"/>
      <c r="E40" s="18"/>
      <c r="F40" s="18"/>
      <c r="G40" s="18"/>
      <c r="H40" s="18"/>
      <c r="I40" s="18"/>
      <c r="J40" s="18"/>
      <c r="K40" s="18"/>
      <c r="L40" s="18"/>
    </row>
    <row r="41" spans="2:12" x14ac:dyDescent="0.3">
      <c r="B41" s="27" t="s">
        <v>76</v>
      </c>
      <c r="C41" s="28">
        <f>IFERROR(C36/C39,0)</f>
        <v>8.8449187389857062</v>
      </c>
      <c r="D41" s="28">
        <f t="shared" ref="D41:L41" si="14">IFERROR(D36/D39,0)</f>
        <v>10.695575567736874</v>
      </c>
      <c r="E41" s="28">
        <f t="shared" si="14"/>
        <v>12.055098845175165</v>
      </c>
      <c r="F41" s="28">
        <f t="shared" si="14"/>
        <v>13.218199608610577</v>
      </c>
      <c r="G41" s="28">
        <f t="shared" si="14"/>
        <v>19.365877519076502</v>
      </c>
      <c r="H41" s="28">
        <f t="shared" si="14"/>
        <v>14.325736085297855</v>
      </c>
      <c r="I41" s="28">
        <f t="shared" si="14"/>
        <v>16.608508557457224</v>
      </c>
      <c r="J41" s="28">
        <f t="shared" si="14"/>
        <v>16.674359475845876</v>
      </c>
      <c r="K41" s="28">
        <f t="shared" si="14"/>
        <v>15.529089664613259</v>
      </c>
      <c r="L41" s="28">
        <f t="shared" si="14"/>
        <v>16.112729761439187</v>
      </c>
    </row>
    <row r="42" spans="2:12" x14ac:dyDescent="0.3">
      <c r="B42" s="15" t="s">
        <v>77</v>
      </c>
      <c r="C42" s="17"/>
      <c r="D42" s="17">
        <f>IFERROR(D41/C41-1,0)</f>
        <v>0.20923389839570117</v>
      </c>
      <c r="E42" s="17">
        <f t="shared" ref="E42:L42" si="15">IFERROR(E41/D41-1,0)</f>
        <v>0.12711081033724669</v>
      </c>
      <c r="F42" s="17">
        <f t="shared" si="15"/>
        <v>9.6482059448307345E-2</v>
      </c>
      <c r="G42" s="17">
        <f t="shared" si="15"/>
        <v>0.46509192571590563</v>
      </c>
      <c r="H42" s="17">
        <f t="shared" si="15"/>
        <v>-0.26025887176110751</v>
      </c>
      <c r="I42" s="17">
        <f t="shared" si="15"/>
        <v>0.15934765645320814</v>
      </c>
      <c r="J42" s="17">
        <f t="shared" si="15"/>
        <v>3.9648905355251784E-3</v>
      </c>
      <c r="K42" s="17">
        <f t="shared" si="15"/>
        <v>-6.8684486075260009E-2</v>
      </c>
      <c r="L42" s="17">
        <f t="shared" si="15"/>
        <v>3.7583664556712026E-2</v>
      </c>
    </row>
    <row r="44" spans="2:12" x14ac:dyDescent="0.3">
      <c r="B44" t="s">
        <v>75</v>
      </c>
      <c r="C44" s="13">
        <f>IFERROR('Data Sheet'!B31/HistoricalFS!C39,0)</f>
        <v>1.8329743489328372</v>
      </c>
      <c r="D44" s="13">
        <f>IFERROR('Data Sheet'!C31/HistoricalFS!D39,0)</f>
        <v>1.9165035238841033</v>
      </c>
      <c r="E44" s="13">
        <f>IFERROR('Data Sheet'!D31/HistoricalFS!E39,0)</f>
        <v>4.9999999999999991</v>
      </c>
      <c r="F44" s="13">
        <f>IFERROR('Data Sheet'!E31/HistoricalFS!F39,0)</f>
        <v>6.6663405088062619</v>
      </c>
      <c r="G44" s="13">
        <f>IFERROR('Data Sheet'!F31/HistoricalFS!G39,0)</f>
        <v>10</v>
      </c>
      <c r="H44" s="13">
        <f>IFERROR('Data Sheet'!G31/HistoricalFS!H39,0)</f>
        <v>8</v>
      </c>
      <c r="I44" s="13">
        <f>IFERROR('Data Sheet'!H31/HistoricalFS!I39,0)</f>
        <v>0</v>
      </c>
      <c r="J44" s="13">
        <f>IFERROR('Data Sheet'!I31/HistoricalFS!J39,0)</f>
        <v>0</v>
      </c>
      <c r="K44" s="13">
        <f>IFERROR('Data Sheet'!J31/HistoricalFS!K39,0)</f>
        <v>0</v>
      </c>
      <c r="L44" s="13">
        <f>IFERROR('Data Sheet'!K31/HistoricalFS!L39,0)</f>
        <v>0</v>
      </c>
    </row>
    <row r="45" spans="2:12" x14ac:dyDescent="0.3">
      <c r="B45" s="15" t="s">
        <v>78</v>
      </c>
      <c r="C45" s="17">
        <f>IFERROR(C44/C41,0)</f>
        <v>0.20723473024728253</v>
      </c>
      <c r="D45" s="17">
        <f t="shared" ref="D45:L45" si="16">IFERROR(D44/D41,0)</f>
        <v>0.17918657221825651</v>
      </c>
      <c r="E45" s="17">
        <f t="shared" si="16"/>
        <v>0.41476225655347143</v>
      </c>
      <c r="F45" s="17">
        <f t="shared" si="16"/>
        <v>0.50433044636908686</v>
      </c>
      <c r="G45" s="17">
        <f t="shared" si="16"/>
        <v>0.51637215975105832</v>
      </c>
      <c r="H45" s="17">
        <f t="shared" si="16"/>
        <v>0.55843552836424226</v>
      </c>
      <c r="I45" s="17">
        <f t="shared" si="16"/>
        <v>0</v>
      </c>
      <c r="J45" s="17">
        <f t="shared" si="16"/>
        <v>0</v>
      </c>
      <c r="K45" s="17">
        <f t="shared" si="16"/>
        <v>0</v>
      </c>
      <c r="L45" s="17">
        <f t="shared" si="16"/>
        <v>0</v>
      </c>
    </row>
    <row r="47" spans="2:12" x14ac:dyDescent="0.3">
      <c r="B47" s="27" t="s">
        <v>79</v>
      </c>
      <c r="C47" s="30">
        <f>IFERROR(IF(C41&gt;C44,1-C45,0),0)</f>
        <v>0.79276526975271744</v>
      </c>
      <c r="D47" s="30">
        <f t="shared" ref="D47:L47" si="17">IFERROR(IF(D41&gt;D44,1-D45,0),0)</f>
        <v>0.82081342778174349</v>
      </c>
      <c r="E47" s="30">
        <f t="shared" si="17"/>
        <v>0.58523774344652857</v>
      </c>
      <c r="F47" s="30">
        <f t="shared" si="17"/>
        <v>0.49566955363091314</v>
      </c>
      <c r="G47" s="30">
        <f t="shared" si="17"/>
        <v>0.48362784024894168</v>
      </c>
      <c r="H47" s="30">
        <f t="shared" si="17"/>
        <v>0.44156447163575774</v>
      </c>
      <c r="I47" s="30">
        <f t="shared" si="17"/>
        <v>1</v>
      </c>
      <c r="J47" s="30">
        <f t="shared" si="17"/>
        <v>1</v>
      </c>
      <c r="K47" s="30">
        <f t="shared" si="17"/>
        <v>1</v>
      </c>
      <c r="L47" s="30">
        <f t="shared" si="17"/>
        <v>1</v>
      </c>
    </row>
    <row r="49" spans="1:12" ht="18" x14ac:dyDescent="0.35">
      <c r="A49" t="s">
        <v>58</v>
      </c>
      <c r="B49" s="237" t="s">
        <v>80</v>
      </c>
      <c r="C49" s="237"/>
      <c r="D49" s="237"/>
      <c r="E49" s="237"/>
      <c r="F49" s="237"/>
      <c r="G49" s="237"/>
      <c r="H49" s="237"/>
      <c r="I49" s="237"/>
      <c r="J49" s="237"/>
      <c r="K49" s="237"/>
      <c r="L49" s="237"/>
    </row>
    <row r="50" spans="1:12" s="19" customFormat="1" ht="3.6" customHeight="1" x14ac:dyDescent="0.3">
      <c r="B50" s="24"/>
      <c r="C50" s="24"/>
      <c r="D50" s="24"/>
      <c r="E50" s="24"/>
      <c r="F50" s="24"/>
      <c r="G50" s="24"/>
      <c r="H50" s="24"/>
      <c r="I50" s="24"/>
      <c r="J50" s="24"/>
      <c r="K50" s="24"/>
      <c r="L50" s="24"/>
    </row>
    <row r="51" spans="1:12" x14ac:dyDescent="0.3">
      <c r="B51" t="s">
        <v>33</v>
      </c>
      <c r="C51" s="13">
        <f>IFERROR('Data Sheet'!B57,0)</f>
        <v>34.04</v>
      </c>
      <c r="D51" s="13">
        <f>IFERROR('Data Sheet'!C57,0)</f>
        <v>34.049999999999997</v>
      </c>
      <c r="E51" s="13">
        <f>IFERROR('Data Sheet'!D57,0)</f>
        <v>34.06</v>
      </c>
      <c r="F51" s="13">
        <f>IFERROR('Data Sheet'!E57,0)</f>
        <v>68.13</v>
      </c>
      <c r="G51" s="13">
        <f>IFERROR('Data Sheet'!F57,0)</f>
        <v>102.22</v>
      </c>
      <c r="H51" s="13">
        <f>IFERROR('Data Sheet'!G57,0)</f>
        <v>102.23</v>
      </c>
      <c r="I51" s="13">
        <f>IFERROR('Data Sheet'!H57,0)</f>
        <v>102.25</v>
      </c>
      <c r="J51" s="13">
        <f>IFERROR('Data Sheet'!I57,0)</f>
        <v>102.26</v>
      </c>
      <c r="K51" s="13">
        <f>IFERROR('Data Sheet'!J57,0)</f>
        <v>102.27</v>
      </c>
      <c r="L51" s="13">
        <f>IFERROR('Data Sheet'!K57,0)</f>
        <v>102.28</v>
      </c>
    </row>
    <row r="52" spans="1:12" x14ac:dyDescent="0.3">
      <c r="B52" t="s">
        <v>34</v>
      </c>
      <c r="C52" s="13">
        <f>IFERROR('Data Sheet'!B58,0)</f>
        <v>4276.6499999999996</v>
      </c>
      <c r="D52" s="13">
        <f>IFERROR('Data Sheet'!C58,0)</f>
        <v>4232.91</v>
      </c>
      <c r="E52" s="13">
        <f>IFERROR('Data Sheet'!D58,0)</f>
        <v>5267.89</v>
      </c>
      <c r="F52" s="13">
        <f>IFERROR('Data Sheet'!E58,0)</f>
        <v>6190.18</v>
      </c>
      <c r="G52" s="13">
        <f>IFERROR('Data Sheet'!F58,0)</f>
        <v>7164.7</v>
      </c>
      <c r="H52" s="13">
        <f>IFERROR('Data Sheet'!G58,0)</f>
        <v>7796.13</v>
      </c>
      <c r="I52" s="13">
        <f>IFERROR('Data Sheet'!H58,0)</f>
        <v>9336.65</v>
      </c>
      <c r="J52" s="13">
        <f>IFERROR('Data Sheet'!I58,0)</f>
        <v>11453.67</v>
      </c>
      <c r="K52" s="13">
        <f>IFERROR('Data Sheet'!J58,0)</f>
        <v>13691.96</v>
      </c>
      <c r="L52" s="13">
        <f>IFERROR('Data Sheet'!K58,0)</f>
        <v>12496.29</v>
      </c>
    </row>
    <row r="53" spans="1:12" x14ac:dyDescent="0.3">
      <c r="B53" t="s">
        <v>35</v>
      </c>
      <c r="C53" s="13">
        <f>IFERROR('Data Sheet'!B59,0)</f>
        <v>2717.15</v>
      </c>
      <c r="D53" s="13">
        <f>IFERROR('Data Sheet'!C59,0)</f>
        <v>2891.12</v>
      </c>
      <c r="E53" s="13">
        <f>IFERROR('Data Sheet'!D59,0)</f>
        <v>4000.93</v>
      </c>
      <c r="F53" s="13">
        <f>IFERROR('Data Sheet'!E59,0)</f>
        <v>3507.57</v>
      </c>
      <c r="G53" s="13">
        <f>IFERROR('Data Sheet'!F59,0)</f>
        <v>3382.05</v>
      </c>
      <c r="H53" s="13">
        <f>IFERROR('Data Sheet'!G59,0)</f>
        <v>3574.97</v>
      </c>
      <c r="I53" s="13">
        <f>IFERROR('Data Sheet'!H59,0)</f>
        <v>1863.97</v>
      </c>
      <c r="J53" s="13">
        <f>IFERROR('Data Sheet'!I59,0)</f>
        <v>1704.34</v>
      </c>
      <c r="K53" s="13">
        <f>IFERROR('Data Sheet'!J59,0)</f>
        <v>1129.58</v>
      </c>
      <c r="L53" s="13">
        <f>IFERROR('Data Sheet'!K59,0)</f>
        <v>3222.2</v>
      </c>
    </row>
    <row r="54" spans="1:12" x14ac:dyDescent="0.3">
      <c r="B54" t="s">
        <v>36</v>
      </c>
      <c r="C54" s="13">
        <f>IFERROR('Data Sheet'!B60,0)</f>
        <v>2097.1799999999998</v>
      </c>
      <c r="D54" s="13">
        <f>IFERROR('Data Sheet'!C60,0)</f>
        <v>2520.66</v>
      </c>
      <c r="E54" s="13">
        <f>IFERROR('Data Sheet'!D60,0)</f>
        <v>3637.37</v>
      </c>
      <c r="F54" s="13">
        <f>IFERROR('Data Sheet'!E60,0)</f>
        <v>4097.8900000000003</v>
      </c>
      <c r="G54" s="13">
        <f>IFERROR('Data Sheet'!F60,0)</f>
        <v>3444.58</v>
      </c>
      <c r="H54" s="13">
        <f>IFERROR('Data Sheet'!G60,0)</f>
        <v>3406.95</v>
      </c>
      <c r="I54" s="13">
        <f>IFERROR('Data Sheet'!H60,0)</f>
        <v>2940.92</v>
      </c>
      <c r="J54" s="13">
        <f>IFERROR('Data Sheet'!I60,0)</f>
        <v>2821.85</v>
      </c>
      <c r="K54" s="13">
        <f>IFERROR('Data Sheet'!J60,0)</f>
        <v>2513.4499999999998</v>
      </c>
      <c r="L54" s="13">
        <f>IFERROR('Data Sheet'!K60,0)</f>
        <v>2571.31</v>
      </c>
    </row>
    <row r="55" spans="1:12" x14ac:dyDescent="0.3">
      <c r="B55" s="27" t="s">
        <v>81</v>
      </c>
      <c r="C55" s="29">
        <f>IFERROR('Data Sheet'!B61,0)</f>
        <v>9125.02</v>
      </c>
      <c r="D55" s="29">
        <f>IFERROR('Data Sheet'!C61,0)</f>
        <v>9678.74</v>
      </c>
      <c r="E55" s="29">
        <f>IFERROR('Data Sheet'!D61,0)</f>
        <v>12940.25</v>
      </c>
      <c r="F55" s="29">
        <f>IFERROR('Data Sheet'!E61,0)</f>
        <v>13863.77</v>
      </c>
      <c r="G55" s="29">
        <f>IFERROR('Data Sheet'!F61,0)</f>
        <v>14093.55</v>
      </c>
      <c r="H55" s="29">
        <f>IFERROR('Data Sheet'!G61,0)</f>
        <v>14880.28</v>
      </c>
      <c r="I55" s="29">
        <f>IFERROR('Data Sheet'!H61,0)</f>
        <v>14243.79</v>
      </c>
      <c r="J55" s="29">
        <f>IFERROR('Data Sheet'!I61,0)</f>
        <v>16082.12</v>
      </c>
      <c r="K55" s="29">
        <f>IFERROR('Data Sheet'!J61,0)</f>
        <v>17437.259999999998</v>
      </c>
      <c r="L55" s="29">
        <f>IFERROR('Data Sheet'!K61,0)</f>
        <v>18392.080000000002</v>
      </c>
    </row>
    <row r="57" spans="1:12" x14ac:dyDescent="0.3">
      <c r="B57" t="s">
        <v>82</v>
      </c>
      <c r="C57" s="13">
        <f>IFERROR('Data Sheet'!B62,0)</f>
        <v>5550.95</v>
      </c>
      <c r="D57" s="13">
        <f>IFERROR('Data Sheet'!C62,0)</f>
        <v>5931.41</v>
      </c>
      <c r="E57" s="13">
        <f>IFERROR('Data Sheet'!D62,0)</f>
        <v>8082.89</v>
      </c>
      <c r="F57" s="13">
        <f>IFERROR('Data Sheet'!E62,0)</f>
        <v>8315</v>
      </c>
      <c r="G57" s="13">
        <f>IFERROR('Data Sheet'!F62,0)</f>
        <v>8670.26</v>
      </c>
      <c r="H57" s="13">
        <f>IFERROR('Data Sheet'!G62,0)</f>
        <v>9231.4</v>
      </c>
      <c r="I57" s="13">
        <f>IFERROR('Data Sheet'!H62,0)</f>
        <v>8904.77</v>
      </c>
      <c r="J57" s="13">
        <f>IFERROR('Data Sheet'!I62,0)</f>
        <v>9219.2999999999993</v>
      </c>
      <c r="K57" s="13">
        <f>IFERROR('Data Sheet'!J62,0)</f>
        <v>9933.66</v>
      </c>
      <c r="L57" s="13">
        <f>IFERROR('Data Sheet'!K62,0)</f>
        <v>10440.24</v>
      </c>
    </row>
    <row r="58" spans="1:12" x14ac:dyDescent="0.3">
      <c r="B58" t="s">
        <v>39</v>
      </c>
      <c r="C58" s="13">
        <f>IFERROR('Data Sheet'!B63,0)</f>
        <v>224.61</v>
      </c>
      <c r="D58" s="13">
        <f>IFERROR('Data Sheet'!C63,0)</f>
        <v>43.66</v>
      </c>
      <c r="E58" s="13">
        <f>IFERROR('Data Sheet'!D63,0)</f>
        <v>97.43</v>
      </c>
      <c r="F58" s="13">
        <f>IFERROR('Data Sheet'!E63,0)</f>
        <v>83.88</v>
      </c>
      <c r="G58" s="13">
        <f>IFERROR('Data Sheet'!F63,0)</f>
        <v>52.06</v>
      </c>
      <c r="H58" s="13">
        <f>IFERROR('Data Sheet'!G63,0)</f>
        <v>57.04</v>
      </c>
      <c r="I58" s="13">
        <f>IFERROR('Data Sheet'!H63,0)</f>
        <v>57.43</v>
      </c>
      <c r="J58" s="13">
        <f>IFERROR('Data Sheet'!I63,0)</f>
        <v>116.44</v>
      </c>
      <c r="K58" s="13">
        <f>IFERROR('Data Sheet'!J63,0)</f>
        <v>45.42</v>
      </c>
      <c r="L58" s="13">
        <f>IFERROR('Data Sheet'!K63,0)</f>
        <v>83.36</v>
      </c>
    </row>
    <row r="59" spans="1:12" x14ac:dyDescent="0.3">
      <c r="B59" t="s">
        <v>40</v>
      </c>
      <c r="C59" s="13">
        <f>IFERROR('Data Sheet'!B64,0)</f>
        <v>185.69</v>
      </c>
      <c r="D59" s="13">
        <f>IFERROR('Data Sheet'!C64,0)</f>
        <v>189.5</v>
      </c>
      <c r="E59" s="13">
        <f>IFERROR('Data Sheet'!D64,0)</f>
        <v>933.54</v>
      </c>
      <c r="F59" s="13">
        <f>IFERROR('Data Sheet'!E64,0)</f>
        <v>997.28</v>
      </c>
      <c r="G59" s="13">
        <f>IFERROR('Data Sheet'!F64,0)</f>
        <v>515.98</v>
      </c>
      <c r="H59" s="13">
        <f>IFERROR('Data Sheet'!G64,0)</f>
        <v>671.98</v>
      </c>
      <c r="I59" s="13">
        <f>IFERROR('Data Sheet'!H64,0)</f>
        <v>679.1</v>
      </c>
      <c r="J59" s="13">
        <f>IFERROR('Data Sheet'!I64,0)</f>
        <v>1015.43</v>
      </c>
      <c r="K59" s="13">
        <f>IFERROR('Data Sheet'!J64,0)</f>
        <v>3028.98</v>
      </c>
      <c r="L59" s="13">
        <f>IFERROR('Data Sheet'!K64,0)</f>
        <v>3503.67</v>
      </c>
    </row>
    <row r="60" spans="1:12" x14ac:dyDescent="0.3">
      <c r="B60" t="s">
        <v>41</v>
      </c>
      <c r="C60" s="13">
        <f>IFERROR('Data Sheet'!B65-SUM('Data Sheet'!B67:B69),0)</f>
        <v>393.25999999999976</v>
      </c>
      <c r="D60" s="13">
        <f>IFERROR('Data Sheet'!C65-SUM('Data Sheet'!C67:C69),0)</f>
        <v>335.39000000000033</v>
      </c>
      <c r="E60" s="13">
        <f>IFERROR('Data Sheet'!D65-SUM('Data Sheet'!D67:D69),0)</f>
        <v>472.49000000000024</v>
      </c>
      <c r="F60" s="13">
        <f>IFERROR('Data Sheet'!E65-SUM('Data Sheet'!E67:E69),0)</f>
        <v>684.17999999999938</v>
      </c>
      <c r="G60" s="13">
        <f>IFERROR('Data Sheet'!F65-SUM('Data Sheet'!F67:F69),0)</f>
        <v>1109.04</v>
      </c>
      <c r="H60" s="13">
        <f>IFERROR('Data Sheet'!G65-SUM('Data Sheet'!G67:G69),0)</f>
        <v>1289.33</v>
      </c>
      <c r="I60" s="13">
        <f>IFERROR('Data Sheet'!H65-SUM('Data Sheet'!H67:H69),0)</f>
        <v>1209.5299999999997</v>
      </c>
      <c r="J60" s="13">
        <f>IFERROR('Data Sheet'!I65-SUM('Data Sheet'!I67:I69),0)</f>
        <v>1377.0099999999993</v>
      </c>
      <c r="K60" s="13">
        <f>IFERROR('Data Sheet'!J65-SUM('Data Sheet'!J67:J69),0)</f>
        <v>1256.0499999999993</v>
      </c>
      <c r="L60" s="13">
        <f>IFERROR('Data Sheet'!K65-SUM('Data Sheet'!K67:K69),0)</f>
        <v>1011.5800000000004</v>
      </c>
    </row>
    <row r="61" spans="1:12" x14ac:dyDescent="0.3">
      <c r="B61" s="27" t="s">
        <v>83</v>
      </c>
      <c r="C61" s="29">
        <f>SUM(C57:C60)</f>
        <v>6354.5099999999984</v>
      </c>
      <c r="D61" s="29">
        <f t="shared" ref="D61:L61" si="18">SUM(D57:D60)</f>
        <v>6499.96</v>
      </c>
      <c r="E61" s="29">
        <f t="shared" si="18"/>
        <v>9586.35</v>
      </c>
      <c r="F61" s="29">
        <f t="shared" si="18"/>
        <v>10080.34</v>
      </c>
      <c r="G61" s="29">
        <f t="shared" si="18"/>
        <v>10347.34</v>
      </c>
      <c r="H61" s="29">
        <f t="shared" si="18"/>
        <v>11249.75</v>
      </c>
      <c r="I61" s="29">
        <f t="shared" si="18"/>
        <v>10850.830000000002</v>
      </c>
      <c r="J61" s="29">
        <f t="shared" si="18"/>
        <v>11728.18</v>
      </c>
      <c r="K61" s="29">
        <f t="shared" si="18"/>
        <v>14264.109999999999</v>
      </c>
      <c r="L61" s="29">
        <f t="shared" si="18"/>
        <v>15038.85</v>
      </c>
    </row>
    <row r="62" spans="1:12" x14ac:dyDescent="0.3">
      <c r="B62" s="12"/>
    </row>
    <row r="63" spans="1:12" x14ac:dyDescent="0.3">
      <c r="B63" t="s">
        <v>42</v>
      </c>
      <c r="C63" s="13">
        <f>IFERROR('Data Sheet'!B67,0)</f>
        <v>804.58</v>
      </c>
      <c r="D63" s="13">
        <f>IFERROR('Data Sheet'!C67,0)</f>
        <v>1118.01</v>
      </c>
      <c r="E63" s="13">
        <f>IFERROR('Data Sheet'!D67,0)</f>
        <v>1028.74</v>
      </c>
      <c r="F63" s="13">
        <f>IFERROR('Data Sheet'!E67,0)</f>
        <v>1245.5</v>
      </c>
      <c r="G63" s="13">
        <f>IFERROR('Data Sheet'!F67,0)</f>
        <v>1292.9000000000001</v>
      </c>
      <c r="H63" s="13">
        <f>IFERROR('Data Sheet'!G67,0)</f>
        <v>1157.25</v>
      </c>
      <c r="I63" s="13">
        <f>IFERROR('Data Sheet'!H67,0)</f>
        <v>1004.5</v>
      </c>
      <c r="J63" s="13">
        <f>IFERROR('Data Sheet'!I67,0)</f>
        <v>1116.32</v>
      </c>
      <c r="K63" s="13">
        <f>IFERROR('Data Sheet'!J67,0)</f>
        <v>1245.28</v>
      </c>
      <c r="L63" s="13">
        <f>IFERROR('Data Sheet'!K67,0)</f>
        <v>1535.37</v>
      </c>
    </row>
    <row r="64" spans="1:12" x14ac:dyDescent="0.3">
      <c r="B64" t="s">
        <v>43</v>
      </c>
      <c r="C64" s="13">
        <f>IFERROR('Data Sheet'!B68,0)</f>
        <v>1071.71</v>
      </c>
      <c r="D64" s="13">
        <f>IFERROR('Data Sheet'!C68,0)</f>
        <v>1306.98</v>
      </c>
      <c r="E64" s="13">
        <f>IFERROR('Data Sheet'!D68,0)</f>
        <v>1412.5</v>
      </c>
      <c r="F64" s="13">
        <f>IFERROR('Data Sheet'!E68,0)</f>
        <v>1577.72</v>
      </c>
      <c r="G64" s="13">
        <f>IFERROR('Data Sheet'!F68,0)</f>
        <v>1558.59</v>
      </c>
      <c r="H64" s="13">
        <f>IFERROR('Data Sheet'!G68,0)</f>
        <v>1703.12</v>
      </c>
      <c r="I64" s="13">
        <f>IFERROR('Data Sheet'!H68,0)</f>
        <v>1716.25</v>
      </c>
      <c r="J64" s="13">
        <f>IFERROR('Data Sheet'!I68,0)</f>
        <v>2129.85</v>
      </c>
      <c r="K64" s="13">
        <f>IFERROR('Data Sheet'!J68,0)</f>
        <v>1537.15</v>
      </c>
      <c r="L64" s="13">
        <f>IFERROR('Data Sheet'!K68,0)</f>
        <v>1270.92</v>
      </c>
    </row>
    <row r="65" spans="1:12" x14ac:dyDescent="0.3">
      <c r="B65" t="s">
        <v>44</v>
      </c>
      <c r="C65" s="13">
        <f>IFERROR('Data Sheet'!B69,0)</f>
        <v>894.22</v>
      </c>
      <c r="D65" s="13">
        <f>IFERROR('Data Sheet'!C69,0)</f>
        <v>753.79</v>
      </c>
      <c r="E65" s="13">
        <f>IFERROR('Data Sheet'!D69,0)</f>
        <v>912.66</v>
      </c>
      <c r="F65" s="13">
        <f>IFERROR('Data Sheet'!E69,0)</f>
        <v>960.21</v>
      </c>
      <c r="G65" s="13">
        <f>IFERROR('Data Sheet'!F69,0)</f>
        <v>894.72</v>
      </c>
      <c r="H65" s="13">
        <f>IFERROR('Data Sheet'!G69,0)</f>
        <v>770.16</v>
      </c>
      <c r="I65" s="13">
        <f>IFERROR('Data Sheet'!H69,0)</f>
        <v>672.21</v>
      </c>
      <c r="J65" s="13">
        <f>IFERROR('Data Sheet'!I69,0)</f>
        <v>1107.77</v>
      </c>
      <c r="K65" s="13">
        <f>IFERROR('Data Sheet'!J69,0)</f>
        <v>390.72</v>
      </c>
      <c r="L65" s="13">
        <f>IFERROR('Data Sheet'!K69,0)</f>
        <v>546.94000000000005</v>
      </c>
    </row>
    <row r="66" spans="1:12" x14ac:dyDescent="0.3">
      <c r="B66" s="27" t="s">
        <v>84</v>
      </c>
      <c r="C66" s="29">
        <f>IFERROR(SUM(C63:C65),0)</f>
        <v>2770.51</v>
      </c>
      <c r="D66" s="29">
        <f t="shared" ref="D66:L66" si="19">IFERROR(SUM(D63:D65),0)</f>
        <v>3178.7799999999997</v>
      </c>
      <c r="E66" s="29">
        <f t="shared" si="19"/>
        <v>3353.8999999999996</v>
      </c>
      <c r="F66" s="29">
        <f t="shared" si="19"/>
        <v>3783.4300000000003</v>
      </c>
      <c r="G66" s="29">
        <f t="shared" si="19"/>
        <v>3746.21</v>
      </c>
      <c r="H66" s="29">
        <f t="shared" si="19"/>
        <v>3630.5299999999997</v>
      </c>
      <c r="I66" s="29">
        <f t="shared" si="19"/>
        <v>3392.96</v>
      </c>
      <c r="J66" s="29">
        <f t="shared" si="19"/>
        <v>4353.9400000000005</v>
      </c>
      <c r="K66" s="29">
        <f t="shared" si="19"/>
        <v>3173.1500000000005</v>
      </c>
      <c r="L66" s="29">
        <f t="shared" si="19"/>
        <v>3353.23</v>
      </c>
    </row>
    <row r="68" spans="1:12" x14ac:dyDescent="0.3">
      <c r="B68" s="27" t="s">
        <v>85</v>
      </c>
      <c r="C68" s="29">
        <f>IFERROR(C66+C61,0)</f>
        <v>9125.0199999999986</v>
      </c>
      <c r="D68" s="29">
        <f t="shared" ref="D68:L68" si="20">IFERROR(D66+D61,0)</f>
        <v>9678.74</v>
      </c>
      <c r="E68" s="29">
        <f t="shared" si="20"/>
        <v>12940.25</v>
      </c>
      <c r="F68" s="29">
        <f t="shared" si="20"/>
        <v>13863.77</v>
      </c>
      <c r="G68" s="29">
        <f t="shared" si="20"/>
        <v>14093.55</v>
      </c>
      <c r="H68" s="29">
        <f t="shared" si="20"/>
        <v>14880.279999999999</v>
      </c>
      <c r="I68" s="29">
        <f t="shared" si="20"/>
        <v>14243.79</v>
      </c>
      <c r="J68" s="29">
        <f t="shared" si="20"/>
        <v>16082.12</v>
      </c>
      <c r="K68" s="29">
        <f t="shared" si="20"/>
        <v>17437.259999999998</v>
      </c>
      <c r="L68" s="29">
        <f t="shared" si="20"/>
        <v>18392.080000000002</v>
      </c>
    </row>
    <row r="70" spans="1:12" x14ac:dyDescent="0.3">
      <c r="B70" s="14" t="s">
        <v>86</v>
      </c>
      <c r="C70" s="14" t="b">
        <f>C68=C55</f>
        <v>1</v>
      </c>
      <c r="D70" s="14" t="b">
        <f t="shared" ref="D70:L70" si="21">D68=D55</f>
        <v>1</v>
      </c>
      <c r="E70" s="14" t="b">
        <f t="shared" si="21"/>
        <v>1</v>
      </c>
      <c r="F70" s="14" t="b">
        <f t="shared" si="21"/>
        <v>1</v>
      </c>
      <c r="G70" s="14" t="b">
        <f t="shared" si="21"/>
        <v>1</v>
      </c>
      <c r="H70" s="14" t="b">
        <f t="shared" si="21"/>
        <v>1</v>
      </c>
      <c r="I70" s="14" t="b">
        <f t="shared" si="21"/>
        <v>1</v>
      </c>
      <c r="J70" s="14" t="b">
        <f t="shared" si="21"/>
        <v>1</v>
      </c>
      <c r="K70" s="14" t="b">
        <f t="shared" si="21"/>
        <v>1</v>
      </c>
      <c r="L70" s="14" t="b">
        <f t="shared" si="21"/>
        <v>1</v>
      </c>
    </row>
    <row r="72" spans="1:12" ht="18" x14ac:dyDescent="0.35">
      <c r="A72" t="s">
        <v>58</v>
      </c>
      <c r="B72" s="237" t="s">
        <v>115</v>
      </c>
      <c r="C72" s="237"/>
      <c r="D72" s="237"/>
      <c r="E72" s="237"/>
      <c r="F72" s="237"/>
      <c r="G72" s="237"/>
      <c r="H72" s="237"/>
      <c r="I72" s="237"/>
      <c r="J72" s="237"/>
      <c r="K72" s="237"/>
      <c r="L72" s="237"/>
    </row>
    <row r="73" spans="1:12" x14ac:dyDescent="0.3">
      <c r="B73" s="12" t="s">
        <v>117</v>
      </c>
    </row>
    <row r="74" spans="1:12" x14ac:dyDescent="0.3">
      <c r="B74" t="s">
        <v>87</v>
      </c>
      <c r="C74" s="13">
        <f>IFERROR('Cash Flow Data'!C4,0)</f>
        <v>1397</v>
      </c>
      <c r="D74" s="13">
        <f>IFERROR('Cash Flow Data'!D4,0)</f>
        <v>1669</v>
      </c>
      <c r="E74" s="13">
        <f>IFERROR('Cash Flow Data'!E4,0)</f>
        <v>1947</v>
      </c>
      <c r="F74" s="13">
        <f>IFERROR('Cash Flow Data'!F4,0)</f>
        <v>2147</v>
      </c>
      <c r="G74" s="13">
        <f>IFERROR('Cash Flow Data'!G4,0)</f>
        <v>2181</v>
      </c>
      <c r="H74" s="13">
        <f>IFERROR('Cash Flow Data'!H4,0)</f>
        <v>2185</v>
      </c>
      <c r="I74" s="13">
        <f>IFERROR('Cash Flow Data'!I4,0)</f>
        <v>2472</v>
      </c>
      <c r="J74" s="13">
        <f>IFERROR('Cash Flow Data'!J4,0)</f>
        <v>2434</v>
      </c>
      <c r="K74" s="13">
        <f>IFERROR('Cash Flow Data'!K4,0)</f>
        <v>2476</v>
      </c>
      <c r="L74" s="13">
        <f>IFERROR('Cash Flow Data'!L4,0)</f>
        <v>2900</v>
      </c>
    </row>
    <row r="75" spans="1:12" x14ac:dyDescent="0.3">
      <c r="B75" t="s">
        <v>42</v>
      </c>
      <c r="C75" s="13">
        <f>IFERROR('Cash Flow Data'!C5,0)</f>
        <v>-81</v>
      </c>
      <c r="D75" s="13">
        <f>IFERROR('Cash Flow Data'!D5,0)</f>
        <v>-323</v>
      </c>
      <c r="E75" s="13">
        <f>IFERROR('Cash Flow Data'!E5,0)</f>
        <v>166</v>
      </c>
      <c r="F75" s="13">
        <f>IFERROR('Cash Flow Data'!F5,0)</f>
        <v>-245</v>
      </c>
      <c r="G75" s="13">
        <f>IFERROR('Cash Flow Data'!G5,0)</f>
        <v>-174</v>
      </c>
      <c r="H75" s="13">
        <f>IFERROR('Cash Flow Data'!H5,0)</f>
        <v>130</v>
      </c>
      <c r="I75" s="13">
        <f>IFERROR('Cash Flow Data'!I5,0)</f>
        <v>81</v>
      </c>
      <c r="J75" s="13">
        <f>IFERROR('Cash Flow Data'!J5,0)</f>
        <v>-89</v>
      </c>
      <c r="K75" s="13">
        <f>IFERROR('Cash Flow Data'!K5,0)</f>
        <v>-165</v>
      </c>
      <c r="L75" s="13">
        <f>IFERROR('Cash Flow Data'!L5,0)</f>
        <v>-479</v>
      </c>
    </row>
    <row r="76" spans="1:12" x14ac:dyDescent="0.3">
      <c r="B76" t="s">
        <v>43</v>
      </c>
      <c r="C76" s="13">
        <f>IFERROR('Cash Flow Data'!C6,0)</f>
        <v>26</v>
      </c>
      <c r="D76" s="13">
        <f>IFERROR('Cash Flow Data'!D6,0)</f>
        <v>-235</v>
      </c>
      <c r="E76" s="13">
        <f>IFERROR('Cash Flow Data'!E6,0)</f>
        <v>46</v>
      </c>
      <c r="F76" s="13">
        <f>IFERROR('Cash Flow Data'!F6,0)</f>
        <v>-165</v>
      </c>
      <c r="G76" s="13">
        <f>IFERROR('Cash Flow Data'!G6,0)</f>
        <v>-20</v>
      </c>
      <c r="H76" s="13">
        <f>IFERROR('Cash Flow Data'!H6,0)</f>
        <v>-169</v>
      </c>
      <c r="I76" s="13">
        <f>IFERROR('Cash Flow Data'!I6,0)</f>
        <v>-70</v>
      </c>
      <c r="J76" s="13">
        <f>IFERROR('Cash Flow Data'!J6,0)</f>
        <v>-384</v>
      </c>
      <c r="K76" s="13">
        <f>IFERROR('Cash Flow Data'!K6,0)</f>
        <v>555</v>
      </c>
      <c r="L76" s="13">
        <f>IFERROR('Cash Flow Data'!L6,0)</f>
        <v>-71</v>
      </c>
    </row>
    <row r="77" spans="1:12" x14ac:dyDescent="0.3">
      <c r="B77" t="s">
        <v>88</v>
      </c>
      <c r="C77" s="13">
        <f>IFERROR('Cash Flow Data'!C7,0)</f>
        <v>0</v>
      </c>
      <c r="D77" s="13">
        <f>IFERROR('Cash Flow Data'!D7,0)</f>
        <v>17</v>
      </c>
      <c r="E77" s="13">
        <f>IFERROR('Cash Flow Data'!E7,0)</f>
        <v>196</v>
      </c>
      <c r="F77" s="13">
        <f>IFERROR('Cash Flow Data'!F7,0)</f>
        <v>613</v>
      </c>
      <c r="G77" s="13">
        <f>IFERROR('Cash Flow Data'!G7,0)</f>
        <v>274</v>
      </c>
      <c r="H77" s="13">
        <f>IFERROR('Cash Flow Data'!H7,0)</f>
        <v>-95</v>
      </c>
      <c r="I77" s="13">
        <f>IFERROR('Cash Flow Data'!I7,0)</f>
        <v>-473</v>
      </c>
      <c r="J77" s="13">
        <f>IFERROR('Cash Flow Data'!J7,0)</f>
        <v>83</v>
      </c>
      <c r="K77" s="13">
        <f>IFERROR('Cash Flow Data'!K7,0)</f>
        <v>-370</v>
      </c>
      <c r="L77" s="13">
        <f>IFERROR('Cash Flow Data'!L7,0)</f>
        <v>91</v>
      </c>
    </row>
    <row r="78" spans="1:12" x14ac:dyDescent="0.3">
      <c r="B78" t="s">
        <v>89</v>
      </c>
      <c r="C78" s="13">
        <f>IFERROR('Cash Flow Data'!C8,0)</f>
        <v>8</v>
      </c>
      <c r="D78" s="13">
        <f>IFERROR('Cash Flow Data'!D8,0)</f>
        <v>1</v>
      </c>
      <c r="E78" s="13">
        <f>IFERROR('Cash Flow Data'!E8,0)</f>
        <v>-3</v>
      </c>
      <c r="F78" s="13">
        <f>IFERROR('Cash Flow Data'!F8,0)</f>
        <v>1</v>
      </c>
      <c r="G78" s="13">
        <f>IFERROR('Cash Flow Data'!G8,0)</f>
        <v>-1</v>
      </c>
      <c r="H78" s="13">
        <f>IFERROR('Cash Flow Data'!H8,0)</f>
        <v>-3</v>
      </c>
      <c r="I78" s="13">
        <f>IFERROR('Cash Flow Data'!I8,0)</f>
        <v>1</v>
      </c>
      <c r="J78" s="13">
        <f>IFERROR('Cash Flow Data'!J8,0)</f>
        <v>0</v>
      </c>
      <c r="K78" s="13">
        <f>IFERROR('Cash Flow Data'!K8,0)</f>
        <v>0</v>
      </c>
      <c r="L78" s="13">
        <f>IFERROR('Cash Flow Data'!L8,0)</f>
        <v>0</v>
      </c>
    </row>
    <row r="79" spans="1:12" x14ac:dyDescent="0.3">
      <c r="B79" t="s">
        <v>90</v>
      </c>
      <c r="C79" s="13">
        <f>IFERROR('Cash Flow Data'!C9,0)</f>
        <v>-39</v>
      </c>
      <c r="D79" s="13">
        <f>IFERROR('Cash Flow Data'!D9,0)</f>
        <v>75</v>
      </c>
      <c r="E79" s="13">
        <f>IFERROR('Cash Flow Data'!E9,0)</f>
        <v>-65</v>
      </c>
      <c r="F79" s="13">
        <f>IFERROR('Cash Flow Data'!F9,0)</f>
        <v>-219</v>
      </c>
      <c r="G79" s="13">
        <f>IFERROR('Cash Flow Data'!G9,0)</f>
        <v>-79</v>
      </c>
      <c r="H79" s="13">
        <f>IFERROR('Cash Flow Data'!H9,0)</f>
        <v>-116</v>
      </c>
      <c r="I79" s="13">
        <f>IFERROR('Cash Flow Data'!I9,0)</f>
        <v>416</v>
      </c>
      <c r="J79" s="13">
        <f>IFERROR('Cash Flow Data'!J9,0)</f>
        <v>-146</v>
      </c>
      <c r="K79" s="13">
        <f>IFERROR('Cash Flow Data'!K9,0)</f>
        <v>74</v>
      </c>
      <c r="L79" s="13">
        <f>IFERROR('Cash Flow Data'!L9,0)</f>
        <v>3</v>
      </c>
    </row>
    <row r="80" spans="1:12" x14ac:dyDescent="0.3">
      <c r="B80" t="s">
        <v>91</v>
      </c>
      <c r="C80" s="13">
        <f>IFERROR('Cash Flow Data'!C10,0)</f>
        <v>-87</v>
      </c>
      <c r="D80" s="13">
        <f>IFERROR('Cash Flow Data'!D10,0)</f>
        <v>-465</v>
      </c>
      <c r="E80" s="13">
        <f>IFERROR('Cash Flow Data'!E10,0)</f>
        <v>341</v>
      </c>
      <c r="F80" s="13">
        <f>IFERROR('Cash Flow Data'!F10,0)</f>
        <v>-16</v>
      </c>
      <c r="G80" s="13">
        <f>IFERROR('Cash Flow Data'!G10,0)</f>
        <v>1</v>
      </c>
      <c r="H80" s="13">
        <f>IFERROR('Cash Flow Data'!H10,0)</f>
        <v>-253</v>
      </c>
      <c r="I80" s="13">
        <f>IFERROR('Cash Flow Data'!I10,0)</f>
        <v>-45</v>
      </c>
      <c r="J80" s="13">
        <f>IFERROR('Cash Flow Data'!J10,0)</f>
        <v>-536</v>
      </c>
      <c r="K80" s="13">
        <f>IFERROR('Cash Flow Data'!K10,0)</f>
        <v>93</v>
      </c>
      <c r="L80" s="13">
        <f>IFERROR('Cash Flow Data'!L10,0)</f>
        <v>-456</v>
      </c>
    </row>
    <row r="81" spans="2:12" x14ac:dyDescent="0.3">
      <c r="B81" t="s">
        <v>92</v>
      </c>
      <c r="C81" s="13">
        <f>IFERROR('Cash Flow Data'!C11,0)</f>
        <v>-257</v>
      </c>
      <c r="D81" s="13">
        <f>IFERROR('Cash Flow Data'!D11,0)</f>
        <v>-336</v>
      </c>
      <c r="E81" s="13">
        <f>IFERROR('Cash Flow Data'!E11,0)</f>
        <v>-407</v>
      </c>
      <c r="F81" s="13">
        <f>IFERROR('Cash Flow Data'!F11,0)</f>
        <v>-393</v>
      </c>
      <c r="G81" s="13">
        <f>IFERROR('Cash Flow Data'!G11,0)</f>
        <v>-435</v>
      </c>
      <c r="H81" s="13">
        <f>IFERROR('Cash Flow Data'!H11,0)</f>
        <v>-344</v>
      </c>
      <c r="I81" s="13">
        <f>IFERROR('Cash Flow Data'!I11,0)</f>
        <v>-397</v>
      </c>
      <c r="J81" s="13">
        <f>IFERROR('Cash Flow Data'!J11,0)</f>
        <v>-448</v>
      </c>
      <c r="K81" s="13">
        <f>IFERROR('Cash Flow Data'!K11,0)</f>
        <v>-418</v>
      </c>
      <c r="L81" s="13">
        <f>IFERROR('Cash Flow Data'!L11,0)</f>
        <v>-374</v>
      </c>
    </row>
    <row r="82" spans="2:12" x14ac:dyDescent="0.3">
      <c r="B82" s="12" t="s">
        <v>116</v>
      </c>
      <c r="C82" s="22">
        <f>SUM(C74:C81)</f>
        <v>967</v>
      </c>
      <c r="D82" s="22">
        <f t="shared" ref="D82:L82" si="22">SUM(D74:D81)</f>
        <v>403</v>
      </c>
      <c r="E82" s="22">
        <f t="shared" si="22"/>
        <v>2221</v>
      </c>
      <c r="F82" s="22">
        <f t="shared" si="22"/>
        <v>1723</v>
      </c>
      <c r="G82" s="22">
        <f t="shared" si="22"/>
        <v>1747</v>
      </c>
      <c r="H82" s="22">
        <f t="shared" si="22"/>
        <v>1335</v>
      </c>
      <c r="I82" s="22">
        <f t="shared" si="22"/>
        <v>1985</v>
      </c>
      <c r="J82" s="22">
        <f t="shared" si="22"/>
        <v>914</v>
      </c>
      <c r="K82" s="22">
        <f t="shared" si="22"/>
        <v>2245</v>
      </c>
      <c r="L82" s="22">
        <f t="shared" si="22"/>
        <v>1614</v>
      </c>
    </row>
    <row r="84" spans="2:12" x14ac:dyDescent="0.3">
      <c r="B84" s="12" t="s">
        <v>118</v>
      </c>
    </row>
    <row r="85" spans="2:12" x14ac:dyDescent="0.3">
      <c r="B85" t="s">
        <v>93</v>
      </c>
      <c r="C85" s="13">
        <f>IFERROR('Cash Flow Data'!C13,0)</f>
        <v>-213</v>
      </c>
      <c r="D85" s="13">
        <f>IFERROR('Cash Flow Data'!D13,0)</f>
        <v>-208</v>
      </c>
      <c r="E85" s="13">
        <f>IFERROR('Cash Flow Data'!E13,0)</f>
        <v>-180</v>
      </c>
      <c r="F85" s="13">
        <f>IFERROR('Cash Flow Data'!F13,0)</f>
        <v>-311</v>
      </c>
      <c r="G85" s="13">
        <f>IFERROR('Cash Flow Data'!G13,0)</f>
        <v>-208</v>
      </c>
      <c r="H85" s="13">
        <f>IFERROR('Cash Flow Data'!H13,0)</f>
        <v>-152</v>
      </c>
      <c r="I85" s="13">
        <f>IFERROR('Cash Flow Data'!I13,0)</f>
        <v>-164</v>
      </c>
      <c r="J85" s="13">
        <f>IFERROR('Cash Flow Data'!J13,0)</f>
        <v>0</v>
      </c>
      <c r="K85" s="13">
        <f>IFERROR('Cash Flow Data'!K13,0)</f>
        <v>0</v>
      </c>
      <c r="L85" s="13">
        <f>IFERROR('Cash Flow Data'!L13,0)</f>
        <v>0</v>
      </c>
    </row>
    <row r="86" spans="2:12" x14ac:dyDescent="0.3">
      <c r="B86" t="s">
        <v>94</v>
      </c>
      <c r="C86" s="13">
        <f>IFERROR('Cash Flow Data'!C14,0)</f>
        <v>0</v>
      </c>
      <c r="D86" s="13">
        <f>IFERROR('Cash Flow Data'!D14,0)</f>
        <v>0</v>
      </c>
      <c r="E86" s="13">
        <f>IFERROR('Cash Flow Data'!E14,0)</f>
        <v>0</v>
      </c>
      <c r="F86" s="13">
        <f>IFERROR('Cash Flow Data'!F14,0)</f>
        <v>0</v>
      </c>
      <c r="G86" s="13">
        <f>IFERROR('Cash Flow Data'!G14,0)</f>
        <v>0</v>
      </c>
      <c r="H86" s="13">
        <f>IFERROR('Cash Flow Data'!H14,0)</f>
        <v>0</v>
      </c>
      <c r="I86" s="13">
        <f>IFERROR('Cash Flow Data'!I14,0)</f>
        <v>0</v>
      </c>
      <c r="J86" s="13">
        <f>IFERROR('Cash Flow Data'!J14,0)</f>
        <v>3</v>
      </c>
      <c r="K86" s="13">
        <f>IFERROR('Cash Flow Data'!K14,0)</f>
        <v>8</v>
      </c>
      <c r="L86" s="13">
        <f>IFERROR('Cash Flow Data'!L14,0)</f>
        <v>31</v>
      </c>
    </row>
    <row r="87" spans="2:12" x14ac:dyDescent="0.3">
      <c r="B87" t="s">
        <v>95</v>
      </c>
      <c r="C87" s="13">
        <f>IFERROR('Cash Flow Data'!C15,0)</f>
        <v>-40</v>
      </c>
      <c r="D87" s="13">
        <f>IFERROR('Cash Flow Data'!D15,0)</f>
        <v>0</v>
      </c>
      <c r="E87" s="13">
        <f>IFERROR('Cash Flow Data'!E15,0)</f>
        <v>-574</v>
      </c>
      <c r="F87" s="13">
        <f>IFERROR('Cash Flow Data'!F15,0)</f>
        <v>-309</v>
      </c>
      <c r="G87" s="13">
        <f>IFERROR('Cash Flow Data'!G15,0)</f>
        <v>0</v>
      </c>
      <c r="H87" s="13">
        <f>IFERROR('Cash Flow Data'!H15,0)</f>
        <v>0</v>
      </c>
      <c r="I87" s="13">
        <f>IFERROR('Cash Flow Data'!I15,0)</f>
        <v>-139</v>
      </c>
      <c r="J87" s="13">
        <f>IFERROR('Cash Flow Data'!J15,0)</f>
        <v>-452</v>
      </c>
      <c r="K87" s="13">
        <f>IFERROR('Cash Flow Data'!K15,0)</f>
        <v>-227</v>
      </c>
      <c r="L87" s="13">
        <f>IFERROR('Cash Flow Data'!L15,0)</f>
        <v>-307</v>
      </c>
    </row>
    <row r="88" spans="2:12" x14ac:dyDescent="0.3">
      <c r="B88" t="s">
        <v>96</v>
      </c>
      <c r="C88" s="13">
        <f>IFERROR('Cash Flow Data'!C16,0)</f>
        <v>0</v>
      </c>
      <c r="D88" s="13">
        <f>IFERROR('Cash Flow Data'!D16,0)</f>
        <v>92</v>
      </c>
      <c r="E88" s="13">
        <f>IFERROR('Cash Flow Data'!E16,0)</f>
        <v>0</v>
      </c>
      <c r="F88" s="13">
        <f>IFERROR('Cash Flow Data'!F16,0)</f>
        <v>349</v>
      </c>
      <c r="G88" s="13">
        <f>IFERROR('Cash Flow Data'!G16,0)</f>
        <v>195</v>
      </c>
      <c r="H88" s="13">
        <f>IFERROR('Cash Flow Data'!H16,0)</f>
        <v>270</v>
      </c>
      <c r="I88" s="13">
        <f>IFERROR('Cash Flow Data'!I16,0)</f>
        <v>35</v>
      </c>
      <c r="J88" s="13">
        <f>IFERROR('Cash Flow Data'!J16,0)</f>
        <v>0</v>
      </c>
      <c r="K88" s="13">
        <f>IFERROR('Cash Flow Data'!K16,0)</f>
        <v>0</v>
      </c>
      <c r="L88" s="13">
        <f>IFERROR('Cash Flow Data'!L16,0)</f>
        <v>0</v>
      </c>
    </row>
    <row r="89" spans="2:12" x14ac:dyDescent="0.3">
      <c r="B89" t="s">
        <v>97</v>
      </c>
      <c r="C89" s="13">
        <f>IFERROR('Cash Flow Data'!C17,0)</f>
        <v>31</v>
      </c>
      <c r="D89" s="13">
        <f>IFERROR('Cash Flow Data'!D17,0)</f>
        <v>43</v>
      </c>
      <c r="E89" s="13">
        <f>IFERROR('Cash Flow Data'!E17,0)</f>
        <v>41</v>
      </c>
      <c r="F89" s="13">
        <f>IFERROR('Cash Flow Data'!F17,0)</f>
        <v>66</v>
      </c>
      <c r="G89" s="13">
        <f>IFERROR('Cash Flow Data'!G17,0)</f>
        <v>92</v>
      </c>
      <c r="H89" s="13">
        <f>IFERROR('Cash Flow Data'!H17,0)</f>
        <v>57</v>
      </c>
      <c r="I89" s="13">
        <f>IFERROR('Cash Flow Data'!I17,0)</f>
        <v>59</v>
      </c>
      <c r="J89" s="13">
        <f>IFERROR('Cash Flow Data'!J17,0)</f>
        <v>59</v>
      </c>
      <c r="K89" s="13">
        <f>IFERROR('Cash Flow Data'!K17,0)</f>
        <v>111</v>
      </c>
      <c r="L89" s="13">
        <f>IFERROR('Cash Flow Data'!L17,0)</f>
        <v>231</v>
      </c>
    </row>
    <row r="90" spans="2:12" x14ac:dyDescent="0.3">
      <c r="B90" t="s">
        <v>98</v>
      </c>
      <c r="C90" s="13">
        <f>IFERROR('Cash Flow Data'!C18,0)</f>
        <v>-630</v>
      </c>
      <c r="D90" s="13">
        <f>IFERROR('Cash Flow Data'!D18,0)</f>
        <v>-647</v>
      </c>
      <c r="E90" s="13">
        <f>IFERROR('Cash Flow Data'!E18,0)</f>
        <v>0</v>
      </c>
      <c r="F90" s="13">
        <f>IFERROR('Cash Flow Data'!F18,0)</f>
        <v>0</v>
      </c>
      <c r="G90" s="13">
        <f>IFERROR('Cash Flow Data'!G18,0)</f>
        <v>0</v>
      </c>
      <c r="H90" s="13">
        <f>IFERROR('Cash Flow Data'!H18,0)</f>
        <v>0</v>
      </c>
      <c r="I90" s="13">
        <f>IFERROR('Cash Flow Data'!I18,0)</f>
        <v>0</v>
      </c>
      <c r="J90" s="13">
        <f>IFERROR('Cash Flow Data'!J18,0)</f>
        <v>0</v>
      </c>
      <c r="K90" s="13">
        <f>IFERROR('Cash Flow Data'!K18,0)</f>
        <v>0</v>
      </c>
      <c r="L90" s="13">
        <f>IFERROR('Cash Flow Data'!L18,0)</f>
        <v>0</v>
      </c>
    </row>
    <row r="91" spans="2:12" x14ac:dyDescent="0.3">
      <c r="B91" t="s">
        <v>99</v>
      </c>
      <c r="C91" s="13">
        <f>IFERROR('Cash Flow Data'!C19,0)</f>
        <v>0</v>
      </c>
      <c r="D91" s="13">
        <f>IFERROR('Cash Flow Data'!D19,0)</f>
        <v>0</v>
      </c>
      <c r="E91" s="13">
        <f>IFERROR('Cash Flow Data'!E19,0)</f>
        <v>0</v>
      </c>
      <c r="F91" s="13">
        <f>IFERROR('Cash Flow Data'!F19,0)</f>
        <v>0</v>
      </c>
      <c r="G91" s="13">
        <f>IFERROR('Cash Flow Data'!G19,0)</f>
        <v>0</v>
      </c>
      <c r="H91" s="13">
        <f>IFERROR('Cash Flow Data'!H19,0)</f>
        <v>0</v>
      </c>
      <c r="I91" s="13">
        <f>IFERROR('Cash Flow Data'!I19,0)</f>
        <v>0</v>
      </c>
      <c r="J91" s="13">
        <f>IFERROR('Cash Flow Data'!J19,0)</f>
        <v>0</v>
      </c>
      <c r="K91" s="13">
        <f>IFERROR('Cash Flow Data'!K19,0)</f>
        <v>0</v>
      </c>
      <c r="L91" s="13">
        <f>IFERROR('Cash Flow Data'!L19,0)</f>
        <v>0</v>
      </c>
    </row>
    <row r="92" spans="2:12" x14ac:dyDescent="0.3">
      <c r="B92" t="s">
        <v>100</v>
      </c>
      <c r="C92" s="13">
        <f>IFERROR('Cash Flow Data'!C20,0)</f>
        <v>0</v>
      </c>
      <c r="D92" s="13">
        <f>IFERROR('Cash Flow Data'!D20,0)</f>
        <v>0</v>
      </c>
      <c r="E92" s="13">
        <f>IFERROR('Cash Flow Data'!E20,0)</f>
        <v>0</v>
      </c>
      <c r="F92" s="13">
        <f>IFERROR('Cash Flow Data'!F20,0)</f>
        <v>0</v>
      </c>
      <c r="G92" s="13">
        <f>IFERROR('Cash Flow Data'!G20,0)</f>
        <v>0</v>
      </c>
      <c r="H92" s="13">
        <f>IFERROR('Cash Flow Data'!H20,0)</f>
        <v>0</v>
      </c>
      <c r="I92" s="13">
        <f>IFERROR('Cash Flow Data'!I20,0)</f>
        <v>0</v>
      </c>
      <c r="J92" s="13">
        <f>IFERROR('Cash Flow Data'!J20,0)</f>
        <v>0</v>
      </c>
      <c r="K92" s="13">
        <f>IFERROR('Cash Flow Data'!K20,0)</f>
        <v>0</v>
      </c>
      <c r="L92" s="13">
        <f>IFERROR('Cash Flow Data'!L20,0)</f>
        <v>372</v>
      </c>
    </row>
    <row r="93" spans="2:12" x14ac:dyDescent="0.3">
      <c r="B93" t="s">
        <v>101</v>
      </c>
      <c r="C93" s="13">
        <f>IFERROR('Cash Flow Data'!C21,0)</f>
        <v>0</v>
      </c>
      <c r="D93" s="13">
        <f>IFERROR('Cash Flow Data'!D21,0)</f>
        <v>0</v>
      </c>
      <c r="E93" s="13">
        <f>IFERROR('Cash Flow Data'!E21,0)</f>
        <v>-1431</v>
      </c>
      <c r="F93" s="13">
        <f>IFERROR('Cash Flow Data'!F21,0)</f>
        <v>0</v>
      </c>
      <c r="G93" s="13">
        <f>IFERROR('Cash Flow Data'!G21,0)</f>
        <v>0</v>
      </c>
      <c r="H93" s="13">
        <f>IFERROR('Cash Flow Data'!H21,0)</f>
        <v>0</v>
      </c>
      <c r="I93" s="13">
        <f>IFERROR('Cash Flow Data'!I21,0)</f>
        <v>0</v>
      </c>
      <c r="J93" s="13">
        <f>IFERROR('Cash Flow Data'!J21,0)</f>
        <v>-387</v>
      </c>
      <c r="K93" s="13">
        <f>IFERROR('Cash Flow Data'!K21,0)</f>
        <v>-988</v>
      </c>
      <c r="L93" s="13">
        <f>IFERROR('Cash Flow Data'!L21,0)</f>
        <v>0</v>
      </c>
    </row>
    <row r="94" spans="2:12" x14ac:dyDescent="0.3">
      <c r="B94" t="s">
        <v>102</v>
      </c>
      <c r="C94" s="13">
        <f>IFERROR('Cash Flow Data'!C22,0)</f>
        <v>-385</v>
      </c>
      <c r="D94" s="13">
        <f>IFERROR('Cash Flow Data'!D22,0)</f>
        <v>99</v>
      </c>
      <c r="E94" s="13">
        <f>IFERROR('Cash Flow Data'!E22,0)</f>
        <v>-99</v>
      </c>
      <c r="F94" s="13">
        <f>IFERROR('Cash Flow Data'!F22,0)</f>
        <v>-131</v>
      </c>
      <c r="G94" s="13">
        <f>IFERROR('Cash Flow Data'!G22,0)</f>
        <v>195</v>
      </c>
      <c r="H94" s="13">
        <f>IFERROR('Cash Flow Data'!H22,0)</f>
        <v>-727</v>
      </c>
      <c r="I94" s="13">
        <f>IFERROR('Cash Flow Data'!I22,0)</f>
        <v>-84</v>
      </c>
      <c r="J94" s="13">
        <f>IFERROR('Cash Flow Data'!J22,0)</f>
        <v>-67</v>
      </c>
      <c r="K94" s="13">
        <f>IFERROR('Cash Flow Data'!K22,0)</f>
        <v>-658</v>
      </c>
      <c r="L94" s="13">
        <f>IFERROR('Cash Flow Data'!L22,0)</f>
        <v>-3762</v>
      </c>
    </row>
    <row r="95" spans="2:12" x14ac:dyDescent="0.3">
      <c r="B95" s="12" t="s">
        <v>119</v>
      </c>
      <c r="C95" s="13">
        <f t="shared" ref="C95:L95" si="23">SUM(C85:C94)</f>
        <v>-1237</v>
      </c>
      <c r="D95" s="13">
        <f t="shared" si="23"/>
        <v>-621</v>
      </c>
      <c r="E95" s="13">
        <f t="shared" si="23"/>
        <v>-2243</v>
      </c>
      <c r="F95" s="13">
        <f t="shared" si="23"/>
        <v>-336</v>
      </c>
      <c r="G95" s="13">
        <f t="shared" si="23"/>
        <v>274</v>
      </c>
      <c r="H95" s="13">
        <f t="shared" si="23"/>
        <v>-552</v>
      </c>
      <c r="I95" s="13">
        <f t="shared" si="23"/>
        <v>-293</v>
      </c>
      <c r="J95" s="13">
        <f t="shared" si="23"/>
        <v>-844</v>
      </c>
      <c r="K95" s="13">
        <f t="shared" si="23"/>
        <v>-1754</v>
      </c>
      <c r="L95" s="13">
        <f t="shared" si="23"/>
        <v>-3435</v>
      </c>
    </row>
    <row r="97" spans="2:12" x14ac:dyDescent="0.3">
      <c r="B97" s="12" t="s">
        <v>120</v>
      </c>
    </row>
    <row r="98" spans="2:12" x14ac:dyDescent="0.3">
      <c r="B98" t="s">
        <v>103</v>
      </c>
      <c r="C98" s="13">
        <f>IFERROR('Cash Flow Data'!C24,0)</f>
        <v>0</v>
      </c>
      <c r="D98" s="13">
        <f>IFERROR('Cash Flow Data'!D24,0)</f>
        <v>0</v>
      </c>
      <c r="E98" s="13">
        <f>IFERROR('Cash Flow Data'!E24,0)</f>
        <v>0</v>
      </c>
      <c r="F98" s="13">
        <f>IFERROR('Cash Flow Data'!F24,0)</f>
        <v>0</v>
      </c>
      <c r="G98" s="13">
        <f>IFERROR('Cash Flow Data'!G24,0)</f>
        <v>0</v>
      </c>
      <c r="H98" s="13">
        <f>IFERROR('Cash Flow Data'!H24,0)</f>
        <v>0</v>
      </c>
      <c r="I98" s="13">
        <f>IFERROR('Cash Flow Data'!I24,0)</f>
        <v>0</v>
      </c>
      <c r="J98" s="13">
        <f>IFERROR('Cash Flow Data'!J24,0)</f>
        <v>0</v>
      </c>
      <c r="K98" s="13">
        <f>IFERROR('Cash Flow Data'!K24,0)</f>
        <v>0</v>
      </c>
      <c r="L98" s="13">
        <f>IFERROR('Cash Flow Data'!L24,0)</f>
        <v>0</v>
      </c>
    </row>
    <row r="99" spans="2:12" x14ac:dyDescent="0.3">
      <c r="B99" t="s">
        <v>104</v>
      </c>
      <c r="C99" s="13">
        <f>IFERROR('Cash Flow Data'!C25,0)</f>
        <v>0</v>
      </c>
      <c r="D99" s="13">
        <f>IFERROR('Cash Flow Data'!D25,0)</f>
        <v>0</v>
      </c>
      <c r="E99" s="13">
        <f>IFERROR('Cash Flow Data'!E25,0)</f>
        <v>0</v>
      </c>
      <c r="F99" s="13">
        <f>IFERROR('Cash Flow Data'!F25,0)</f>
        <v>0</v>
      </c>
      <c r="G99" s="13">
        <f>IFERROR('Cash Flow Data'!G25,0)</f>
        <v>0</v>
      </c>
      <c r="H99" s="13">
        <f>IFERROR('Cash Flow Data'!H25,0)</f>
        <v>0</v>
      </c>
      <c r="I99" s="13">
        <f>IFERROR('Cash Flow Data'!I25,0)</f>
        <v>0</v>
      </c>
      <c r="J99" s="13">
        <f>IFERROR('Cash Flow Data'!J25,0)</f>
        <v>0</v>
      </c>
      <c r="K99" s="13">
        <f>IFERROR('Cash Flow Data'!K25,0)</f>
        <v>0</v>
      </c>
      <c r="L99" s="13">
        <f>IFERROR('Cash Flow Data'!L25,0)</f>
        <v>0</v>
      </c>
    </row>
    <row r="100" spans="2:12" x14ac:dyDescent="0.3">
      <c r="B100" t="s">
        <v>105</v>
      </c>
      <c r="C100" s="13">
        <f>IFERROR('Cash Flow Data'!C26,0)</f>
        <v>-50</v>
      </c>
      <c r="D100" s="13">
        <f>IFERROR('Cash Flow Data'!D26,0)</f>
        <v>-278</v>
      </c>
      <c r="E100" s="13">
        <f>IFERROR('Cash Flow Data'!E26,0)</f>
        <v>0</v>
      </c>
      <c r="F100" s="13">
        <f>IFERROR('Cash Flow Data'!F26,0)</f>
        <v>0</v>
      </c>
      <c r="G100" s="13">
        <f>IFERROR('Cash Flow Data'!G26,0)</f>
        <v>0</v>
      </c>
      <c r="H100" s="13">
        <f>IFERROR('Cash Flow Data'!H26,0)</f>
        <v>0</v>
      </c>
      <c r="I100" s="13">
        <f>IFERROR('Cash Flow Data'!I26,0)</f>
        <v>0</v>
      </c>
      <c r="J100" s="13">
        <f>IFERROR('Cash Flow Data'!J26,0)</f>
        <v>0</v>
      </c>
      <c r="K100" s="13">
        <f>IFERROR('Cash Flow Data'!K26,0)</f>
        <v>0</v>
      </c>
      <c r="L100" s="13">
        <f>IFERROR('Cash Flow Data'!L26,0)</f>
        <v>0</v>
      </c>
    </row>
    <row r="101" spans="2:12" x14ac:dyDescent="0.3">
      <c r="B101" t="s">
        <v>106</v>
      </c>
      <c r="C101" s="13">
        <f>IFERROR('Cash Flow Data'!C27,0)</f>
        <v>368</v>
      </c>
      <c r="D101" s="13">
        <f>IFERROR('Cash Flow Data'!D27,0)</f>
        <v>0</v>
      </c>
      <c r="E101" s="13">
        <f>IFERROR('Cash Flow Data'!E27,0)</f>
        <v>0</v>
      </c>
      <c r="F101" s="13">
        <f>IFERROR('Cash Flow Data'!F27,0)</f>
        <v>0</v>
      </c>
      <c r="G101" s="13">
        <f>IFERROR('Cash Flow Data'!G27,0)</f>
        <v>0</v>
      </c>
      <c r="H101" s="13">
        <f>IFERROR('Cash Flow Data'!H27,0)</f>
        <v>247</v>
      </c>
      <c r="I101" s="13">
        <f>IFERROR('Cash Flow Data'!I27,0)</f>
        <v>737</v>
      </c>
      <c r="J101" s="13">
        <f>IFERROR('Cash Flow Data'!J27,0)</f>
        <v>535</v>
      </c>
      <c r="K101" s="13">
        <f>IFERROR('Cash Flow Data'!K27,0)</f>
        <v>0</v>
      </c>
      <c r="L101" s="13">
        <f>IFERROR('Cash Flow Data'!L27,0)</f>
        <v>2681</v>
      </c>
    </row>
    <row r="102" spans="2:12" x14ac:dyDescent="0.3">
      <c r="B102" t="s">
        <v>107</v>
      </c>
      <c r="C102" s="13">
        <f>IFERROR('Cash Flow Data'!C28,0)</f>
        <v>0</v>
      </c>
      <c r="D102" s="13">
        <f>IFERROR('Cash Flow Data'!D28,0)</f>
        <v>0</v>
      </c>
      <c r="E102" s="13">
        <f>IFERROR('Cash Flow Data'!E28,0)</f>
        <v>0</v>
      </c>
      <c r="F102" s="13">
        <f>IFERROR('Cash Flow Data'!F28,0)</f>
        <v>0</v>
      </c>
      <c r="G102" s="13">
        <f>IFERROR('Cash Flow Data'!G28,0)</f>
        <v>-345</v>
      </c>
      <c r="H102" s="13">
        <f>IFERROR('Cash Flow Data'!H28,0)</f>
        <v>-375</v>
      </c>
      <c r="I102" s="13">
        <f>IFERROR('Cash Flow Data'!I28,0)</f>
        <v>-2357</v>
      </c>
      <c r="J102" s="13">
        <f>IFERROR('Cash Flow Data'!J28,0)</f>
        <v>-755</v>
      </c>
      <c r="K102" s="13">
        <f>IFERROR('Cash Flow Data'!K28,0)</f>
        <v>-634</v>
      </c>
      <c r="L102" s="13">
        <f>IFERROR('Cash Flow Data'!L28,0)</f>
        <v>-416</v>
      </c>
    </row>
    <row r="103" spans="2:12" x14ac:dyDescent="0.3">
      <c r="B103" t="s">
        <v>108</v>
      </c>
      <c r="C103" s="13">
        <f>IFERROR('Cash Flow Data'!C29,0)</f>
        <v>-119</v>
      </c>
      <c r="D103" s="13">
        <f>IFERROR('Cash Flow Data'!D29,0)</f>
        <v>-119</v>
      </c>
      <c r="E103" s="13">
        <f>IFERROR('Cash Flow Data'!E29,0)</f>
        <v>-124</v>
      </c>
      <c r="F103" s="13">
        <f>IFERROR('Cash Flow Data'!F29,0)</f>
        <v>-158</v>
      </c>
      <c r="G103" s="13">
        <f>IFERROR('Cash Flow Data'!G29,0)</f>
        <v>-215</v>
      </c>
      <c r="H103" s="13">
        <f>IFERROR('Cash Flow Data'!H29,0)</f>
        <v>-156</v>
      </c>
      <c r="I103" s="13">
        <f>IFERROR('Cash Flow Data'!I29,0)</f>
        <v>-166</v>
      </c>
      <c r="J103" s="13">
        <f>IFERROR('Cash Flow Data'!J29,0)</f>
        <v>-119</v>
      </c>
      <c r="K103" s="13">
        <f>IFERROR('Cash Flow Data'!K29,0)</f>
        <v>-119</v>
      </c>
      <c r="L103" s="13">
        <f>IFERROR('Cash Flow Data'!L29,0)</f>
        <v>-267</v>
      </c>
    </row>
    <row r="104" spans="2:12" x14ac:dyDescent="0.3">
      <c r="B104" t="s">
        <v>109</v>
      </c>
      <c r="C104" s="13">
        <f>IFERROR('Cash Flow Data'!C30,0)</f>
        <v>-179</v>
      </c>
      <c r="D104" s="13">
        <f>IFERROR('Cash Flow Data'!D30,0)</f>
        <v>-187</v>
      </c>
      <c r="E104" s="13">
        <f>IFERROR('Cash Flow Data'!E30,0)</f>
        <v>-196</v>
      </c>
      <c r="F104" s="13">
        <f>IFERROR('Cash Flow Data'!F30,0)</f>
        <v>-613</v>
      </c>
      <c r="G104" s="13">
        <f>IFERROR('Cash Flow Data'!G30,0)</f>
        <v>-1227</v>
      </c>
      <c r="H104" s="13">
        <f>IFERROR('Cash Flow Data'!H30,0)</f>
        <v>-818</v>
      </c>
      <c r="I104" s="13">
        <f>IFERROR('Cash Flow Data'!I30,0)</f>
        <v>0</v>
      </c>
      <c r="J104" s="13">
        <f>IFERROR('Cash Flow Data'!J30,0)</f>
        <v>0</v>
      </c>
      <c r="K104" s="13">
        <f>IFERROR('Cash Flow Data'!K30,0)</f>
        <v>0</v>
      </c>
      <c r="L104" s="13">
        <f>IFERROR('Cash Flow Data'!L30,0)</f>
        <v>-511</v>
      </c>
    </row>
    <row r="105" spans="2:12" x14ac:dyDescent="0.3">
      <c r="B105" t="s">
        <v>110</v>
      </c>
      <c r="C105" s="13">
        <f>IFERROR('Cash Flow Data'!C31,0)</f>
        <v>0</v>
      </c>
      <c r="D105" s="13">
        <f>IFERROR('Cash Flow Data'!D31,0)</f>
        <v>0</v>
      </c>
      <c r="E105" s="13">
        <f>IFERROR('Cash Flow Data'!E31,0)</f>
        <v>0</v>
      </c>
      <c r="F105" s="13">
        <f>IFERROR('Cash Flow Data'!F31,0)</f>
        <v>0</v>
      </c>
      <c r="G105" s="13">
        <f>IFERROR('Cash Flow Data'!G31,0)</f>
        <v>0</v>
      </c>
      <c r="H105" s="13">
        <f>IFERROR('Cash Flow Data'!H31,0)</f>
        <v>-25</v>
      </c>
      <c r="I105" s="13">
        <f>IFERROR('Cash Flow Data'!I31,0)</f>
        <v>-31</v>
      </c>
      <c r="J105" s="13">
        <f>IFERROR('Cash Flow Data'!J31,0)</f>
        <v>-41</v>
      </c>
      <c r="K105" s="13">
        <f>IFERROR('Cash Flow Data'!K31,0)</f>
        <v>-41</v>
      </c>
      <c r="L105" s="13">
        <f>IFERROR('Cash Flow Data'!L31,0)</f>
        <v>-80</v>
      </c>
    </row>
    <row r="106" spans="2:12" x14ac:dyDescent="0.3">
      <c r="B106" t="s">
        <v>111</v>
      </c>
      <c r="C106" s="13">
        <f>IFERROR('Cash Flow Data'!C32,0)</f>
        <v>-32</v>
      </c>
      <c r="D106" s="13">
        <f>IFERROR('Cash Flow Data'!D32,0)</f>
        <v>381</v>
      </c>
      <c r="E106" s="13">
        <f>IFERROR('Cash Flow Data'!E32,0)</f>
        <v>984</v>
      </c>
      <c r="F106" s="13">
        <f>IFERROR('Cash Flow Data'!F32,0)</f>
        <v>-613</v>
      </c>
      <c r="G106" s="13">
        <f>IFERROR('Cash Flow Data'!G32,0)</f>
        <v>-253</v>
      </c>
      <c r="H106" s="13">
        <f>IFERROR('Cash Flow Data'!H32,0)</f>
        <v>-168</v>
      </c>
      <c r="I106" s="13">
        <f>IFERROR('Cash Flow Data'!I32,0)</f>
        <v>0</v>
      </c>
      <c r="J106" s="13">
        <f>IFERROR('Cash Flow Data'!J32,0)</f>
        <v>0</v>
      </c>
      <c r="K106" s="13">
        <f>IFERROR('Cash Flow Data'!K32,0)</f>
        <v>0</v>
      </c>
      <c r="L106" s="13">
        <f>IFERROR('Cash Flow Data'!L32,0)</f>
        <v>0</v>
      </c>
    </row>
    <row r="107" spans="2:12" x14ac:dyDescent="0.3">
      <c r="B107" s="12" t="s">
        <v>121</v>
      </c>
      <c r="C107" s="22">
        <f>SUM(C98:C106)</f>
        <v>-12</v>
      </c>
      <c r="D107" s="22">
        <f t="shared" ref="D107:L107" si="24">SUM(D98:D106)</f>
        <v>-203</v>
      </c>
      <c r="E107" s="22">
        <f t="shared" si="24"/>
        <v>664</v>
      </c>
      <c r="F107" s="22">
        <f t="shared" si="24"/>
        <v>-1384</v>
      </c>
      <c r="G107" s="22">
        <f t="shared" si="24"/>
        <v>-2040</v>
      </c>
      <c r="H107" s="22">
        <f t="shared" si="24"/>
        <v>-1295</v>
      </c>
      <c r="I107" s="22">
        <f t="shared" si="24"/>
        <v>-1817</v>
      </c>
      <c r="J107" s="22">
        <f t="shared" si="24"/>
        <v>-380</v>
      </c>
      <c r="K107" s="22">
        <f t="shared" si="24"/>
        <v>-794</v>
      </c>
      <c r="L107" s="22">
        <f t="shared" si="24"/>
        <v>1407</v>
      </c>
    </row>
    <row r="109" spans="2:12" x14ac:dyDescent="0.3">
      <c r="B109" s="12" t="s">
        <v>52</v>
      </c>
      <c r="C109" s="22">
        <f t="shared" ref="C109:L109" si="25">IFERROR(C82+C95+C107,0)</f>
        <v>-282</v>
      </c>
      <c r="D109" s="22">
        <f t="shared" si="25"/>
        <v>-421</v>
      </c>
      <c r="E109" s="22">
        <f t="shared" si="25"/>
        <v>642</v>
      </c>
      <c r="F109" s="22">
        <f t="shared" si="25"/>
        <v>3</v>
      </c>
      <c r="G109" s="22">
        <f t="shared" si="25"/>
        <v>-19</v>
      </c>
      <c r="H109" s="22">
        <f t="shared" si="25"/>
        <v>-512</v>
      </c>
      <c r="I109" s="22">
        <f t="shared" si="25"/>
        <v>-125</v>
      </c>
      <c r="J109" s="22">
        <f t="shared" si="25"/>
        <v>-310</v>
      </c>
      <c r="K109" s="22">
        <f t="shared" si="25"/>
        <v>-303</v>
      </c>
      <c r="L109" s="22">
        <f t="shared" si="25"/>
        <v>-414</v>
      </c>
    </row>
  </sheetData>
  <mergeCells count="6">
    <mergeCell ref="B5:L5"/>
    <mergeCell ref="B8:L8"/>
    <mergeCell ref="B49:L49"/>
    <mergeCell ref="B72:L72"/>
    <mergeCell ref="B2:G2"/>
    <mergeCell ref="B3:E3"/>
  </mergeCells>
  <pageMargins left="0.25" right="0.25" top="0.75" bottom="0.75" header="0.3" footer="0.3"/>
  <pageSetup scale="42" orientation="portrait" r:id="rId1"/>
  <rowBreaks count="1" manualBreakCount="1">
    <brk id="71" max="16383" man="1"/>
  </rowBreaks>
  <ignoredErrors>
    <ignoredError sqref="C18:L18" formulaRange="1"/>
  </ignoredError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C56C0-07C9-4911-8E3C-37DB4A577D0C}">
  <sheetPr>
    <pageSetUpPr fitToPage="1"/>
  </sheetPr>
  <dimension ref="B1:O43"/>
  <sheetViews>
    <sheetView showGridLines="0" zoomScale="79" zoomScaleNormal="93" workbookViewId="0">
      <pane ySplit="6" topLeftCell="A7" activePane="bottomLeft" state="frozen"/>
      <selection pane="bottomLeft" activeCell="H22" sqref="H22"/>
    </sheetView>
  </sheetViews>
  <sheetFormatPr defaultRowHeight="14.4" x14ac:dyDescent="0.3"/>
  <cols>
    <col min="1" max="1" width="1.88671875" customWidth="1"/>
    <col min="2" max="2" width="28.5546875" customWidth="1"/>
    <col min="3" max="10" width="9" bestFit="1" customWidth="1"/>
    <col min="11" max="12" width="9.6640625" bestFit="1" customWidth="1"/>
    <col min="13" max="13" width="14" customWidth="1"/>
    <col min="14" max="14" width="10.6640625" bestFit="1" customWidth="1"/>
    <col min="15" max="15" width="10" bestFit="1" customWidth="1"/>
  </cols>
  <sheetData>
    <row r="1" spans="2:15" ht="15" thickBot="1" x14ac:dyDescent="0.35"/>
    <row r="2" spans="2:15" ht="28.8" customHeight="1" thickTop="1" x14ac:dyDescent="0.55000000000000004">
      <c r="B2" s="238" t="str">
        <f>'Data Sheet'!B1</f>
        <v>GODREJ CONSUMER PRODUCTS LTD</v>
      </c>
      <c r="C2" s="238"/>
      <c r="D2" s="238"/>
      <c r="E2" s="238"/>
      <c r="F2" s="238"/>
      <c r="G2" s="238"/>
      <c r="H2" s="193"/>
      <c r="I2" s="193"/>
      <c r="J2" s="193"/>
      <c r="K2" s="193"/>
      <c r="L2" s="193"/>
      <c r="M2" s="193"/>
      <c r="N2" s="193"/>
      <c r="O2" s="193"/>
    </row>
    <row r="3" spans="2:15" ht="18.600000000000001" thickBot="1" x14ac:dyDescent="0.4">
      <c r="B3" s="239" t="s">
        <v>9336</v>
      </c>
      <c r="C3" s="239"/>
      <c r="D3" s="239"/>
      <c r="E3" s="239"/>
      <c r="F3" s="194"/>
      <c r="G3" s="194"/>
      <c r="H3" s="194"/>
      <c r="I3" s="194"/>
      <c r="J3" s="194"/>
      <c r="K3" s="194"/>
      <c r="L3" s="194"/>
      <c r="M3" s="194"/>
      <c r="N3" s="194"/>
      <c r="O3" s="194"/>
    </row>
    <row r="4" spans="2:15" ht="15" thickTop="1" x14ac:dyDescent="0.3"/>
    <row r="5" spans="2:15" ht="21" x14ac:dyDescent="0.4">
      <c r="B5" s="236" t="str">
        <f>"Ratio Analysis of - "&amp;'[2]Data Sheet'!B1</f>
        <v>Ratio Analysis of - GODREJ CONSUMER PRODUCTS LTD</v>
      </c>
      <c r="C5" s="236"/>
      <c r="D5" s="236"/>
      <c r="E5" s="236"/>
      <c r="F5" s="236"/>
      <c r="G5" s="236"/>
      <c r="H5" s="236"/>
      <c r="I5" s="236"/>
      <c r="J5" s="236"/>
      <c r="K5" s="236"/>
      <c r="L5" s="236"/>
      <c r="M5" s="236"/>
      <c r="N5" s="236"/>
      <c r="O5" s="236"/>
    </row>
    <row r="6" spans="2:15" x14ac:dyDescent="0.3">
      <c r="B6" s="33" t="s">
        <v>56</v>
      </c>
      <c r="C6" s="34">
        <f>'[2]Data Sheet'!B16</f>
        <v>42094</v>
      </c>
      <c r="D6" s="34">
        <f>'[2]Data Sheet'!C16</f>
        <v>42460</v>
      </c>
      <c r="E6" s="34">
        <f>'[2]Data Sheet'!D16</f>
        <v>42825</v>
      </c>
      <c r="F6" s="34">
        <f>'[2]Data Sheet'!E16</f>
        <v>43190</v>
      </c>
      <c r="G6" s="34">
        <f>'[2]Data Sheet'!F16</f>
        <v>43555</v>
      </c>
      <c r="H6" s="34">
        <f>'[2]Data Sheet'!G16</f>
        <v>43921</v>
      </c>
      <c r="I6" s="34">
        <f>'[2]Data Sheet'!H16</f>
        <v>44286</v>
      </c>
      <c r="J6" s="34">
        <f>'[2]Data Sheet'!I16</f>
        <v>44651</v>
      </c>
      <c r="K6" s="34">
        <f>'[2]Data Sheet'!J16</f>
        <v>45016</v>
      </c>
      <c r="L6" s="34">
        <f>'[2]Data Sheet'!K16</f>
        <v>45382</v>
      </c>
      <c r="M6" s="35" t="s">
        <v>123</v>
      </c>
      <c r="N6" s="36" t="s">
        <v>124</v>
      </c>
      <c r="O6" s="36" t="s">
        <v>125</v>
      </c>
    </row>
    <row r="8" spans="2:15" x14ac:dyDescent="0.3">
      <c r="B8" s="42" t="s">
        <v>126</v>
      </c>
      <c r="C8" s="43" t="s">
        <v>60</v>
      </c>
      <c r="D8" s="44">
        <f>IFERROR(HistoricalFS!D10,0)</f>
        <v>1.8219178910088507E-2</v>
      </c>
      <c r="E8" s="44">
        <f>IFERROR(HistoricalFS!E10,0)</f>
        <v>0.10019492205492009</v>
      </c>
      <c r="F8" s="44">
        <f>IFERROR(HistoricalFS!F10,0)</f>
        <v>6.2529739714779264E-2</v>
      </c>
      <c r="G8" s="44">
        <f>IFERROR(HistoricalFS!G10,0)</f>
        <v>4.7414401524052519E-2</v>
      </c>
      <c r="H8" s="44">
        <f>IFERROR(HistoricalFS!H10,0)</f>
        <v>-3.9124170814613501E-2</v>
      </c>
      <c r="I8" s="44">
        <f>IFERROR(HistoricalFS!I10,0)</f>
        <v>0.11278806958065957</v>
      </c>
      <c r="J8" s="44">
        <f>IFERROR(HistoricalFS!J10,0)</f>
        <v>0.11314924260696246</v>
      </c>
      <c r="K8" s="44">
        <f>IFERROR(HistoricalFS!K10,0)</f>
        <v>8.4671526900989669E-2</v>
      </c>
      <c r="L8" s="44">
        <f>IFERROR(HistoricalFS!L10,0)</f>
        <v>5.8586794653337382E-2</v>
      </c>
      <c r="M8" s="45"/>
      <c r="N8" s="44">
        <f>IFERROR(AVERAGE(D8:L8),0)</f>
        <v>6.2047745014575106E-2</v>
      </c>
      <c r="O8" s="44">
        <f>IFERROR(MEDIAN(C8:L8),0)</f>
        <v>6.2529739714779264E-2</v>
      </c>
    </row>
    <row r="9" spans="2:15" x14ac:dyDescent="0.3">
      <c r="B9" s="38" t="s">
        <v>127</v>
      </c>
      <c r="C9" s="46" t="s">
        <v>60</v>
      </c>
      <c r="D9" s="31">
        <f>IFERROR(HistoricalFS!D21/HistoricalFS!C21-1,0)</f>
        <v>0.20191450016316681</v>
      </c>
      <c r="E9" s="31">
        <f>IFERROR(HistoricalFS!E21/HistoricalFS!D21-1,0)</f>
        <v>0.15043623067733392</v>
      </c>
      <c r="F9" s="31">
        <f>IFERROR(HistoricalFS!F21/HistoricalFS!E21-1,0)</f>
        <v>9.3191937945467762E-2</v>
      </c>
      <c r="G9" s="31">
        <f>IFERROR(HistoricalFS!G21/HistoricalFS!F21-1,0)</f>
        <v>2.2630013433121876E-2</v>
      </c>
      <c r="H9" s="31">
        <f>IFERROR(HistoricalFS!H21/HistoricalFS!G21-1,0)</f>
        <v>1.0405475776070761E-2</v>
      </c>
      <c r="I9" s="31">
        <f>IFERROR(HistoricalFS!I21/HistoricalFS!H21-1,0)</f>
        <v>0.11399187463726146</v>
      </c>
      <c r="J9" s="31">
        <f>IFERROR(HistoricalFS!J21/HistoricalFS!I21-1,0)</f>
        <v>4.1346081708519833E-3</v>
      </c>
      <c r="K9" s="31">
        <f>IFERROR(HistoricalFS!K21/HistoricalFS!J21-1,0)</f>
        <v>1.412098722386812E-2</v>
      </c>
      <c r="L9" s="31">
        <f>IFERROR(HistoricalFS!L21/HistoricalFS!K21-1,0)</f>
        <v>0.21042894564505654</v>
      </c>
      <c r="M9" s="37"/>
      <c r="N9" s="31">
        <f t="shared" ref="N9:N12" si="0">IFERROR(AVERAGE(D9:L9),0)</f>
        <v>9.1250508185799911E-2</v>
      </c>
      <c r="O9" s="31">
        <f t="shared" ref="O9:O43" si="1">IFERROR(MEDIAN(C9:L9),0)</f>
        <v>9.3191937945467762E-2</v>
      </c>
    </row>
    <row r="10" spans="2:15" x14ac:dyDescent="0.3">
      <c r="B10" s="38" t="s">
        <v>128</v>
      </c>
      <c r="C10" s="46" t="s">
        <v>60</v>
      </c>
      <c r="D10" s="31">
        <f>IFERROR(HistoricalFS!D30/HistoricalFS!C30-1,0)</f>
        <v>0.21518911976592769</v>
      </c>
      <c r="E10" s="31">
        <f>IFERROR(HistoricalFS!E30/HistoricalFS!D30-1,0)</f>
        <v>0.12755562710417068</v>
      </c>
      <c r="F10" s="31">
        <f>IFERROR(HistoricalFS!F30/HistoricalFS!E30-1,0)</f>
        <v>8.9791737794470805E-2</v>
      </c>
      <c r="G10" s="31">
        <f>IFERROR(HistoricalFS!G30/HistoricalFS!F30-1,0)</f>
        <v>-1.8352699931647787E-2</v>
      </c>
      <c r="H10" s="31">
        <f>IFERROR(HistoricalFS!H30/HistoricalFS!G30-1,0)</f>
        <v>2.8780651974604776E-3</v>
      </c>
      <c r="I10" s="31">
        <f>IFERROR(HistoricalFS!I30/HistoricalFS!H30-1,0)</f>
        <v>0.19059907194186421</v>
      </c>
      <c r="J10" s="31">
        <f>IFERROR(HistoricalFS!J30/HistoricalFS!I30-1,0)</f>
        <v>9.3451131327260129E-3</v>
      </c>
      <c r="K10" s="31">
        <f>IFERROR(HistoricalFS!K30/HistoricalFS!J30-1,0)</f>
        <v>-2.819464706137309E-2</v>
      </c>
      <c r="L10" s="31">
        <f>IFERROR(HistoricalFS!L30/HistoricalFS!K30-1,0)</f>
        <v>0.19240696977353799</v>
      </c>
      <c r="M10" s="37"/>
      <c r="N10" s="31">
        <f t="shared" si="0"/>
        <v>8.680203974634855E-2</v>
      </c>
      <c r="O10" s="31">
        <f t="shared" si="1"/>
        <v>8.9791737794470805E-2</v>
      </c>
    </row>
    <row r="11" spans="2:15" x14ac:dyDescent="0.3">
      <c r="B11" s="38" t="s">
        <v>129</v>
      </c>
      <c r="C11" s="46" t="s">
        <v>60</v>
      </c>
      <c r="D11" s="31">
        <f>IFERROR(HistoricalFS!D36/HistoricalFS!C36-1,0)</f>
        <v>0.20947067808992359</v>
      </c>
      <c r="E11" s="31">
        <f>IFERROR(HistoricalFS!E36/HistoricalFS!D36-1,0)</f>
        <v>0.12733146632987347</v>
      </c>
      <c r="F11" s="31">
        <f>IFERROR(HistoricalFS!F36/HistoricalFS!E36-1,0)</f>
        <v>9.6696677193355063E-2</v>
      </c>
      <c r="G11" s="31">
        <f>IFERROR(HistoricalFS!G36/HistoricalFS!F36-1,0)</f>
        <v>0.46537863646457822</v>
      </c>
      <c r="H11" s="31">
        <f>IFERROR(HistoricalFS!H36/HistoricalFS!G36-1,0)</f>
        <v>-0.26018650420796352</v>
      </c>
      <c r="I11" s="31">
        <f>IFERROR(HistoricalFS!I36/HistoricalFS!H36-1,0)</f>
        <v>0.15957446808510745</v>
      </c>
      <c r="J11" s="31">
        <f>IFERROR(HistoricalFS!J36/HistoricalFS!I36-1,0)</f>
        <v>4.06307781088322E-3</v>
      </c>
      <c r="K11" s="31">
        <f>IFERROR(HistoricalFS!K36/HistoricalFS!J36-1,0)</f>
        <v>-6.8593412780333041E-2</v>
      </c>
      <c r="L11" s="31">
        <f>IFERROR(HistoricalFS!L36/HistoricalFS!K36-1,0)</f>
        <v>3.7685119887166385E-2</v>
      </c>
      <c r="M11" s="37"/>
      <c r="N11" s="31">
        <f t="shared" si="0"/>
        <v>8.5713356319176759E-2</v>
      </c>
      <c r="O11" s="31">
        <f t="shared" si="1"/>
        <v>9.6696677193355063E-2</v>
      </c>
    </row>
    <row r="12" spans="2:15" x14ac:dyDescent="0.3">
      <c r="B12" s="39" t="s">
        <v>130</v>
      </c>
      <c r="C12" s="47" t="s">
        <v>60</v>
      </c>
      <c r="D12" s="48">
        <f>IFERROR(HistoricalFS!D44/HistoricalFS!C44-1,0)</f>
        <v>4.5570291259065865E-2</v>
      </c>
      <c r="E12" s="48">
        <f>IFERROR(HistoricalFS!E44/HistoricalFS!D44-1,0)</f>
        <v>1.6089177179631236</v>
      </c>
      <c r="F12" s="48">
        <f>IFERROR(HistoricalFS!F44/HistoricalFS!E44-1,0)</f>
        <v>0.33326810176125266</v>
      </c>
      <c r="G12" s="48">
        <f>IFERROR(HistoricalFS!G44/HistoricalFS!F44-1,0)</f>
        <v>0.5000733891090563</v>
      </c>
      <c r="H12" s="48">
        <f>IFERROR(HistoricalFS!H44/HistoricalFS!G44-1,0)</f>
        <v>-0.19999999999999996</v>
      </c>
      <c r="I12" s="48">
        <f>IFERROR(HistoricalFS!I44/HistoricalFS!H44-1,0)</f>
        <v>-1</v>
      </c>
      <c r="J12" s="48">
        <f>IFERROR(HistoricalFS!J44/HistoricalFS!I44-1,0)</f>
        <v>0</v>
      </c>
      <c r="K12" s="48">
        <f>IFERROR(HistoricalFS!K44/HistoricalFS!J44-1,0)</f>
        <v>0</v>
      </c>
      <c r="L12" s="48">
        <f>IFERROR(HistoricalFS!L44/HistoricalFS!K44-1,0)</f>
        <v>0</v>
      </c>
      <c r="M12" s="49"/>
      <c r="N12" s="48">
        <f t="shared" si="0"/>
        <v>0.14309216667694427</v>
      </c>
      <c r="O12" s="48">
        <f t="shared" si="1"/>
        <v>0</v>
      </c>
    </row>
    <row r="13" spans="2:15" x14ac:dyDescent="0.3">
      <c r="B13" s="38"/>
    </row>
    <row r="14" spans="2:15" x14ac:dyDescent="0.3">
      <c r="B14" s="40" t="s">
        <v>131</v>
      </c>
      <c r="C14" s="50">
        <f>IFERROR(HistoricalFS!C16,0)</f>
        <v>0.40139366504898377</v>
      </c>
      <c r="D14" s="44">
        <f>IFERROR(HistoricalFS!D16,0)</f>
        <v>0.3877417532063609</v>
      </c>
      <c r="E14" s="44">
        <f>IFERROR(HistoricalFS!E16,0)</f>
        <v>0.40516793969729947</v>
      </c>
      <c r="F14" s="44">
        <f>IFERROR(HistoricalFS!F16,0)</f>
        <v>0.41592577961965721</v>
      </c>
      <c r="G14" s="44">
        <f>IFERROR(HistoricalFS!G16,0)</f>
        <v>0.41132151936042444</v>
      </c>
      <c r="H14" s="44">
        <f>IFERROR(HistoricalFS!H16,0)</f>
        <v>0.41705210477458932</v>
      </c>
      <c r="I14" s="44">
        <f>IFERROR(HistoricalFS!I16,0)</f>
        <v>0.4055248979473407</v>
      </c>
      <c r="J14" s="44">
        <f>IFERROR(HistoricalFS!J16,0)</f>
        <v>0.36928114690669162</v>
      </c>
      <c r="K14" s="44">
        <f>IFERROR(HistoricalFS!K16,0)</f>
        <v>0.36859199893060723</v>
      </c>
      <c r="L14" s="44">
        <f>IFERROR(HistoricalFS!L16,0)</f>
        <v>0.42247045461478377</v>
      </c>
      <c r="M14" s="45"/>
      <c r="N14" s="44">
        <f>IFERROR(AVERAGE(C14:L14),0)</f>
        <v>0.40044712601067384</v>
      </c>
      <c r="O14" s="44">
        <f t="shared" si="1"/>
        <v>0.40534641882232009</v>
      </c>
    </row>
    <row r="15" spans="2:15" x14ac:dyDescent="0.3">
      <c r="B15" s="38" t="s">
        <v>132</v>
      </c>
      <c r="C15" s="51">
        <f>IFERROR(HistoricalFS!C22,0)</f>
        <v>0.16667774668657043</v>
      </c>
      <c r="D15" s="31">
        <f>IFERROR(HistoricalFS!D22,0)</f>
        <v>0.19674781692046886</v>
      </c>
      <c r="E15" s="31">
        <f>IFERROR(HistoricalFS!E22,0)</f>
        <v>0.20573246826954497</v>
      </c>
      <c r="F15" s="31">
        <f>IFERROR(HistoricalFS!F22,0)</f>
        <v>0.21166944065609006</v>
      </c>
      <c r="G15" s="31">
        <f>IFERROR(HistoricalFS!G22,0)</f>
        <v>0.2066608236687951</v>
      </c>
      <c r="H15" s="31">
        <f>IFERROR(HistoricalFS!H22,0)</f>
        <v>0.217313435847762</v>
      </c>
      <c r="I15" s="31">
        <f>IFERROR(HistoricalFS!I22,0)</f>
        <v>0.21754852375002501</v>
      </c>
      <c r="J15" s="31">
        <f>IFERROR(HistoricalFS!J22,0)</f>
        <v>0.19624322893332785</v>
      </c>
      <c r="K15" s="31">
        <f>IFERROR(HistoricalFS!K22,0)</f>
        <v>0.18347893544368141</v>
      </c>
      <c r="L15" s="31">
        <f>IFERROR(HistoricalFS!L22,0)</f>
        <v>0.20979688722633405</v>
      </c>
      <c r="M15" s="37"/>
      <c r="N15" s="31">
        <f t="shared" ref="N15:N43" si="2">IFERROR(AVERAGE(C15:L15),0)</f>
        <v>0.20118693074025998</v>
      </c>
      <c r="O15" s="31">
        <f t="shared" si="1"/>
        <v>0.20619664596917003</v>
      </c>
    </row>
    <row r="16" spans="2:15" x14ac:dyDescent="0.3">
      <c r="B16" s="38" t="s">
        <v>133</v>
      </c>
      <c r="C16" s="51">
        <f>IFERROR((HistoricalFS!C21-HistoricalFS!C27)/HistoricalFS!C9,0)</f>
        <v>0.15570490079353089</v>
      </c>
      <c r="D16" s="31">
        <f>IFERROR((HistoricalFS!D21-HistoricalFS!D27)/HistoricalFS!D9,0)</f>
        <v>0.18480201522338865</v>
      </c>
      <c r="E16" s="31">
        <f>IFERROR((HistoricalFS!E21-HistoricalFS!E27)/HistoricalFS!E9,0)</f>
        <v>0.19045717966618131</v>
      </c>
      <c r="F16" s="31">
        <f>IFERROR((HistoricalFS!F21-HistoricalFS!F27)/HistoricalFS!F9,0)</f>
        <v>0.19586023967674823</v>
      </c>
      <c r="G16" s="31">
        <f>IFERROR((HistoricalFS!G21-HistoricalFS!G27)/HistoricalFS!G9,0)</f>
        <v>0.19018085500381024</v>
      </c>
      <c r="H16" s="31">
        <f>IFERROR((HistoricalFS!H21-HistoricalFS!H27)/HistoricalFS!H9,0)</f>
        <v>0.19740787827420589</v>
      </c>
      <c r="I16" s="31">
        <f>IFERROR((HistoricalFS!I21-HistoricalFS!I27)/HistoricalFS!I9,0)</f>
        <v>0.19906479686488437</v>
      </c>
      <c r="J16" s="31">
        <f>IFERROR((HistoricalFS!J21-HistoricalFS!J27)/HistoricalFS!J9,0)</f>
        <v>0.17914307823891171</v>
      </c>
      <c r="K16" s="31">
        <f>IFERROR((HistoricalFS!K21-HistoricalFS!K27)/HistoricalFS!K9,0)</f>
        <v>0.1657340772020362</v>
      </c>
      <c r="L16" s="31">
        <f>IFERROR((HistoricalFS!L21-HistoricalFS!L27)/HistoricalFS!L9,0)</f>
        <v>0.19270280949850702</v>
      </c>
      <c r="M16" s="37"/>
      <c r="N16" s="31">
        <f t="shared" si="2"/>
        <v>0.18510578304422043</v>
      </c>
      <c r="O16" s="31">
        <f t="shared" si="1"/>
        <v>0.19031901733499579</v>
      </c>
    </row>
    <row r="17" spans="2:15" x14ac:dyDescent="0.3">
      <c r="B17" s="38" t="s">
        <v>134</v>
      </c>
      <c r="C17" s="51">
        <f>IFERROR(HistoricalFS!C31,0)</f>
        <v>0.14211152946580202</v>
      </c>
      <c r="D17" s="31">
        <f>IFERROR(HistoricalFS!D31,0)</f>
        <v>0.16960236850477442</v>
      </c>
      <c r="E17" s="31">
        <f>IFERROR(HistoricalFS!E31,0)</f>
        <v>0.17382020326049763</v>
      </c>
      <c r="F17" s="31">
        <f>IFERROR(HistoricalFS!F31,0)</f>
        <v>0.17828001823826126</v>
      </c>
      <c r="G17" s="31">
        <f>IFERROR(HistoricalFS!G31,0)</f>
        <v>0.1670858242020333</v>
      </c>
      <c r="H17" s="31">
        <f>IFERROR(HistoricalFS!H31,0)</f>
        <v>0.17438955482907534</v>
      </c>
      <c r="I17" s="31">
        <f>IFERROR(HistoricalFS!I31,0)</f>
        <v>0.1865836342171551</v>
      </c>
      <c r="J17" s="31">
        <f>IFERROR(HistoricalFS!J31,0)</f>
        <v>0.16918421374170156</v>
      </c>
      <c r="K17" s="31">
        <f>IFERROR(HistoricalFS!K31,0)</f>
        <v>0.15157964459217002</v>
      </c>
      <c r="L17" s="31">
        <f>IFERROR(HistoricalFS!L31,0)</f>
        <v>0.17074143150131491</v>
      </c>
      <c r="M17" s="37"/>
      <c r="N17" s="31">
        <f t="shared" si="2"/>
        <v>0.16833784225527854</v>
      </c>
      <c r="O17" s="31">
        <f t="shared" si="1"/>
        <v>0.17017190000304466</v>
      </c>
    </row>
    <row r="18" spans="2:15" x14ac:dyDescent="0.3">
      <c r="B18" s="39" t="s">
        <v>135</v>
      </c>
      <c r="C18" s="52">
        <f>IFERROR(HistoricalFS!C37,0)</f>
        <v>0.10919903543390366</v>
      </c>
      <c r="D18" s="48">
        <f>IFERROR(HistoricalFS!D37,0)</f>
        <v>0.12970982492628089</v>
      </c>
      <c r="E18" s="48">
        <f>IFERROR(HistoricalFS!E37,0)</f>
        <v>0.13290914564340811</v>
      </c>
      <c r="F18" s="48">
        <f>IFERROR(HistoricalFS!F37,0)</f>
        <v>0.13718300104697378</v>
      </c>
      <c r="G18" s="48">
        <f>IFERROR(HistoricalFS!G37,0)</f>
        <v>0.19192502864943373</v>
      </c>
      <c r="H18" s="48">
        <f>IFERROR(HistoricalFS!H37,0)</f>
        <v>0.14777010937563062</v>
      </c>
      <c r="I18" s="48">
        <f>IFERROR(HistoricalFS!I37,0)</f>
        <v>0.15398300059300266</v>
      </c>
      <c r="J18" s="48">
        <f>IFERROR(HistoricalFS!J37,0)</f>
        <v>0.13889300696452567</v>
      </c>
      <c r="K18" s="48">
        <f>IFERROR(HistoricalFS!K37,0)</f>
        <v>0.11926731586208125</v>
      </c>
      <c r="L18" s="48">
        <f>IFERROR(HistoricalFS!L37,0)</f>
        <v>0.11691239639872276</v>
      </c>
      <c r="M18" s="49"/>
      <c r="N18" s="48">
        <f t="shared" si="2"/>
        <v>0.1377751864893963</v>
      </c>
      <c r="O18" s="48">
        <f t="shared" si="1"/>
        <v>0.13504607334519095</v>
      </c>
    </row>
    <row r="19" spans="2:15" x14ac:dyDescent="0.3">
      <c r="B19" s="38"/>
      <c r="N19" s="32"/>
    </row>
    <row r="20" spans="2:15" x14ac:dyDescent="0.3">
      <c r="B20" s="40" t="s">
        <v>136</v>
      </c>
      <c r="C20" s="50">
        <f>IFERROR(HistoricalFS!C19,0)</f>
        <v>0.23471591836241334</v>
      </c>
      <c r="D20" s="44">
        <f>IFERROR(HistoricalFS!D19,0)</f>
        <v>0.19099393628589204</v>
      </c>
      <c r="E20" s="44">
        <f>IFERROR(HistoricalFS!E19,0)</f>
        <v>0.1994354714277545</v>
      </c>
      <c r="F20" s="44">
        <f>IFERROR(HistoricalFS!F19,0)</f>
        <v>0.20425633896356715</v>
      </c>
      <c r="G20" s="44">
        <f>IFERROR(HistoricalFS!G19,0)</f>
        <v>0.20466069569162931</v>
      </c>
      <c r="H20" s="44">
        <f>IFERROR(HistoricalFS!H19,0)</f>
        <v>0.19973866892682732</v>
      </c>
      <c r="I20" s="44">
        <f>IFERROR(HistoricalFS!I19,0)</f>
        <v>0.18797637419731569</v>
      </c>
      <c r="J20" s="44">
        <f>IFERROR(HistoricalFS!J19,0)</f>
        <v>0.17303791797336376</v>
      </c>
      <c r="K20" s="44">
        <f>IFERROR(HistoricalFS!K19,0)</f>
        <v>0.18511306348692586</v>
      </c>
      <c r="L20" s="44">
        <f>IFERROR(HistoricalFS!L19,0)</f>
        <v>0.2126735673884497</v>
      </c>
      <c r="M20" s="45"/>
      <c r="N20" s="44">
        <f t="shared" si="2"/>
        <v>0.19926019527041383</v>
      </c>
      <c r="O20" s="44">
        <f t="shared" si="1"/>
        <v>0.19958707017729091</v>
      </c>
    </row>
    <row r="21" spans="2:15" x14ac:dyDescent="0.3">
      <c r="B21" s="38" t="s">
        <v>68</v>
      </c>
      <c r="C21" s="51">
        <f>IFERROR(HistoricalFS!C28,0)</f>
        <v>1.0972845893039531E-2</v>
      </c>
      <c r="D21" s="31">
        <f>IFERROR(HistoricalFS!D28,0)</f>
        <v>1.1945801697080207E-2</v>
      </c>
      <c r="E21" s="31">
        <f>IFERROR(HistoricalFS!E28,0)</f>
        <v>1.5275288603363649E-2</v>
      </c>
      <c r="F21" s="31">
        <f>IFERROR(HistoricalFS!F28,0)</f>
        <v>1.5809200979341818E-2</v>
      </c>
      <c r="G21" s="31">
        <f>IFERROR(HistoricalFS!G28,0)</f>
        <v>1.6479968664984863E-2</v>
      </c>
      <c r="H21" s="31">
        <f>IFERROR(HistoricalFS!H28,0)</f>
        <v>1.9905557573556124E-2</v>
      </c>
      <c r="I21" s="31">
        <f>IFERROR(HistoricalFS!I28,0)</f>
        <v>1.8483726885140661E-2</v>
      </c>
      <c r="J21" s="31">
        <f>IFERROR(HistoricalFS!J28,0)</f>
        <v>1.7100150694416161E-2</v>
      </c>
      <c r="K21" s="31">
        <f>IFERROR(HistoricalFS!K28,0)</f>
        <v>1.7744858241645182E-2</v>
      </c>
      <c r="L21" s="31">
        <f>IFERROR(HistoricalFS!L28,0)</f>
        <v>1.7094077727827037E-2</v>
      </c>
      <c r="M21" s="37"/>
      <c r="N21" s="31">
        <f t="shared" si="2"/>
        <v>1.6081147696039522E-2</v>
      </c>
      <c r="O21" s="31">
        <f t="shared" si="1"/>
        <v>1.6787023196405952E-2</v>
      </c>
    </row>
    <row r="22" spans="2:15" x14ac:dyDescent="0.3">
      <c r="B22" s="39" t="s">
        <v>137</v>
      </c>
      <c r="C22" s="53">
        <f>C16</f>
        <v>0.15570490079353089</v>
      </c>
      <c r="D22" s="54">
        <f t="shared" ref="D22:L22" si="3">D16</f>
        <v>0.18480201522338865</v>
      </c>
      <c r="E22" s="54">
        <f t="shared" si="3"/>
        <v>0.19045717966618131</v>
      </c>
      <c r="F22" s="54">
        <f t="shared" si="3"/>
        <v>0.19586023967674823</v>
      </c>
      <c r="G22" s="54">
        <f t="shared" si="3"/>
        <v>0.19018085500381024</v>
      </c>
      <c r="H22" s="54">
        <f t="shared" si="3"/>
        <v>0.19740787827420589</v>
      </c>
      <c r="I22" s="54">
        <f t="shared" si="3"/>
        <v>0.19906479686488437</v>
      </c>
      <c r="J22" s="54">
        <f t="shared" si="3"/>
        <v>0.17914307823891171</v>
      </c>
      <c r="K22" s="54">
        <f t="shared" si="3"/>
        <v>0.1657340772020362</v>
      </c>
      <c r="L22" s="54">
        <f t="shared" si="3"/>
        <v>0.19270280949850702</v>
      </c>
      <c r="M22" s="49"/>
      <c r="N22" s="48">
        <f t="shared" si="2"/>
        <v>0.18510578304422043</v>
      </c>
      <c r="O22" s="48">
        <f t="shared" si="1"/>
        <v>0.19031901733499579</v>
      </c>
    </row>
    <row r="23" spans="2:15" x14ac:dyDescent="0.3">
      <c r="B23" s="38"/>
      <c r="N23" s="32"/>
    </row>
    <row r="24" spans="2:15" x14ac:dyDescent="0.3">
      <c r="B24" s="40" t="s">
        <v>138</v>
      </c>
      <c r="C24" s="50">
        <f>IFERROR((HistoricalFS!C21-HistoricalFS!C27)/SUM(HistoricalFS!C51:C53),0)</f>
        <v>0.1832952941444313</v>
      </c>
      <c r="D24" s="44">
        <f>IFERROR((HistoricalFS!D21-HistoricalFS!D27)/SUM(HistoricalFS!D51:D53),0)</f>
        <v>0.21748150341991135</v>
      </c>
      <c r="E24" s="44">
        <f>IFERROR((HistoricalFS!E21-HistoricalFS!E27)/SUM(HistoricalFS!E51:E53),0)</f>
        <v>0.18974124142201107</v>
      </c>
      <c r="F24" s="44">
        <f>IFERROR((HistoricalFS!F21-HistoricalFS!F27)/SUM(HistoricalFS!F51:F53),0)</f>
        <v>0.19749577099042798</v>
      </c>
      <c r="G24" s="44">
        <f>IFERROR((HistoricalFS!G21-HistoricalFS!G27)/SUM(HistoricalFS!G51:G53),0)</f>
        <v>0.18420466955959119</v>
      </c>
      <c r="H24" s="44">
        <f>IFERROR((HistoricalFS!H21-HistoricalFS!H27)/SUM(HistoricalFS!H51:H53),0)</f>
        <v>0.17052329184290868</v>
      </c>
      <c r="I24" s="44">
        <f>IFERROR((HistoricalFS!I21-HistoricalFS!I27)/SUM(HistoricalFS!I51:I53),0)</f>
        <v>0.1942347386106362</v>
      </c>
      <c r="J24" s="44">
        <f>IFERROR((HistoricalFS!J21-HistoricalFS!J27)/SUM(HistoricalFS!J51:J53),0)</f>
        <v>0.16585258067897557</v>
      </c>
      <c r="K24" s="44">
        <f>IFERROR((HistoricalFS!K21-HistoricalFS!K27)/SUM(HistoricalFS!K51:K53),0)</f>
        <v>0.14787845731083404</v>
      </c>
      <c r="L24" s="44">
        <f>IFERROR((HistoricalFS!L21-HistoricalFS!L27)/SUM(HistoricalFS!L51:L53),0)</f>
        <v>0.17169581505830625</v>
      </c>
      <c r="M24" s="45"/>
      <c r="N24" s="44">
        <f t="shared" si="2"/>
        <v>0.18224033630380337</v>
      </c>
      <c r="O24" s="44">
        <f t="shared" si="1"/>
        <v>0.18374998185201125</v>
      </c>
    </row>
    <row r="25" spans="2:15" x14ac:dyDescent="0.3">
      <c r="B25" s="38" t="s">
        <v>139</v>
      </c>
      <c r="C25" s="51">
        <f>IFERROR(HistoricalFS!C47,0)</f>
        <v>0.79276526975271744</v>
      </c>
      <c r="D25" s="31">
        <f>IFERROR(HistoricalFS!D47,0)</f>
        <v>0.82081342778174349</v>
      </c>
      <c r="E25" s="31">
        <f>IFERROR(HistoricalFS!E47,0)</f>
        <v>0.58523774344652857</v>
      </c>
      <c r="F25" s="31">
        <f>IFERROR(HistoricalFS!F47,0)</f>
        <v>0.49566955363091314</v>
      </c>
      <c r="G25" s="31">
        <f>IFERROR(HistoricalFS!G47,0)</f>
        <v>0.48362784024894168</v>
      </c>
      <c r="H25" s="31">
        <f>IFERROR(HistoricalFS!H47,0)</f>
        <v>0.44156447163575774</v>
      </c>
      <c r="I25" s="31">
        <f>IFERROR(HistoricalFS!I47,0)</f>
        <v>1</v>
      </c>
      <c r="J25" s="31">
        <f>IFERROR(HistoricalFS!J47,0)</f>
        <v>1</v>
      </c>
      <c r="K25" s="31">
        <f>IFERROR(HistoricalFS!K47,0)</f>
        <v>1</v>
      </c>
      <c r="L25" s="31">
        <f>IFERROR(HistoricalFS!L47,0)</f>
        <v>1</v>
      </c>
      <c r="M25" s="37"/>
      <c r="N25" s="31">
        <f t="shared" si="2"/>
        <v>0.76196783064966023</v>
      </c>
      <c r="O25" s="31">
        <f t="shared" si="1"/>
        <v>0.80678934876723041</v>
      </c>
    </row>
    <row r="26" spans="2:15" x14ac:dyDescent="0.3">
      <c r="B26" s="38" t="s">
        <v>140</v>
      </c>
      <c r="C26" s="51">
        <f>IFERROR(HistoricalFS!C36/(SUM(HistoricalFS!C51:C52)),0)</f>
        <v>0.20957665710129936</v>
      </c>
      <c r="D26" s="31">
        <f>IFERROR(HistoricalFS!D36/(SUM(HistoricalFS!D51:D52)),0)</f>
        <v>0.25607458237246167</v>
      </c>
      <c r="E26" s="31">
        <f>IFERROR(HistoricalFS!E36/(SUM(HistoricalFS!E51:E52)),0)</f>
        <v>0.23232772847725802</v>
      </c>
      <c r="F26" s="31">
        <f>IFERROR(HistoricalFS!F36/(SUM(HistoricalFS!F51:F52)),0)</f>
        <v>0.21585699653740401</v>
      </c>
      <c r="G26" s="31">
        <f>IFERROR(HistoricalFS!G36/(SUM(HistoricalFS!G51:G52)),0)</f>
        <v>0.27240976920070681</v>
      </c>
      <c r="H26" s="31">
        <f>IFERROR(HistoricalFS!H36/(SUM(HistoricalFS!H51:H52)),0)</f>
        <v>0.18542077089421094</v>
      </c>
      <c r="I26" s="31">
        <f>IFERROR(HistoricalFS!I36/(SUM(HistoricalFS!I51:I52)),0)</f>
        <v>0.17991715136297676</v>
      </c>
      <c r="J26" s="31">
        <f>IFERROR(HistoricalFS!J36/(SUM(HistoricalFS!J51:J52)),0)</f>
        <v>0.14755368023170781</v>
      </c>
      <c r="K26" s="31">
        <f>IFERROR(HistoricalFS!K36/(SUM(HistoricalFS!K51:K52)),0)</f>
        <v>0.11513219657784436</v>
      </c>
      <c r="L26" s="31">
        <f>IFERROR(HistoricalFS!L36/(SUM(HistoricalFS!L51:L52)),0)</f>
        <v>0.13080929026072005</v>
      </c>
      <c r="M26" s="37"/>
      <c r="N26" s="31">
        <f t="shared" si="2"/>
        <v>0.194507882301659</v>
      </c>
      <c r="O26" s="31">
        <f t="shared" si="1"/>
        <v>0.19749871399775515</v>
      </c>
    </row>
    <row r="27" spans="2:15" x14ac:dyDescent="0.3">
      <c r="B27" s="38" t="s">
        <v>141</v>
      </c>
      <c r="C27" s="51">
        <f>IFERROR(C25*C26,0)</f>
        <v>0.16614509510078435</v>
      </c>
      <c r="D27" s="31">
        <f t="shared" ref="D27:L27" si="4">IFERROR(D25*D26,0)</f>
        <v>0.21018945572491868</v>
      </c>
      <c r="E27" s="31">
        <f t="shared" si="4"/>
        <v>0.13596695555408828</v>
      </c>
      <c r="F27" s="31">
        <f t="shared" si="4"/>
        <v>0.10699374112180461</v>
      </c>
      <c r="G27" s="31">
        <f t="shared" si="4"/>
        <v>0.1317449483412505</v>
      </c>
      <c r="H27" s="31">
        <f t="shared" si="4"/>
        <v>8.1875224730197135E-2</v>
      </c>
      <c r="I27" s="31">
        <f t="shared" si="4"/>
        <v>0.17991715136297676</v>
      </c>
      <c r="J27" s="31">
        <f t="shared" si="4"/>
        <v>0.14755368023170781</v>
      </c>
      <c r="K27" s="31">
        <f t="shared" si="4"/>
        <v>0.11513219657784436</v>
      </c>
      <c r="L27" s="31">
        <f t="shared" si="4"/>
        <v>0.13080929026072005</v>
      </c>
      <c r="M27" s="37"/>
      <c r="N27" s="31">
        <f t="shared" si="2"/>
        <v>0.14063277390062928</v>
      </c>
      <c r="O27" s="31">
        <f t="shared" si="1"/>
        <v>0.13385595194766939</v>
      </c>
    </row>
    <row r="28" spans="2:15" x14ac:dyDescent="0.3">
      <c r="B28" s="39" t="s">
        <v>142</v>
      </c>
      <c r="C28" s="55">
        <f>IFERROR((HistoricalFS!C21-HistoricalFS!C27)/HistoricalFS!C24,0)</f>
        <v>11.454472701404946</v>
      </c>
      <c r="D28" s="56">
        <f>IFERROR((HistoricalFS!D21-HistoricalFS!D27)/HistoricalFS!D24,0)</f>
        <v>12.158309903155258</v>
      </c>
      <c r="E28" s="56">
        <f>IFERROR((HistoricalFS!E21-HistoricalFS!E27)/HistoricalFS!E24,0)</f>
        <v>11.447824113107195</v>
      </c>
      <c r="F28" s="56">
        <f>IFERROR((HistoricalFS!F21-HistoricalFS!F27)/HistoricalFS!F24,0)</f>
        <v>11.140942698706105</v>
      </c>
      <c r="G28" s="56">
        <f>IFERROR((HistoricalFS!G21-HistoricalFS!G27)/HistoricalFS!G24,0)</f>
        <v>8.2347088703245035</v>
      </c>
      <c r="H28" s="56">
        <f>IFERROR((HistoricalFS!H21-HistoricalFS!H27)/HistoricalFS!H24,0)</f>
        <v>8.5761188795861987</v>
      </c>
      <c r="I28" s="56">
        <f>IFERROR((HistoricalFS!I21-HistoricalFS!I27)/HistoricalFS!I24,0)</f>
        <v>15.949219033781338</v>
      </c>
      <c r="J28" s="56">
        <f>IFERROR((HistoricalFS!J21-HistoricalFS!J27)/HistoricalFS!J24,0)</f>
        <v>17.988303615246192</v>
      </c>
      <c r="K28" s="56">
        <f>IFERROR((HistoricalFS!K21-HistoricalFS!K27)/HistoricalFS!K24,0)</f>
        <v>11.708987691001688</v>
      </c>
      <c r="L28" s="56">
        <f>IFERROR((HistoricalFS!L21-HistoricalFS!L27)/HistoricalFS!L24,0)</f>
        <v>8.7746228639726063</v>
      </c>
      <c r="M28" s="49"/>
      <c r="N28" s="56">
        <f t="shared" si="2"/>
        <v>11.743351037028603</v>
      </c>
      <c r="O28" s="56">
        <f t="shared" si="1"/>
        <v>11.451148407256071</v>
      </c>
    </row>
    <row r="29" spans="2:15" x14ac:dyDescent="0.3">
      <c r="B29" s="38"/>
      <c r="N29" s="32"/>
    </row>
    <row r="30" spans="2:15" x14ac:dyDescent="0.3">
      <c r="B30" s="40" t="s">
        <v>143</v>
      </c>
      <c r="C30" s="57">
        <f>IFERROR(HistoricalFS!C9/HistoricalFS!C63,0)</f>
        <v>10.282569787963906</v>
      </c>
      <c r="D30" s="58">
        <f>IFERROR(HistoricalFS!D9/HistoricalFS!D63,0)</f>
        <v>7.5347089918694818</v>
      </c>
      <c r="E30" s="58">
        <f>IFERROR(HistoricalFS!E9/HistoricalFS!E63,0)</f>
        <v>9.0089915819351827</v>
      </c>
      <c r="F30" s="58">
        <f>IFERROR(HistoricalFS!F9/HistoricalFS!F63,0)</f>
        <v>7.9064070654355687</v>
      </c>
      <c r="G30" s="58">
        <f>IFERROR(HistoricalFS!G9/HistoricalFS!G63,0)</f>
        <v>7.9776780880191813</v>
      </c>
      <c r="H30" s="58">
        <f>IFERROR(HistoricalFS!H9/HistoricalFS!H63,0)</f>
        <v>8.5640959170447175</v>
      </c>
      <c r="I30" s="58">
        <f>IFERROR(HistoricalFS!I9/HistoricalFS!I63,0)</f>
        <v>10.979213539074166</v>
      </c>
      <c r="J30" s="58">
        <f>IFERROR(HistoricalFS!J9/HistoricalFS!J63,0)</f>
        <v>10.997294682528308</v>
      </c>
      <c r="K30" s="58">
        <f>IFERROR(HistoricalFS!K9/HistoricalFS!K63,0)</f>
        <v>10.693153347038416</v>
      </c>
      <c r="L30" s="58">
        <f>IFERROR(HistoricalFS!L9/HistoricalFS!L63,0)</f>
        <v>9.1809205598650507</v>
      </c>
      <c r="M30" s="45"/>
      <c r="N30" s="58">
        <f t="shared" si="2"/>
        <v>9.3125033560773964</v>
      </c>
      <c r="O30" s="58">
        <f t="shared" si="1"/>
        <v>9.0949560709001176</v>
      </c>
    </row>
    <row r="31" spans="2:15" x14ac:dyDescent="0.3">
      <c r="B31" s="38" t="s">
        <v>144</v>
      </c>
      <c r="C31" s="59">
        <f>IFERROR(HistoricalFS!C9/HistoricalFS!C54,0)</f>
        <v>3.9448926653887604</v>
      </c>
      <c r="D31" s="60">
        <f>IFERROR(HistoricalFS!D9/HistoricalFS!D54,0)</f>
        <v>3.3419342553140843</v>
      </c>
      <c r="E31" s="60">
        <f>IFERROR(HistoricalFS!E9/HistoricalFS!E54,0)</f>
        <v>2.5479700992750258</v>
      </c>
      <c r="F31" s="60">
        <f>IFERROR(HistoricalFS!F9/HistoricalFS!F54,0)</f>
        <v>2.4030488861340835</v>
      </c>
      <c r="G31" s="60">
        <f>IFERROR(HistoricalFS!G9/HistoricalFS!G54,0)</f>
        <v>2.9943679635833687</v>
      </c>
      <c r="H31" s="60">
        <f>IFERROR(HistoricalFS!H9/HistoricalFS!H54,0)</f>
        <v>2.9089948487650243</v>
      </c>
      <c r="I31" s="60">
        <f>IFERROR(HistoricalFS!I9/HistoricalFS!I54,0)</f>
        <v>3.7500578050405999</v>
      </c>
      <c r="J31" s="60">
        <f>IFERROR(HistoricalFS!J9/HistoricalFS!J54,0)</f>
        <v>4.3505147332423766</v>
      </c>
      <c r="K31" s="60">
        <f>IFERROR(HistoricalFS!K9/HistoricalFS!K54,0)</f>
        <v>5.2978853766734968</v>
      </c>
      <c r="L31" s="60">
        <f>IFERROR(HistoricalFS!L9/HistoricalFS!L54,0)</f>
        <v>5.4820733400484585</v>
      </c>
      <c r="M31" s="37"/>
      <c r="N31" s="60">
        <f t="shared" si="2"/>
        <v>3.7021739973465282</v>
      </c>
      <c r="O31" s="60">
        <f t="shared" si="1"/>
        <v>3.5459960301773421</v>
      </c>
    </row>
    <row r="32" spans="2:15" x14ac:dyDescent="0.3">
      <c r="B32" s="38" t="s">
        <v>145</v>
      </c>
      <c r="C32" s="59">
        <f>IFERROR(HistoricalFS!C9/HistoricalFS!C64,0)</f>
        <v>7.7195789905851386</v>
      </c>
      <c r="D32" s="60">
        <f>IFERROR(HistoricalFS!D9/HistoricalFS!D64,0)</f>
        <v>6.4453013818115039</v>
      </c>
      <c r="E32" s="60">
        <f>IFERROR(HistoricalFS!E9/HistoricalFS!E64,0)</f>
        <v>6.5613522123893802</v>
      </c>
      <c r="F32" s="60">
        <f>IFERROR(HistoricalFS!F9/HistoricalFS!F64,0)</f>
        <v>6.2415574373146061</v>
      </c>
      <c r="G32" s="60">
        <f>IFERROR(HistoricalFS!G9/HistoricalFS!G64,0)</f>
        <v>6.6177378271386322</v>
      </c>
      <c r="H32" s="60">
        <f>IFERROR(HistoricalFS!H9/HistoricalFS!H64,0)</f>
        <v>5.8192024049978865</v>
      </c>
      <c r="I32" s="60">
        <f>IFERROR(HistoricalFS!I9/HistoricalFS!I64,0)</f>
        <v>6.4259985433357611</v>
      </c>
      <c r="J32" s="60">
        <f>IFERROR(HistoricalFS!J9/HistoricalFS!J64,0)</f>
        <v>5.7640209404418155</v>
      </c>
      <c r="K32" s="60">
        <f>IFERROR(HistoricalFS!K9/HistoricalFS!K64,0)</f>
        <v>8.6627655075952248</v>
      </c>
      <c r="L32" s="60">
        <f>IFERROR(HistoricalFS!L9/HistoricalFS!L64,0)</f>
        <v>11.091264595725931</v>
      </c>
      <c r="M32" s="37"/>
      <c r="N32" s="60">
        <f t="shared" si="2"/>
        <v>7.1348779841335883</v>
      </c>
      <c r="O32" s="60">
        <f t="shared" si="1"/>
        <v>6.503326797100442</v>
      </c>
    </row>
    <row r="33" spans="2:15" x14ac:dyDescent="0.3">
      <c r="B33" s="38" t="s">
        <v>146</v>
      </c>
      <c r="C33" s="59">
        <f>IFERROR(HistoricalFS!C9/HistoricalFS!C57,0)</f>
        <v>1.4904025437087345</v>
      </c>
      <c r="D33" s="60">
        <f>IFERROR(HistoricalFS!D9/HistoricalFS!D57,0)</f>
        <v>1.4202154293835698</v>
      </c>
      <c r="E33" s="60">
        <f>IFERROR(HistoricalFS!E9/HistoricalFS!E57,0)</f>
        <v>1.1466084531646477</v>
      </c>
      <c r="F33" s="60">
        <f>IFERROR(HistoricalFS!F9/HistoricalFS!F57,0)</f>
        <v>1.1842970535177391</v>
      </c>
      <c r="G33" s="60">
        <f>IFERROR(HistoricalFS!G9/HistoricalFS!G57,0)</f>
        <v>1.1896229178825086</v>
      </c>
      <c r="H33" s="60">
        <f>IFERROR(HistoricalFS!H9/HistoricalFS!H57,0)</f>
        <v>1.0735966375630999</v>
      </c>
      <c r="I33" s="60">
        <f>IFERROR(HistoricalFS!I9/HistoricalFS!I57,0)</f>
        <v>1.2385070024267892</v>
      </c>
      <c r="J33" s="60">
        <f>IFERROR(HistoricalFS!J9/HistoricalFS!J57,0)</f>
        <v>1.331608690464569</v>
      </c>
      <c r="K33" s="60">
        <f>IFERROR(HistoricalFS!K9/HistoricalFS!K57,0)</f>
        <v>1.34048980939553</v>
      </c>
      <c r="L33" s="60">
        <f>IFERROR(HistoricalFS!L9/HistoricalFS!L57,0)</f>
        <v>1.3501710688643174</v>
      </c>
      <c r="M33" s="37"/>
      <c r="N33" s="60">
        <f t="shared" si="2"/>
        <v>1.2765519606371505</v>
      </c>
      <c r="O33" s="60">
        <f t="shared" si="1"/>
        <v>1.285057846445679</v>
      </c>
    </row>
    <row r="34" spans="2:15" x14ac:dyDescent="0.3">
      <c r="B34" s="39" t="s">
        <v>147</v>
      </c>
      <c r="C34" s="55">
        <f>IFERROR(HistoricalFS!C9/(SUM(HistoricalFS!C51:C52)),0)</f>
        <v>1.9192171090939039</v>
      </c>
      <c r="D34" s="56">
        <f>IFERROR(HistoricalFS!D9/(SUM(HistoricalFS!D51:D52)),0)</f>
        <v>1.974211147983576</v>
      </c>
      <c r="E34" s="56">
        <f>IFERROR(HistoricalFS!E9/(SUM(HistoricalFS!E51:E52)),0)</f>
        <v>1.7480191250389006</v>
      </c>
      <c r="F34" s="56">
        <f>IFERROR(HistoricalFS!F9/(SUM(HistoricalFS!F51:F52)),0)</f>
        <v>1.5734966788158464</v>
      </c>
      <c r="G34" s="56">
        <f>IFERROR(HistoricalFS!G9/(SUM(HistoricalFS!G51:G52)),0)</f>
        <v>1.4193551050513835</v>
      </c>
      <c r="H34" s="56">
        <f>IFERROR(HistoricalFS!H9/(SUM(HistoricalFS!H51:H52)),0)</f>
        <v>1.2547921340632739</v>
      </c>
      <c r="I34" s="56">
        <f>IFERROR(HistoricalFS!I9/(SUM(HistoricalFS!I51:I52)),0)</f>
        <v>1.1684221678373541</v>
      </c>
      <c r="J34" s="56">
        <f>IFERROR(HistoricalFS!J9/(SUM(HistoricalFS!J51:J52)),0)</f>
        <v>1.0623549986889849</v>
      </c>
      <c r="K34" s="56">
        <f>IFERROR(HistoricalFS!K9/(SUM(HistoricalFS!K51:K52)),0)</f>
        <v>0.96532898175541515</v>
      </c>
      <c r="L34" s="56">
        <f>IFERROR(HistoricalFS!L9/(SUM(HistoricalFS!L51:L52)),0)</f>
        <v>1.1188658712853918</v>
      </c>
      <c r="M34" s="49"/>
      <c r="N34" s="56">
        <f t="shared" si="2"/>
        <v>1.4204063319614031</v>
      </c>
      <c r="O34" s="56">
        <f t="shared" si="1"/>
        <v>1.3370736195573287</v>
      </c>
    </row>
    <row r="35" spans="2:15" x14ac:dyDescent="0.3">
      <c r="B35" s="38"/>
      <c r="N35" s="32"/>
    </row>
    <row r="36" spans="2:15" x14ac:dyDescent="0.3">
      <c r="B36" s="40" t="s">
        <v>148</v>
      </c>
      <c r="C36" s="61">
        <f>IFERROR(365/C30,0)</f>
        <v>35.496963067271835</v>
      </c>
      <c r="D36" s="62">
        <f t="shared" ref="D36:L38" si="5">IFERROR(365/D30,0)</f>
        <v>48.442481374378559</v>
      </c>
      <c r="E36" s="62">
        <f t="shared" si="5"/>
        <v>40.515078372578067</v>
      </c>
      <c r="F36" s="62">
        <f t="shared" si="5"/>
        <v>46.165090790185864</v>
      </c>
      <c r="G36" s="62">
        <f t="shared" si="5"/>
        <v>45.752660858571659</v>
      </c>
      <c r="H36" s="62">
        <f t="shared" si="5"/>
        <v>42.619793558542199</v>
      </c>
      <c r="I36" s="62">
        <f t="shared" si="5"/>
        <v>33.244639855213073</v>
      </c>
      <c r="J36" s="62">
        <f t="shared" si="5"/>
        <v>33.189980857736323</v>
      </c>
      <c r="K36" s="62">
        <f t="shared" si="5"/>
        <v>34.133990989766424</v>
      </c>
      <c r="L36" s="62">
        <f t="shared" si="5"/>
        <v>39.756361861534842</v>
      </c>
      <c r="M36" s="45"/>
      <c r="N36" s="62">
        <f t="shared" si="2"/>
        <v>39.931704158577887</v>
      </c>
      <c r="O36" s="62">
        <f t="shared" si="1"/>
        <v>40.135720117056451</v>
      </c>
    </row>
    <row r="37" spans="2:15" x14ac:dyDescent="0.3">
      <c r="B37" s="38" t="s">
        <v>149</v>
      </c>
      <c r="C37" s="63">
        <f>IFERROR(365/C31,0)</f>
        <v>92.524697364365437</v>
      </c>
      <c r="D37" s="64">
        <f t="shared" si="5"/>
        <v>109.21818686875882</v>
      </c>
      <c r="E37" s="64">
        <f t="shared" si="5"/>
        <v>143.25128858609978</v>
      </c>
      <c r="F37" s="64">
        <f t="shared" si="5"/>
        <v>151.89037647386172</v>
      </c>
      <c r="G37" s="64">
        <f t="shared" si="5"/>
        <v>121.89550664414786</v>
      </c>
      <c r="H37" s="64">
        <f t="shared" si="5"/>
        <v>125.4728932074101</v>
      </c>
      <c r="I37" s="64">
        <f t="shared" si="5"/>
        <v>97.331832994517896</v>
      </c>
      <c r="J37" s="64">
        <f t="shared" si="5"/>
        <v>83.898118356209011</v>
      </c>
      <c r="K37" s="64">
        <f t="shared" si="5"/>
        <v>68.895412801320518</v>
      </c>
      <c r="L37" s="64">
        <f t="shared" si="5"/>
        <v>66.580648845674432</v>
      </c>
      <c r="M37" s="37"/>
      <c r="N37" s="64">
        <f t="shared" si="2"/>
        <v>106.09589621423656</v>
      </c>
      <c r="O37" s="64">
        <f t="shared" si="1"/>
        <v>103.27500993163835</v>
      </c>
    </row>
    <row r="38" spans="2:15" x14ac:dyDescent="0.3">
      <c r="B38" s="38" t="s">
        <v>150</v>
      </c>
      <c r="C38" s="63">
        <f>IFERROR(365/C32,0)</f>
        <v>47.282371285423331</v>
      </c>
      <c r="D38" s="64">
        <f t="shared" si="5"/>
        <v>56.630400717958949</v>
      </c>
      <c r="E38" s="64">
        <f t="shared" si="5"/>
        <v>55.628777146087955</v>
      </c>
      <c r="F38" s="64">
        <f t="shared" si="5"/>
        <v>58.478994011635521</v>
      </c>
      <c r="G38" s="64">
        <f t="shared" si="5"/>
        <v>55.154799046764012</v>
      </c>
      <c r="H38" s="64">
        <f t="shared" si="5"/>
        <v>62.723372482544292</v>
      </c>
      <c r="I38" s="64">
        <f t="shared" si="5"/>
        <v>56.80051085267241</v>
      </c>
      <c r="J38" s="64">
        <f t="shared" si="5"/>
        <v>63.32385044597401</v>
      </c>
      <c r="K38" s="64">
        <f t="shared" si="5"/>
        <v>42.134350708209766</v>
      </c>
      <c r="L38" s="64">
        <f t="shared" si="5"/>
        <v>32.908781216945663</v>
      </c>
      <c r="M38" s="37"/>
      <c r="N38" s="64">
        <f t="shared" si="2"/>
        <v>53.106620791421584</v>
      </c>
      <c r="O38" s="64">
        <f t="shared" si="1"/>
        <v>56.129588932023452</v>
      </c>
    </row>
    <row r="39" spans="2:15" x14ac:dyDescent="0.3">
      <c r="B39" s="39" t="s">
        <v>151</v>
      </c>
      <c r="C39" s="65">
        <f>IFERROR(SUM(C36,C38)-C37,0)</f>
        <v>-9.7453630116702641</v>
      </c>
      <c r="D39" s="66">
        <f t="shared" ref="D39:L39" si="6">IFERROR(SUM(D36,D38)-D37,0)</f>
        <v>-4.1453047764213125</v>
      </c>
      <c r="E39" s="66">
        <f t="shared" si="6"/>
        <v>-47.10743306743376</v>
      </c>
      <c r="F39" s="66">
        <f t="shared" si="6"/>
        <v>-47.246291672040343</v>
      </c>
      <c r="G39" s="66">
        <f t="shared" si="6"/>
        <v>-20.988046738812187</v>
      </c>
      <c r="H39" s="66">
        <f t="shared" si="6"/>
        <v>-20.129727166323605</v>
      </c>
      <c r="I39" s="66">
        <f t="shared" si="6"/>
        <v>-7.2866822866324128</v>
      </c>
      <c r="J39" s="66">
        <f t="shared" si="6"/>
        <v>12.615712947501322</v>
      </c>
      <c r="K39" s="66">
        <f t="shared" si="6"/>
        <v>7.3729288966556652</v>
      </c>
      <c r="L39" s="66">
        <f t="shared" si="6"/>
        <v>6.0844942328060654</v>
      </c>
      <c r="M39" s="49"/>
      <c r="N39" s="66">
        <f t="shared" si="2"/>
        <v>-13.057571264237087</v>
      </c>
      <c r="O39" s="66">
        <f t="shared" si="1"/>
        <v>-8.5160226491513384</v>
      </c>
    </row>
    <row r="40" spans="2:15" x14ac:dyDescent="0.3">
      <c r="B40" s="38"/>
      <c r="N40" s="32"/>
    </row>
    <row r="41" spans="2:15" x14ac:dyDescent="0.3">
      <c r="B41" s="40" t="s">
        <v>152</v>
      </c>
      <c r="C41" s="50">
        <f>IFERROR(HistoricalFS!C82/HistoricalFS!C9,0)</f>
        <v>0.11688413723914108</v>
      </c>
      <c r="D41" s="44">
        <f>IFERROR(HistoricalFS!D82/HistoricalFS!D9,0)</f>
        <v>4.7840187656994167E-2</v>
      </c>
      <c r="E41" s="44">
        <f>IFERROR(HistoricalFS!E82/HistoricalFS!E9,0)</f>
        <v>0.23964410530529537</v>
      </c>
      <c r="F41" s="44">
        <f>IFERROR(HistoricalFS!F82/HistoricalFS!F9,0)</f>
        <v>0.17496950981118931</v>
      </c>
      <c r="G41" s="44">
        <f>IFERROR(HistoricalFS!G82/HistoricalFS!G9,0)</f>
        <v>0.16937583985015037</v>
      </c>
      <c r="H41" s="44">
        <f>IFERROR(HistoricalFS!H82/HistoricalFS!H9,0)</f>
        <v>0.13470153771643056</v>
      </c>
      <c r="I41" s="44">
        <f>IFERROR(HistoricalFS!I82/HistoricalFS!I9,0)</f>
        <v>0.17998625394654996</v>
      </c>
      <c r="J41" s="44">
        <f>IFERROR(HistoricalFS!J82/HistoricalFS!J9,0)</f>
        <v>7.4451187227630028E-2</v>
      </c>
      <c r="K41" s="44">
        <f>IFERROR(HistoricalFS!K82/HistoricalFS!K9,0)</f>
        <v>0.16859455225567496</v>
      </c>
      <c r="L41" s="44">
        <f>IFERROR(HistoricalFS!L82/HistoricalFS!L9,0)</f>
        <v>0.11449967402354266</v>
      </c>
      <c r="M41" s="45"/>
      <c r="N41" s="44">
        <f t="shared" si="2"/>
        <v>0.14209469850325984</v>
      </c>
      <c r="O41" s="44">
        <f t="shared" si="1"/>
        <v>0.15164804498605278</v>
      </c>
    </row>
    <row r="42" spans="2:15" x14ac:dyDescent="0.3">
      <c r="B42" s="38" t="s">
        <v>153</v>
      </c>
      <c r="C42" s="51">
        <f>IFERROR(HistoricalFS!C82/HistoricalFS!C68,0)</f>
        <v>0.10597237047151679</v>
      </c>
      <c r="D42" s="31">
        <f>IFERROR(HistoricalFS!D82/HistoricalFS!D68,0)</f>
        <v>4.1637651181868712E-2</v>
      </c>
      <c r="E42" s="31">
        <f>IFERROR(HistoricalFS!E82/HistoricalFS!E68,0)</f>
        <v>0.17163501477946716</v>
      </c>
      <c r="F42" s="31">
        <f>IFERROR(HistoricalFS!F82/HistoricalFS!F68,0)</f>
        <v>0.12428076922799498</v>
      </c>
      <c r="G42" s="31">
        <f>IFERROR(HistoricalFS!G82/HistoricalFS!G68,0)</f>
        <v>0.12395741314289162</v>
      </c>
      <c r="H42" s="31">
        <f>IFERROR(HistoricalFS!H82/HistoricalFS!H68,0)</f>
        <v>8.9716053730171746E-2</v>
      </c>
      <c r="I42" s="31">
        <f>IFERROR(HistoricalFS!I82/HistoricalFS!I68,0)</f>
        <v>0.13935897678918321</v>
      </c>
      <c r="J42" s="31">
        <f>IFERROR(HistoricalFS!J82/HistoricalFS!J68,0)</f>
        <v>5.6833303071983046E-2</v>
      </c>
      <c r="K42" s="31">
        <f>IFERROR(HistoricalFS!K82/HistoricalFS!K68,0)</f>
        <v>0.12874729171899715</v>
      </c>
      <c r="L42" s="31">
        <f>IFERROR(HistoricalFS!L82/HistoricalFS!L68,0)</f>
        <v>8.7755164179364159E-2</v>
      </c>
      <c r="M42" s="37"/>
      <c r="N42" s="31">
        <f t="shared" si="2"/>
        <v>0.10698940082934386</v>
      </c>
      <c r="O42" s="31">
        <f t="shared" si="1"/>
        <v>0.11496489180720421</v>
      </c>
    </row>
    <row r="43" spans="2:15" x14ac:dyDescent="0.3">
      <c r="B43" s="41" t="s">
        <v>154</v>
      </c>
      <c r="C43" s="52">
        <f>IFERROR(HistoricalFS!C82/HistoricalFS!C53,0)</f>
        <v>0.35588760281913034</v>
      </c>
      <c r="D43" s="48">
        <f>IFERROR(HistoricalFS!D82/HistoricalFS!D53,0)</f>
        <v>0.13939234621876642</v>
      </c>
      <c r="E43" s="48">
        <f>IFERROR(HistoricalFS!E82/HistoricalFS!E53,0)</f>
        <v>0.555120934382756</v>
      </c>
      <c r="F43" s="48">
        <f>IFERROR(HistoricalFS!F82/HistoricalFS!F53,0)</f>
        <v>0.49122326853063514</v>
      </c>
      <c r="G43" s="48">
        <f>IFERROR(HistoricalFS!G82/HistoricalFS!G53,0)</f>
        <v>0.51655061279401548</v>
      </c>
      <c r="H43" s="48">
        <f>IFERROR(HistoricalFS!H82/HistoricalFS!H53,0)</f>
        <v>0.37342970710243722</v>
      </c>
      <c r="I43" s="48">
        <f>IFERROR(HistoricalFS!I82/HistoricalFS!I53,0)</f>
        <v>1.064931302542423</v>
      </c>
      <c r="J43" s="48">
        <f>IFERROR(HistoricalFS!J82/HistoricalFS!J53,0)</f>
        <v>0.53627797270497668</v>
      </c>
      <c r="K43" s="48">
        <f>IFERROR(HistoricalFS!K82/HistoricalFS!K53,0)</f>
        <v>1.9874643672869563</v>
      </c>
      <c r="L43" s="48">
        <f>IFERROR(HistoricalFS!L82/HistoricalFS!L53,0)</f>
        <v>0.50090000620693942</v>
      </c>
      <c r="M43" s="49"/>
      <c r="N43" s="48">
        <f t="shared" si="2"/>
        <v>0.65211781205890362</v>
      </c>
      <c r="O43" s="48">
        <f t="shared" si="1"/>
        <v>0.50872530950047745</v>
      </c>
    </row>
  </sheetData>
  <mergeCells count="3">
    <mergeCell ref="B5:O5"/>
    <mergeCell ref="B2:G2"/>
    <mergeCell ref="B3:E3"/>
  </mergeCells>
  <printOptions horizontalCentered="1" verticalCentered="1"/>
  <pageMargins left="0.23622047244094491" right="0.23622047244094491" top="0.74803149606299213" bottom="0.74803149606299213" header="0.31496062992125984" footer="0.31496062992125984"/>
  <pageSetup paperSize="9" scale="91" fitToHeight="0" orientation="landscape" r:id="rId1"/>
  <drawing r:id="rId2"/>
  <extLst>
    <ext xmlns:x14="http://schemas.microsoft.com/office/spreadsheetml/2009/9/main" uri="{05C60535-1F16-4fd2-B633-F4F36F0B64E0}">
      <x14:sparklineGroups xmlns:xm="http://schemas.microsoft.com/office/excel/2006/main">
        <x14:sparklineGroup displayEmptyCellsAs="gap" markers="1" xr2:uid="{FA8057A5-A854-4061-A3CF-0E0762B286CA}">
          <x14:colorSeries rgb="FFB50C59"/>
          <x14:colorNegative rgb="FFD00000"/>
          <x14:colorAxis rgb="FF000000"/>
          <x14:colorMarkers rgb="FFC00000"/>
          <x14:colorFirst rgb="FFD00000"/>
          <x14:colorLast rgb="FFD00000"/>
          <x14:colorHigh rgb="FFD00000"/>
          <x14:colorLow rgb="FFD00000"/>
          <x14:sparklines>
            <x14:sparkline>
              <xm:f>'Ratio Analysis'!D8:L8</xm:f>
              <xm:sqref>M8</xm:sqref>
            </x14:sparkline>
            <x14:sparkline>
              <xm:f>'Ratio Analysis'!D9:L9</xm:f>
              <xm:sqref>M9</xm:sqref>
            </x14:sparkline>
            <x14:sparkline>
              <xm:f>'Ratio Analysis'!D10:L10</xm:f>
              <xm:sqref>M10</xm:sqref>
            </x14:sparkline>
            <x14:sparkline>
              <xm:f>'Ratio Analysis'!D11:L11</xm:f>
              <xm:sqref>M11</xm:sqref>
            </x14:sparkline>
            <x14:sparkline>
              <xm:f>'Ratio Analysis'!D12:L12</xm:f>
              <xm:sqref>M12</xm:sqref>
            </x14:sparkline>
          </x14:sparklines>
        </x14:sparklineGroup>
        <x14:sparklineGroup displayEmptyCellsAs="gap" markers="1" xr2:uid="{9BF20130-F706-4160-98FA-C4188696EB54}">
          <x14:colorSeries rgb="FFB50C59"/>
          <x14:colorNegative rgb="FFD00000"/>
          <x14:colorAxis rgb="FF000000"/>
          <x14:colorMarkers rgb="FFC00000"/>
          <x14:colorFirst rgb="FFD00000"/>
          <x14:colorLast rgb="FFD00000"/>
          <x14:colorHigh rgb="FFD00000"/>
          <x14:colorLow rgb="FFD00000"/>
          <x14:sparklines>
            <x14:sparkline>
              <xm:f>'Ratio Analysis'!C14:L14</xm:f>
              <xm:sqref>M14</xm:sqref>
            </x14:sparkline>
            <x14:sparkline>
              <xm:f>'Ratio Analysis'!C15:L15</xm:f>
              <xm:sqref>M15</xm:sqref>
            </x14:sparkline>
            <x14:sparkline>
              <xm:f>'Ratio Analysis'!C16:L16</xm:f>
              <xm:sqref>M16</xm:sqref>
            </x14:sparkline>
            <x14:sparkline>
              <xm:f>'Ratio Analysis'!C17:L17</xm:f>
              <xm:sqref>M17</xm:sqref>
            </x14:sparkline>
            <x14:sparkline>
              <xm:f>'Ratio Analysis'!C18:L18</xm:f>
              <xm:sqref>M18</xm:sqref>
            </x14:sparkline>
            <x14:sparkline>
              <xm:f>'Ratio Analysis'!C19:L19</xm:f>
              <xm:sqref>M19</xm:sqref>
            </x14:sparkline>
            <x14:sparkline>
              <xm:f>'Ratio Analysis'!C20:L20</xm:f>
              <xm:sqref>M20</xm:sqref>
            </x14:sparkline>
            <x14:sparkline>
              <xm:f>'Ratio Analysis'!C21:L21</xm:f>
              <xm:sqref>M21</xm:sqref>
            </x14:sparkline>
            <x14:sparkline>
              <xm:f>'Ratio Analysis'!C22:L22</xm:f>
              <xm:sqref>M22</xm:sqref>
            </x14:sparkline>
            <x14:sparkline>
              <xm:f>'Ratio Analysis'!C23:L23</xm:f>
              <xm:sqref>M23</xm:sqref>
            </x14:sparkline>
            <x14:sparkline>
              <xm:f>'Ratio Analysis'!C24:L24</xm:f>
              <xm:sqref>M24</xm:sqref>
            </x14:sparkline>
            <x14:sparkline>
              <xm:f>'Ratio Analysis'!C25:L25</xm:f>
              <xm:sqref>M25</xm:sqref>
            </x14:sparkline>
            <x14:sparkline>
              <xm:f>'Ratio Analysis'!C26:L26</xm:f>
              <xm:sqref>M26</xm:sqref>
            </x14:sparkline>
            <x14:sparkline>
              <xm:f>'Ratio Analysis'!C27:L27</xm:f>
              <xm:sqref>M27</xm:sqref>
            </x14:sparkline>
            <x14:sparkline>
              <xm:f>'Ratio Analysis'!C28:L28</xm:f>
              <xm:sqref>M28</xm:sqref>
            </x14:sparkline>
            <x14:sparkline>
              <xm:f>'Ratio Analysis'!C29:L29</xm:f>
              <xm:sqref>M29</xm:sqref>
            </x14:sparkline>
            <x14:sparkline>
              <xm:f>'Ratio Analysis'!C30:L30</xm:f>
              <xm:sqref>M30</xm:sqref>
            </x14:sparkline>
            <x14:sparkline>
              <xm:f>'Ratio Analysis'!C31:L31</xm:f>
              <xm:sqref>M31</xm:sqref>
            </x14:sparkline>
            <x14:sparkline>
              <xm:f>'Ratio Analysis'!C32:L32</xm:f>
              <xm:sqref>M32</xm:sqref>
            </x14:sparkline>
            <x14:sparkline>
              <xm:f>'Ratio Analysis'!C33:L33</xm:f>
              <xm:sqref>M33</xm:sqref>
            </x14:sparkline>
            <x14:sparkline>
              <xm:f>'Ratio Analysis'!C34:L34</xm:f>
              <xm:sqref>M34</xm:sqref>
            </x14:sparkline>
            <x14:sparkline>
              <xm:f>'Ratio Analysis'!C35:L35</xm:f>
              <xm:sqref>M35</xm:sqref>
            </x14:sparkline>
            <x14:sparkline>
              <xm:f>'Ratio Analysis'!C36:L36</xm:f>
              <xm:sqref>M36</xm:sqref>
            </x14:sparkline>
            <x14:sparkline>
              <xm:f>'Ratio Analysis'!C37:L37</xm:f>
              <xm:sqref>M37</xm:sqref>
            </x14:sparkline>
            <x14:sparkline>
              <xm:f>'Ratio Analysis'!C38:L38</xm:f>
              <xm:sqref>M38</xm:sqref>
            </x14:sparkline>
            <x14:sparkline>
              <xm:f>'Ratio Analysis'!C39:L39</xm:f>
              <xm:sqref>M39</xm:sqref>
            </x14:sparkline>
            <x14:sparkline>
              <xm:f>'Ratio Analysis'!C40:L40</xm:f>
              <xm:sqref>M40</xm:sqref>
            </x14:sparkline>
            <x14:sparkline>
              <xm:f>'Ratio Analysis'!C41:L41</xm:f>
              <xm:sqref>M41</xm:sqref>
            </x14:sparkline>
            <x14:sparkline>
              <xm:f>'Ratio Analysis'!C42:L42</xm:f>
              <xm:sqref>M42</xm:sqref>
            </x14:sparkline>
            <x14:sparkline>
              <xm:f>'Ratio Analysis'!C43:L43</xm:f>
              <xm:sqref>M43</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F933B-4253-4843-BCAB-A07224E0E0A0}">
  <sheetPr>
    <pageSetUpPr fitToPage="1"/>
  </sheetPr>
  <dimension ref="B1:L43"/>
  <sheetViews>
    <sheetView showGridLines="0" zoomScale="60" zoomScaleNormal="100" workbookViewId="0">
      <selection activeCell="Q21" sqref="Q21"/>
    </sheetView>
  </sheetViews>
  <sheetFormatPr defaultRowHeight="14.4" x14ac:dyDescent="0.3"/>
  <cols>
    <col min="1" max="1" width="1.88671875" customWidth="1"/>
    <col min="2" max="2" width="22" bestFit="1" customWidth="1"/>
    <col min="3" max="12" width="12.77734375" customWidth="1"/>
  </cols>
  <sheetData>
    <row r="1" spans="2:12" ht="15" thickBot="1" x14ac:dyDescent="0.35"/>
    <row r="2" spans="2:12" ht="29.4" customHeight="1" thickTop="1" x14ac:dyDescent="0.55000000000000004">
      <c r="B2" s="238" t="str">
        <f>'Data Sheet'!B1</f>
        <v>GODREJ CONSUMER PRODUCTS LTD</v>
      </c>
      <c r="C2" s="238"/>
      <c r="D2" s="238"/>
      <c r="E2" s="238"/>
      <c r="F2" s="238"/>
      <c r="G2" s="238"/>
      <c r="H2" s="193"/>
      <c r="I2" s="193"/>
      <c r="J2" s="193"/>
      <c r="K2" s="193"/>
      <c r="L2" s="193"/>
    </row>
    <row r="3" spans="2:12" ht="18.600000000000001" thickBot="1" x14ac:dyDescent="0.4">
      <c r="B3" s="239" t="s">
        <v>9336</v>
      </c>
      <c r="C3" s="239"/>
      <c r="D3" s="239"/>
      <c r="E3" s="239"/>
      <c r="F3" s="194"/>
      <c r="G3" s="194"/>
      <c r="H3" s="194"/>
      <c r="I3" s="194"/>
      <c r="J3" s="194"/>
      <c r="K3" s="194"/>
      <c r="L3" s="194"/>
    </row>
    <row r="4" spans="2:12" ht="7.2" customHeight="1" thickTop="1" x14ac:dyDescent="0.3"/>
    <row r="5" spans="2:12" ht="21" x14ac:dyDescent="0.4">
      <c r="B5" s="236" t="s">
        <v>156</v>
      </c>
      <c r="C5" s="236"/>
      <c r="D5" s="236"/>
      <c r="E5" s="236"/>
      <c r="F5" s="236"/>
      <c r="G5" s="236"/>
      <c r="H5" s="236"/>
      <c r="I5" s="236"/>
      <c r="J5" s="236"/>
      <c r="K5" s="236"/>
      <c r="L5" s="236"/>
    </row>
    <row r="6" spans="2:12" ht="9.6" customHeight="1" x14ac:dyDescent="0.3">
      <c r="B6" s="166"/>
      <c r="C6" s="166"/>
      <c r="D6" s="166"/>
      <c r="E6" s="166"/>
      <c r="F6" s="166"/>
      <c r="G6" s="166"/>
      <c r="H6" s="166"/>
      <c r="I6" s="166"/>
      <c r="J6" s="166"/>
      <c r="K6" s="166"/>
      <c r="L6" s="166"/>
    </row>
    <row r="7" spans="2:12" x14ac:dyDescent="0.3">
      <c r="B7" s="215" t="s">
        <v>155</v>
      </c>
      <c r="C7" s="232">
        <v>42094</v>
      </c>
      <c r="D7" s="232">
        <v>42460</v>
      </c>
      <c r="E7" s="232">
        <v>42825</v>
      </c>
      <c r="F7" s="232">
        <v>43190</v>
      </c>
      <c r="G7" s="232">
        <v>43555</v>
      </c>
      <c r="H7" s="232">
        <v>43921</v>
      </c>
      <c r="I7" s="232">
        <v>44286</v>
      </c>
      <c r="J7" s="232">
        <v>44651</v>
      </c>
      <c r="K7" s="232">
        <v>45016</v>
      </c>
      <c r="L7" s="232">
        <v>45382</v>
      </c>
    </row>
    <row r="9" spans="2:12" x14ac:dyDescent="0.3">
      <c r="B9" s="67" t="s">
        <v>12</v>
      </c>
      <c r="C9" s="68">
        <v>1</v>
      </c>
      <c r="D9" s="68">
        <v>1</v>
      </c>
      <c r="E9" s="68">
        <v>1</v>
      </c>
      <c r="F9" s="68">
        <v>1</v>
      </c>
      <c r="G9" s="68">
        <v>1</v>
      </c>
      <c r="H9" s="68">
        <v>1</v>
      </c>
      <c r="I9" s="68">
        <v>1</v>
      </c>
      <c r="J9" s="68">
        <v>1</v>
      </c>
      <c r="K9" s="68">
        <v>1</v>
      </c>
      <c r="L9" s="68">
        <v>1</v>
      </c>
    </row>
    <row r="10" spans="2:12" x14ac:dyDescent="0.3">
      <c r="B10" s="69" t="s">
        <v>13</v>
      </c>
      <c r="C10" s="32">
        <v>0.46010044541680017</v>
      </c>
      <c r="D10" s="32">
        <v>0.46999007583203944</v>
      </c>
      <c r="E10" s="32">
        <v>0.46028176794983988</v>
      </c>
      <c r="F10" s="32">
        <v>0.42837166651603509</v>
      </c>
      <c r="G10" s="32">
        <v>0.42657019256685352</v>
      </c>
      <c r="H10" s="32">
        <v>0.44747447229285225</v>
      </c>
      <c r="I10" s="32">
        <v>0.45080617520596411</v>
      </c>
      <c r="J10" s="32">
        <v>0.4998680405653077</v>
      </c>
      <c r="K10" s="32">
        <v>0.4873734320518896</v>
      </c>
      <c r="L10" s="32">
        <v>0.44930338937479913</v>
      </c>
    </row>
    <row r="11" spans="2:12" x14ac:dyDescent="0.3">
      <c r="B11" s="69" t="s">
        <v>14</v>
      </c>
      <c r="C11" s="32">
        <v>-4.2353879719333022E-3</v>
      </c>
      <c r="D11" s="32">
        <v>1.0909462148083783E-2</v>
      </c>
      <c r="E11" s="32">
        <v>1.438619926175373E-2</v>
      </c>
      <c r="F11" s="32">
        <v>-5.6867629422092869E-3</v>
      </c>
      <c r="G11" s="32">
        <v>-1.4983023635055659E-2</v>
      </c>
      <c r="H11" s="32">
        <v>1.747083989183517E-2</v>
      </c>
      <c r="I11" s="32">
        <v>3.8400089947790384E-3</v>
      </c>
      <c r="J11" s="32">
        <v>5.0128293894839736E-3</v>
      </c>
      <c r="K11" s="32">
        <v>-1.5991324702593953E-2</v>
      </c>
      <c r="L11" s="32">
        <v>9.3146265175285945E-4</v>
      </c>
    </row>
    <row r="12" spans="2:12" x14ac:dyDescent="0.3">
      <c r="B12" s="69" t="s">
        <v>15</v>
      </c>
      <c r="C12" s="32">
        <v>1.3286354048941455E-2</v>
      </c>
      <c r="D12" s="32">
        <v>1.3056928636210392E-2</v>
      </c>
      <c r="E12" s="32">
        <v>9.6051860667615459E-3</v>
      </c>
      <c r="F12" s="32">
        <v>1.0267653590835375E-2</v>
      </c>
      <c r="G12" s="32">
        <v>1.1565451594576096E-2</v>
      </c>
      <c r="H12" s="32">
        <v>1.1935464341930017E-2</v>
      </c>
      <c r="I12" s="32">
        <v>9.6322114643536544E-3</v>
      </c>
      <c r="J12" s="32">
        <v>1.0873620331527716E-2</v>
      </c>
      <c r="K12" s="32">
        <v>1.1612372211712704E-2</v>
      </c>
      <c r="L12" s="32">
        <v>1.070153396930075E-2</v>
      </c>
    </row>
    <row r="13" spans="2:12" x14ac:dyDescent="0.3">
      <c r="B13" s="69" t="s">
        <v>16</v>
      </c>
      <c r="C13" s="32">
        <v>2.7071913358273452E-2</v>
      </c>
      <c r="D13" s="32">
        <v>2.8042897097299582E-2</v>
      </c>
      <c r="E13" s="32">
        <v>3.2677270279922878E-2</v>
      </c>
      <c r="F13" s="32">
        <v>3.2368851568378751E-2</v>
      </c>
      <c r="G13" s="32">
        <v>3.1974900963125129E-2</v>
      </c>
      <c r="H13" s="32">
        <v>3.8209831698752882E-2</v>
      </c>
      <c r="I13" s="32">
        <v>3.6019919083257919E-2</v>
      </c>
      <c r="J13" s="32">
        <v>3.5050706634627136E-2</v>
      </c>
      <c r="K13" s="32">
        <v>3.296117368843577E-2</v>
      </c>
      <c r="L13" s="32">
        <v>2.9825959076653061E-2</v>
      </c>
    </row>
    <row r="14" spans="2:12" x14ac:dyDescent="0.3">
      <c r="B14" s="69" t="s">
        <v>17</v>
      </c>
      <c r="C14" s="32">
        <v>9.3912234155067914E-2</v>
      </c>
      <c r="D14" s="32">
        <v>0.11207780737617346</v>
      </c>
      <c r="E14" s="32">
        <v>0.10665403526792988</v>
      </c>
      <c r="F14" s="32">
        <v>0.10737928576288433</v>
      </c>
      <c r="G14" s="32">
        <v>0.10358491187996519</v>
      </c>
      <c r="H14" s="32">
        <v>0.10279896678371071</v>
      </c>
      <c r="I14" s="32">
        <v>0.10185680529386268</v>
      </c>
      <c r="J14" s="32">
        <v>8.9939314951329785E-2</v>
      </c>
      <c r="K14" s="32">
        <v>8.3469698414760624E-2</v>
      </c>
      <c r="L14" s="32">
        <v>8.8630125616216096E-2</v>
      </c>
    </row>
    <row r="15" spans="2:12" x14ac:dyDescent="0.3">
      <c r="B15" s="69" t="s">
        <v>18</v>
      </c>
      <c r="C15" s="32">
        <v>0.21984975493010522</v>
      </c>
      <c r="D15" s="32">
        <v>0.17390798539390401</v>
      </c>
      <c r="E15" s="32">
        <v>0.17796784819878486</v>
      </c>
      <c r="F15" s="32">
        <v>0.18032725289745649</v>
      </c>
      <c r="G15" s="32">
        <v>0.1831295070746165</v>
      </c>
      <c r="H15" s="32">
        <v>0.17860616700972679</v>
      </c>
      <c r="I15" s="32">
        <v>0.16400329324974475</v>
      </c>
      <c r="J15" s="32">
        <v>0.14959393964077711</v>
      </c>
      <c r="K15" s="32">
        <v>0.16104271787935839</v>
      </c>
      <c r="L15" s="32">
        <v>0.18726159202787149</v>
      </c>
    </row>
    <row r="16" spans="2:12" x14ac:dyDescent="0.3">
      <c r="B16" s="69" t="s">
        <v>19</v>
      </c>
      <c r="C16" s="32">
        <v>1.4866163432308128E-2</v>
      </c>
      <c r="D16" s="32">
        <v>1.7085950891988017E-2</v>
      </c>
      <c r="E16" s="32">
        <v>2.146762322896964E-2</v>
      </c>
      <c r="F16" s="32">
        <v>2.3929086066110647E-2</v>
      </c>
      <c r="G16" s="32">
        <v>2.1531188617012819E-2</v>
      </c>
      <c r="H16" s="32">
        <v>2.1132501917100539E-2</v>
      </c>
      <c r="I16" s="32">
        <v>2.3973080947570953E-2</v>
      </c>
      <c r="J16" s="32">
        <v>2.344397833258665E-2</v>
      </c>
      <c r="K16" s="32">
        <v>2.4070345607567455E-2</v>
      </c>
      <c r="L16" s="32">
        <v>2.5411975360578199E-2</v>
      </c>
    </row>
    <row r="17" spans="2:12" x14ac:dyDescent="0.3">
      <c r="B17" s="69" t="s">
        <v>20</v>
      </c>
      <c r="C17" s="32">
        <v>8.8249336709717591E-3</v>
      </c>
      <c r="D17" s="32">
        <v>-3.1106805889922463E-2</v>
      </c>
      <c r="E17" s="32">
        <v>8.2197604422140497E-3</v>
      </c>
      <c r="F17" s="32">
        <v>2.8766896540518689E-2</v>
      </c>
      <c r="G17" s="32">
        <v>3.5091920568839106E-2</v>
      </c>
      <c r="H17" s="32">
        <v>3.2348549057593739E-3</v>
      </c>
      <c r="I17" s="32">
        <v>2.0492137728927102E-3</v>
      </c>
      <c r="J17" s="32">
        <v>6.3755956502260409E-3</v>
      </c>
      <c r="K17" s="32">
        <v>8.5836780947989525E-3</v>
      </c>
      <c r="L17" s="32">
        <v>-0.1566786865312487</v>
      </c>
    </row>
    <row r="18" spans="2:12" x14ac:dyDescent="0.3">
      <c r="B18" s="69" t="s">
        <v>21</v>
      </c>
      <c r="C18" s="32">
        <v>1.0972845893039531E-2</v>
      </c>
      <c r="D18" s="32">
        <v>1.1945801697080207E-2</v>
      </c>
      <c r="E18" s="32">
        <v>1.5275288603363649E-2</v>
      </c>
      <c r="F18" s="32">
        <v>1.5809200979341818E-2</v>
      </c>
      <c r="G18" s="32">
        <v>1.6479968664984863E-2</v>
      </c>
      <c r="H18" s="32">
        <v>1.9905557573556124E-2</v>
      </c>
      <c r="I18" s="32">
        <v>1.8483726885140661E-2</v>
      </c>
      <c r="J18" s="32">
        <v>1.7100150694416161E-2</v>
      </c>
      <c r="K18" s="32">
        <v>1.7744858241645182E-2</v>
      </c>
      <c r="L18" s="32">
        <v>1.7094077727827037E-2</v>
      </c>
    </row>
    <row r="19" spans="2:12" x14ac:dyDescent="0.3">
      <c r="B19" s="69" t="s">
        <v>22</v>
      </c>
      <c r="C19" s="32">
        <v>1.3593371327728858E-2</v>
      </c>
      <c r="D19" s="32">
        <v>1.5199646718614226E-2</v>
      </c>
      <c r="E19" s="32">
        <v>1.6636976405683696E-2</v>
      </c>
      <c r="F19" s="32">
        <v>1.7580221438486997E-2</v>
      </c>
      <c r="G19" s="32">
        <v>2.3095030801776942E-2</v>
      </c>
      <c r="H19" s="32">
        <v>2.3018323445130565E-2</v>
      </c>
      <c r="I19" s="32">
        <v>1.2481162647729272E-2</v>
      </c>
      <c r="J19" s="32">
        <v>9.9588644972101181E-3</v>
      </c>
      <c r="K19" s="32">
        <v>1.4154432609866199E-2</v>
      </c>
      <c r="L19" s="32">
        <v>2.1961377997192132E-2</v>
      </c>
    </row>
    <row r="20" spans="2:12" x14ac:dyDescent="0.3">
      <c r="B20" s="69" t="s">
        <v>23</v>
      </c>
      <c r="C20" s="32">
        <v>0.15093646313677378</v>
      </c>
      <c r="D20" s="32">
        <v>0.13849556261485207</v>
      </c>
      <c r="E20" s="32">
        <v>0.18203996370271183</v>
      </c>
      <c r="F20" s="32">
        <v>0.20704691477877984</v>
      </c>
      <c r="G20" s="32">
        <v>0.20217774477087239</v>
      </c>
      <c r="H20" s="32">
        <v>0.17762440973483476</v>
      </c>
      <c r="I20" s="32">
        <v>0.1886328479900477</v>
      </c>
      <c r="J20" s="32">
        <v>0.1755598093919277</v>
      </c>
      <c r="K20" s="32">
        <v>0.16016332268696912</v>
      </c>
      <c r="L20" s="32">
        <v>1.4062744970066208E-2</v>
      </c>
    </row>
    <row r="21" spans="2:12" x14ac:dyDescent="0.3">
      <c r="B21" s="69" t="s">
        <v>24</v>
      </c>
      <c r="C21" s="32">
        <v>3.2912494031898373E-2</v>
      </c>
      <c r="D21" s="32">
        <v>3.9892543578493526E-2</v>
      </c>
      <c r="E21" s="32">
        <v>4.0911057617089512E-2</v>
      </c>
      <c r="F21" s="32">
        <v>4.1097017191287472E-2</v>
      </c>
      <c r="G21" s="32">
        <v>-2.4839204447400415E-2</v>
      </c>
      <c r="H21" s="32">
        <v>2.6619445453444728E-2</v>
      </c>
      <c r="I21" s="32">
        <v>3.2600633624152435E-2</v>
      </c>
      <c r="J21" s="32">
        <v>3.0291206777175905E-2</v>
      </c>
      <c r="K21" s="32">
        <v>3.2312328730088762E-2</v>
      </c>
      <c r="L21" s="32">
        <v>5.3829035102592127E-2</v>
      </c>
    </row>
    <row r="22" spans="2:12" x14ac:dyDescent="0.3">
      <c r="B22" s="69" t="s">
        <v>25</v>
      </c>
      <c r="C22" s="32">
        <v>0.10964626532820027</v>
      </c>
      <c r="D22" s="32">
        <v>9.8245701505719471E-2</v>
      </c>
      <c r="E22" s="32">
        <v>0.14070917822896423</v>
      </c>
      <c r="F22" s="32">
        <v>0.16594989758749237</v>
      </c>
      <c r="G22" s="32">
        <v>0.22701694921827284</v>
      </c>
      <c r="H22" s="32">
        <v>0.15100496428139001</v>
      </c>
      <c r="I22" s="32">
        <v>0.15603221436589526</v>
      </c>
      <c r="J22" s="32">
        <v>0.14526860261475177</v>
      </c>
      <c r="K22" s="32">
        <v>0.12785099395688035</v>
      </c>
      <c r="L22" s="32">
        <v>-3.9766290132525917E-2</v>
      </c>
    </row>
    <row r="23" spans="2:12" x14ac:dyDescent="0.3">
      <c r="B23" s="69" t="s">
        <v>26</v>
      </c>
      <c r="C23" s="32">
        <v>2.2629832651408471E-2</v>
      </c>
      <c r="D23" s="32">
        <v>2.3242258911570442E-2</v>
      </c>
      <c r="E23" s="32">
        <v>5.5125697163653939E-2</v>
      </c>
      <c r="F23" s="32">
        <v>6.9185564152271201E-2</v>
      </c>
      <c r="G23" s="32">
        <v>9.9104741553991821E-2</v>
      </c>
      <c r="H23" s="32">
        <v>8.252007910562216E-2</v>
      </c>
      <c r="I23" s="32">
        <v>0</v>
      </c>
      <c r="J23" s="32">
        <v>0</v>
      </c>
      <c r="K23" s="32">
        <v>0</v>
      </c>
      <c r="L23" s="32">
        <v>0</v>
      </c>
    </row>
    <row r="24" spans="2:12" x14ac:dyDescent="0.3">
      <c r="B24" s="69" t="s">
        <v>28</v>
      </c>
      <c r="C24" s="32">
        <v>0.16712497658086703</v>
      </c>
      <c r="D24" s="32">
        <v>0.1652836934999074</v>
      </c>
      <c r="E24" s="32">
        <v>0.21353250085510109</v>
      </c>
      <c r="F24" s="32">
        <v>0.24043633719660865</v>
      </c>
      <c r="G24" s="32">
        <v>0.24175274423763424</v>
      </c>
      <c r="H24" s="32">
        <v>0.22054829075352142</v>
      </c>
      <c r="I24" s="32">
        <v>0.21959773752291764</v>
      </c>
      <c r="J24" s="32">
        <v>0.20261882458355396</v>
      </c>
      <c r="K24" s="32">
        <v>0.1920626135384805</v>
      </c>
      <c r="L24" s="32">
        <v>5.3118200695085376E-2</v>
      </c>
    </row>
    <row r="26" spans="2:12" x14ac:dyDescent="0.3">
      <c r="B26" s="240" t="s">
        <v>157</v>
      </c>
      <c r="C26" s="240"/>
      <c r="D26" s="240"/>
      <c r="E26" s="240"/>
      <c r="F26" s="240"/>
      <c r="G26" s="240"/>
      <c r="H26" s="240"/>
      <c r="I26" s="240"/>
      <c r="J26" s="240"/>
      <c r="K26" s="240"/>
      <c r="L26" s="240"/>
    </row>
    <row r="28" spans="2:12" x14ac:dyDescent="0.3">
      <c r="B28" s="72" t="s">
        <v>155</v>
      </c>
      <c r="C28" s="73">
        <v>42094</v>
      </c>
      <c r="D28" s="73">
        <v>42460</v>
      </c>
      <c r="E28" s="73">
        <v>42825</v>
      </c>
      <c r="F28" s="73">
        <v>43190</v>
      </c>
      <c r="G28" s="73">
        <v>43555</v>
      </c>
      <c r="H28" s="73">
        <v>43921</v>
      </c>
      <c r="I28" s="73">
        <v>44286</v>
      </c>
      <c r="J28" s="73">
        <v>44651</v>
      </c>
      <c r="K28" s="73">
        <v>45016</v>
      </c>
      <c r="L28" s="73">
        <v>45382</v>
      </c>
    </row>
    <row r="29" spans="2:12" x14ac:dyDescent="0.3">
      <c r="B29" s="12"/>
      <c r="C29" s="70"/>
      <c r="D29" s="70"/>
      <c r="E29" s="70"/>
      <c r="F29" s="70"/>
      <c r="G29" s="70"/>
      <c r="H29" s="70"/>
      <c r="I29" s="70"/>
      <c r="J29" s="70"/>
      <c r="K29" s="70"/>
      <c r="L29" s="70"/>
    </row>
    <row r="30" spans="2:12" x14ac:dyDescent="0.3">
      <c r="B30" s="67" t="s">
        <v>81</v>
      </c>
      <c r="C30" s="71">
        <v>1</v>
      </c>
      <c r="D30" s="71">
        <v>1</v>
      </c>
      <c r="E30" s="71">
        <v>1</v>
      </c>
      <c r="F30" s="71">
        <v>1</v>
      </c>
      <c r="G30" s="71">
        <v>1</v>
      </c>
      <c r="H30" s="71">
        <v>1</v>
      </c>
      <c r="I30" s="71">
        <v>1</v>
      </c>
      <c r="J30" s="71">
        <v>1</v>
      </c>
      <c r="K30" s="71">
        <v>1</v>
      </c>
      <c r="L30" s="71">
        <v>1</v>
      </c>
    </row>
    <row r="31" spans="2:12" x14ac:dyDescent="0.3">
      <c r="B31" s="69" t="s">
        <v>33</v>
      </c>
      <c r="C31" s="32">
        <v>3.7304027826788322E-3</v>
      </c>
      <c r="D31" s="32">
        <v>3.5180199075499495E-3</v>
      </c>
      <c r="E31" s="32">
        <v>2.6320975251637336E-3</v>
      </c>
      <c r="F31" s="32">
        <v>4.914247711841728E-3</v>
      </c>
      <c r="G31" s="32">
        <v>7.2529632349549976E-3</v>
      </c>
      <c r="H31" s="32">
        <v>6.8701664215995934E-3</v>
      </c>
      <c r="I31" s="32">
        <v>7.1785669403999913E-3</v>
      </c>
      <c r="J31" s="32">
        <v>6.3586144115328081E-3</v>
      </c>
      <c r="K31" s="32">
        <v>5.8650269595108412E-3</v>
      </c>
      <c r="L31" s="32">
        <v>5.5610893384543773E-3</v>
      </c>
    </row>
    <row r="32" spans="2:12" x14ac:dyDescent="0.3">
      <c r="B32" s="69" t="s">
        <v>34</v>
      </c>
      <c r="C32" s="32">
        <v>0.46867294537436627</v>
      </c>
      <c r="D32" s="32">
        <v>0.43734101752914117</v>
      </c>
      <c r="E32" s="32">
        <v>0.40709337145727481</v>
      </c>
      <c r="F32" s="32">
        <v>0.44650048291337785</v>
      </c>
      <c r="G32" s="32">
        <v>0.50836730277325448</v>
      </c>
      <c r="H32" s="32">
        <v>0.52392360896434742</v>
      </c>
      <c r="I32" s="32">
        <v>0.65548916404973667</v>
      </c>
      <c r="J32" s="32">
        <v>0.71219901356288839</v>
      </c>
      <c r="K32" s="32">
        <v>0.78521281439859247</v>
      </c>
      <c r="L32" s="32">
        <v>0.67943864967964474</v>
      </c>
    </row>
    <row r="33" spans="2:12" x14ac:dyDescent="0.3">
      <c r="B33" s="69" t="s">
        <v>35</v>
      </c>
      <c r="C33" s="32">
        <v>0.29776921036885401</v>
      </c>
      <c r="D33" s="32">
        <v>0.29870830294025874</v>
      </c>
      <c r="E33" s="32">
        <v>0.30918490755588185</v>
      </c>
      <c r="F33" s="32">
        <v>0.25300261040106697</v>
      </c>
      <c r="G33" s="32">
        <v>0.23997147631363286</v>
      </c>
      <c r="H33" s="32">
        <v>0.24024883940355959</v>
      </c>
      <c r="I33" s="32">
        <v>0.13086194053689362</v>
      </c>
      <c r="J33" s="32">
        <v>0.10597732139792514</v>
      </c>
      <c r="K33" s="32">
        <v>6.4779672953204803E-2</v>
      </c>
      <c r="L33" s="32">
        <v>0.17519497522846789</v>
      </c>
    </row>
    <row r="34" spans="2:12" x14ac:dyDescent="0.3">
      <c r="B34" s="69" t="s">
        <v>36</v>
      </c>
      <c r="C34" s="32">
        <v>0.22982744147410086</v>
      </c>
      <c r="D34" s="32">
        <v>0.26043265962305012</v>
      </c>
      <c r="E34" s="32">
        <v>0.28108962346167965</v>
      </c>
      <c r="F34" s="32">
        <v>0.2955826589737135</v>
      </c>
      <c r="G34" s="32">
        <v>0.24440825767815774</v>
      </c>
      <c r="H34" s="32">
        <v>0.22895738521049333</v>
      </c>
      <c r="I34" s="32">
        <v>0.20647032847296962</v>
      </c>
      <c r="J34" s="32">
        <v>0.17546505062765355</v>
      </c>
      <c r="K34" s="32">
        <v>0.14414248568869192</v>
      </c>
      <c r="L34" s="32">
        <v>0.13980528575343298</v>
      </c>
    </row>
    <row r="35" spans="2:12" x14ac:dyDescent="0.3">
      <c r="B35" s="69"/>
    </row>
    <row r="36" spans="2:12" x14ac:dyDescent="0.3">
      <c r="B36" s="67" t="s">
        <v>85</v>
      </c>
      <c r="C36" s="68">
        <v>1</v>
      </c>
      <c r="D36" s="68">
        <v>1</v>
      </c>
      <c r="E36" s="68">
        <v>1</v>
      </c>
      <c r="F36" s="68">
        <v>1</v>
      </c>
      <c r="G36" s="68">
        <v>1</v>
      </c>
      <c r="H36" s="68">
        <v>1</v>
      </c>
      <c r="I36" s="68">
        <v>1</v>
      </c>
      <c r="J36" s="68">
        <v>1</v>
      </c>
      <c r="K36" s="68">
        <v>1</v>
      </c>
      <c r="L36" s="68">
        <v>1</v>
      </c>
    </row>
    <row r="37" spans="2:12" x14ac:dyDescent="0.3">
      <c r="B37" s="69" t="s">
        <v>38</v>
      </c>
      <c r="C37" s="32">
        <v>0.60832195436283976</v>
      </c>
      <c r="D37" s="32">
        <v>0.61282873597183107</v>
      </c>
      <c r="E37" s="32">
        <v>0.62463167249473539</v>
      </c>
      <c r="F37" s="32">
        <v>0.5997647104647581</v>
      </c>
      <c r="G37" s="32">
        <v>0.6151934750293574</v>
      </c>
      <c r="H37" s="32">
        <v>0.62037811116457486</v>
      </c>
      <c r="I37" s="32">
        <v>0.62516858223829475</v>
      </c>
      <c r="J37" s="32">
        <v>0.57326397266032081</v>
      </c>
      <c r="K37" s="32">
        <v>0.56968009882286552</v>
      </c>
      <c r="L37" s="32">
        <v>0.56764868356379483</v>
      </c>
    </row>
    <row r="38" spans="2:12" x14ac:dyDescent="0.3">
      <c r="B38" s="69" t="s">
        <v>39</v>
      </c>
      <c r="C38" s="32">
        <v>2.4614740570431625E-2</v>
      </c>
      <c r="D38" s="32">
        <v>4.5109177434252802E-3</v>
      </c>
      <c r="E38" s="32">
        <v>7.5292208419466397E-3</v>
      </c>
      <c r="F38" s="32">
        <v>6.050302334790608E-3</v>
      </c>
      <c r="G38" s="32">
        <v>3.6938883389919506E-3</v>
      </c>
      <c r="H38" s="32">
        <v>3.8332612020741544E-3</v>
      </c>
      <c r="I38" s="32">
        <v>4.0319325123439756E-3</v>
      </c>
      <c r="J38" s="32">
        <v>7.2403389602863303E-3</v>
      </c>
      <c r="K38" s="32">
        <v>2.6047670333527173E-3</v>
      </c>
      <c r="L38" s="32">
        <v>4.5323856790531573E-3</v>
      </c>
    </row>
    <row r="39" spans="2:12" x14ac:dyDescent="0.3">
      <c r="B39" s="69" t="s">
        <v>40</v>
      </c>
      <c r="C39" s="32">
        <v>2.0349544439354651E-2</v>
      </c>
      <c r="D39" s="32">
        <v>1.9578994786511469E-2</v>
      </c>
      <c r="E39" s="32">
        <v>7.2142346554355599E-2</v>
      </c>
      <c r="F39" s="32">
        <v>7.1934257420600597E-2</v>
      </c>
      <c r="G39" s="32">
        <v>3.6611073860028175E-2</v>
      </c>
      <c r="H39" s="32">
        <v>4.5159096468614837E-2</v>
      </c>
      <c r="I39" s="32">
        <v>4.7676917449639457E-2</v>
      </c>
      <c r="J39" s="32">
        <v>6.3140307372411095E-2</v>
      </c>
      <c r="K39" s="32">
        <v>0.17370733704721958</v>
      </c>
      <c r="L39" s="32">
        <v>0.19049884515508847</v>
      </c>
    </row>
    <row r="40" spans="2:12" x14ac:dyDescent="0.3">
      <c r="B40" s="69" t="s">
        <v>41</v>
      </c>
      <c r="C40" s="32">
        <v>4.3096891842428812E-2</v>
      </c>
      <c r="D40" s="32">
        <v>3.4652237791282785E-2</v>
      </c>
      <c r="E40" s="32">
        <v>3.6513204922625157E-2</v>
      </c>
      <c r="F40" s="32">
        <v>4.9350212820899318E-2</v>
      </c>
      <c r="G40" s="32">
        <v>7.8691316240407844E-2</v>
      </c>
      <c r="H40" s="32">
        <v>8.6646891053125341E-2</v>
      </c>
      <c r="I40" s="32">
        <v>8.4916303876987773E-2</v>
      </c>
      <c r="J40" s="32">
        <v>8.5623661557058348E-2</v>
      </c>
      <c r="K40" s="32">
        <v>7.2032532634140875E-2</v>
      </c>
      <c r="L40" s="32">
        <v>5.500084819117796E-2</v>
      </c>
    </row>
    <row r="41" spans="2:12" x14ac:dyDescent="0.3">
      <c r="B41" s="69" t="s">
        <v>42</v>
      </c>
      <c r="C41" s="32">
        <v>8.8172957429134405E-2</v>
      </c>
      <c r="D41" s="32">
        <v>0.11551193647106958</v>
      </c>
      <c r="E41" s="32">
        <v>7.949923687718552E-2</v>
      </c>
      <c r="F41" s="32">
        <v>8.9838478278274958E-2</v>
      </c>
      <c r="G41" s="32">
        <v>9.1737000258983736E-2</v>
      </c>
      <c r="H41" s="32">
        <v>7.7770713991941007E-2</v>
      </c>
      <c r="I41" s="32">
        <v>7.0521960798354932E-2</v>
      </c>
      <c r="J41" s="32">
        <v>6.9413734010192685E-2</v>
      </c>
      <c r="K41" s="32">
        <v>7.1414889724647115E-2</v>
      </c>
      <c r="L41" s="32">
        <v>8.3479954415161289E-2</v>
      </c>
    </row>
    <row r="42" spans="2:12" x14ac:dyDescent="0.3">
      <c r="B42" s="69" t="s">
        <v>43</v>
      </c>
      <c r="C42" s="32">
        <v>0.11744741381388753</v>
      </c>
      <c r="D42" s="32">
        <v>0.13503617206371904</v>
      </c>
      <c r="E42" s="32">
        <v>0.10915554181719828</v>
      </c>
      <c r="F42" s="32">
        <v>0.11380165712501</v>
      </c>
      <c r="G42" s="32">
        <v>0.11058888640548335</v>
      </c>
      <c r="H42" s="32">
        <v>0.11445483552728845</v>
      </c>
      <c r="I42" s="32">
        <v>0.12049110524656709</v>
      </c>
      <c r="J42" s="32">
        <v>0.1324358977547736</v>
      </c>
      <c r="K42" s="32">
        <v>8.8153184617308006E-2</v>
      </c>
      <c r="L42" s="32">
        <v>6.9101482812166978E-2</v>
      </c>
    </row>
    <row r="43" spans="2:12" x14ac:dyDescent="0.3">
      <c r="B43" s="69" t="s">
        <v>44</v>
      </c>
      <c r="C43" s="32">
        <v>9.7996497541923189E-2</v>
      </c>
      <c r="D43" s="32">
        <v>7.788100517216083E-2</v>
      </c>
      <c r="E43" s="32">
        <v>7.0528776491953396E-2</v>
      </c>
      <c r="F43" s="32">
        <v>6.9260381555666314E-2</v>
      </c>
      <c r="G43" s="32">
        <v>6.3484359866747567E-2</v>
      </c>
      <c r="H43" s="32">
        <v>5.1757090592381323E-2</v>
      </c>
      <c r="I43" s="32">
        <v>4.7193197877812017E-2</v>
      </c>
      <c r="J43" s="32">
        <v>6.8882087684956961E-2</v>
      </c>
      <c r="K43" s="32">
        <v>2.2407190120466179E-2</v>
      </c>
      <c r="L43" s="32">
        <v>2.9737800183557272E-2</v>
      </c>
    </row>
  </sheetData>
  <mergeCells count="4">
    <mergeCell ref="B5:L5"/>
    <mergeCell ref="B26:L26"/>
    <mergeCell ref="B2:G2"/>
    <mergeCell ref="B3:E3"/>
  </mergeCells>
  <printOptions horizontalCentered="1" verticalCentered="1"/>
  <pageMargins left="0.31496062992125984" right="0.31496062992125984" top="0.74803149606299213" bottom="0.74803149606299213" header="0.31496062992125984" footer="0.31496062992125984"/>
  <pageSetup paperSize="9" scale="75"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B80695-EF85-4A76-B8D1-56B9621DBCA8}">
  <sheetPr>
    <pageSetUpPr fitToPage="1"/>
  </sheetPr>
  <dimension ref="B1:O24"/>
  <sheetViews>
    <sheetView showGridLines="0" tabSelected="1" zoomScaleNormal="100" workbookViewId="0">
      <selection activeCell="R5" sqref="R5"/>
    </sheetView>
  </sheetViews>
  <sheetFormatPr defaultRowHeight="14.4" x14ac:dyDescent="0.3"/>
  <cols>
    <col min="1" max="1" width="1.88671875" customWidth="1"/>
    <col min="2" max="2" width="11.109375" bestFit="1" customWidth="1"/>
    <col min="3" max="3" width="10.33203125" customWidth="1"/>
    <col min="4" max="4" width="12.88671875" customWidth="1"/>
    <col min="5" max="5" width="14.5546875" customWidth="1"/>
    <col min="7" max="7" width="11.44140625" customWidth="1"/>
    <col min="8" max="8" width="10.88671875" customWidth="1"/>
    <col min="9" max="9" width="14" customWidth="1"/>
    <col min="10" max="10" width="15.33203125" customWidth="1"/>
    <col min="12" max="12" width="11.109375" bestFit="1" customWidth="1"/>
    <col min="13" max="13" width="11" customWidth="1"/>
    <col min="14" max="14" width="12.5546875" customWidth="1"/>
    <col min="15" max="15" width="13.88671875" customWidth="1"/>
  </cols>
  <sheetData>
    <row r="1" spans="2:15" ht="15" thickBot="1" x14ac:dyDescent="0.35"/>
    <row r="2" spans="2:15" ht="28.8" customHeight="1" thickTop="1" x14ac:dyDescent="0.55000000000000004">
      <c r="B2" s="238" t="str">
        <f>'Data Sheet'!B1</f>
        <v>GODREJ CONSUMER PRODUCTS LTD</v>
      </c>
      <c r="C2" s="238"/>
      <c r="D2" s="238"/>
      <c r="E2" s="238"/>
      <c r="F2" s="238"/>
      <c r="G2" s="238"/>
      <c r="H2" s="193"/>
      <c r="I2" s="193"/>
      <c r="J2" s="193"/>
      <c r="K2" s="193"/>
      <c r="L2" s="193"/>
      <c r="M2" s="193"/>
      <c r="N2" s="193"/>
      <c r="O2" s="193"/>
    </row>
    <row r="3" spans="2:15" ht="18.600000000000001" thickBot="1" x14ac:dyDescent="0.4">
      <c r="B3" s="239" t="s">
        <v>9336</v>
      </c>
      <c r="C3" s="239"/>
      <c r="D3" s="239"/>
      <c r="E3" s="239"/>
      <c r="F3" s="194"/>
      <c r="G3" s="194"/>
      <c r="H3" s="194"/>
      <c r="I3" s="194"/>
      <c r="J3" s="194"/>
      <c r="K3" s="194"/>
      <c r="L3" s="194"/>
      <c r="M3" s="194"/>
      <c r="N3" s="194"/>
      <c r="O3" s="194"/>
    </row>
    <row r="4" spans="2:15" ht="7.8" customHeight="1" thickTop="1" x14ac:dyDescent="0.3"/>
    <row r="5" spans="2:15" ht="21" x14ac:dyDescent="0.4">
      <c r="B5" s="236" t="s">
        <v>9370</v>
      </c>
      <c r="C5" s="236"/>
      <c r="D5" s="236"/>
      <c r="E5" s="236"/>
      <c r="F5" s="236"/>
      <c r="G5" s="236"/>
      <c r="H5" s="236"/>
      <c r="I5" s="236"/>
      <c r="J5" s="236"/>
      <c r="K5" s="236"/>
      <c r="L5" s="236"/>
      <c r="M5" s="236"/>
      <c r="N5" s="236"/>
      <c r="O5" s="236"/>
    </row>
    <row r="6" spans="2:15" ht="6" customHeight="1" x14ac:dyDescent="0.3"/>
    <row r="7" spans="2:15" x14ac:dyDescent="0.3">
      <c r="B7" s="241" t="str">
        <f>'Data Sheet'!$B$1&amp;" - "&amp;'Data Sheet'!A17&amp;" Forecasting"</f>
        <v>GODREJ CONSUMER PRODUCTS LTD - Sales Forecasting</v>
      </c>
      <c r="C7" s="241"/>
      <c r="D7" s="241"/>
      <c r="E7" s="241"/>
      <c r="G7" s="241" t="str">
        <f>'Data Sheet'!$B$1&amp;" - "&amp;'Data Sheet'!A34&amp;" Forecasting"</f>
        <v>GODREJ CONSUMER PRODUCTS LTD - EBITDA Forecasting</v>
      </c>
      <c r="H7" s="241"/>
      <c r="I7" s="241"/>
      <c r="J7" s="241"/>
      <c r="L7" s="241" t="str">
        <f>'Data Sheet'!$B$1&amp;" - "&amp;" EPS Forecasting"</f>
        <v>GODREJ CONSUMER PRODUCTS LTD -  EPS Forecasting</v>
      </c>
      <c r="M7" s="241"/>
      <c r="N7" s="241"/>
      <c r="O7" s="241"/>
    </row>
    <row r="8" spans="2:15" x14ac:dyDescent="0.3">
      <c r="B8" s="33" t="s">
        <v>158</v>
      </c>
      <c r="C8" s="80" t="s">
        <v>159</v>
      </c>
      <c r="D8" s="80" t="s">
        <v>12</v>
      </c>
      <c r="E8" s="80" t="s">
        <v>59</v>
      </c>
      <c r="G8" s="33" t="s">
        <v>158</v>
      </c>
      <c r="H8" s="80" t="s">
        <v>159</v>
      </c>
      <c r="I8" s="80" t="s">
        <v>28</v>
      </c>
      <c r="J8" s="80" t="s">
        <v>127</v>
      </c>
      <c r="L8" s="33" t="s">
        <v>158</v>
      </c>
      <c r="M8" s="80" t="s">
        <v>159</v>
      </c>
      <c r="N8" s="80" t="s">
        <v>160</v>
      </c>
      <c r="O8" s="80" t="s">
        <v>161</v>
      </c>
    </row>
    <row r="9" spans="2:15" x14ac:dyDescent="0.3">
      <c r="B9" s="75">
        <v>1</v>
      </c>
      <c r="C9" s="76">
        <f>'Data Sheet'!$B$16</f>
        <v>42094</v>
      </c>
      <c r="D9" s="77" cm="1">
        <f t="array" ref="D9:D18">TRANSPOSE('Data Sheet'!B17:K17)</f>
        <v>8273.15</v>
      </c>
      <c r="E9" s="78" t="s">
        <v>60</v>
      </c>
      <c r="G9" s="75">
        <v>1</v>
      </c>
      <c r="H9" s="76">
        <f>'Data Sheet'!$B$16</f>
        <v>42094</v>
      </c>
      <c r="I9" s="77" cm="1">
        <f t="array" ref="I9:I18">TRANSPOSE(HistoricalFS!C21:L21)</f>
        <v>1378.95</v>
      </c>
      <c r="J9" s="78" t="s">
        <v>60</v>
      </c>
      <c r="L9" s="75">
        <v>1</v>
      </c>
      <c r="M9" s="76">
        <f>'Data Sheet'!$B$16</f>
        <v>42094</v>
      </c>
      <c r="N9" s="79" cm="1">
        <f t="array" ref="N9:N18">TRANSPOSE(HistoricalFS!C41:L41)</f>
        <v>8.8449187389857062</v>
      </c>
    </row>
    <row r="10" spans="2:15" x14ac:dyDescent="0.3">
      <c r="B10" s="75">
        <f>B9+1</f>
        <v>2</v>
      </c>
      <c r="C10" s="76">
        <f>C9+365</f>
        <v>42459</v>
      </c>
      <c r="D10" s="77">
        <v>8423.8799999999992</v>
      </c>
      <c r="E10" s="32">
        <f>D10/D9-1</f>
        <v>1.8219178910088507E-2</v>
      </c>
      <c r="G10" s="75">
        <f>G9+1</f>
        <v>2</v>
      </c>
      <c r="H10" s="76">
        <f>H9+365</f>
        <v>42459</v>
      </c>
      <c r="I10" s="77">
        <v>1657.379999999999</v>
      </c>
      <c r="J10" s="32">
        <f>I10/I9-1</f>
        <v>0.20191450016316681</v>
      </c>
      <c r="L10" s="75">
        <f>L9+1</f>
        <v>2</v>
      </c>
      <c r="M10" s="76">
        <f>M9+365</f>
        <v>42459</v>
      </c>
      <c r="N10" s="79">
        <v>10.695575567736874</v>
      </c>
      <c r="O10" s="32">
        <f>N10/N9-1</f>
        <v>0.20923389839570117</v>
      </c>
    </row>
    <row r="11" spans="2:15" x14ac:dyDescent="0.3">
      <c r="B11" s="75">
        <f t="shared" ref="B11:B24" si="0">B10+1</f>
        <v>3</v>
      </c>
      <c r="C11" s="76">
        <f t="shared" ref="C11:C24" si="1">C10+365</f>
        <v>42824</v>
      </c>
      <c r="D11" s="77">
        <v>9267.91</v>
      </c>
      <c r="E11" s="32">
        <f t="shared" ref="E11:E23" si="2">D11/D10-1</f>
        <v>0.10019492205492009</v>
      </c>
      <c r="G11" s="75">
        <f t="shared" ref="G11:G24" si="3">G10+1</f>
        <v>3</v>
      </c>
      <c r="H11" s="76">
        <f t="shared" ref="H11:H24" si="4">H10+365</f>
        <v>42824</v>
      </c>
      <c r="I11" s="77">
        <v>1906.7099999999984</v>
      </c>
      <c r="J11" s="32">
        <f t="shared" ref="J11:J23" si="5">I11/I10-1</f>
        <v>0.15043623067733392</v>
      </c>
      <c r="L11" s="75">
        <f t="shared" ref="L11:L24" si="6">L10+1</f>
        <v>3</v>
      </c>
      <c r="M11" s="76">
        <f t="shared" ref="M11:M24" si="7">M10+365</f>
        <v>42824</v>
      </c>
      <c r="N11" s="79">
        <v>12.055098845175165</v>
      </c>
      <c r="O11" s="32">
        <f t="shared" ref="O11:O23" si="8">N11/N10-1</f>
        <v>0.12711081033724669</v>
      </c>
    </row>
    <row r="12" spans="2:15" x14ac:dyDescent="0.3">
      <c r="B12" s="75">
        <f t="shared" si="0"/>
        <v>4</v>
      </c>
      <c r="C12" s="76">
        <f t="shared" si="1"/>
        <v>43189</v>
      </c>
      <c r="D12" s="77">
        <v>9847.43</v>
      </c>
      <c r="E12" s="32">
        <f t="shared" si="2"/>
        <v>6.2529739714779264E-2</v>
      </c>
      <c r="G12" s="75">
        <f t="shared" si="3"/>
        <v>4</v>
      </c>
      <c r="H12" s="76">
        <f t="shared" si="4"/>
        <v>43189</v>
      </c>
      <c r="I12" s="77">
        <v>2084.400000000001</v>
      </c>
      <c r="J12" s="32">
        <f t="shared" si="5"/>
        <v>9.3191937945467762E-2</v>
      </c>
      <c r="L12" s="75">
        <f t="shared" si="6"/>
        <v>4</v>
      </c>
      <c r="M12" s="76">
        <f t="shared" si="7"/>
        <v>43189</v>
      </c>
      <c r="N12" s="79">
        <v>13.218199608610577</v>
      </c>
      <c r="O12" s="32">
        <f t="shared" si="8"/>
        <v>9.6482059448307345E-2</v>
      </c>
    </row>
    <row r="13" spans="2:15" x14ac:dyDescent="0.3">
      <c r="B13" s="75">
        <f t="shared" si="0"/>
        <v>5</v>
      </c>
      <c r="C13" s="76">
        <f t="shared" si="1"/>
        <v>43554</v>
      </c>
      <c r="D13" s="77">
        <v>10314.34</v>
      </c>
      <c r="E13" s="32">
        <f t="shared" si="2"/>
        <v>4.7414401524052519E-2</v>
      </c>
      <c r="G13" s="75">
        <f t="shared" si="3"/>
        <v>5</v>
      </c>
      <c r="H13" s="76">
        <f t="shared" si="4"/>
        <v>43554</v>
      </c>
      <c r="I13" s="77">
        <v>2131.5700000000002</v>
      </c>
      <c r="J13" s="32">
        <f t="shared" si="5"/>
        <v>2.2630013433121876E-2</v>
      </c>
      <c r="L13" s="75">
        <f t="shared" si="6"/>
        <v>5</v>
      </c>
      <c r="M13" s="76">
        <f t="shared" si="7"/>
        <v>43554</v>
      </c>
      <c r="N13" s="79">
        <v>19.365877519076502</v>
      </c>
      <c r="O13" s="32">
        <f t="shared" si="8"/>
        <v>0.46509192571590563</v>
      </c>
    </row>
    <row r="14" spans="2:15" x14ac:dyDescent="0.3">
      <c r="B14" s="75">
        <f t="shared" si="0"/>
        <v>6</v>
      </c>
      <c r="C14" s="76">
        <f t="shared" si="1"/>
        <v>43919</v>
      </c>
      <c r="D14" s="77">
        <v>9910.7999999999993</v>
      </c>
      <c r="E14" s="32">
        <f t="shared" si="2"/>
        <v>-3.9124170814613501E-2</v>
      </c>
      <c r="G14" s="75">
        <f t="shared" si="3"/>
        <v>6</v>
      </c>
      <c r="H14" s="76">
        <f t="shared" si="4"/>
        <v>43919</v>
      </c>
      <c r="I14" s="77">
        <v>2153.7499999999995</v>
      </c>
      <c r="J14" s="32">
        <f t="shared" si="5"/>
        <v>1.0405475776070761E-2</v>
      </c>
      <c r="L14" s="75">
        <f t="shared" si="6"/>
        <v>6</v>
      </c>
      <c r="M14" s="76">
        <f t="shared" si="7"/>
        <v>43919</v>
      </c>
      <c r="N14" s="79">
        <v>14.325736085297855</v>
      </c>
      <c r="O14" s="32">
        <f t="shared" si="8"/>
        <v>-0.26025887176110751</v>
      </c>
    </row>
    <row r="15" spans="2:15" x14ac:dyDescent="0.3">
      <c r="B15" s="75">
        <f t="shared" si="0"/>
        <v>7</v>
      </c>
      <c r="C15" s="76">
        <f t="shared" si="1"/>
        <v>44284</v>
      </c>
      <c r="D15" s="77">
        <v>11028.62</v>
      </c>
      <c r="E15" s="32">
        <f t="shared" si="2"/>
        <v>0.11278806958065957</v>
      </c>
      <c r="G15" s="75">
        <f t="shared" si="3"/>
        <v>7</v>
      </c>
      <c r="H15" s="76">
        <f t="shared" si="4"/>
        <v>44284</v>
      </c>
      <c r="I15" s="77">
        <v>2399.2600000000011</v>
      </c>
      <c r="J15" s="32">
        <f t="shared" si="5"/>
        <v>0.11399187463726146</v>
      </c>
      <c r="L15" s="75">
        <f t="shared" si="6"/>
        <v>7</v>
      </c>
      <c r="M15" s="76">
        <f t="shared" si="7"/>
        <v>44284</v>
      </c>
      <c r="N15" s="79">
        <v>16.608508557457224</v>
      </c>
      <c r="O15" s="32">
        <f t="shared" si="8"/>
        <v>0.15934765645320814</v>
      </c>
    </row>
    <row r="16" spans="2:15" x14ac:dyDescent="0.3">
      <c r="B16" s="75">
        <f t="shared" si="0"/>
        <v>8</v>
      </c>
      <c r="C16" s="76">
        <f t="shared" si="1"/>
        <v>44649</v>
      </c>
      <c r="D16" s="77">
        <v>12276.5</v>
      </c>
      <c r="E16" s="32">
        <f t="shared" si="2"/>
        <v>0.11314924260696246</v>
      </c>
      <c r="G16" s="75">
        <f t="shared" si="3"/>
        <v>8</v>
      </c>
      <c r="H16" s="76">
        <f t="shared" si="4"/>
        <v>44649</v>
      </c>
      <c r="I16" s="77">
        <v>2409.1799999999994</v>
      </c>
      <c r="J16" s="32">
        <f t="shared" si="5"/>
        <v>4.1346081708519833E-3</v>
      </c>
      <c r="L16" s="75">
        <f t="shared" si="6"/>
        <v>8</v>
      </c>
      <c r="M16" s="76">
        <f t="shared" si="7"/>
        <v>44649</v>
      </c>
      <c r="N16" s="79">
        <v>16.674359475845876</v>
      </c>
      <c r="O16" s="32">
        <f t="shared" si="8"/>
        <v>3.9648905355251784E-3</v>
      </c>
    </row>
    <row r="17" spans="2:15" x14ac:dyDescent="0.3">
      <c r="B17" s="75">
        <f t="shared" si="0"/>
        <v>9</v>
      </c>
      <c r="C17" s="76">
        <f t="shared" si="1"/>
        <v>45014</v>
      </c>
      <c r="D17" s="77">
        <v>13315.97</v>
      </c>
      <c r="E17" s="32">
        <f t="shared" si="2"/>
        <v>8.4671526900989669E-2</v>
      </c>
      <c r="G17" s="75">
        <f t="shared" si="3"/>
        <v>9</v>
      </c>
      <c r="H17" s="76">
        <f t="shared" si="4"/>
        <v>45014</v>
      </c>
      <c r="I17" s="77">
        <v>2443.199999999998</v>
      </c>
      <c r="J17" s="32">
        <f t="shared" si="5"/>
        <v>1.412098722386812E-2</v>
      </c>
      <c r="L17" s="75">
        <f t="shared" si="6"/>
        <v>9</v>
      </c>
      <c r="M17" s="76">
        <f t="shared" si="7"/>
        <v>45014</v>
      </c>
      <c r="N17" s="79">
        <v>15.529089664613259</v>
      </c>
      <c r="O17" s="32">
        <f t="shared" si="8"/>
        <v>-6.8684486075260009E-2</v>
      </c>
    </row>
    <row r="18" spans="2:15" x14ac:dyDescent="0.3">
      <c r="B18" s="75">
        <f t="shared" si="0"/>
        <v>10</v>
      </c>
      <c r="C18" s="76">
        <f t="shared" si="1"/>
        <v>45379</v>
      </c>
      <c r="D18" s="77">
        <v>14096.11</v>
      </c>
      <c r="E18" s="32">
        <f t="shared" si="2"/>
        <v>5.8586794653337382E-2</v>
      </c>
      <c r="G18" s="75">
        <f t="shared" si="3"/>
        <v>10</v>
      </c>
      <c r="H18" s="76">
        <f t="shared" si="4"/>
        <v>45379</v>
      </c>
      <c r="I18" s="77">
        <v>2957.3199999999997</v>
      </c>
      <c r="J18" s="32">
        <f t="shared" si="5"/>
        <v>0.21042894564505654</v>
      </c>
      <c r="L18" s="75">
        <f t="shared" si="6"/>
        <v>10</v>
      </c>
      <c r="M18" s="76">
        <f t="shared" si="7"/>
        <v>45379</v>
      </c>
      <c r="N18" s="79">
        <v>16.112729761439187</v>
      </c>
      <c r="O18" s="32">
        <f t="shared" si="8"/>
        <v>3.7583664556712026E-2</v>
      </c>
    </row>
    <row r="19" spans="2:15" x14ac:dyDescent="0.3">
      <c r="B19" s="81">
        <f t="shared" si="0"/>
        <v>11</v>
      </c>
      <c r="C19" s="82">
        <f t="shared" si="1"/>
        <v>45744</v>
      </c>
      <c r="D19" s="83">
        <f>FORECAST(B19,D9:D18,B9:B18)</f>
        <v>14169.946</v>
      </c>
      <c r="E19" s="84">
        <f t="shared" si="2"/>
        <v>5.2380408495675823E-3</v>
      </c>
      <c r="G19" s="81">
        <f t="shared" si="3"/>
        <v>11</v>
      </c>
      <c r="H19" s="82">
        <f t="shared" si="4"/>
        <v>45744</v>
      </c>
      <c r="I19" s="83">
        <f>FORECAST(G19,I9:I18,G9:G18)</f>
        <v>2925.0113333333329</v>
      </c>
      <c r="J19" s="84">
        <f t="shared" si="5"/>
        <v>-1.0924981627509656E-2</v>
      </c>
      <c r="L19" s="81">
        <f t="shared" si="6"/>
        <v>11</v>
      </c>
      <c r="M19" s="82">
        <f t="shared" si="7"/>
        <v>45744</v>
      </c>
      <c r="N19" s="85">
        <f>FORECAST(L19,N9:N18,L9:L18)</f>
        <v>18.592075597301523</v>
      </c>
      <c r="O19" s="84">
        <f t="shared" si="8"/>
        <v>0.15387497168827835</v>
      </c>
    </row>
    <row r="20" spans="2:15" x14ac:dyDescent="0.3">
      <c r="B20" s="81">
        <f t="shared" si="0"/>
        <v>12</v>
      </c>
      <c r="C20" s="82">
        <f t="shared" si="1"/>
        <v>46109</v>
      </c>
      <c r="D20" s="83">
        <f t="shared" ref="D20:D23" si="9">FORECAST(B20,D10:D19,B10:B19)</f>
        <v>14927.117066666669</v>
      </c>
      <c r="E20" s="84">
        <f t="shared" si="2"/>
        <v>5.3435000152200374E-2</v>
      </c>
      <c r="G20" s="81">
        <f t="shared" si="3"/>
        <v>12</v>
      </c>
      <c r="H20" s="82">
        <f t="shared" si="4"/>
        <v>46109</v>
      </c>
      <c r="I20" s="83">
        <f t="shared" ref="I20:I23" si="10">FORECAST(G20,I10:I19,G10:G19)</f>
        <v>3027.9545333333326</v>
      </c>
      <c r="J20" s="84">
        <f t="shared" si="5"/>
        <v>3.5194120045574762E-2</v>
      </c>
      <c r="L20" s="81">
        <f t="shared" si="6"/>
        <v>12</v>
      </c>
      <c r="M20" s="82">
        <f t="shared" si="7"/>
        <v>46109</v>
      </c>
      <c r="N20" s="85">
        <f t="shared" ref="N20:N23" si="11">FORECAST(L20,N10:N19,L10:L19)</f>
        <v>18.825544578335766</v>
      </c>
      <c r="O20" s="84">
        <f t="shared" si="8"/>
        <v>1.2557445768353492E-2</v>
      </c>
    </row>
    <row r="21" spans="2:15" x14ac:dyDescent="0.3">
      <c r="B21" s="81">
        <f t="shared" si="0"/>
        <v>13</v>
      </c>
      <c r="C21" s="82">
        <f t="shared" si="1"/>
        <v>46474</v>
      </c>
      <c r="D21" s="83">
        <f t="shared" si="9"/>
        <v>15634.231493333336</v>
      </c>
      <c r="E21" s="84">
        <f t="shared" si="2"/>
        <v>4.7371131579432957E-2</v>
      </c>
      <c r="G21" s="81">
        <f t="shared" si="3"/>
        <v>13</v>
      </c>
      <c r="H21" s="82">
        <f t="shared" si="4"/>
        <v>46474</v>
      </c>
      <c r="I21" s="83">
        <f t="shared" si="10"/>
        <v>3143.2522577777772</v>
      </c>
      <c r="J21" s="84">
        <f t="shared" si="5"/>
        <v>3.8077759482576745E-2</v>
      </c>
      <c r="L21" s="81">
        <f t="shared" si="6"/>
        <v>13</v>
      </c>
      <c r="M21" s="82">
        <f t="shared" si="7"/>
        <v>46474</v>
      </c>
      <c r="N21" s="85">
        <f t="shared" si="11"/>
        <v>18.996099182229642</v>
      </c>
      <c r="O21" s="84">
        <f t="shared" si="8"/>
        <v>9.0597434344688033E-3</v>
      </c>
    </row>
    <row r="22" spans="2:15" x14ac:dyDescent="0.3">
      <c r="B22" s="81">
        <f t="shared" si="0"/>
        <v>14</v>
      </c>
      <c r="C22" s="82">
        <f t="shared" si="1"/>
        <v>46839</v>
      </c>
      <c r="D22" s="83">
        <f t="shared" si="9"/>
        <v>16415.717219555558</v>
      </c>
      <c r="E22" s="84">
        <f t="shared" si="2"/>
        <v>4.9985554234338814E-2</v>
      </c>
      <c r="G22" s="81">
        <f t="shared" si="3"/>
        <v>14</v>
      </c>
      <c r="H22" s="82">
        <f t="shared" si="4"/>
        <v>46839</v>
      </c>
      <c r="I22" s="83">
        <f t="shared" si="10"/>
        <v>3279.7854364444433</v>
      </c>
      <c r="J22" s="84">
        <f t="shared" si="5"/>
        <v>4.3436914211649302E-2</v>
      </c>
      <c r="L22" s="81">
        <f t="shared" si="6"/>
        <v>14</v>
      </c>
      <c r="M22" s="82">
        <f t="shared" si="7"/>
        <v>46839</v>
      </c>
      <c r="N22" s="85">
        <f t="shared" si="11"/>
        <v>19.055417234291344</v>
      </c>
      <c r="O22" s="84">
        <f t="shared" si="8"/>
        <v>3.1226438382250254E-3</v>
      </c>
    </row>
    <row r="23" spans="2:15" x14ac:dyDescent="0.3">
      <c r="B23" s="81">
        <f t="shared" si="0"/>
        <v>15</v>
      </c>
      <c r="C23" s="82">
        <f t="shared" si="1"/>
        <v>47204</v>
      </c>
      <c r="D23" s="83">
        <f t="shared" si="9"/>
        <v>17239.914470044445</v>
      </c>
      <c r="E23" s="84">
        <f t="shared" si="2"/>
        <v>5.020781239500427E-2</v>
      </c>
      <c r="G23" s="81">
        <f t="shared" si="3"/>
        <v>15</v>
      </c>
      <c r="H23" s="82">
        <f t="shared" si="4"/>
        <v>47204</v>
      </c>
      <c r="I23" s="83">
        <f t="shared" si="10"/>
        <v>3435.879736059258</v>
      </c>
      <c r="J23" s="84">
        <f t="shared" si="5"/>
        <v>4.7592838812051674E-2</v>
      </c>
      <c r="L23" s="81">
        <f t="shared" si="6"/>
        <v>15</v>
      </c>
      <c r="M23" s="82">
        <f t="shared" si="7"/>
        <v>47204</v>
      </c>
      <c r="N23" s="85">
        <f t="shared" si="11"/>
        <v>18.985889354956875</v>
      </c>
      <c r="O23" s="84">
        <f t="shared" si="8"/>
        <v>-3.6487198616333982E-3</v>
      </c>
    </row>
    <row r="24" spans="2:15" x14ac:dyDescent="0.3">
      <c r="B24" s="81">
        <f t="shared" si="0"/>
        <v>16</v>
      </c>
      <c r="C24" s="82">
        <f t="shared" si="1"/>
        <v>47569</v>
      </c>
      <c r="D24" s="83">
        <f t="shared" ref="D24" si="12">FORECAST(B24,D14:D23,B14:B23)</f>
        <v>18080.414139425186</v>
      </c>
      <c r="E24" s="84">
        <f t="shared" ref="E24" si="13">D24/D23-1</f>
        <v>4.8753122925358383E-2</v>
      </c>
      <c r="G24" s="81">
        <f t="shared" si="3"/>
        <v>16</v>
      </c>
      <c r="H24" s="82">
        <f t="shared" si="4"/>
        <v>47569</v>
      </c>
      <c r="I24" s="83">
        <f t="shared" ref="I24" si="14">FORECAST(G24,I14:I23,G14:G23)</f>
        <v>3587.2980597570358</v>
      </c>
      <c r="J24" s="84">
        <f t="shared" ref="J24" si="15">I24/I23-1</f>
        <v>4.4069739143851816E-2</v>
      </c>
      <c r="L24" s="81">
        <f t="shared" si="6"/>
        <v>16</v>
      </c>
      <c r="M24" s="82">
        <f t="shared" si="7"/>
        <v>47569</v>
      </c>
      <c r="N24" s="85">
        <f t="shared" ref="N24" si="16">FORECAST(L24,N14:N23,L14:L23)</f>
        <v>20.138783258300812</v>
      </c>
      <c r="O24" s="84">
        <f t="shared" ref="O24" si="17">N24/N23-1</f>
        <v>6.0723723908300276E-2</v>
      </c>
    </row>
  </sheetData>
  <mergeCells count="6">
    <mergeCell ref="B7:E7"/>
    <mergeCell ref="G7:J7"/>
    <mergeCell ref="L7:O7"/>
    <mergeCell ref="B2:G2"/>
    <mergeCell ref="B3:E3"/>
    <mergeCell ref="B5:O5"/>
  </mergeCells>
  <printOptions horizontalCentered="1"/>
  <pageMargins left="0.7" right="0.7" top="0.75" bottom="0.75" header="0.3" footer="0.3"/>
  <pageSetup paperSize="9" scale="73"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6B313-74C2-402A-B651-3180C6E70BDF}">
  <sheetPr>
    <pageSetUpPr fitToPage="1"/>
  </sheetPr>
  <dimension ref="A1:V65"/>
  <sheetViews>
    <sheetView showGridLines="0" zoomScale="77" zoomScaleNormal="100" workbookViewId="0">
      <selection activeCell="O15" sqref="O15"/>
    </sheetView>
  </sheetViews>
  <sheetFormatPr defaultRowHeight="14.4" x14ac:dyDescent="0.3"/>
  <cols>
    <col min="1" max="1" width="1.88671875" customWidth="1"/>
    <col min="2" max="2" width="12.6640625" customWidth="1"/>
    <col min="3" max="3" width="13" customWidth="1"/>
    <col min="4" max="4" width="12.5546875" customWidth="1"/>
    <col min="6" max="6" width="13" customWidth="1"/>
    <col min="7" max="7" width="8.33203125" customWidth="1"/>
    <col min="9" max="9" width="18.109375" customWidth="1"/>
    <col min="10" max="10" width="11" customWidth="1"/>
    <col min="14" max="14" width="17.44140625" bestFit="1" customWidth="1"/>
    <col min="15" max="15" width="20.21875" bestFit="1" customWidth="1"/>
  </cols>
  <sheetData>
    <row r="1" spans="1:15" ht="15" thickBot="1" x14ac:dyDescent="0.35"/>
    <row r="2" spans="1:15" ht="29.4" customHeight="1" thickTop="1" x14ac:dyDescent="0.55000000000000004">
      <c r="B2" s="238" t="str">
        <f>'Data Sheet'!B1</f>
        <v>GODREJ CONSUMER PRODUCTS LTD</v>
      </c>
      <c r="C2" s="238"/>
      <c r="D2" s="238"/>
      <c r="E2" s="238"/>
      <c r="F2" s="238"/>
      <c r="G2" s="238"/>
      <c r="H2" s="193"/>
      <c r="I2" s="193"/>
      <c r="J2" s="193"/>
      <c r="K2" s="193"/>
      <c r="L2" s="195"/>
    </row>
    <row r="3" spans="1:15" ht="18.600000000000001" thickBot="1" x14ac:dyDescent="0.4">
      <c r="B3" s="239" t="s">
        <v>9336</v>
      </c>
      <c r="C3" s="239"/>
      <c r="D3" s="239"/>
      <c r="E3" s="239"/>
      <c r="F3" s="194"/>
      <c r="G3" s="194"/>
      <c r="H3" s="194"/>
      <c r="I3" s="194"/>
      <c r="J3" s="194"/>
      <c r="K3" s="194"/>
      <c r="L3" s="195"/>
    </row>
    <row r="4" spans="1:15" ht="7.8" customHeight="1" thickTop="1" x14ac:dyDescent="0.35">
      <c r="B4" s="214"/>
      <c r="C4" s="214"/>
      <c r="D4" s="214"/>
      <c r="E4" s="214"/>
      <c r="F4" s="195"/>
      <c r="G4" s="195"/>
      <c r="H4" s="195"/>
      <c r="I4" s="195"/>
      <c r="J4" s="195"/>
      <c r="K4" s="195"/>
      <c r="L4" s="195"/>
    </row>
    <row r="5" spans="1:15" ht="21" x14ac:dyDescent="0.4">
      <c r="B5" s="236" t="s">
        <v>9371</v>
      </c>
      <c r="C5" s="236"/>
      <c r="D5" s="236"/>
      <c r="E5" s="236"/>
      <c r="F5" s="236"/>
      <c r="G5" s="236"/>
      <c r="H5" s="236"/>
      <c r="I5" s="236"/>
      <c r="J5" s="236"/>
      <c r="K5" s="236"/>
      <c r="L5" s="231"/>
    </row>
    <row r="6" spans="1:15" ht="7.2" customHeight="1" x14ac:dyDescent="0.3"/>
    <row r="7" spans="1:15" x14ac:dyDescent="0.3">
      <c r="B7" s="12" t="s">
        <v>203</v>
      </c>
    </row>
    <row r="8" spans="1:15" ht="7.2" customHeight="1" x14ac:dyDescent="0.3"/>
    <row r="9" spans="1:15" x14ac:dyDescent="0.3">
      <c r="B9" s="240" t="s">
        <v>170</v>
      </c>
      <c r="C9" s="240"/>
      <c r="D9" s="240"/>
      <c r="F9" s="240" t="s">
        <v>166</v>
      </c>
      <c r="G9" s="240"/>
      <c r="I9" s="240" t="s">
        <v>167</v>
      </c>
      <c r="J9" s="240"/>
    </row>
    <row r="10" spans="1:15" s="19" customFormat="1" ht="8.4" customHeight="1" x14ac:dyDescent="0.3">
      <c r="B10" s="24"/>
      <c r="C10" s="24"/>
      <c r="D10" s="24"/>
      <c r="F10" s="24"/>
      <c r="G10" s="24"/>
      <c r="I10" s="24"/>
      <c r="J10" s="24"/>
    </row>
    <row r="11" spans="1:15" s="19" customFormat="1" x14ac:dyDescent="0.3">
      <c r="B11" s="89" t="s">
        <v>162</v>
      </c>
      <c r="C11" s="88" t="s">
        <v>168</v>
      </c>
      <c r="D11" s="88" t="s">
        <v>169</v>
      </c>
      <c r="E11"/>
      <c r="F11" s="88" t="s">
        <v>168</v>
      </c>
      <c r="G11" s="88" t="s">
        <v>169</v>
      </c>
      <c r="I11" s="101" t="s">
        <v>171</v>
      </c>
      <c r="J11" s="102">
        <f>O11</f>
        <v>0.74083500167004857</v>
      </c>
      <c r="N11" s="19" t="s">
        <v>176</v>
      </c>
      <c r="O11" s="90">
        <f>SLOPE(D12:D65,G12:G65)</f>
        <v>0.74083500167004857</v>
      </c>
    </row>
    <row r="12" spans="1:15" x14ac:dyDescent="0.3">
      <c r="A12" s="24"/>
      <c r="B12" s="105">
        <v>45208</v>
      </c>
      <c r="C12" s="77">
        <v>967.26</v>
      </c>
      <c r="D12" s="86"/>
      <c r="F12" s="77">
        <v>19751.05</v>
      </c>
      <c r="G12" s="86"/>
      <c r="H12" s="87"/>
      <c r="I12" s="99" t="s">
        <v>172</v>
      </c>
      <c r="J12" s="100">
        <v>0.75</v>
      </c>
    </row>
    <row r="13" spans="1:15" x14ac:dyDescent="0.3">
      <c r="B13" s="105">
        <v>45215</v>
      </c>
      <c r="C13" s="77">
        <v>972.38</v>
      </c>
      <c r="D13" s="86">
        <f t="shared" ref="D13:D21" si="0">C13/C12-1</f>
        <v>5.2933027314270298E-3</v>
      </c>
      <c r="F13" s="77">
        <v>19542.650000000001</v>
      </c>
      <c r="G13" s="86">
        <f t="shared" ref="G13:G21" si="1">F13/F12-1</f>
        <v>-1.0551337776978809E-2</v>
      </c>
      <c r="I13" s="99"/>
      <c r="J13" s="99"/>
      <c r="N13" t="s">
        <v>177</v>
      </c>
      <c r="O13" s="92">
        <f>(_xlfn.COVARIANCE.S(D12:D65,G12:G65))/_xlfn.VAR.S(G12:G65)</f>
        <v>0.74083500167004834</v>
      </c>
    </row>
    <row r="14" spans="1:15" x14ac:dyDescent="0.3">
      <c r="B14" s="105">
        <v>45222</v>
      </c>
      <c r="C14" s="77">
        <v>971.49</v>
      </c>
      <c r="D14" s="86">
        <f>C14/C13-1</f>
        <v>-9.1528003455443319E-4</v>
      </c>
      <c r="F14" s="77">
        <v>19047.25</v>
      </c>
      <c r="G14" s="86">
        <f>F14/F13-1</f>
        <v>-2.5349683896503383E-2</v>
      </c>
      <c r="I14" s="99" t="s">
        <v>173</v>
      </c>
      <c r="J14" s="98">
        <v>1</v>
      </c>
    </row>
    <row r="15" spans="1:15" x14ac:dyDescent="0.3">
      <c r="B15" s="105">
        <v>45229</v>
      </c>
      <c r="C15" s="77">
        <v>1004.41</v>
      </c>
      <c r="D15" s="86">
        <f t="shared" si="0"/>
        <v>3.3886092497092068E-2</v>
      </c>
      <c r="F15" s="77">
        <v>19230.599999999999</v>
      </c>
      <c r="G15" s="86">
        <f t="shared" si="1"/>
        <v>9.6260615049414966E-3</v>
      </c>
      <c r="I15" s="99" t="s">
        <v>174</v>
      </c>
      <c r="J15" s="100">
        <v>0.25</v>
      </c>
      <c r="N15" t="s">
        <v>202</v>
      </c>
      <c r="O15" s="90">
        <f>O37</f>
        <v>0.74083500167004812</v>
      </c>
    </row>
    <row r="16" spans="1:15" x14ac:dyDescent="0.3">
      <c r="B16" s="105">
        <v>45236</v>
      </c>
      <c r="C16" s="77">
        <v>968.59</v>
      </c>
      <c r="D16" s="86">
        <f t="shared" si="0"/>
        <v>-3.566272737228815E-2</v>
      </c>
      <c r="F16" s="77">
        <v>19425.349999999999</v>
      </c>
      <c r="G16" s="86">
        <f t="shared" si="1"/>
        <v>1.0127089118384225E-2</v>
      </c>
      <c r="I16" s="45"/>
      <c r="J16" s="45"/>
    </row>
    <row r="17" spans="2:19" ht="15" thickBot="1" x14ac:dyDescent="0.35">
      <c r="B17" s="105">
        <v>45243</v>
      </c>
      <c r="C17" s="77">
        <v>985.89</v>
      </c>
      <c r="D17" s="86">
        <f t="shared" si="0"/>
        <v>1.786101446432431E-2</v>
      </c>
      <c r="F17" s="77">
        <v>19731.8</v>
      </c>
      <c r="G17" s="86">
        <f t="shared" si="1"/>
        <v>1.5775777527818002E-2</v>
      </c>
      <c r="I17" s="103" t="s">
        <v>175</v>
      </c>
      <c r="J17" s="104">
        <f>(J11*J12)+(J14*J15)</f>
        <v>0.8056262512525364</v>
      </c>
    </row>
    <row r="18" spans="2:19" x14ac:dyDescent="0.3">
      <c r="B18" s="105">
        <v>45250</v>
      </c>
      <c r="C18" s="77">
        <v>998.3</v>
      </c>
      <c r="D18" s="86">
        <f t="shared" si="0"/>
        <v>1.2587611193946469E-2</v>
      </c>
      <c r="F18" s="77">
        <v>19794.7</v>
      </c>
      <c r="G18" s="86">
        <f t="shared" si="1"/>
        <v>3.1877476966115648E-3</v>
      </c>
    </row>
    <row r="19" spans="2:19" x14ac:dyDescent="0.3">
      <c r="B19" s="105">
        <v>45257</v>
      </c>
      <c r="C19" s="77">
        <v>1014.03</v>
      </c>
      <c r="D19" s="86">
        <f t="shared" si="0"/>
        <v>1.5756786537113099E-2</v>
      </c>
      <c r="F19" s="77">
        <v>20267.900000000001</v>
      </c>
      <c r="G19" s="86">
        <f t="shared" si="1"/>
        <v>2.3905388816198414E-2</v>
      </c>
    </row>
    <row r="20" spans="2:19" x14ac:dyDescent="0.3">
      <c r="B20" s="105">
        <v>45264</v>
      </c>
      <c r="C20" s="77">
        <v>1010.22</v>
      </c>
      <c r="D20" s="86">
        <f t="shared" si="0"/>
        <v>-3.7572852874174778E-3</v>
      </c>
      <c r="F20" s="77">
        <v>20969.400000000001</v>
      </c>
      <c r="G20" s="86">
        <f t="shared" si="1"/>
        <v>3.4611380557433069E-2</v>
      </c>
      <c r="N20" t="s">
        <v>178</v>
      </c>
    </row>
    <row r="21" spans="2:19" ht="15" thickBot="1" x14ac:dyDescent="0.35">
      <c r="B21" s="105">
        <v>45271</v>
      </c>
      <c r="C21" s="77">
        <v>1030.5899999999999</v>
      </c>
      <c r="D21" s="86">
        <f t="shared" si="0"/>
        <v>2.0163924689671431E-2</v>
      </c>
      <c r="F21" s="77">
        <v>21456.65</v>
      </c>
      <c r="G21" s="86">
        <f t="shared" si="1"/>
        <v>2.3236239472755438E-2</v>
      </c>
    </row>
    <row r="22" spans="2:19" x14ac:dyDescent="0.3">
      <c r="B22" s="105">
        <v>45278</v>
      </c>
      <c r="C22" s="77">
        <v>1062.33</v>
      </c>
      <c r="D22" s="86">
        <f t="shared" ref="D22:D65" si="2">C22/C21-1</f>
        <v>3.0797892469362154E-2</v>
      </c>
      <c r="F22" s="77">
        <v>21349.4</v>
      </c>
      <c r="G22" s="86">
        <f t="shared" ref="G22:G65" si="3">F22/F21-1</f>
        <v>-4.9984503638732525E-3</v>
      </c>
      <c r="N22" s="96" t="s">
        <v>179</v>
      </c>
      <c r="O22" s="96"/>
    </row>
    <row r="23" spans="2:19" x14ac:dyDescent="0.3">
      <c r="B23" s="105">
        <v>45285</v>
      </c>
      <c r="C23" s="77">
        <v>1118.6500000000001</v>
      </c>
      <c r="D23" s="86">
        <f t="shared" si="2"/>
        <v>5.3015541310139191E-2</v>
      </c>
      <c r="F23" s="77">
        <v>21731.4</v>
      </c>
      <c r="G23" s="86">
        <f t="shared" si="3"/>
        <v>1.7892774504201459E-2</v>
      </c>
      <c r="N23" s="93" t="s">
        <v>180</v>
      </c>
      <c r="O23" s="93">
        <v>0.34239134952524425</v>
      </c>
    </row>
    <row r="24" spans="2:19" x14ac:dyDescent="0.3">
      <c r="B24" s="105">
        <v>45292</v>
      </c>
      <c r="C24" s="77">
        <v>1206.32</v>
      </c>
      <c r="D24" s="86">
        <f t="shared" si="2"/>
        <v>7.8371251061547298E-2</v>
      </c>
      <c r="F24" s="77">
        <v>21710.799999999999</v>
      </c>
      <c r="G24" s="86">
        <f t="shared" si="3"/>
        <v>-9.479370864280412E-4</v>
      </c>
      <c r="N24" s="93" t="s">
        <v>181</v>
      </c>
      <c r="O24" s="93">
        <v>0.11723183622971797</v>
      </c>
    </row>
    <row r="25" spans="2:19" x14ac:dyDescent="0.3">
      <c r="B25" s="105">
        <v>45299</v>
      </c>
      <c r="C25" s="77">
        <v>1142.68</v>
      </c>
      <c r="D25" s="86">
        <f t="shared" si="2"/>
        <v>-5.2755487764440501E-2</v>
      </c>
      <c r="F25" s="77">
        <v>21894.55</v>
      </c>
      <c r="G25" s="86">
        <f t="shared" si="3"/>
        <v>8.4635296718684749E-3</v>
      </c>
      <c r="N25" s="93" t="s">
        <v>182</v>
      </c>
      <c r="O25" s="93">
        <v>9.9922656547947727E-2</v>
      </c>
    </row>
    <row r="26" spans="2:19" x14ac:dyDescent="0.3">
      <c r="B26" s="105">
        <v>45306</v>
      </c>
      <c r="C26" s="77">
        <v>1136.5</v>
      </c>
      <c r="D26" s="86">
        <f t="shared" si="2"/>
        <v>-5.4083382924353662E-3</v>
      </c>
      <c r="F26" s="77">
        <v>21622.400000000001</v>
      </c>
      <c r="G26" s="86">
        <f t="shared" si="3"/>
        <v>-1.2430033958222397E-2</v>
      </c>
      <c r="N26" s="93" t="s">
        <v>183</v>
      </c>
      <c r="O26" s="93">
        <v>3.1829074822367756E-2</v>
      </c>
    </row>
    <row r="27" spans="2:19" ht="15" thickBot="1" x14ac:dyDescent="0.35">
      <c r="B27" s="105">
        <v>45313</v>
      </c>
      <c r="C27" s="77">
        <v>1144.46</v>
      </c>
      <c r="D27" s="86">
        <f t="shared" si="2"/>
        <v>7.0039595248569952E-3</v>
      </c>
      <c r="F27" s="77">
        <v>21352.6</v>
      </c>
      <c r="G27" s="86">
        <f t="shared" si="3"/>
        <v>-1.2477800799171379E-2</v>
      </c>
      <c r="N27" s="94" t="s">
        <v>184</v>
      </c>
      <c r="O27" s="94">
        <v>53</v>
      </c>
    </row>
    <row r="28" spans="2:19" x14ac:dyDescent="0.3">
      <c r="B28" s="105">
        <v>45320</v>
      </c>
      <c r="C28" s="77">
        <v>1223.1300000000001</v>
      </c>
      <c r="D28" s="86">
        <f t="shared" si="2"/>
        <v>6.8739842371074555E-2</v>
      </c>
      <c r="F28" s="77">
        <v>21853.8</v>
      </c>
      <c r="G28" s="86">
        <f t="shared" si="3"/>
        <v>2.3472551352060167E-2</v>
      </c>
    </row>
    <row r="29" spans="2:19" ht="15" thickBot="1" x14ac:dyDescent="0.35">
      <c r="B29" s="105">
        <v>45327</v>
      </c>
      <c r="C29" s="77">
        <v>1205.1300000000001</v>
      </c>
      <c r="D29" s="86">
        <f t="shared" si="2"/>
        <v>-1.4716342498344415E-2</v>
      </c>
      <c r="F29" s="77">
        <v>21782.5</v>
      </c>
      <c r="G29" s="86">
        <f t="shared" si="3"/>
        <v>-3.2625904876955047E-3</v>
      </c>
      <c r="N29" t="s">
        <v>185</v>
      </c>
    </row>
    <row r="30" spans="2:19" x14ac:dyDescent="0.3">
      <c r="B30" s="105">
        <v>45334</v>
      </c>
      <c r="C30" s="77">
        <v>1227.58</v>
      </c>
      <c r="D30" s="86">
        <f t="shared" si="2"/>
        <v>1.8628695659389294E-2</v>
      </c>
      <c r="F30" s="77">
        <v>22040.7</v>
      </c>
      <c r="G30" s="86">
        <f t="shared" si="3"/>
        <v>1.1853552163433978E-2</v>
      </c>
      <c r="N30" s="95"/>
      <c r="O30" s="95" t="s">
        <v>189</v>
      </c>
      <c r="P30" s="95" t="s">
        <v>190</v>
      </c>
      <c r="Q30" s="95" t="s">
        <v>191</v>
      </c>
      <c r="R30" s="95" t="s">
        <v>192</v>
      </c>
      <c r="S30" s="95" t="s">
        <v>193</v>
      </c>
    </row>
    <row r="31" spans="2:19" x14ac:dyDescent="0.3">
      <c r="B31" s="105">
        <v>45341</v>
      </c>
      <c r="C31" s="77">
        <v>1237.07</v>
      </c>
      <c r="D31" s="86">
        <f t="shared" si="2"/>
        <v>7.7306570651201056E-3</v>
      </c>
      <c r="F31" s="77">
        <v>22212.7</v>
      </c>
      <c r="G31" s="86">
        <f t="shared" si="3"/>
        <v>7.8037448901351336E-3</v>
      </c>
      <c r="N31" s="93" t="s">
        <v>186</v>
      </c>
      <c r="O31" s="93">
        <v>1</v>
      </c>
      <c r="P31" s="93">
        <v>6.8614690946670887E-3</v>
      </c>
      <c r="Q31" s="93">
        <v>6.8614690946670887E-3</v>
      </c>
      <c r="R31" s="93">
        <v>6.7728129457911139</v>
      </c>
      <c r="S31" s="93">
        <v>1.2087864488941615E-2</v>
      </c>
    </row>
    <row r="32" spans="2:19" x14ac:dyDescent="0.3">
      <c r="B32" s="105">
        <v>45348</v>
      </c>
      <c r="C32" s="77">
        <v>1253.3900000000001</v>
      </c>
      <c r="D32" s="86">
        <f t="shared" si="2"/>
        <v>1.3192462835571295E-2</v>
      </c>
      <c r="F32" s="77">
        <v>22338.75</v>
      </c>
      <c r="G32" s="86">
        <f t="shared" si="3"/>
        <v>5.6746816010659895E-3</v>
      </c>
      <c r="N32" s="93" t="s">
        <v>187</v>
      </c>
      <c r="O32" s="93">
        <v>51</v>
      </c>
      <c r="P32" s="93">
        <v>5.1667590206442141E-2</v>
      </c>
      <c r="Q32" s="93">
        <v>1.0130900040478852E-3</v>
      </c>
      <c r="R32" s="93"/>
      <c r="S32" s="93"/>
    </row>
    <row r="33" spans="2:22" ht="15" thickBot="1" x14ac:dyDescent="0.35">
      <c r="B33" s="105">
        <v>45355</v>
      </c>
      <c r="C33" s="77">
        <v>1220.56</v>
      </c>
      <c r="D33" s="86">
        <f t="shared" si="2"/>
        <v>-2.6192964679788489E-2</v>
      </c>
      <c r="F33" s="77">
        <v>22493.55</v>
      </c>
      <c r="G33" s="86">
        <f t="shared" si="3"/>
        <v>6.929662581836471E-3</v>
      </c>
      <c r="N33" s="94" t="s">
        <v>37</v>
      </c>
      <c r="O33" s="94">
        <v>52</v>
      </c>
      <c r="P33" s="94">
        <v>5.8529059301109229E-2</v>
      </c>
      <c r="Q33" s="94"/>
      <c r="R33" s="94"/>
      <c r="S33" s="94"/>
    </row>
    <row r="34" spans="2:22" ht="15" thickBot="1" x14ac:dyDescent="0.35">
      <c r="B34" s="105">
        <v>45362</v>
      </c>
      <c r="C34" s="77">
        <v>1199.25</v>
      </c>
      <c r="D34" s="86">
        <f t="shared" si="2"/>
        <v>-1.7459199056170882E-2</v>
      </c>
      <c r="F34" s="77">
        <v>22023.35</v>
      </c>
      <c r="G34" s="86">
        <f t="shared" si="3"/>
        <v>-2.0903770191899484E-2</v>
      </c>
    </row>
    <row r="35" spans="2:22" x14ac:dyDescent="0.3">
      <c r="B35" s="105">
        <v>45369</v>
      </c>
      <c r="C35" s="77">
        <v>1208.0999999999999</v>
      </c>
      <c r="D35" s="86">
        <f t="shared" si="2"/>
        <v>7.379612257661039E-3</v>
      </c>
      <c r="F35" s="77">
        <v>22096.75</v>
      </c>
      <c r="G35" s="86">
        <f t="shared" si="3"/>
        <v>3.3328262957270649E-3</v>
      </c>
      <c r="N35" s="95"/>
      <c r="O35" s="95" t="s">
        <v>194</v>
      </c>
      <c r="P35" s="95" t="s">
        <v>183</v>
      </c>
      <c r="Q35" s="95" t="s">
        <v>195</v>
      </c>
      <c r="R35" s="95" t="s">
        <v>196</v>
      </c>
      <c r="S35" s="95" t="s">
        <v>197</v>
      </c>
      <c r="T35" s="95" t="s">
        <v>198</v>
      </c>
      <c r="U35" s="95" t="s">
        <v>199</v>
      </c>
      <c r="V35" s="95" t="s">
        <v>200</v>
      </c>
    </row>
    <row r="36" spans="2:22" x14ac:dyDescent="0.3">
      <c r="B36" s="105">
        <v>45376</v>
      </c>
      <c r="C36" s="77">
        <v>1237.92</v>
      </c>
      <c r="D36" s="86">
        <f t="shared" si="2"/>
        <v>2.4683387136826607E-2</v>
      </c>
      <c r="F36" s="77">
        <v>22326.9</v>
      </c>
      <c r="G36" s="86">
        <f t="shared" si="3"/>
        <v>1.0415558849152129E-2</v>
      </c>
      <c r="N36" s="93" t="s">
        <v>188</v>
      </c>
      <c r="O36" s="93">
        <v>3.346263250015245E-3</v>
      </c>
      <c r="P36" s="93">
        <v>4.5529703158850438E-3</v>
      </c>
      <c r="Q36" s="93">
        <v>0.73496267663778314</v>
      </c>
      <c r="R36" s="93">
        <v>0.46572853426289595</v>
      </c>
      <c r="S36" s="93">
        <v>-5.7942060628853303E-3</v>
      </c>
      <c r="T36" s="93">
        <v>1.248673256291582E-2</v>
      </c>
      <c r="U36" s="93">
        <v>-5.7942060628853303E-3</v>
      </c>
      <c r="V36" s="93">
        <v>1.248673256291582E-2</v>
      </c>
    </row>
    <row r="37" spans="2:22" ht="15" thickBot="1" x14ac:dyDescent="0.35">
      <c r="B37" s="105">
        <v>45383</v>
      </c>
      <c r="C37" s="77">
        <v>1196.68</v>
      </c>
      <c r="D37" s="86">
        <f t="shared" si="2"/>
        <v>-3.3313945973891701E-2</v>
      </c>
      <c r="F37" s="77">
        <v>22513.7</v>
      </c>
      <c r="G37" s="86">
        <f t="shared" si="3"/>
        <v>8.3665891816597782E-3</v>
      </c>
      <c r="N37" s="94" t="s">
        <v>201</v>
      </c>
      <c r="O37" s="94">
        <v>0.74083500167004812</v>
      </c>
      <c r="P37" s="94">
        <v>0.28466688712952626</v>
      </c>
      <c r="Q37" s="94">
        <v>2.6024628615584673</v>
      </c>
      <c r="R37" s="94">
        <v>1.208786448894174E-2</v>
      </c>
      <c r="S37" s="94">
        <v>0.16934237912248151</v>
      </c>
      <c r="T37" s="94">
        <v>1.3123276242176147</v>
      </c>
      <c r="U37" s="94">
        <v>0.16934237912248151</v>
      </c>
      <c r="V37" s="94">
        <v>1.3123276242176147</v>
      </c>
    </row>
    <row r="38" spans="2:22" x14ac:dyDescent="0.3">
      <c r="B38" s="105">
        <v>45390</v>
      </c>
      <c r="C38" s="77">
        <v>1186.44</v>
      </c>
      <c r="D38" s="86">
        <f t="shared" si="2"/>
        <v>-8.5570077213624751E-3</v>
      </c>
      <c r="F38" s="77">
        <v>22519.4</v>
      </c>
      <c r="G38" s="86">
        <f t="shared" si="3"/>
        <v>2.5317917534661838E-4</v>
      </c>
    </row>
    <row r="39" spans="2:22" x14ac:dyDescent="0.3">
      <c r="B39" s="105">
        <v>45397</v>
      </c>
      <c r="C39" s="77">
        <v>1155.8900000000001</v>
      </c>
      <c r="D39" s="86">
        <f t="shared" si="2"/>
        <v>-2.5749300428171584E-2</v>
      </c>
      <c r="F39" s="77">
        <v>22147</v>
      </c>
      <c r="G39" s="86">
        <f t="shared" si="3"/>
        <v>-1.6536852669254087E-2</v>
      </c>
    </row>
    <row r="40" spans="2:22" x14ac:dyDescent="0.3">
      <c r="B40" s="105">
        <v>45404</v>
      </c>
      <c r="C40" s="77">
        <v>1189.1600000000001</v>
      </c>
      <c r="D40" s="86">
        <f t="shared" si="2"/>
        <v>2.8783015684883395E-2</v>
      </c>
      <c r="F40" s="77">
        <v>22419.95</v>
      </c>
      <c r="G40" s="86">
        <f t="shared" si="3"/>
        <v>1.2324468325281002E-2</v>
      </c>
    </row>
    <row r="41" spans="2:22" x14ac:dyDescent="0.3">
      <c r="B41" s="105">
        <v>45411</v>
      </c>
      <c r="C41" s="77">
        <v>1237.32</v>
      </c>
      <c r="D41" s="86">
        <f t="shared" si="2"/>
        <v>4.0499175888862649E-2</v>
      </c>
      <c r="F41" s="77">
        <v>22475.85</v>
      </c>
      <c r="G41" s="86">
        <f t="shared" si="3"/>
        <v>2.4933151055197555E-3</v>
      </c>
    </row>
    <row r="42" spans="2:22" x14ac:dyDescent="0.3">
      <c r="B42" s="105">
        <v>45418</v>
      </c>
      <c r="C42" s="77">
        <v>1306.3</v>
      </c>
      <c r="D42" s="86">
        <f t="shared" si="2"/>
        <v>5.574952316296522E-2</v>
      </c>
      <c r="F42" s="77">
        <v>22055.200000000001</v>
      </c>
      <c r="G42" s="86">
        <f t="shared" si="3"/>
        <v>-1.8715643679771743E-2</v>
      </c>
    </row>
    <row r="43" spans="2:22" x14ac:dyDescent="0.3">
      <c r="B43" s="105">
        <v>45425</v>
      </c>
      <c r="C43" s="77">
        <v>1284.99</v>
      </c>
      <c r="D43" s="86">
        <f t="shared" si="2"/>
        <v>-1.631325116741944E-2</v>
      </c>
      <c r="F43" s="77">
        <v>22466.1</v>
      </c>
      <c r="G43" s="86">
        <f t="shared" si="3"/>
        <v>1.8630527041241907E-2</v>
      </c>
    </row>
    <row r="44" spans="2:22" x14ac:dyDescent="0.3">
      <c r="B44" s="105">
        <v>45432</v>
      </c>
      <c r="C44" s="77">
        <v>1305.57</v>
      </c>
      <c r="D44" s="86">
        <f t="shared" si="2"/>
        <v>1.6015688838045383E-2</v>
      </c>
      <c r="F44" s="77">
        <v>22957.1</v>
      </c>
      <c r="G44" s="86">
        <f t="shared" si="3"/>
        <v>2.1855150649200406E-2</v>
      </c>
    </row>
    <row r="45" spans="2:22" x14ac:dyDescent="0.3">
      <c r="B45" s="105">
        <v>45439</v>
      </c>
      <c r="C45" s="77">
        <v>1265.72</v>
      </c>
      <c r="D45" s="86">
        <f t="shared" si="2"/>
        <v>-3.0523066553306166E-2</v>
      </c>
      <c r="F45" s="77">
        <v>22530.7</v>
      </c>
      <c r="G45" s="86">
        <f t="shared" si="3"/>
        <v>-1.8573774562117951E-2</v>
      </c>
    </row>
    <row r="46" spans="2:22" x14ac:dyDescent="0.3">
      <c r="B46" s="105">
        <v>45446</v>
      </c>
      <c r="C46" s="77">
        <v>1422.69</v>
      </c>
      <c r="D46" s="86">
        <f t="shared" si="2"/>
        <v>0.12401637012925448</v>
      </c>
      <c r="F46" s="77">
        <v>23290.15</v>
      </c>
      <c r="G46" s="86">
        <f t="shared" si="3"/>
        <v>3.3707341538434354E-2</v>
      </c>
    </row>
    <row r="47" spans="2:22" x14ac:dyDescent="0.3">
      <c r="B47" s="105">
        <v>45453</v>
      </c>
      <c r="C47" s="77">
        <v>1387.87</v>
      </c>
      <c r="D47" s="86">
        <f t="shared" si="2"/>
        <v>-2.4474762597614497E-2</v>
      </c>
      <c r="F47" s="77">
        <v>23465.599999999999</v>
      </c>
      <c r="G47" s="86">
        <f t="shared" si="3"/>
        <v>7.5332275661599279E-3</v>
      </c>
    </row>
    <row r="48" spans="2:22" x14ac:dyDescent="0.3">
      <c r="B48" s="105">
        <v>45460</v>
      </c>
      <c r="C48" s="77">
        <v>1351.9</v>
      </c>
      <c r="D48" s="86">
        <f t="shared" si="2"/>
        <v>-2.5917413014187041E-2</v>
      </c>
      <c r="F48" s="77">
        <v>23501.1</v>
      </c>
      <c r="G48" s="86">
        <f t="shared" si="3"/>
        <v>1.5128528569481325E-3</v>
      </c>
    </row>
    <row r="49" spans="2:7" x14ac:dyDescent="0.3">
      <c r="B49" s="105">
        <v>45467</v>
      </c>
      <c r="C49" s="77">
        <v>1370.83</v>
      </c>
      <c r="D49" s="86">
        <f t="shared" si="2"/>
        <v>1.4002514978918468E-2</v>
      </c>
      <c r="F49" s="77">
        <v>24010.6</v>
      </c>
      <c r="G49" s="86">
        <f t="shared" si="3"/>
        <v>2.1679836262983532E-2</v>
      </c>
    </row>
    <row r="50" spans="2:7" x14ac:dyDescent="0.3">
      <c r="B50" s="105">
        <v>45474</v>
      </c>
      <c r="C50" s="77">
        <v>1368.79</v>
      </c>
      <c r="D50" s="86">
        <f t="shared" si="2"/>
        <v>-1.4881495152571089E-3</v>
      </c>
      <c r="F50" s="77">
        <v>24323.85</v>
      </c>
      <c r="G50" s="86">
        <f t="shared" si="3"/>
        <v>1.3046321208133094E-2</v>
      </c>
    </row>
    <row r="51" spans="2:7" x14ac:dyDescent="0.3">
      <c r="B51" s="105">
        <v>45481</v>
      </c>
      <c r="C51" s="77">
        <v>1438.63</v>
      </c>
      <c r="D51" s="86">
        <f t="shared" si="2"/>
        <v>5.1023166446277468E-2</v>
      </c>
      <c r="F51" s="77">
        <v>24502.15</v>
      </c>
      <c r="G51" s="86">
        <f t="shared" si="3"/>
        <v>7.3302540510651326E-3</v>
      </c>
    </row>
    <row r="52" spans="2:7" x14ac:dyDescent="0.3">
      <c r="B52" s="105">
        <v>45488</v>
      </c>
      <c r="C52" s="77">
        <v>1446.61</v>
      </c>
      <c r="D52" s="86">
        <f t="shared" si="2"/>
        <v>5.5469439675244203E-3</v>
      </c>
      <c r="F52" s="77">
        <v>24530.9</v>
      </c>
      <c r="G52" s="86">
        <f t="shared" si="3"/>
        <v>1.1733664188653403E-3</v>
      </c>
    </row>
    <row r="53" spans="2:7" x14ac:dyDescent="0.3">
      <c r="B53" s="105">
        <v>45495</v>
      </c>
      <c r="C53" s="77">
        <v>1462.15</v>
      </c>
      <c r="D53" s="86">
        <f t="shared" si="2"/>
        <v>1.0742356267411601E-2</v>
      </c>
      <c r="F53" s="77">
        <v>24834.85</v>
      </c>
      <c r="G53" s="86">
        <f t="shared" si="3"/>
        <v>1.2390495252925682E-2</v>
      </c>
    </row>
    <row r="54" spans="2:7" x14ac:dyDescent="0.3">
      <c r="B54" s="105">
        <v>45502</v>
      </c>
      <c r="C54" s="77">
        <v>1453.83</v>
      </c>
      <c r="D54" s="86">
        <f t="shared" si="2"/>
        <v>-5.6902506582773293E-3</v>
      </c>
      <c r="F54" s="77">
        <v>24717.7</v>
      </c>
      <c r="G54" s="86">
        <f t="shared" si="3"/>
        <v>-4.7171615693268887E-3</v>
      </c>
    </row>
    <row r="55" spans="2:7" x14ac:dyDescent="0.3">
      <c r="B55" s="105">
        <v>45509</v>
      </c>
      <c r="C55" s="77">
        <v>1439.53</v>
      </c>
      <c r="D55" s="86">
        <f t="shared" si="2"/>
        <v>-9.8360881258469091E-3</v>
      </c>
      <c r="F55" s="77">
        <v>24367.5</v>
      </c>
      <c r="G55" s="86">
        <f t="shared" si="3"/>
        <v>-1.4167984885325113E-2</v>
      </c>
    </row>
    <row r="56" spans="2:7" x14ac:dyDescent="0.3">
      <c r="B56" s="105">
        <v>45516</v>
      </c>
      <c r="C56" s="77">
        <v>1399.93</v>
      </c>
      <c r="D56" s="86">
        <f t="shared" si="2"/>
        <v>-2.7508978624967817E-2</v>
      </c>
      <c r="F56" s="77">
        <v>24541.15</v>
      </c>
      <c r="G56" s="86">
        <f t="shared" si="3"/>
        <v>7.1262952703396998E-3</v>
      </c>
    </row>
    <row r="57" spans="2:7" x14ac:dyDescent="0.3">
      <c r="B57" s="105">
        <v>45523</v>
      </c>
      <c r="C57" s="77">
        <v>1428.35</v>
      </c>
      <c r="D57" s="86">
        <f t="shared" si="2"/>
        <v>2.0301015050752325E-2</v>
      </c>
      <c r="F57" s="77">
        <v>24823.15</v>
      </c>
      <c r="G57" s="86">
        <f t="shared" si="3"/>
        <v>1.1490904052988471E-2</v>
      </c>
    </row>
    <row r="58" spans="2:7" x14ac:dyDescent="0.3">
      <c r="B58" s="105">
        <v>45530</v>
      </c>
      <c r="C58" s="77">
        <v>1481.2</v>
      </c>
      <c r="D58" s="86">
        <f t="shared" si="2"/>
        <v>3.7000735113942751E-2</v>
      </c>
      <c r="F58" s="77">
        <v>25235.9</v>
      </c>
      <c r="G58" s="86">
        <f t="shared" si="3"/>
        <v>1.6627623810837822E-2</v>
      </c>
    </row>
    <row r="59" spans="2:7" x14ac:dyDescent="0.3">
      <c r="B59" s="105">
        <v>45537</v>
      </c>
      <c r="C59" s="77">
        <v>1443.45</v>
      </c>
      <c r="D59" s="86">
        <f t="shared" si="2"/>
        <v>-2.5486092357547951E-2</v>
      </c>
      <c r="F59" s="77">
        <v>24852.15</v>
      </c>
      <c r="G59" s="86">
        <f t="shared" si="3"/>
        <v>-1.5206511358818231E-2</v>
      </c>
    </row>
    <row r="60" spans="2:7" x14ac:dyDescent="0.3">
      <c r="B60" s="105">
        <v>45544</v>
      </c>
      <c r="C60" s="77">
        <v>1491.3</v>
      </c>
      <c r="D60" s="86">
        <f t="shared" si="2"/>
        <v>3.3149745401641839E-2</v>
      </c>
      <c r="F60" s="77">
        <v>25356.5</v>
      </c>
      <c r="G60" s="86">
        <f t="shared" si="3"/>
        <v>2.0294018827344829E-2</v>
      </c>
    </row>
    <row r="61" spans="2:7" x14ac:dyDescent="0.3">
      <c r="B61" s="105">
        <v>45551</v>
      </c>
      <c r="C61" s="77">
        <v>1456.6</v>
      </c>
      <c r="D61" s="86">
        <f t="shared" si="2"/>
        <v>-2.3268289411922494E-2</v>
      </c>
      <c r="F61" s="77">
        <v>25790.95</v>
      </c>
      <c r="G61" s="86">
        <f t="shared" si="3"/>
        <v>1.7133673811448702E-2</v>
      </c>
    </row>
    <row r="62" spans="2:7" x14ac:dyDescent="0.3">
      <c r="B62" s="105">
        <v>45558</v>
      </c>
      <c r="C62" s="77">
        <v>1388.65</v>
      </c>
      <c r="D62" s="86">
        <f t="shared" si="2"/>
        <v>-4.6649732253192244E-2</v>
      </c>
      <c r="F62" s="77">
        <v>26178.95</v>
      </c>
      <c r="G62" s="86">
        <f t="shared" si="3"/>
        <v>1.5044036764834123E-2</v>
      </c>
    </row>
    <row r="63" spans="2:7" x14ac:dyDescent="0.3">
      <c r="B63" s="105">
        <v>45565</v>
      </c>
      <c r="C63" s="77">
        <v>1343.25</v>
      </c>
      <c r="D63" s="86">
        <f t="shared" si="2"/>
        <v>-3.2693623303208241E-2</v>
      </c>
      <c r="F63" s="77">
        <v>25014.6</v>
      </c>
      <c r="G63" s="86">
        <f t="shared" si="3"/>
        <v>-4.4476573735768743E-2</v>
      </c>
    </row>
    <row r="64" spans="2:7" x14ac:dyDescent="0.3">
      <c r="B64" s="105">
        <v>45572</v>
      </c>
      <c r="C64" s="77">
        <v>1315.7</v>
      </c>
      <c r="D64" s="86">
        <f t="shared" si="2"/>
        <v>-2.0509957193374229E-2</v>
      </c>
      <c r="F64" s="77">
        <v>24964.25</v>
      </c>
      <c r="G64" s="86">
        <f t="shared" si="3"/>
        <v>-2.0128245104857889E-3</v>
      </c>
    </row>
    <row r="65" spans="2:7" x14ac:dyDescent="0.3">
      <c r="B65" s="105">
        <v>45579</v>
      </c>
      <c r="C65" s="77">
        <v>1336.15</v>
      </c>
      <c r="D65" s="86">
        <f t="shared" si="2"/>
        <v>1.5543056927871168E-2</v>
      </c>
      <c r="E65" s="24"/>
      <c r="F65" s="77">
        <v>24854.05</v>
      </c>
      <c r="G65" s="86">
        <f t="shared" si="3"/>
        <v>-4.4143124668275524E-3</v>
      </c>
    </row>
  </sheetData>
  <mergeCells count="6">
    <mergeCell ref="B9:D9"/>
    <mergeCell ref="F9:G9"/>
    <mergeCell ref="I9:J9"/>
    <mergeCell ref="B2:G2"/>
    <mergeCell ref="B3:E3"/>
    <mergeCell ref="B5:K5"/>
  </mergeCells>
  <pageMargins left="0.7" right="0.7" top="0.75" bottom="0.75" header="0.3" footer="0.3"/>
  <pageSetup paperSize="9" scale="80" fitToHeight="0" orientation="portrait" r:id="rId1"/>
  <rowBreaks count="1" manualBreakCount="1">
    <brk id="67" max="9"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7112D-484F-4CA6-8B1F-8D9591933BCE}">
  <dimension ref="B1:K46"/>
  <sheetViews>
    <sheetView showGridLines="0" topLeftCell="A13" zoomScale="84" workbookViewId="0">
      <selection activeCell="L29" sqref="L29"/>
    </sheetView>
  </sheetViews>
  <sheetFormatPr defaultRowHeight="14.4" x14ac:dyDescent="0.3"/>
  <cols>
    <col min="1" max="1" width="1.88671875" customWidth="1"/>
    <col min="2" max="2" width="19.5546875" customWidth="1"/>
    <col min="3" max="3" width="9.44140625" bestFit="1" customWidth="1"/>
    <col min="4" max="4" width="10.109375" bestFit="1" customWidth="1"/>
    <col min="5" max="5" width="13.6640625" bestFit="1" customWidth="1"/>
  </cols>
  <sheetData>
    <row r="1" spans="2:11" ht="15" thickBot="1" x14ac:dyDescent="0.35"/>
    <row r="2" spans="2:11" ht="28.8" customHeight="1" thickTop="1" x14ac:dyDescent="0.5">
      <c r="B2" s="242" t="str">
        <f>'Data Sheet'!B1</f>
        <v>GODREJ CONSUMER PRODUCTS LTD</v>
      </c>
      <c r="C2" s="242"/>
      <c r="D2" s="242"/>
      <c r="E2" s="242"/>
      <c r="F2" s="242"/>
      <c r="G2" s="242"/>
      <c r="H2" s="193"/>
      <c r="I2" s="193"/>
      <c r="J2" s="193"/>
      <c r="K2" s="195"/>
    </row>
    <row r="3" spans="2:11" ht="18.600000000000001" thickBot="1" x14ac:dyDescent="0.4">
      <c r="B3" s="239" t="s">
        <v>9336</v>
      </c>
      <c r="C3" s="239"/>
      <c r="D3" s="239"/>
      <c r="E3" s="239"/>
      <c r="F3" s="194"/>
      <c r="G3" s="194"/>
      <c r="H3" s="194"/>
      <c r="I3" s="194"/>
      <c r="J3" s="194"/>
      <c r="K3" s="195"/>
    </row>
    <row r="4" spans="2:11" ht="15" thickTop="1" x14ac:dyDescent="0.3"/>
    <row r="5" spans="2:11" ht="16.8" customHeight="1" x14ac:dyDescent="0.4">
      <c r="B5" s="236" t="s">
        <v>9372</v>
      </c>
      <c r="C5" s="236"/>
      <c r="D5" s="236"/>
      <c r="E5" s="236"/>
      <c r="F5" s="236"/>
      <c r="G5" s="236"/>
      <c r="H5" s="236"/>
      <c r="I5" s="236"/>
      <c r="J5" s="236"/>
    </row>
    <row r="6" spans="2:11" ht="6" customHeight="1" x14ac:dyDescent="0.3"/>
    <row r="7" spans="2:11" x14ac:dyDescent="0.3">
      <c r="B7" s="106" t="s">
        <v>205</v>
      </c>
    </row>
    <row r="8" spans="2:11" ht="6" customHeight="1" x14ac:dyDescent="0.3"/>
    <row r="9" spans="2:11" ht="18" x14ac:dyDescent="0.35">
      <c r="B9" s="244" t="s">
        <v>206</v>
      </c>
      <c r="C9" s="244"/>
      <c r="D9" s="244"/>
      <c r="E9" s="244"/>
      <c r="F9" s="244"/>
      <c r="G9" s="244"/>
      <c r="H9" s="244"/>
      <c r="I9" s="244"/>
      <c r="J9" s="244"/>
    </row>
    <row r="10" spans="2:11" x14ac:dyDescent="0.3">
      <c r="B10" s="131"/>
      <c r="C10" s="131"/>
      <c r="D10" s="131"/>
      <c r="E10" s="131"/>
      <c r="F10" s="221"/>
      <c r="G10" s="221" t="s">
        <v>207</v>
      </c>
      <c r="H10" s="221" t="s">
        <v>207</v>
      </c>
      <c r="I10" s="221" t="s">
        <v>208</v>
      </c>
      <c r="J10" s="221" t="s">
        <v>209</v>
      </c>
    </row>
    <row r="11" spans="2:11" ht="16.2" x14ac:dyDescent="0.3">
      <c r="B11" s="222" t="s">
        <v>210</v>
      </c>
      <c r="C11" s="222" t="s">
        <v>211</v>
      </c>
      <c r="D11" s="223" t="s">
        <v>212</v>
      </c>
      <c r="E11" s="223" t="s">
        <v>213</v>
      </c>
      <c r="F11" s="223" t="s">
        <v>9367</v>
      </c>
      <c r="G11" s="223" t="s">
        <v>214</v>
      </c>
      <c r="H11" s="223" t="s">
        <v>215</v>
      </c>
      <c r="I11" s="223" t="s">
        <v>9368</v>
      </c>
      <c r="J11" s="223" t="s">
        <v>9369</v>
      </c>
    </row>
    <row r="12" spans="2:11" ht="3.6" customHeight="1" x14ac:dyDescent="0.3">
      <c r="B12" s="107"/>
      <c r="C12" s="107"/>
      <c r="D12" s="107"/>
      <c r="E12" s="107"/>
      <c r="F12" s="107"/>
      <c r="G12" s="107"/>
      <c r="H12" s="107"/>
      <c r="I12" s="107"/>
      <c r="J12" s="107"/>
    </row>
    <row r="13" spans="2:11" x14ac:dyDescent="0.3">
      <c r="B13" s="224" t="s">
        <v>242</v>
      </c>
      <c r="C13" s="225" t="s">
        <v>216</v>
      </c>
      <c r="D13" s="224">
        <v>3222.2</v>
      </c>
      <c r="E13" s="224">
        <v>136678</v>
      </c>
      <c r="F13" s="226">
        <v>0.3</v>
      </c>
      <c r="G13" s="219">
        <f>D13/E13</f>
        <v>2.3575118160932995E-2</v>
      </c>
      <c r="H13" s="219">
        <f>D13/(D13+E13)</f>
        <v>2.3032132906171683E-2</v>
      </c>
      <c r="I13" s="227">
        <v>0.74</v>
      </c>
      <c r="J13" s="220">
        <f>I13/(1+(1-F13)*G13)</f>
        <v>0.72798634512587823</v>
      </c>
    </row>
    <row r="14" spans="2:11" x14ac:dyDescent="0.3">
      <c r="B14" s="224" t="s">
        <v>243</v>
      </c>
      <c r="C14" s="225" t="s">
        <v>216</v>
      </c>
      <c r="D14" s="224">
        <v>1365.09</v>
      </c>
      <c r="E14" s="224">
        <v>101269.87</v>
      </c>
      <c r="F14" s="226">
        <v>0.3</v>
      </c>
      <c r="G14" s="219">
        <f t="shared" ref="G14:G17" si="0">D14/E14</f>
        <v>1.3479725015940082E-2</v>
      </c>
      <c r="H14" s="219">
        <f t="shared" ref="H14:H17" si="1">D14/(D14+E14)</f>
        <v>1.3300438758879041E-2</v>
      </c>
      <c r="I14" s="227">
        <v>0.690292209817012</v>
      </c>
      <c r="J14" s="220">
        <f t="shared" ref="J14:J17" si="2">I14/(1+(1-F14)*G14)</f>
        <v>0.68383963069328879</v>
      </c>
    </row>
    <row r="15" spans="2:11" x14ac:dyDescent="0.3">
      <c r="B15" s="224" t="s">
        <v>254</v>
      </c>
      <c r="C15" s="225" t="s">
        <v>216</v>
      </c>
      <c r="D15" s="224">
        <v>93.95</v>
      </c>
      <c r="E15" s="224">
        <v>30592.1</v>
      </c>
      <c r="F15" s="226">
        <v>0.3</v>
      </c>
      <c r="G15" s="219">
        <f>D15/E15</f>
        <v>3.0710542917942868E-3</v>
      </c>
      <c r="H15" s="219">
        <f>D15/(D15+E15)</f>
        <v>3.0616517929156735E-3</v>
      </c>
      <c r="I15" s="227">
        <v>0.41363446043263175</v>
      </c>
      <c r="J15" s="220">
        <f>I15/(1+(1-F15)*G15)</f>
        <v>0.41274716217196183</v>
      </c>
    </row>
    <row r="16" spans="2:11" x14ac:dyDescent="0.3">
      <c r="B16" s="224" t="s">
        <v>255</v>
      </c>
      <c r="C16" s="225" t="s">
        <v>216</v>
      </c>
      <c r="D16" s="224">
        <v>50.56</v>
      </c>
      <c r="E16" s="224">
        <v>18804.75</v>
      </c>
      <c r="F16" s="226">
        <v>0.3</v>
      </c>
      <c r="G16" s="219">
        <f t="shared" si="0"/>
        <v>2.6886823807814515E-3</v>
      </c>
      <c r="H16" s="219">
        <f t="shared" si="1"/>
        <v>2.6814727522379636E-3</v>
      </c>
      <c r="I16" s="227">
        <v>0.58255316530926149</v>
      </c>
      <c r="J16" s="220">
        <f t="shared" si="2"/>
        <v>0.58145881466017268</v>
      </c>
    </row>
    <row r="17" spans="2:10" x14ac:dyDescent="0.3">
      <c r="B17" s="224" t="s">
        <v>256</v>
      </c>
      <c r="C17" s="225" t="s">
        <v>216</v>
      </c>
      <c r="D17" s="224">
        <v>8.75</v>
      </c>
      <c r="E17" s="224">
        <v>3269.69</v>
      </c>
      <c r="F17" s="226">
        <v>0.3</v>
      </c>
      <c r="G17" s="219">
        <f t="shared" si="0"/>
        <v>2.6760946756420332E-3</v>
      </c>
      <c r="H17" s="219">
        <f t="shared" si="1"/>
        <v>2.6689523065848392E-3</v>
      </c>
      <c r="I17" s="227">
        <v>0.47654061646755935</v>
      </c>
      <c r="J17" s="220">
        <f t="shared" si="2"/>
        <v>0.47564959811766355</v>
      </c>
    </row>
    <row r="18" spans="2:10" x14ac:dyDescent="0.3">
      <c r="F18" s="91"/>
    </row>
    <row r="19" spans="2:10" x14ac:dyDescent="0.3">
      <c r="E19" s="108" t="s">
        <v>217</v>
      </c>
      <c r="F19" s="109">
        <f>AVERAGE(F14:F17)</f>
        <v>0.3</v>
      </c>
      <c r="G19" s="109">
        <f>AVERAGE(G14:G17)</f>
        <v>5.4788890910394631E-3</v>
      </c>
      <c r="H19" s="109">
        <f>AVERAGE(H14:H17)</f>
        <v>5.4281289026543791E-3</v>
      </c>
      <c r="I19" s="110">
        <f>AVERAGE(I14:I17)</f>
        <v>0.54075511300661616</v>
      </c>
      <c r="J19" s="110">
        <f>AVERAGE(J14:J17)</f>
        <v>0.53842380141077173</v>
      </c>
    </row>
    <row r="20" spans="2:10" x14ac:dyDescent="0.3">
      <c r="E20" s="111" t="s">
        <v>125</v>
      </c>
      <c r="F20" s="112">
        <f>MEDIAN(F14:F17)</f>
        <v>0.3</v>
      </c>
      <c r="G20" s="112">
        <f>MEDIAN(G14:G17)</f>
        <v>2.8798683362878689E-3</v>
      </c>
      <c r="H20" s="112">
        <f>MEDIAN(H14:H17)</f>
        <v>2.8715622725768186E-3</v>
      </c>
      <c r="I20" s="113">
        <f>MEDIAN(I14:I17)</f>
        <v>0.52954689088841045</v>
      </c>
      <c r="J20" s="113">
        <f>MEDIAN(J14:J17)</f>
        <v>0.52855420638891815</v>
      </c>
    </row>
    <row r="21" spans="2:10" x14ac:dyDescent="0.3">
      <c r="G21" s="92"/>
    </row>
    <row r="22" spans="2:10" x14ac:dyDescent="0.3">
      <c r="G22" s="92"/>
    </row>
    <row r="23" spans="2:10" ht="15.6" x14ac:dyDescent="0.3">
      <c r="B23" s="243" t="s">
        <v>218</v>
      </c>
      <c r="C23" s="243"/>
      <c r="D23" s="243"/>
      <c r="E23" s="243"/>
      <c r="G23" s="243" t="s">
        <v>219</v>
      </c>
      <c r="H23" s="243"/>
      <c r="I23" s="243"/>
      <c r="J23" s="243"/>
    </row>
    <row r="24" spans="2:10" x14ac:dyDescent="0.3">
      <c r="B24" s="92"/>
      <c r="G24" s="92"/>
    </row>
    <row r="25" spans="2:10" x14ac:dyDescent="0.3">
      <c r="B25" t="s">
        <v>220</v>
      </c>
      <c r="E25" s="228">
        <f>310/3222.2</f>
        <v>9.6207560052138291E-2</v>
      </c>
      <c r="G25" t="s">
        <v>221</v>
      </c>
      <c r="J25" s="229">
        <v>6.9459999999999994E-2</v>
      </c>
    </row>
    <row r="26" spans="2:10" x14ac:dyDescent="0.3">
      <c r="B26" t="s">
        <v>222</v>
      </c>
      <c r="E26" s="91">
        <f>F20</f>
        <v>0.3</v>
      </c>
      <c r="G26" t="s">
        <v>223</v>
      </c>
      <c r="J26" s="114">
        <f>(0.1677-J25)</f>
        <v>9.8239999999999994E-2</v>
      </c>
    </row>
    <row r="27" spans="2:10" ht="16.2" x14ac:dyDescent="0.3">
      <c r="B27" s="115" t="s">
        <v>224</v>
      </c>
      <c r="C27" s="115"/>
      <c r="D27" s="115"/>
      <c r="E27" s="218">
        <f>E25*(1-E26)</f>
        <v>6.7345292036496793E-2</v>
      </c>
      <c r="G27" t="s">
        <v>225</v>
      </c>
      <c r="J27" s="216">
        <f>J36</f>
        <v>0.68625505260833874</v>
      </c>
    </row>
    <row r="28" spans="2:10" x14ac:dyDescent="0.3">
      <c r="G28" s="115" t="s">
        <v>219</v>
      </c>
      <c r="H28" s="115"/>
      <c r="I28" s="115"/>
      <c r="J28" s="217">
        <f>J25+(J26*J27)</f>
        <v>0.13687769636824321</v>
      </c>
    </row>
    <row r="31" spans="2:10" ht="15.6" x14ac:dyDescent="0.3">
      <c r="B31" s="243" t="s">
        <v>226</v>
      </c>
      <c r="C31" s="243"/>
      <c r="D31" s="243"/>
      <c r="E31" s="243"/>
      <c r="G31" s="243" t="s">
        <v>227</v>
      </c>
      <c r="H31" s="243"/>
      <c r="I31" s="243"/>
      <c r="J31" s="243"/>
    </row>
    <row r="32" spans="2:10" x14ac:dyDescent="0.3">
      <c r="G32" s="12"/>
    </row>
    <row r="33" spans="2:10" x14ac:dyDescent="0.3">
      <c r="C33" s="116"/>
      <c r="D33" s="116" t="s">
        <v>228</v>
      </c>
      <c r="E33" s="116" t="s">
        <v>229</v>
      </c>
      <c r="G33" s="92" t="s">
        <v>230</v>
      </c>
      <c r="J33" s="92">
        <f>J20</f>
        <v>0.52855420638891815</v>
      </c>
    </row>
    <row r="34" spans="2:10" x14ac:dyDescent="0.3">
      <c r="B34" t="s">
        <v>212</v>
      </c>
      <c r="C34" s="224">
        <f>D13</f>
        <v>3222.2</v>
      </c>
      <c r="D34" s="32">
        <f>C34/$C$36</f>
        <v>2.3032132906171683E-2</v>
      </c>
      <c r="E34" s="230">
        <f>H19</f>
        <v>5.4281289026543791E-3</v>
      </c>
      <c r="G34" t="s">
        <v>231</v>
      </c>
      <c r="J34" s="31">
        <f>E38</f>
        <v>5.4577542964947684E-3</v>
      </c>
    </row>
    <row r="35" spans="2:10" x14ac:dyDescent="0.3">
      <c r="B35" t="s">
        <v>9</v>
      </c>
      <c r="C35" s="224">
        <f>E13</f>
        <v>136678</v>
      </c>
      <c r="D35" s="32">
        <f>C35/$C$36</f>
        <v>0.97696786709382821</v>
      </c>
      <c r="E35" s="91">
        <f>E36-E34</f>
        <v>0.99457187109734557</v>
      </c>
      <c r="G35" t="s">
        <v>222</v>
      </c>
      <c r="J35" s="91">
        <f>E26</f>
        <v>0.3</v>
      </c>
    </row>
    <row r="36" spans="2:10" x14ac:dyDescent="0.3">
      <c r="B36" t="s">
        <v>232</v>
      </c>
      <c r="C36" s="115">
        <f>SUM(C34:C35)</f>
        <v>139900.20000000001</v>
      </c>
      <c r="D36" s="117">
        <v>1</v>
      </c>
      <c r="E36" s="118">
        <v>1</v>
      </c>
      <c r="G36" s="115" t="s">
        <v>233</v>
      </c>
      <c r="H36" s="115"/>
      <c r="I36" s="115"/>
      <c r="J36" s="119">
        <f>J33*(1+(1-J34)*J35)</f>
        <v>0.68625505260833874</v>
      </c>
    </row>
    <row r="38" spans="2:10" ht="15.6" x14ac:dyDescent="0.3">
      <c r="B38" s="12" t="s">
        <v>234</v>
      </c>
      <c r="D38" s="191">
        <f>D34/D35</f>
        <v>2.3575118160932995E-2</v>
      </c>
      <c r="E38" s="191">
        <f>E34/E35</f>
        <v>5.4577542964947684E-3</v>
      </c>
      <c r="G38" s="243" t="s">
        <v>204</v>
      </c>
      <c r="H38" s="243"/>
      <c r="I38" s="243"/>
      <c r="J38" s="243"/>
    </row>
    <row r="39" spans="2:10" x14ac:dyDescent="0.3">
      <c r="G39" s="92"/>
    </row>
    <row r="40" spans="2:10" x14ac:dyDescent="0.3">
      <c r="B40" s="120" t="s">
        <v>235</v>
      </c>
      <c r="G40" t="s">
        <v>219</v>
      </c>
      <c r="J40" s="121">
        <f>J28</f>
        <v>0.13687769636824321</v>
      </c>
    </row>
    <row r="41" spans="2:10" x14ac:dyDescent="0.3">
      <c r="B41" s="120" t="s">
        <v>236</v>
      </c>
      <c r="G41" t="s">
        <v>237</v>
      </c>
      <c r="J41" s="91">
        <f>E35</f>
        <v>0.99457187109734557</v>
      </c>
    </row>
    <row r="42" spans="2:10" x14ac:dyDescent="0.3">
      <c r="B42" s="120" t="s">
        <v>238</v>
      </c>
      <c r="J42" s="121"/>
    </row>
    <row r="43" spans="2:10" x14ac:dyDescent="0.3">
      <c r="B43" s="120" t="s">
        <v>239</v>
      </c>
      <c r="G43" t="s">
        <v>218</v>
      </c>
      <c r="J43" s="91">
        <f>E27</f>
        <v>6.7345292036496793E-2</v>
      </c>
    </row>
    <row r="44" spans="2:10" x14ac:dyDescent="0.3">
      <c r="G44" t="s">
        <v>240</v>
      </c>
      <c r="J44" s="91">
        <f>E34</f>
        <v>5.4281289026543791E-3</v>
      </c>
    </row>
    <row r="46" spans="2:10" x14ac:dyDescent="0.3">
      <c r="G46" s="146" t="s">
        <v>241</v>
      </c>
      <c r="H46" s="146"/>
      <c r="I46" s="146"/>
      <c r="J46" s="187">
        <f>(J40*J41)+(J43*J44)</f>
        <v>0.136500265514619</v>
      </c>
    </row>
  </sheetData>
  <mergeCells count="9">
    <mergeCell ref="B2:G2"/>
    <mergeCell ref="B3:E3"/>
    <mergeCell ref="B31:E31"/>
    <mergeCell ref="G31:J31"/>
    <mergeCell ref="G38:J38"/>
    <mergeCell ref="G23:J23"/>
    <mergeCell ref="B23:E23"/>
    <mergeCell ref="B9:J9"/>
    <mergeCell ref="B5:J5"/>
  </mergeCells>
  <pageMargins left="0.7" right="0.7" top="0.75" bottom="0.75" header="0.3" footer="0.3"/>
  <pageSetup paperSize="9" orientation="portrait" r:id="rId1"/>
  <ignoredErrors>
    <ignoredError sqref="F19:F20 I19:I20" formulaRange="1"/>
    <ignoredError sqref="J44" evalError="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B951C-9549-47F7-B396-D6B4AD0655F6}">
  <sheetPr>
    <pageSetUpPr fitToPage="1"/>
  </sheetPr>
  <dimension ref="B1:O68"/>
  <sheetViews>
    <sheetView showGridLines="0" topLeftCell="A40" zoomScale="70" zoomScaleNormal="70" workbookViewId="0">
      <selection activeCell="W60" sqref="W60"/>
    </sheetView>
  </sheetViews>
  <sheetFormatPr defaultRowHeight="14.4" x14ac:dyDescent="0.3"/>
  <cols>
    <col min="1" max="1" width="1.88671875" customWidth="1"/>
  </cols>
  <sheetData>
    <row r="1" spans="2:15" ht="15" thickBot="1" x14ac:dyDescent="0.35"/>
    <row r="2" spans="2:15" ht="28.2" customHeight="1" thickTop="1" x14ac:dyDescent="0.4">
      <c r="B2" s="246" t="str">
        <f>'Data Sheet'!B1</f>
        <v>GODREJ CONSUMER PRODUCTS LTD</v>
      </c>
      <c r="C2" s="246"/>
      <c r="D2" s="246"/>
      <c r="E2" s="246"/>
      <c r="F2" s="246"/>
      <c r="G2" s="246"/>
      <c r="H2" s="193"/>
      <c r="I2" s="193"/>
      <c r="J2" s="193"/>
      <c r="K2" s="193"/>
      <c r="L2" s="195"/>
    </row>
    <row r="3" spans="2:15" ht="16.2" thickBot="1" x14ac:dyDescent="0.35">
      <c r="B3" s="247" t="s">
        <v>9336</v>
      </c>
      <c r="C3" s="247"/>
      <c r="D3" s="247"/>
      <c r="E3" s="247"/>
      <c r="F3" s="194"/>
      <c r="G3" s="194"/>
      <c r="H3" s="194"/>
      <c r="I3" s="194"/>
      <c r="J3" s="194"/>
      <c r="K3" s="194"/>
      <c r="L3" s="195"/>
    </row>
    <row r="4" spans="2:15" ht="8.4" customHeight="1" thickTop="1" x14ac:dyDescent="0.3">
      <c r="B4" s="233"/>
      <c r="C4" s="233"/>
      <c r="D4" s="233"/>
      <c r="E4" s="233"/>
      <c r="F4" s="195"/>
      <c r="G4" s="195"/>
      <c r="H4" s="195"/>
      <c r="I4" s="195"/>
      <c r="J4" s="195"/>
      <c r="K4" s="195"/>
      <c r="L4" s="195"/>
    </row>
    <row r="5" spans="2:15" ht="21" x14ac:dyDescent="0.4">
      <c r="B5" s="236" t="s">
        <v>9373</v>
      </c>
      <c r="C5" s="236"/>
      <c r="D5" s="236"/>
      <c r="E5" s="236"/>
      <c r="F5" s="236"/>
      <c r="G5" s="236"/>
      <c r="H5" s="236"/>
      <c r="I5" s="236"/>
      <c r="J5" s="236"/>
      <c r="K5" s="236"/>
      <c r="L5" s="231"/>
      <c r="M5" s="231"/>
      <c r="N5" s="231"/>
      <c r="O5" s="231"/>
    </row>
    <row r="6" spans="2:15" ht="7.8" customHeight="1" x14ac:dyDescent="0.3"/>
    <row r="7" spans="2:15" x14ac:dyDescent="0.3">
      <c r="B7" s="33" t="s">
        <v>293</v>
      </c>
      <c r="C7" s="166"/>
      <c r="D7" s="166"/>
      <c r="E7" s="166"/>
      <c r="F7" s="166"/>
      <c r="G7" s="34">
        <f>'Raw FS'!J$1</f>
        <v>43891</v>
      </c>
      <c r="H7" s="34">
        <f>'Raw FS'!K$1</f>
        <v>44256</v>
      </c>
      <c r="I7" s="34">
        <f>'Raw FS'!L$1</f>
        <v>44621</v>
      </c>
      <c r="J7" s="34">
        <f>'Raw FS'!M$1</f>
        <v>44986</v>
      </c>
      <c r="K7" s="34">
        <f>'Raw FS'!N$1</f>
        <v>45352</v>
      </c>
    </row>
    <row r="8" spans="2:15" ht="2.4" customHeight="1" x14ac:dyDescent="0.3"/>
    <row r="9" spans="2:15" x14ac:dyDescent="0.3">
      <c r="B9" s="12" t="s">
        <v>294</v>
      </c>
    </row>
    <row r="10" spans="2:15" x14ac:dyDescent="0.3">
      <c r="B10" s="99" t="str">
        <f>'Raw FS'!B35</f>
        <v>Inventories</v>
      </c>
      <c r="C10" s="99"/>
      <c r="D10" s="99"/>
      <c r="E10" s="99"/>
      <c r="F10" s="99"/>
      <c r="G10" s="168">
        <f>'Raw FS'!J35</f>
        <v>1703</v>
      </c>
      <c r="H10" s="168">
        <f>'Raw FS'!K35</f>
        <v>1716</v>
      </c>
      <c r="I10" s="168">
        <f>'Raw FS'!L35</f>
        <v>2130</v>
      </c>
      <c r="J10" s="168">
        <f>'Raw FS'!M35</f>
        <v>1537</v>
      </c>
      <c r="K10" s="168">
        <f>'Raw FS'!N35</f>
        <v>1271</v>
      </c>
    </row>
    <row r="11" spans="2:15" x14ac:dyDescent="0.3">
      <c r="B11" s="99" t="str">
        <f>'Raw FS'!B36</f>
        <v>Trade receivables</v>
      </c>
      <c r="C11" s="99"/>
      <c r="D11" s="99"/>
      <c r="E11" s="99"/>
      <c r="F11" s="99"/>
      <c r="G11" s="168">
        <f>'Raw FS'!J36</f>
        <v>1157</v>
      </c>
      <c r="H11" s="168">
        <f>'Raw FS'!K36</f>
        <v>1004</v>
      </c>
      <c r="I11" s="168">
        <f>'Raw FS'!L36</f>
        <v>1116</v>
      </c>
      <c r="J11" s="168">
        <f>'Raw FS'!M36</f>
        <v>1245</v>
      </c>
      <c r="K11" s="168">
        <f>'Raw FS'!N36</f>
        <v>1535</v>
      </c>
    </row>
    <row r="12" spans="2:15" x14ac:dyDescent="0.3">
      <c r="B12" s="169" t="str">
        <f>'Raw FS'!B39</f>
        <v>Other asset items</v>
      </c>
      <c r="C12" s="169"/>
      <c r="D12" s="169"/>
      <c r="E12" s="169"/>
      <c r="F12" s="169"/>
      <c r="G12" s="170">
        <f>'Raw FS'!J39</f>
        <v>1289</v>
      </c>
      <c r="H12" s="170">
        <f>'Raw FS'!K39</f>
        <v>1209</v>
      </c>
      <c r="I12" s="170">
        <f>'Raw FS'!L39</f>
        <v>1377</v>
      </c>
      <c r="J12" s="170">
        <f>'Raw FS'!M39</f>
        <v>1256</v>
      </c>
      <c r="K12" s="170">
        <f>'Raw FS'!N39</f>
        <v>1012</v>
      </c>
    </row>
    <row r="13" spans="2:15" x14ac:dyDescent="0.3">
      <c r="B13" s="129" t="s">
        <v>84</v>
      </c>
      <c r="C13" s="37"/>
      <c r="D13" s="37"/>
      <c r="E13" s="37"/>
      <c r="F13" s="37"/>
      <c r="G13" s="167">
        <f>SUM(G10:G12)</f>
        <v>4149</v>
      </c>
      <c r="H13" s="167">
        <f>SUM(H10:H12)</f>
        <v>3929</v>
      </c>
      <c r="I13" s="167">
        <f>SUM(I10:I12)</f>
        <v>4623</v>
      </c>
      <c r="J13" s="167">
        <f>SUM(J10:J12)</f>
        <v>4038</v>
      </c>
      <c r="K13" s="167">
        <f>SUM(K10:K12)</f>
        <v>3818</v>
      </c>
    </row>
    <row r="14" spans="2:15" x14ac:dyDescent="0.3">
      <c r="G14" s="127"/>
      <c r="H14" s="127"/>
      <c r="I14" s="127"/>
      <c r="J14" s="127"/>
      <c r="K14" s="127"/>
    </row>
    <row r="15" spans="2:15" x14ac:dyDescent="0.3">
      <c r="B15" s="12" t="s">
        <v>295</v>
      </c>
      <c r="G15" s="127"/>
      <c r="H15" s="127"/>
      <c r="I15" s="127"/>
      <c r="J15" s="127"/>
      <c r="K15" s="127"/>
    </row>
    <row r="16" spans="2:15" x14ac:dyDescent="0.3">
      <c r="B16" s="99" t="str">
        <f>'Raw FS'!B11</f>
        <v>Trade Payables</v>
      </c>
      <c r="C16" s="99"/>
      <c r="D16" s="99"/>
      <c r="E16" s="99"/>
      <c r="F16" s="99"/>
      <c r="G16" s="168">
        <f>'Raw FS'!J11</f>
        <v>2480</v>
      </c>
      <c r="H16" s="168">
        <f>'Raw FS'!K11</f>
        <v>2012</v>
      </c>
      <c r="I16" s="168">
        <f>'Raw FS'!L11</f>
        <v>2163</v>
      </c>
      <c r="J16" s="168">
        <f>'Raw FS'!M11</f>
        <v>1823</v>
      </c>
      <c r="K16" s="168">
        <f>'Raw FS'!N11</f>
        <v>1675</v>
      </c>
    </row>
    <row r="17" spans="2:11" x14ac:dyDescent="0.3">
      <c r="B17" s="99" t="str">
        <f>'Raw FS'!B12</f>
        <v>Advance from Customers</v>
      </c>
      <c r="C17" s="99"/>
      <c r="D17" s="99"/>
      <c r="E17" s="99"/>
      <c r="F17" s="99"/>
      <c r="G17" s="168">
        <f>'Raw FS'!J12</f>
        <v>25</v>
      </c>
      <c r="H17" s="168">
        <f>'Raw FS'!K12</f>
        <v>27</v>
      </c>
      <c r="I17" s="168">
        <f>'Raw FS'!L12</f>
        <v>30</v>
      </c>
      <c r="J17" s="168">
        <f>'Raw FS'!M12</f>
        <v>38</v>
      </c>
      <c r="K17" s="168">
        <f>'Raw FS'!N12</f>
        <v>30</v>
      </c>
    </row>
    <row r="18" spans="2:11" x14ac:dyDescent="0.3">
      <c r="B18" s="169" t="str">
        <f>'Raw FS'!B13</f>
        <v>Other liability items</v>
      </c>
      <c r="C18" s="169"/>
      <c r="D18" s="169"/>
      <c r="E18" s="169"/>
      <c r="F18" s="169"/>
      <c r="G18" s="170">
        <f>'Raw FS'!J13</f>
        <v>901</v>
      </c>
      <c r="H18" s="170">
        <f>'Raw FS'!K13</f>
        <v>901</v>
      </c>
      <c r="I18" s="170">
        <f>'Raw FS'!L13</f>
        <v>629</v>
      </c>
      <c r="J18" s="170">
        <f>'Raw FS'!M13</f>
        <v>652</v>
      </c>
      <c r="K18" s="170">
        <f>'Raw FS'!N13</f>
        <v>865</v>
      </c>
    </row>
    <row r="19" spans="2:11" x14ac:dyDescent="0.3">
      <c r="B19" s="129" t="s">
        <v>296</v>
      </c>
      <c r="C19" s="37"/>
      <c r="D19" s="37"/>
      <c r="E19" s="37"/>
      <c r="F19" s="37"/>
      <c r="G19" s="167">
        <f>SUM(G16:G18)</f>
        <v>3406</v>
      </c>
      <c r="H19" s="167">
        <f>SUM(H16:H18)</f>
        <v>2940</v>
      </c>
      <c r="I19" s="167">
        <f>SUM(I16:I18)</f>
        <v>2822</v>
      </c>
      <c r="J19" s="167">
        <f>SUM(J16:J18)</f>
        <v>2513</v>
      </c>
      <c r="K19" s="167">
        <f>SUM(K16:K18)</f>
        <v>2570</v>
      </c>
    </row>
    <row r="20" spans="2:11" x14ac:dyDescent="0.3">
      <c r="G20" s="127"/>
      <c r="H20" s="127"/>
      <c r="I20" s="127"/>
      <c r="J20" s="127"/>
      <c r="K20" s="127"/>
    </row>
    <row r="21" spans="2:11" ht="15" thickBot="1" x14ac:dyDescent="0.35">
      <c r="B21" s="171" t="s">
        <v>297</v>
      </c>
      <c r="C21" s="171"/>
      <c r="D21" s="171"/>
      <c r="E21" s="171"/>
      <c r="F21" s="171"/>
      <c r="G21" s="172">
        <f>G13-G19</f>
        <v>743</v>
      </c>
      <c r="H21" s="172">
        <f t="shared" ref="H21:K21" si="0">H13-H19</f>
        <v>989</v>
      </c>
      <c r="I21" s="172">
        <f t="shared" si="0"/>
        <v>1801</v>
      </c>
      <c r="J21" s="172">
        <f t="shared" si="0"/>
        <v>1525</v>
      </c>
      <c r="K21" s="172">
        <f t="shared" si="0"/>
        <v>1248</v>
      </c>
    </row>
    <row r="22" spans="2:11" x14ac:dyDescent="0.3">
      <c r="G22" s="127"/>
      <c r="H22" s="127"/>
      <c r="I22" s="127"/>
      <c r="J22" s="127"/>
      <c r="K22" s="127"/>
    </row>
    <row r="23" spans="2:11" x14ac:dyDescent="0.3">
      <c r="B23" s="173" t="s">
        <v>298</v>
      </c>
      <c r="C23" s="49"/>
      <c r="D23" s="49"/>
      <c r="E23" s="49"/>
      <c r="F23" s="49"/>
      <c r="G23" s="174"/>
      <c r="H23" s="174"/>
      <c r="I23" s="174"/>
      <c r="J23" s="174"/>
      <c r="K23" s="174"/>
    </row>
    <row r="24" spans="2:11" x14ac:dyDescent="0.3">
      <c r="B24" s="99" t="str">
        <f>'Raw FS'!B17</f>
        <v>Land</v>
      </c>
      <c r="C24" s="99"/>
      <c r="D24" s="99"/>
      <c r="E24" s="99"/>
      <c r="F24" s="99"/>
      <c r="G24" s="168">
        <f>'Raw FS'!J17</f>
        <v>146</v>
      </c>
      <c r="H24" s="168">
        <f>'Raw FS'!K17</f>
        <v>144</v>
      </c>
      <c r="I24" s="168">
        <f>'Raw FS'!L17</f>
        <v>147</v>
      </c>
      <c r="J24" s="168">
        <f>'Raw FS'!M17</f>
        <v>145</v>
      </c>
      <c r="K24" s="168">
        <f>'Raw FS'!N17</f>
        <v>157</v>
      </c>
    </row>
    <row r="25" spans="2:11" x14ac:dyDescent="0.3">
      <c r="B25" s="99" t="str">
        <f>'Raw FS'!B18</f>
        <v>Building</v>
      </c>
      <c r="C25" s="99"/>
      <c r="D25" s="99"/>
      <c r="E25" s="99"/>
      <c r="F25" s="99"/>
      <c r="G25" s="168">
        <f>'Raw FS'!J18</f>
        <v>699</v>
      </c>
      <c r="H25" s="168">
        <f>'Raw FS'!K18</f>
        <v>757</v>
      </c>
      <c r="I25" s="168">
        <f>'Raw FS'!L18</f>
        <v>812</v>
      </c>
      <c r="J25" s="168">
        <f>'Raw FS'!M18</f>
        <v>854</v>
      </c>
      <c r="K25" s="168">
        <f>'Raw FS'!N18</f>
        <v>791</v>
      </c>
    </row>
    <row r="26" spans="2:11" x14ac:dyDescent="0.3">
      <c r="B26" s="99" t="str">
        <f>'Raw FS'!B19</f>
        <v>Plant Machinery</v>
      </c>
      <c r="C26" s="99"/>
      <c r="D26" s="99"/>
      <c r="E26" s="99"/>
      <c r="F26" s="99"/>
      <c r="G26" s="168">
        <f>'Raw FS'!J19</f>
        <v>713</v>
      </c>
      <c r="H26" s="168">
        <f>'Raw FS'!K19</f>
        <v>809</v>
      </c>
      <c r="I26" s="168">
        <f>'Raw FS'!L19</f>
        <v>942</v>
      </c>
      <c r="J26" s="168">
        <f>'Raw FS'!M19</f>
        <v>1178</v>
      </c>
      <c r="K26" s="168">
        <f>'Raw FS'!N19</f>
        <v>1186</v>
      </c>
    </row>
    <row r="27" spans="2:11" x14ac:dyDescent="0.3">
      <c r="B27" s="99" t="str">
        <f>'Raw FS'!B20</f>
        <v>Ships Vessels</v>
      </c>
      <c r="C27" s="99"/>
      <c r="D27" s="99"/>
      <c r="E27" s="99"/>
      <c r="F27" s="99"/>
      <c r="G27" s="168">
        <f>'Raw FS'!J20</f>
        <v>0</v>
      </c>
      <c r="H27" s="168">
        <f>'Raw FS'!K20</f>
        <v>1</v>
      </c>
      <c r="I27" s="168">
        <f>'Raw FS'!L20</f>
        <v>2</v>
      </c>
      <c r="J27" s="168">
        <f>'Raw FS'!M20</f>
        <v>12</v>
      </c>
      <c r="K27" s="168">
        <f>'Raw FS'!N20</f>
        <v>17</v>
      </c>
    </row>
    <row r="28" spans="2:11" x14ac:dyDescent="0.3">
      <c r="B28" s="99" t="str">
        <f>'Raw FS'!B21</f>
        <v>Equipments</v>
      </c>
      <c r="C28" s="99"/>
      <c r="D28" s="99"/>
      <c r="E28" s="99"/>
      <c r="F28" s="99"/>
      <c r="G28" s="168">
        <f>'Raw FS'!J21</f>
        <v>33</v>
      </c>
      <c r="H28" s="168">
        <f>'Raw FS'!K21</f>
        <v>36</v>
      </c>
      <c r="I28" s="168">
        <f>'Raw FS'!L21</f>
        <v>41</v>
      </c>
      <c r="J28" s="168">
        <f>'Raw FS'!M21</f>
        <v>51</v>
      </c>
      <c r="K28" s="168">
        <f>'Raw FS'!N21</f>
        <v>47</v>
      </c>
    </row>
    <row r="29" spans="2:11" x14ac:dyDescent="0.3">
      <c r="B29" s="99" t="str">
        <f>'Raw FS'!B22</f>
        <v>Computers</v>
      </c>
      <c r="C29" s="99"/>
      <c r="D29" s="99"/>
      <c r="E29" s="99"/>
      <c r="F29" s="99"/>
      <c r="G29" s="168">
        <f>'Raw FS'!J22</f>
        <v>59</v>
      </c>
      <c r="H29" s="168">
        <f>'Raw FS'!K22</f>
        <v>64</v>
      </c>
      <c r="I29" s="168">
        <f>'Raw FS'!L22</f>
        <v>75</v>
      </c>
      <c r="J29" s="168">
        <f>'Raw FS'!M22</f>
        <v>78</v>
      </c>
      <c r="K29" s="168">
        <f>'Raw FS'!N22</f>
        <v>67</v>
      </c>
    </row>
    <row r="30" spans="2:11" x14ac:dyDescent="0.3">
      <c r="B30" s="99" t="str">
        <f>'Raw FS'!B23</f>
        <v>Furniture n fittings</v>
      </c>
      <c r="C30" s="99"/>
      <c r="D30" s="99"/>
      <c r="E30" s="99"/>
      <c r="F30" s="99"/>
      <c r="G30" s="168">
        <f>'Raw FS'!J23</f>
        <v>35</v>
      </c>
      <c r="H30" s="168">
        <f>'Raw FS'!K23</f>
        <v>37</v>
      </c>
      <c r="I30" s="168">
        <f>'Raw FS'!L23</f>
        <v>36</v>
      </c>
      <c r="J30" s="168">
        <f>'Raw FS'!M23</f>
        <v>35</v>
      </c>
      <c r="K30" s="168">
        <f>'Raw FS'!N23</f>
        <v>30</v>
      </c>
    </row>
    <row r="31" spans="2:11" x14ac:dyDescent="0.3">
      <c r="B31" s="99" t="str">
        <f>'Raw FS'!B24</f>
        <v>Vehicles</v>
      </c>
      <c r="C31" s="99"/>
      <c r="D31" s="99"/>
      <c r="E31" s="99"/>
      <c r="F31" s="99"/>
      <c r="G31" s="168">
        <f>'Raw FS'!J24</f>
        <v>44</v>
      </c>
      <c r="H31" s="168">
        <f>'Raw FS'!K24</f>
        <v>60</v>
      </c>
      <c r="I31" s="168">
        <f>'Raw FS'!L24</f>
        <v>65</v>
      </c>
      <c r="J31" s="168">
        <f>'Raw FS'!M24</f>
        <v>63</v>
      </c>
      <c r="K31" s="168">
        <f>'Raw FS'!N24</f>
        <v>31</v>
      </c>
    </row>
    <row r="32" spans="2:11" x14ac:dyDescent="0.3">
      <c r="B32" s="99" t="str">
        <f>'Raw FS'!B25</f>
        <v>Intangible Assets</v>
      </c>
      <c r="C32" s="99"/>
      <c r="D32" s="99"/>
      <c r="E32" s="99"/>
      <c r="F32" s="99"/>
      <c r="G32" s="168">
        <f>'Raw FS'!J25</f>
        <v>8036</v>
      </c>
      <c r="H32" s="168">
        <f>'Raw FS'!K25</f>
        <v>7753</v>
      </c>
      <c r="I32" s="168">
        <f>'Raw FS'!L25</f>
        <v>8083</v>
      </c>
      <c r="J32" s="168">
        <f>'Raw FS'!M25</f>
        <v>8687</v>
      </c>
      <c r="K32" s="168">
        <f>'Raw FS'!N25</f>
        <v>10696</v>
      </c>
    </row>
    <row r="33" spans="2:11" x14ac:dyDescent="0.3">
      <c r="B33" s="99" t="str">
        <f>'Raw FS'!B26</f>
        <v>Other fixed assets</v>
      </c>
      <c r="C33" s="99"/>
      <c r="D33" s="99"/>
      <c r="E33" s="99"/>
      <c r="F33" s="99"/>
      <c r="G33" s="168">
        <f>'Raw FS'!J26</f>
        <v>126</v>
      </c>
      <c r="H33" s="168">
        <f>'Raw FS'!K26</f>
        <v>130</v>
      </c>
      <c r="I33" s="168">
        <f>'Raw FS'!L26</f>
        <v>144</v>
      </c>
      <c r="J33" s="168">
        <f>'Raw FS'!M26</f>
        <v>145</v>
      </c>
      <c r="K33" s="168">
        <f>'Raw FS'!N26</f>
        <v>151</v>
      </c>
    </row>
    <row r="34" spans="2:11" ht="3.6" customHeight="1" x14ac:dyDescent="0.3">
      <c r="B34" s="37"/>
      <c r="C34" s="37"/>
      <c r="D34" s="37"/>
      <c r="E34" s="37"/>
      <c r="F34" s="37"/>
      <c r="G34" s="175"/>
      <c r="H34" s="175"/>
      <c r="I34" s="175"/>
      <c r="J34" s="175"/>
      <c r="K34" s="175"/>
    </row>
    <row r="35" spans="2:11" x14ac:dyDescent="0.3">
      <c r="B35" s="176" t="s">
        <v>284</v>
      </c>
      <c r="C35" s="177"/>
      <c r="D35" s="177"/>
      <c r="E35" s="177"/>
      <c r="F35" s="177"/>
      <c r="G35" s="178">
        <f>SUM(G24:G34)</f>
        <v>9891</v>
      </c>
      <c r="H35" s="178">
        <f t="shared" ref="H35:K35" si="1">SUM(H24:H34)</f>
        <v>9791</v>
      </c>
      <c r="I35" s="178">
        <f t="shared" si="1"/>
        <v>10347</v>
      </c>
      <c r="J35" s="178">
        <f t="shared" si="1"/>
        <v>11248</v>
      </c>
      <c r="K35" s="178">
        <f t="shared" si="1"/>
        <v>13173</v>
      </c>
    </row>
    <row r="36" spans="2:11" x14ac:dyDescent="0.3">
      <c r="B36" s="179" t="s">
        <v>285</v>
      </c>
      <c r="C36" s="179"/>
      <c r="D36" s="179"/>
      <c r="E36" s="179"/>
      <c r="F36" s="179"/>
      <c r="G36" s="180">
        <f>-'Raw FS'!J28</f>
        <v>-661</v>
      </c>
      <c r="H36" s="180">
        <f>-'Raw FS'!K28</f>
        <v>-886</v>
      </c>
      <c r="I36" s="180">
        <f>-'Raw FS'!L28</f>
        <v>-1127</v>
      </c>
      <c r="J36" s="180">
        <f>-'Raw FS'!M28</f>
        <v>-1315</v>
      </c>
      <c r="K36" s="180">
        <f>-'Raw FS'!N28</f>
        <v>-2732</v>
      </c>
    </row>
    <row r="37" spans="2:11" ht="15" thickBot="1" x14ac:dyDescent="0.35">
      <c r="B37" s="171" t="s">
        <v>299</v>
      </c>
      <c r="C37" s="171"/>
      <c r="D37" s="171"/>
      <c r="E37" s="171"/>
      <c r="F37" s="171"/>
      <c r="G37" s="172">
        <f>SUM(G35:G36)</f>
        <v>9230</v>
      </c>
      <c r="H37" s="172">
        <f t="shared" ref="H37:K37" si="2">SUM(H35:H36)</f>
        <v>8905</v>
      </c>
      <c r="I37" s="172">
        <f t="shared" si="2"/>
        <v>9220</v>
      </c>
      <c r="J37" s="172">
        <f t="shared" si="2"/>
        <v>9933</v>
      </c>
      <c r="K37" s="172">
        <f t="shared" si="2"/>
        <v>10441</v>
      </c>
    </row>
    <row r="38" spans="2:11" x14ac:dyDescent="0.3">
      <c r="G38" s="127"/>
      <c r="H38" s="127"/>
      <c r="I38" s="127"/>
      <c r="J38" s="127"/>
      <c r="K38" s="127"/>
    </row>
    <row r="39" spans="2:11" x14ac:dyDescent="0.3">
      <c r="B39" s="12" t="s">
        <v>300</v>
      </c>
      <c r="C39" s="12"/>
      <c r="D39" s="12"/>
      <c r="E39" s="12"/>
      <c r="F39" s="12"/>
      <c r="G39" s="130">
        <f>G37+G21</f>
        <v>9973</v>
      </c>
      <c r="H39" s="130">
        <f t="shared" ref="H39:K39" si="3">H37+H21</f>
        <v>9894</v>
      </c>
      <c r="I39" s="130">
        <f t="shared" si="3"/>
        <v>11021</v>
      </c>
      <c r="J39" s="130">
        <f t="shared" si="3"/>
        <v>11458</v>
      </c>
      <c r="K39" s="130">
        <f t="shared" si="3"/>
        <v>11689</v>
      </c>
    </row>
    <row r="40" spans="2:11" x14ac:dyDescent="0.3">
      <c r="B40" s="12" t="s">
        <v>301</v>
      </c>
      <c r="C40" s="12"/>
      <c r="D40" s="12"/>
      <c r="E40" s="12"/>
      <c r="F40" s="12"/>
      <c r="G40" s="130">
        <f>HistoricalFS!H30+HistoricalFS!H24</f>
        <v>1956.4699999999998</v>
      </c>
      <c r="H40" s="130">
        <f>HistoricalFS!I30+HistoricalFS!I24</f>
        <v>2195.4100000000012</v>
      </c>
      <c r="I40" s="130">
        <f>HistoricalFS!J30+HistoricalFS!J24</f>
        <v>2199.2499999999995</v>
      </c>
      <c r="J40" s="130">
        <f>HistoricalFS!K30+HistoricalFS!K24</f>
        <v>2206.909999999998</v>
      </c>
      <c r="K40" s="130">
        <f>HistoricalFS!L30+HistoricalFS!L24</f>
        <v>2716.36</v>
      </c>
    </row>
    <row r="42" spans="2:11" ht="15" thickBot="1" x14ac:dyDescent="0.35">
      <c r="B42" s="171" t="s">
        <v>302</v>
      </c>
      <c r="C42" s="181"/>
      <c r="D42" s="181"/>
      <c r="E42" s="181"/>
      <c r="F42" s="181"/>
      <c r="G42" s="182">
        <f>G40/G39</f>
        <v>0.1961766770279755</v>
      </c>
      <c r="H42" s="182">
        <f t="shared" ref="H42:K42" si="4">H40/H39</f>
        <v>0.22189306650495261</v>
      </c>
      <c r="I42" s="182">
        <f t="shared" si="4"/>
        <v>0.19955085745395151</v>
      </c>
      <c r="J42" s="182">
        <f t="shared" si="4"/>
        <v>0.19260865770640584</v>
      </c>
      <c r="K42" s="182">
        <f t="shared" si="4"/>
        <v>0.23238600393532383</v>
      </c>
    </row>
    <row r="44" spans="2:11" x14ac:dyDescent="0.3">
      <c r="B44" s="33" t="s">
        <v>303</v>
      </c>
      <c r="C44" s="166"/>
      <c r="D44" s="166"/>
      <c r="E44" s="166"/>
      <c r="F44" s="166"/>
      <c r="G44" s="34">
        <f>G7</f>
        <v>43891</v>
      </c>
      <c r="H44" s="34">
        <f>H7</f>
        <v>44256</v>
      </c>
      <c r="I44" s="34">
        <f>I7</f>
        <v>44621</v>
      </c>
      <c r="J44" s="34">
        <f>J7</f>
        <v>44986</v>
      </c>
      <c r="K44" s="34">
        <f>K7</f>
        <v>45352</v>
      </c>
    </row>
    <row r="46" spans="2:11" x14ac:dyDescent="0.3">
      <c r="B46" s="99" t="s">
        <v>304</v>
      </c>
      <c r="C46" s="99"/>
      <c r="D46" s="99"/>
      <c r="E46" s="99"/>
      <c r="F46" s="99"/>
      <c r="G46" s="168">
        <f>SUM('Raw FS'!J56:J57)</f>
        <v>-152</v>
      </c>
      <c r="H46" s="168">
        <f>SUM('Raw FS'!K56:K57)</f>
        <v>-164</v>
      </c>
      <c r="I46" s="168">
        <f>SUM('Raw FS'!L56:L57)</f>
        <v>3</v>
      </c>
      <c r="J46" s="168">
        <f>SUM('Raw FS'!M56:M57)</f>
        <v>8</v>
      </c>
      <c r="K46" s="168">
        <f>SUM('Raw FS'!N56:N57)</f>
        <v>31</v>
      </c>
    </row>
    <row r="47" spans="2:11" x14ac:dyDescent="0.3">
      <c r="B47" s="99" t="s">
        <v>305</v>
      </c>
      <c r="C47" s="99"/>
      <c r="D47" s="99"/>
      <c r="E47" s="99"/>
      <c r="F47" s="99"/>
      <c r="G47" s="168"/>
      <c r="H47" s="168">
        <f>H21-G21</f>
        <v>246</v>
      </c>
      <c r="I47" s="168">
        <f>I21-H21</f>
        <v>812</v>
      </c>
      <c r="J47" s="168">
        <f>J21-I21</f>
        <v>-276</v>
      </c>
      <c r="K47" s="168">
        <f>K21-J21</f>
        <v>-277</v>
      </c>
    </row>
    <row r="48" spans="2:11" x14ac:dyDescent="0.3">
      <c r="B48" s="99"/>
      <c r="C48" s="99"/>
      <c r="D48" s="99"/>
      <c r="E48" s="99"/>
      <c r="F48" s="99"/>
      <c r="G48" s="168"/>
      <c r="H48" s="168"/>
      <c r="I48" s="168"/>
      <c r="J48" s="168"/>
      <c r="K48" s="168"/>
    </row>
    <row r="49" spans="2:11" x14ac:dyDescent="0.3">
      <c r="B49" s="99" t="s">
        <v>301</v>
      </c>
      <c r="C49" s="99"/>
      <c r="D49" s="99"/>
      <c r="E49" s="99"/>
      <c r="F49" s="99"/>
      <c r="G49" s="168">
        <f>G40</f>
        <v>1956.4699999999998</v>
      </c>
      <c r="H49" s="168">
        <f>H40</f>
        <v>2195.4100000000012</v>
      </c>
      <c r="I49" s="168">
        <f>I40</f>
        <v>2199.2499999999995</v>
      </c>
      <c r="J49" s="168">
        <f>J40</f>
        <v>2206.909999999998</v>
      </c>
      <c r="K49" s="168">
        <f>K40</f>
        <v>2716.36</v>
      </c>
    </row>
    <row r="50" spans="2:11" x14ac:dyDescent="0.3">
      <c r="B50" s="99" t="s">
        <v>306</v>
      </c>
      <c r="C50" s="99"/>
      <c r="D50" s="99"/>
      <c r="E50" s="99"/>
      <c r="F50" s="99"/>
      <c r="G50" s="183">
        <v>0.3</v>
      </c>
      <c r="H50" s="183">
        <v>0.3</v>
      </c>
      <c r="I50" s="183">
        <v>0.3</v>
      </c>
      <c r="J50" s="183">
        <v>0.3</v>
      </c>
      <c r="K50" s="183">
        <v>0.3</v>
      </c>
    </row>
    <row r="51" spans="2:11" x14ac:dyDescent="0.3">
      <c r="B51" s="99" t="s">
        <v>307</v>
      </c>
      <c r="C51" s="99"/>
      <c r="D51" s="99"/>
      <c r="E51" s="99"/>
      <c r="F51" s="99"/>
      <c r="G51" s="184">
        <f>G49*(1-G50)</f>
        <v>1369.5289999999998</v>
      </c>
      <c r="H51" s="184">
        <f t="shared" ref="H51:K51" si="5">H49*(1-H50)</f>
        <v>1536.7870000000007</v>
      </c>
      <c r="I51" s="184">
        <f t="shared" si="5"/>
        <v>1539.4749999999997</v>
      </c>
      <c r="J51" s="184">
        <f t="shared" si="5"/>
        <v>1544.8369999999986</v>
      </c>
      <c r="K51" s="184">
        <f t="shared" si="5"/>
        <v>1901.452</v>
      </c>
    </row>
    <row r="52" spans="2:11" x14ac:dyDescent="0.3">
      <c r="B52" s="99"/>
      <c r="C52" s="99"/>
      <c r="D52" s="99"/>
      <c r="E52" s="99"/>
      <c r="F52" s="99"/>
      <c r="G52" s="168"/>
      <c r="H52" s="168"/>
      <c r="I52" s="168"/>
      <c r="J52" s="168"/>
      <c r="K52" s="168"/>
    </row>
    <row r="53" spans="2:11" x14ac:dyDescent="0.3">
      <c r="B53" s="99" t="s">
        <v>308</v>
      </c>
      <c r="C53" s="99"/>
      <c r="D53" s="99"/>
      <c r="E53" s="99"/>
      <c r="F53" s="99"/>
      <c r="G53" s="168"/>
      <c r="H53" s="168">
        <f>SUM(H46:H47)</f>
        <v>82</v>
      </c>
      <c r="I53" s="168">
        <f>SUM(I46:I47)</f>
        <v>815</v>
      </c>
      <c r="J53" s="168">
        <f t="shared" ref="J53:K53" si="6">SUM(J46:J47)</f>
        <v>-268</v>
      </c>
      <c r="K53" s="168">
        <f t="shared" si="6"/>
        <v>-246</v>
      </c>
    </row>
    <row r="54" spans="2:11" x14ac:dyDescent="0.3">
      <c r="B54" s="169"/>
      <c r="C54" s="169"/>
      <c r="D54" s="169"/>
      <c r="E54" s="169"/>
      <c r="F54" s="169"/>
      <c r="G54" s="169"/>
      <c r="H54" s="185"/>
      <c r="I54" s="185"/>
      <c r="J54" s="185"/>
      <c r="K54" s="185"/>
    </row>
    <row r="55" spans="2:11" ht="15" thickBot="1" x14ac:dyDescent="0.35">
      <c r="B55" s="171" t="s">
        <v>309</v>
      </c>
      <c r="C55" s="171"/>
      <c r="D55" s="171"/>
      <c r="E55" s="171"/>
      <c r="F55" s="171"/>
      <c r="G55" s="171"/>
      <c r="H55" s="182">
        <f>H53/H51</f>
        <v>5.3358077599563222E-2</v>
      </c>
      <c r="I55" s="182">
        <f t="shared" ref="I55:K55" si="7">I53/I51</f>
        <v>0.52940125692200279</v>
      </c>
      <c r="J55" s="182">
        <f t="shared" si="7"/>
        <v>-0.17348108570677698</v>
      </c>
      <c r="K55" s="182">
        <f t="shared" si="7"/>
        <v>-0.1293748146153571</v>
      </c>
    </row>
    <row r="56" spans="2:11" x14ac:dyDescent="0.3">
      <c r="H56" s="32"/>
      <c r="I56" s="32"/>
      <c r="J56" s="32"/>
      <c r="K56" s="32"/>
    </row>
    <row r="57" spans="2:11" x14ac:dyDescent="0.3">
      <c r="I57" s="245" t="s">
        <v>310</v>
      </c>
      <c r="J57" s="245"/>
      <c r="K57" s="187">
        <f>AVERAGE(H55:K55)</f>
        <v>6.997585854985798E-2</v>
      </c>
    </row>
    <row r="58" spans="2:11" x14ac:dyDescent="0.3">
      <c r="I58" s="245" t="s">
        <v>311</v>
      </c>
      <c r="J58" s="245"/>
      <c r="K58" s="187">
        <f>MEDIAN(H55:K55)</f>
        <v>-3.8008368507896934E-2</v>
      </c>
    </row>
    <row r="60" spans="2:11" x14ac:dyDescent="0.3">
      <c r="B60" s="33" t="s">
        <v>312</v>
      </c>
      <c r="C60" s="166"/>
      <c r="D60" s="166"/>
      <c r="E60" s="166"/>
      <c r="F60" s="166"/>
      <c r="G60" s="34">
        <f t="shared" ref="G60:J60" si="8">G44</f>
        <v>43891</v>
      </c>
      <c r="H60" s="34">
        <f t="shared" si="8"/>
        <v>44256</v>
      </c>
      <c r="I60" s="34">
        <f t="shared" si="8"/>
        <v>44621</v>
      </c>
      <c r="J60" s="34">
        <f t="shared" si="8"/>
        <v>44986</v>
      </c>
      <c r="K60" s="34">
        <f>K44</f>
        <v>45352</v>
      </c>
    </row>
    <row r="62" spans="2:11" x14ac:dyDescent="0.3">
      <c r="B62" s="99" t="s">
        <v>309</v>
      </c>
      <c r="C62" s="99"/>
      <c r="D62" s="99"/>
      <c r="E62" s="99"/>
      <c r="F62" s="99"/>
      <c r="G62" s="99"/>
      <c r="H62" s="100">
        <f>H55</f>
        <v>5.3358077599563222E-2</v>
      </c>
      <c r="I62" s="100">
        <f t="shared" ref="I62:K62" si="9">I55</f>
        <v>0.52940125692200279</v>
      </c>
      <c r="J62" s="100">
        <f t="shared" si="9"/>
        <v>-0.17348108570677698</v>
      </c>
      <c r="K62" s="100">
        <f t="shared" si="9"/>
        <v>-0.1293748146153571</v>
      </c>
    </row>
    <row r="63" spans="2:11" x14ac:dyDescent="0.3">
      <c r="B63" s="99" t="s">
        <v>302</v>
      </c>
      <c r="C63" s="99"/>
      <c r="D63" s="99"/>
      <c r="E63" s="99"/>
      <c r="F63" s="99"/>
      <c r="G63" s="99"/>
      <c r="H63" s="100">
        <f>H42</f>
        <v>0.22189306650495261</v>
      </c>
      <c r="I63" s="100">
        <f>I42</f>
        <v>0.19955085745395151</v>
      </c>
      <c r="J63" s="100">
        <f>J42</f>
        <v>0.19260865770640584</v>
      </c>
      <c r="K63" s="100">
        <f>K42</f>
        <v>0.23238600393532383</v>
      </c>
    </row>
    <row r="64" spans="2:11" x14ac:dyDescent="0.3">
      <c r="B64" s="169"/>
      <c r="C64" s="169"/>
      <c r="D64" s="169"/>
      <c r="E64" s="169"/>
      <c r="F64" s="169"/>
      <c r="G64" s="169"/>
      <c r="H64" s="169"/>
      <c r="I64" s="169"/>
      <c r="J64" s="169"/>
      <c r="K64" s="169"/>
    </row>
    <row r="65" spans="2:11" ht="15" thickBot="1" x14ac:dyDescent="0.35">
      <c r="B65" s="171" t="s">
        <v>313</v>
      </c>
      <c r="C65" s="171"/>
      <c r="D65" s="171"/>
      <c r="E65" s="171"/>
      <c r="F65" s="171"/>
      <c r="G65" s="171"/>
      <c r="H65" s="186">
        <f>H62*H63</f>
        <v>1.1839787461376304E-2</v>
      </c>
      <c r="I65" s="186">
        <f t="shared" ref="I65:K65" si="10">I62*I63</f>
        <v>0.10564247475598534</v>
      </c>
      <c r="J65" s="186">
        <f>J62*J63</f>
        <v>-3.3413959055432263E-2</v>
      </c>
      <c r="K65" s="186">
        <f t="shared" si="10"/>
        <v>-3.0064896178336166E-2</v>
      </c>
    </row>
    <row r="67" spans="2:11" x14ac:dyDescent="0.3">
      <c r="I67" s="245" t="s">
        <v>310</v>
      </c>
      <c r="J67" s="245"/>
      <c r="K67" s="187">
        <f>AVERAGE(H65:K65)</f>
        <v>1.3500851745898304E-2</v>
      </c>
    </row>
    <row r="68" spans="2:11" x14ac:dyDescent="0.3">
      <c r="I68" s="245" t="s">
        <v>311</v>
      </c>
      <c r="J68" s="245"/>
      <c r="K68" s="187">
        <f>MEDIAN(H65:K65)</f>
        <v>-9.1125543584799316E-3</v>
      </c>
    </row>
  </sheetData>
  <mergeCells count="7">
    <mergeCell ref="I57:J57"/>
    <mergeCell ref="I58:J58"/>
    <mergeCell ref="I67:J67"/>
    <mergeCell ref="I68:J68"/>
    <mergeCell ref="B2:G2"/>
    <mergeCell ref="B3:E3"/>
    <mergeCell ref="B5:K5"/>
  </mergeCells>
  <pageMargins left="0.7" right="0.7" top="0.75" bottom="0.75" header="0.3" footer="0.3"/>
  <pageSetup paperSize="9" scale="87" fitToHeight="0" orientation="portrait" r:id="rId1"/>
  <ignoredErrors>
    <ignoredError sqref="G46:K46" formulaRange="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41A38D-96EF-418E-AD09-D29A963836F4}">
  <dimension ref="B1:K46"/>
  <sheetViews>
    <sheetView showGridLines="0" zoomScale="64" workbookViewId="0">
      <selection activeCell="B5" sqref="B5:K5"/>
    </sheetView>
  </sheetViews>
  <sheetFormatPr defaultRowHeight="14.4" x14ac:dyDescent="0.3"/>
  <cols>
    <col min="1" max="1" width="1.88671875" customWidth="1"/>
    <col min="4" max="4" width="9" customWidth="1"/>
    <col min="5" max="5" width="13.6640625" bestFit="1" customWidth="1"/>
    <col min="8" max="11" width="9.44140625" bestFit="1" customWidth="1"/>
  </cols>
  <sheetData>
    <row r="1" spans="2:11" ht="15" thickBot="1" x14ac:dyDescent="0.35"/>
    <row r="2" spans="2:11" ht="29.4" customHeight="1" thickTop="1" x14ac:dyDescent="0.4">
      <c r="B2" s="246" t="str">
        <f>'Data Sheet'!B1</f>
        <v>GODREJ CONSUMER PRODUCTS LTD</v>
      </c>
      <c r="C2" s="246"/>
      <c r="D2" s="246"/>
      <c r="E2" s="246"/>
      <c r="F2" s="246"/>
      <c r="G2" s="246"/>
      <c r="H2" s="193"/>
      <c r="I2" s="193"/>
      <c r="J2" s="193"/>
      <c r="K2" s="193"/>
    </row>
    <row r="3" spans="2:11" ht="16.2" thickBot="1" x14ac:dyDescent="0.35">
      <c r="B3" s="247" t="s">
        <v>9336</v>
      </c>
      <c r="C3" s="247"/>
      <c r="D3" s="247"/>
      <c r="E3" s="247"/>
      <c r="F3" s="194"/>
      <c r="G3" s="194"/>
      <c r="H3" s="194"/>
      <c r="I3" s="194"/>
      <c r="J3" s="194"/>
      <c r="K3" s="194"/>
    </row>
    <row r="4" spans="2:11" ht="8.4" customHeight="1" thickTop="1" x14ac:dyDescent="0.3">
      <c r="B4" s="233"/>
      <c r="C4" s="233"/>
      <c r="D4" s="233"/>
      <c r="E4" s="233"/>
      <c r="F4" s="195"/>
      <c r="G4" s="195"/>
      <c r="H4" s="195"/>
      <c r="I4" s="195"/>
      <c r="J4" s="195"/>
      <c r="K4" s="195"/>
    </row>
    <row r="5" spans="2:11" ht="21" x14ac:dyDescent="0.4">
      <c r="B5" s="236" t="s">
        <v>9374</v>
      </c>
      <c r="C5" s="236"/>
      <c r="D5" s="236"/>
      <c r="E5" s="236"/>
      <c r="F5" s="236"/>
      <c r="G5" s="236"/>
      <c r="H5" s="236"/>
      <c r="I5" s="236"/>
      <c r="J5" s="236"/>
      <c r="K5" s="236"/>
    </row>
    <row r="6" spans="2:11" ht="7.8" customHeight="1" x14ac:dyDescent="0.3">
      <c r="F6" s="234">
        <v>0</v>
      </c>
      <c r="G6" s="234">
        <v>0.5</v>
      </c>
      <c r="H6" s="234">
        <v>1.5</v>
      </c>
      <c r="I6" s="234">
        <v>2.5</v>
      </c>
      <c r="J6" s="234">
        <v>3.5</v>
      </c>
      <c r="K6" s="234">
        <v>4.5</v>
      </c>
    </row>
    <row r="7" spans="2:11" x14ac:dyDescent="0.3">
      <c r="B7" s="33" t="s">
        <v>316</v>
      </c>
      <c r="C7" s="166"/>
      <c r="D7" s="166"/>
      <c r="E7" s="166"/>
      <c r="F7" s="34">
        <f>'Data Sheet'!K16</f>
        <v>45382</v>
      </c>
      <c r="G7" s="34">
        <f>F7+365</f>
        <v>45747</v>
      </c>
      <c r="H7" s="34">
        <f t="shared" ref="H7:K7" si="0">G7+365</f>
        <v>46112</v>
      </c>
      <c r="I7" s="34">
        <f t="shared" si="0"/>
        <v>46477</v>
      </c>
      <c r="J7" s="34">
        <f t="shared" si="0"/>
        <v>46842</v>
      </c>
      <c r="K7" s="34">
        <f t="shared" si="0"/>
        <v>47207</v>
      </c>
    </row>
    <row r="9" spans="2:11" x14ac:dyDescent="0.3">
      <c r="B9" t="s">
        <v>301</v>
      </c>
      <c r="F9" s="69">
        <f>SUM(HistoricalFS!L30+HistoricalFS!L24)</f>
        <v>2716.36</v>
      </c>
      <c r="G9" s="69">
        <f>F9*(1+$E$23)</f>
        <v>2849.7332759999999</v>
      </c>
      <c r="H9" s="69">
        <f t="shared" ref="H9:K9" si="1">G9*(1+$E$23)</f>
        <v>2989.6551798515998</v>
      </c>
      <c r="I9" s="69">
        <f t="shared" si="1"/>
        <v>3136.447249182313</v>
      </c>
      <c r="J9" s="69">
        <f t="shared" si="1"/>
        <v>3290.4468091171643</v>
      </c>
      <c r="K9" s="69">
        <f t="shared" si="1"/>
        <v>3452.0077474448167</v>
      </c>
    </row>
    <row r="11" spans="2:11" x14ac:dyDescent="0.3">
      <c r="B11" t="s">
        <v>222</v>
      </c>
      <c r="F11" s="91">
        <v>0.3</v>
      </c>
      <c r="G11" s="91">
        <f>F11</f>
        <v>0.3</v>
      </c>
      <c r="H11" s="91">
        <f t="shared" ref="H11:K11" si="2">G11</f>
        <v>0.3</v>
      </c>
      <c r="I11" s="91">
        <f t="shared" si="2"/>
        <v>0.3</v>
      </c>
      <c r="J11" s="91">
        <f t="shared" si="2"/>
        <v>0.3</v>
      </c>
      <c r="K11" s="91">
        <f t="shared" si="2"/>
        <v>0.3</v>
      </c>
    </row>
    <row r="13" spans="2:11" x14ac:dyDescent="0.3">
      <c r="B13" t="s">
        <v>317</v>
      </c>
      <c r="F13" s="69">
        <f>F9*(1-F11)</f>
        <v>1901.452</v>
      </c>
      <c r="G13" s="69">
        <f t="shared" ref="G13:K13" si="3">G9*(1-G11)</f>
        <v>1994.8132931999999</v>
      </c>
      <c r="H13" s="69">
        <f t="shared" si="3"/>
        <v>2092.7586258961196</v>
      </c>
      <c r="I13" s="69">
        <f t="shared" si="3"/>
        <v>2195.5130744276189</v>
      </c>
      <c r="J13" s="69">
        <f t="shared" si="3"/>
        <v>2303.3127663820151</v>
      </c>
      <c r="K13" s="69">
        <f t="shared" si="3"/>
        <v>2416.4054232113717</v>
      </c>
    </row>
    <row r="15" spans="2:11" x14ac:dyDescent="0.3">
      <c r="B15" t="s">
        <v>318</v>
      </c>
      <c r="F15" s="91">
        <v>0.54149999999999998</v>
      </c>
      <c r="G15" s="91">
        <f>F15</f>
        <v>0.54149999999999998</v>
      </c>
      <c r="H15" s="91">
        <f t="shared" ref="H15:K15" si="4">G15</f>
        <v>0.54149999999999998</v>
      </c>
      <c r="I15" s="91">
        <f t="shared" si="4"/>
        <v>0.54149999999999998</v>
      </c>
      <c r="J15" s="91">
        <f t="shared" si="4"/>
        <v>0.54149999999999998</v>
      </c>
      <c r="K15" s="91">
        <f t="shared" si="4"/>
        <v>0.54149999999999998</v>
      </c>
    </row>
    <row r="17" spans="2:11" ht="15" thickBot="1" x14ac:dyDescent="0.35">
      <c r="B17" s="171" t="s">
        <v>319</v>
      </c>
      <c r="C17" s="171"/>
      <c r="D17" s="171"/>
      <c r="E17" s="171"/>
      <c r="F17" s="188">
        <f>F13*(1-F15)</f>
        <v>871.815742</v>
      </c>
      <c r="G17" s="188">
        <f t="shared" ref="G17:K17" si="5">G13*(1-G15)</f>
        <v>914.62189493220001</v>
      </c>
      <c r="H17" s="188">
        <f t="shared" si="5"/>
        <v>959.52982997337085</v>
      </c>
      <c r="I17" s="188">
        <f t="shared" si="5"/>
        <v>1006.6427446250633</v>
      </c>
      <c r="J17" s="188">
        <f t="shared" si="5"/>
        <v>1056.068903386154</v>
      </c>
      <c r="K17" s="188">
        <f t="shared" si="5"/>
        <v>1107.9218865424141</v>
      </c>
    </row>
    <row r="19" spans="2:11" x14ac:dyDescent="0.3">
      <c r="B19" t="s">
        <v>320</v>
      </c>
      <c r="F19" s="92">
        <f>1/(1+$E$30)^F6</f>
        <v>1</v>
      </c>
      <c r="G19" s="92">
        <f t="shared" ref="G19:K19" si="6">1/(1+$E$30)^G6</f>
        <v>0.93802676246754557</v>
      </c>
      <c r="H19" s="92">
        <f t="shared" si="6"/>
        <v>0.82536431440497493</v>
      </c>
      <c r="I19" s="92">
        <f t="shared" si="6"/>
        <v>0.72623327899641232</v>
      </c>
      <c r="J19" s="92">
        <f t="shared" si="6"/>
        <v>0.6390084551960632</v>
      </c>
      <c r="K19" s="92">
        <f t="shared" si="6"/>
        <v>0.56225983801835155</v>
      </c>
    </row>
    <row r="21" spans="2:11" ht="15" thickBot="1" x14ac:dyDescent="0.35">
      <c r="B21" s="171" t="s">
        <v>321</v>
      </c>
      <c r="C21" s="171"/>
      <c r="D21" s="171"/>
      <c r="E21" s="171"/>
      <c r="F21" s="188">
        <f>F19*F17</f>
        <v>871.815742</v>
      </c>
      <c r="G21" s="188">
        <f t="shared" ref="G21:K21" si="7">G19*G17</f>
        <v>857.93981498518315</v>
      </c>
      <c r="H21" s="188">
        <f t="shared" si="7"/>
        <v>791.96168026709336</v>
      </c>
      <c r="I21" s="188">
        <f t="shared" si="7"/>
        <v>731.0574612070078</v>
      </c>
      <c r="J21" s="188">
        <f t="shared" si="7"/>
        <v>674.83695853338679</v>
      </c>
      <c r="K21" s="188">
        <f t="shared" si="7"/>
        <v>622.93998046432421</v>
      </c>
    </row>
    <row r="23" spans="2:11" x14ac:dyDescent="0.3">
      <c r="B23" s="190" t="s">
        <v>322</v>
      </c>
      <c r="C23" s="190"/>
      <c r="D23" s="191"/>
      <c r="E23" s="191">
        <v>4.9099999999999998E-2</v>
      </c>
    </row>
    <row r="24" spans="2:11" x14ac:dyDescent="0.3">
      <c r="B24" s="190" t="s">
        <v>323</v>
      </c>
      <c r="C24" s="190"/>
      <c r="D24" s="191"/>
      <c r="E24" s="191">
        <v>5.5E-2</v>
      </c>
    </row>
    <row r="27" spans="2:11" x14ac:dyDescent="0.3">
      <c r="B27" s="33" t="s">
        <v>324</v>
      </c>
      <c r="C27" s="166"/>
      <c r="D27" s="166"/>
      <c r="E27" s="166"/>
      <c r="G27" s="33" t="s">
        <v>325</v>
      </c>
      <c r="H27" s="166"/>
      <c r="I27" s="166"/>
      <c r="J27" s="166"/>
      <c r="K27" s="166"/>
    </row>
    <row r="28" spans="2:11" x14ac:dyDescent="0.3">
      <c r="G28" s="135">
        <f>E46</f>
        <v>88.856780432453903</v>
      </c>
      <c r="H28" s="136">
        <v>0.18</v>
      </c>
      <c r="I28" s="136">
        <v>0.20039999999999999</v>
      </c>
      <c r="J28" s="136">
        <v>0.22</v>
      </c>
      <c r="K28" s="136">
        <v>0.24</v>
      </c>
    </row>
    <row r="29" spans="2:11" x14ac:dyDescent="0.3">
      <c r="B29" t="s">
        <v>326</v>
      </c>
      <c r="E29" s="69">
        <f>K17*(1+E23)</f>
        <v>1162.3208511716466</v>
      </c>
      <c r="G29" s="137">
        <v>0.03</v>
      </c>
      <c r="H29" s="77" t="s">
        <v>327</v>
      </c>
      <c r="I29" s="77">
        <v>250.51413042973979</v>
      </c>
      <c r="J29" s="77">
        <v>222.0624250252302</v>
      </c>
      <c r="K29" s="77">
        <v>198.73197802760788</v>
      </c>
    </row>
    <row r="30" spans="2:11" x14ac:dyDescent="0.3">
      <c r="B30" t="s">
        <v>241</v>
      </c>
      <c r="E30" s="91">
        <f>WACC!J46</f>
        <v>0.136500265514619</v>
      </c>
      <c r="G30" s="137">
        <v>0.04</v>
      </c>
      <c r="H30" s="77">
        <v>301.25080271313607</v>
      </c>
      <c r="I30" s="77">
        <v>259.66589643000958</v>
      </c>
      <c r="J30" s="77">
        <v>228.86229264431054</v>
      </c>
      <c r="K30" s="77">
        <v>203.87832339864457</v>
      </c>
    </row>
    <row r="31" spans="2:11" x14ac:dyDescent="0.3">
      <c r="B31" t="s">
        <v>328</v>
      </c>
      <c r="E31" s="91">
        <f>E24</f>
        <v>5.5E-2</v>
      </c>
      <c r="G31" s="137">
        <v>5.3800000000000001E-2</v>
      </c>
      <c r="H31" s="77">
        <v>322.35498186454646</v>
      </c>
      <c r="I31" s="83">
        <v>274.34567868441223</v>
      </c>
      <c r="J31" s="77">
        <v>239.58988163181269</v>
      </c>
      <c r="K31" s="77">
        <v>211.88804890093473</v>
      </c>
    </row>
    <row r="32" spans="2:11" x14ac:dyDescent="0.3">
      <c r="G32" s="137">
        <v>0.06</v>
      </c>
      <c r="H32" s="77">
        <v>333.41683422168666</v>
      </c>
      <c r="I32" s="77">
        <v>281.88043954177544</v>
      </c>
      <c r="J32" s="77">
        <v>245.0119782396263</v>
      </c>
      <c r="K32" s="77">
        <v>215.88646259773014</v>
      </c>
    </row>
    <row r="33" spans="2:11" ht="15" thickBot="1" x14ac:dyDescent="0.35">
      <c r="B33" s="171" t="s">
        <v>329</v>
      </c>
      <c r="C33" s="171"/>
      <c r="D33" s="171"/>
      <c r="E33" s="189">
        <f>E29/(E30-E31)</f>
        <v>14261.559073855493</v>
      </c>
      <c r="G33" s="137">
        <v>7.0000000000000007E-2</v>
      </c>
      <c r="H33" s="77">
        <v>353.88612699985521</v>
      </c>
      <c r="I33" s="77">
        <v>295.54306498321432</v>
      </c>
      <c r="J33" s="77">
        <v>254.70178959681576</v>
      </c>
      <c r="K33" s="77">
        <v>222.95007389130987</v>
      </c>
    </row>
    <row r="34" spans="2:11" x14ac:dyDescent="0.3">
      <c r="J34" s="97"/>
    </row>
    <row r="36" spans="2:11" x14ac:dyDescent="0.3">
      <c r="B36" s="33" t="s">
        <v>330</v>
      </c>
      <c r="C36" s="166"/>
      <c r="D36" s="166"/>
      <c r="E36" s="166"/>
    </row>
    <row r="38" spans="2:11" x14ac:dyDescent="0.3">
      <c r="B38" t="s">
        <v>321</v>
      </c>
      <c r="E38" s="69">
        <f>SUM(G21:K21)</f>
        <v>3678.7358954569954</v>
      </c>
    </row>
    <row r="39" spans="2:11" x14ac:dyDescent="0.3">
      <c r="B39" t="s">
        <v>331</v>
      </c>
      <c r="E39" s="138">
        <f>E33*K19</f>
        <v>8018.7018947551414</v>
      </c>
    </row>
    <row r="40" spans="2:11" x14ac:dyDescent="0.3">
      <c r="B40" s="12" t="s">
        <v>332</v>
      </c>
      <c r="C40" s="12"/>
      <c r="D40" s="12"/>
      <c r="E40" s="67">
        <f>SUM(E38:E39)</f>
        <v>11697.437790212138</v>
      </c>
    </row>
    <row r="42" spans="2:11" x14ac:dyDescent="0.3">
      <c r="B42" t="s">
        <v>333</v>
      </c>
      <c r="E42">
        <f>'Data Sheet'!K69</f>
        <v>546.94000000000005</v>
      </c>
    </row>
    <row r="43" spans="2:11" x14ac:dyDescent="0.3">
      <c r="B43" t="s">
        <v>334</v>
      </c>
      <c r="E43">
        <f>SUM('Raw FS'!N5:N6)</f>
        <v>3155</v>
      </c>
    </row>
    <row r="44" spans="2:11" x14ac:dyDescent="0.3">
      <c r="B44" s="12" t="s">
        <v>335</v>
      </c>
      <c r="C44" s="12"/>
      <c r="D44" s="12"/>
      <c r="E44" s="67">
        <f>E40+E42-E43</f>
        <v>9089.3777902121383</v>
      </c>
    </row>
    <row r="45" spans="2:11" x14ac:dyDescent="0.3">
      <c r="B45" t="s">
        <v>336</v>
      </c>
      <c r="E45" s="69">
        <f>'Data Sheet'!B6</f>
        <v>102.29245023255815</v>
      </c>
    </row>
    <row r="46" spans="2:11" x14ac:dyDescent="0.3">
      <c r="B46" t="s">
        <v>337</v>
      </c>
      <c r="E46" s="138">
        <f>E44/E45</f>
        <v>88.856780432453903</v>
      </c>
    </row>
  </sheetData>
  <mergeCells count="3">
    <mergeCell ref="B2:G2"/>
    <mergeCell ref="B3:E3"/>
    <mergeCell ref="B5:K5"/>
  </mergeCells>
  <pageMargins left="0.7" right="0.7" top="0.75" bottom="0.75" header="0.3" footer="0.3"/>
  <ignoredErrors>
    <ignoredError sqref="E43" formulaRange="1"/>
  </ignoredErrors>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7CE48-AD3E-426B-89D8-B984C6918BB7}">
  <sheetPr>
    <pageSetUpPr fitToPage="1"/>
  </sheetPr>
  <dimension ref="B1:Q32"/>
  <sheetViews>
    <sheetView showGridLines="0" zoomScaleNormal="100" workbookViewId="0">
      <selection activeCell="O9" sqref="O9"/>
    </sheetView>
  </sheetViews>
  <sheetFormatPr defaultRowHeight="14.4" x14ac:dyDescent="0.3"/>
  <cols>
    <col min="1" max="1" width="1.88671875" customWidth="1"/>
    <col min="2" max="2" width="10.5546875" customWidth="1"/>
    <col min="5" max="5" width="11.21875" customWidth="1"/>
    <col min="8" max="8" width="10.21875" customWidth="1"/>
    <col min="13" max="13" width="12.6640625" bestFit="1" customWidth="1"/>
    <col min="15" max="15" width="11.44140625" bestFit="1" customWidth="1"/>
    <col min="16" max="16" width="10.21875" bestFit="1" customWidth="1"/>
  </cols>
  <sheetData>
    <row r="1" spans="2:17" ht="15" thickBot="1" x14ac:dyDescent="0.35"/>
    <row r="2" spans="2:17" ht="29.4" thickTop="1" x14ac:dyDescent="0.55000000000000004">
      <c r="B2" s="238" t="str">
        <f>'Data Sheet'!B1</f>
        <v>GODREJ CONSUMER PRODUCTS LTD</v>
      </c>
      <c r="C2" s="238"/>
      <c r="D2" s="238"/>
      <c r="E2" s="238"/>
      <c r="F2" s="238"/>
      <c r="G2" s="238"/>
      <c r="H2" s="238"/>
      <c r="I2" s="193"/>
      <c r="J2" s="193"/>
      <c r="K2" s="193"/>
      <c r="L2" s="193"/>
      <c r="M2" s="193"/>
      <c r="N2" s="193"/>
      <c r="O2" s="193"/>
      <c r="P2" s="193"/>
      <c r="Q2" s="193"/>
    </row>
    <row r="3" spans="2:17" ht="18.600000000000001" thickBot="1" x14ac:dyDescent="0.4">
      <c r="B3" s="239" t="s">
        <v>9336</v>
      </c>
      <c r="C3" s="239"/>
      <c r="D3" s="239"/>
      <c r="E3" s="239"/>
      <c r="F3" s="194"/>
      <c r="G3" s="194"/>
      <c r="H3" s="194"/>
      <c r="I3" s="194"/>
      <c r="J3" s="194"/>
      <c r="K3" s="194"/>
      <c r="L3" s="194"/>
      <c r="M3" s="194"/>
      <c r="N3" s="194"/>
      <c r="O3" s="194"/>
      <c r="P3" s="194"/>
      <c r="Q3" s="194"/>
    </row>
    <row r="4" spans="2:17" ht="6.6" customHeight="1" thickTop="1" x14ac:dyDescent="0.35">
      <c r="B4" s="214"/>
      <c r="C4" s="214"/>
      <c r="D4" s="214"/>
      <c r="E4" s="214"/>
      <c r="F4" s="195"/>
      <c r="G4" s="195"/>
      <c r="H4" s="195"/>
      <c r="I4" s="195"/>
      <c r="J4" s="195"/>
      <c r="K4" s="195"/>
      <c r="L4" s="195"/>
      <c r="M4" s="195"/>
      <c r="N4" s="195"/>
      <c r="O4" s="195"/>
      <c r="P4" s="195"/>
      <c r="Q4" s="195"/>
    </row>
    <row r="5" spans="2:17" ht="21" x14ac:dyDescent="0.4">
      <c r="B5" s="236" t="s">
        <v>9375</v>
      </c>
      <c r="C5" s="236"/>
      <c r="D5" s="236"/>
      <c r="E5" s="236"/>
      <c r="F5" s="236"/>
      <c r="G5" s="236"/>
      <c r="H5" s="236"/>
      <c r="I5" s="236"/>
      <c r="J5" s="236"/>
      <c r="K5" s="236"/>
      <c r="L5" s="236"/>
      <c r="M5" s="236"/>
      <c r="N5" s="236"/>
      <c r="O5" s="236"/>
      <c r="P5" s="236"/>
      <c r="Q5" s="236"/>
    </row>
    <row r="6" spans="2:17" ht="6.6" customHeight="1" x14ac:dyDescent="0.35">
      <c r="B6" s="214"/>
      <c r="C6" s="214"/>
      <c r="D6" s="214"/>
      <c r="E6" s="214"/>
      <c r="F6" s="195"/>
      <c r="G6" s="195"/>
      <c r="H6" s="195"/>
      <c r="I6" s="195"/>
      <c r="J6" s="195"/>
      <c r="K6" s="195"/>
      <c r="L6" s="195"/>
      <c r="M6" s="195"/>
      <c r="N6" s="195"/>
      <c r="O6" s="195"/>
      <c r="P6" s="195"/>
      <c r="Q6" s="195"/>
    </row>
    <row r="7" spans="2:17" x14ac:dyDescent="0.3">
      <c r="B7" s="33"/>
      <c r="C7" s="33"/>
      <c r="D7" s="248" t="s">
        <v>338</v>
      </c>
      <c r="E7" s="248"/>
      <c r="F7" s="248"/>
      <c r="G7" s="248"/>
      <c r="H7" s="248"/>
      <c r="I7" s="248"/>
      <c r="J7" s="33"/>
      <c r="K7" s="248" t="s">
        <v>339</v>
      </c>
      <c r="L7" s="248"/>
      <c r="M7" s="248"/>
      <c r="N7" s="33"/>
      <c r="O7" s="248" t="s">
        <v>340</v>
      </c>
      <c r="P7" s="248"/>
      <c r="Q7" s="248"/>
    </row>
    <row r="8" spans="2:17" ht="43.2" x14ac:dyDescent="0.3">
      <c r="B8" s="201" t="s">
        <v>341</v>
      </c>
      <c r="C8" s="201" t="s">
        <v>342</v>
      </c>
      <c r="D8" s="202" t="s">
        <v>343</v>
      </c>
      <c r="E8" s="202" t="s">
        <v>344</v>
      </c>
      <c r="F8" s="202" t="s">
        <v>345</v>
      </c>
      <c r="G8" s="202" t="s">
        <v>346</v>
      </c>
      <c r="H8" s="202" t="s">
        <v>347</v>
      </c>
      <c r="I8" s="202"/>
      <c r="J8" s="80"/>
      <c r="K8" s="80" t="s">
        <v>348</v>
      </c>
      <c r="L8" s="80" t="s">
        <v>28</v>
      </c>
      <c r="M8" s="80" t="s">
        <v>349</v>
      </c>
      <c r="N8" s="80"/>
      <c r="O8" s="80" t="s">
        <v>350</v>
      </c>
      <c r="P8" s="80" t="s">
        <v>351</v>
      </c>
      <c r="Q8" s="80" t="s">
        <v>352</v>
      </c>
    </row>
    <row r="9" spans="2:17" x14ac:dyDescent="0.3">
      <c r="B9" s="210" t="str">
        <f>'Relative Data'!C3</f>
        <v>Godrej Consumer</v>
      </c>
      <c r="C9" s="210"/>
      <c r="D9" s="211">
        <f>'Relative Data'!D3</f>
        <v>1181.0999999999999</v>
      </c>
      <c r="E9" s="211">
        <f>'Relative Data'!E3</f>
        <v>102.3</v>
      </c>
      <c r="F9" s="211">
        <f>E9*D9</f>
        <v>120826.52999999998</v>
      </c>
      <c r="G9" s="211">
        <f>'Relative Data'!G3-'Relative Data'!H3</f>
        <v>3281.5299999999997</v>
      </c>
      <c r="H9" s="211">
        <f>+F9+G9</f>
        <v>124108.05999999998</v>
      </c>
      <c r="I9" s="211"/>
      <c r="J9" s="211"/>
      <c r="K9" s="211">
        <f>'Relative Data'!J3</f>
        <v>14043.16</v>
      </c>
      <c r="L9" s="211">
        <f>'Relative Data'!K3</f>
        <v>3371.5854387394725</v>
      </c>
      <c r="M9" s="211">
        <f>'Relative Data'!L3</f>
        <v>-370.15</v>
      </c>
      <c r="N9" s="212"/>
      <c r="O9" s="213">
        <f t="shared" ref="O9:O13" si="0">$H9/K9</f>
        <v>8.8376163199735664</v>
      </c>
      <c r="P9" s="213">
        <f t="shared" ref="P9:P13" si="1">$H9/L9</f>
        <v>36.81</v>
      </c>
      <c r="Q9" s="213">
        <f t="shared" ref="Q9:Q13" si="2">F9/M9</f>
        <v>-326.42585438335806</v>
      </c>
    </row>
    <row r="10" spans="2:17" x14ac:dyDescent="0.3">
      <c r="B10" s="210" t="str">
        <f>'Relative Data'!C4</f>
        <v>Dabur India</v>
      </c>
      <c r="C10" s="210"/>
      <c r="D10" s="211">
        <f>'Relative Data'!D4</f>
        <v>521.15</v>
      </c>
      <c r="E10" s="211">
        <f>'Relative Data'!E4</f>
        <v>177.23</v>
      </c>
      <c r="F10" s="211">
        <f t="shared" ref="F10:F13" si="3">E10*D10</f>
        <v>92363.414499999984</v>
      </c>
      <c r="G10" s="211">
        <f>'Relative Data'!G4-'Relative Data'!H4</f>
        <v>1085.2599999999998</v>
      </c>
      <c r="H10" s="211">
        <f t="shared" ref="H10:H13" si="4">+F10+G10</f>
        <v>93448.674499999979</v>
      </c>
      <c r="I10" s="211"/>
      <c r="J10" s="211"/>
      <c r="K10" s="211">
        <f>'Relative Data'!J4</f>
        <v>12447.4</v>
      </c>
      <c r="L10" s="211">
        <f>'Relative Data'!K4</f>
        <v>2878.8870764017247</v>
      </c>
      <c r="M10" s="211">
        <f>'Relative Data'!L4</f>
        <v>1759.53</v>
      </c>
      <c r="N10" s="212"/>
      <c r="O10" s="213">
        <f t="shared" si="0"/>
        <v>7.5074854588106739</v>
      </c>
      <c r="P10" s="213">
        <f t="shared" si="1"/>
        <v>32.46</v>
      </c>
      <c r="Q10" s="213">
        <f t="shared" si="2"/>
        <v>52.493230862787215</v>
      </c>
    </row>
    <row r="11" spans="2:17" x14ac:dyDescent="0.3">
      <c r="B11" s="210" t="str">
        <f>'Relative Data'!C5</f>
        <v>Emami</v>
      </c>
      <c r="C11" s="210"/>
      <c r="D11" s="211">
        <f>'Relative Data'!D5</f>
        <v>595.75</v>
      </c>
      <c r="E11" s="211">
        <f>'Relative Data'!E5</f>
        <v>43.65</v>
      </c>
      <c r="F11" s="211">
        <f t="shared" si="3"/>
        <v>26004.487499999999</v>
      </c>
      <c r="G11" s="211">
        <f>'Relative Data'!G5-'Relative Data'!H5</f>
        <v>-126.99</v>
      </c>
      <c r="H11" s="211">
        <f t="shared" si="4"/>
        <v>25877.497499999998</v>
      </c>
      <c r="I11" s="211"/>
      <c r="J11" s="211"/>
      <c r="K11" s="211">
        <f>'Relative Data'!J5</f>
        <v>3684.22</v>
      </c>
      <c r="L11" s="211">
        <f>'Relative Data'!K5</f>
        <v>1045.1331785137318</v>
      </c>
      <c r="M11" s="211">
        <f>'Relative Data'!L5</f>
        <v>768.99</v>
      </c>
      <c r="N11" s="212"/>
      <c r="O11" s="213">
        <f t="shared" si="0"/>
        <v>7.0238741171808412</v>
      </c>
      <c r="P11" s="213">
        <f t="shared" si="1"/>
        <v>24.759999999999998</v>
      </c>
      <c r="Q11" s="213">
        <f t="shared" si="2"/>
        <v>33.816418288924432</v>
      </c>
    </row>
    <row r="12" spans="2:17" x14ac:dyDescent="0.3">
      <c r="B12" s="210" t="str">
        <f>'Relative Data'!C6</f>
        <v>Jyothy Labs</v>
      </c>
      <c r="C12" s="210"/>
      <c r="D12" s="211">
        <f>'Relative Data'!D6</f>
        <v>408.1</v>
      </c>
      <c r="E12" s="211">
        <f>'Relative Data'!E6</f>
        <v>36.72</v>
      </c>
      <c r="F12" s="211">
        <f t="shared" si="3"/>
        <v>14985.432000000001</v>
      </c>
      <c r="G12" s="211">
        <f>'Relative Data'!G6-'Relative Data'!H6</f>
        <v>-110.18</v>
      </c>
      <c r="H12" s="211">
        <f t="shared" si="4"/>
        <v>14875.252</v>
      </c>
      <c r="I12" s="211"/>
      <c r="J12" s="211"/>
      <c r="K12" s="211">
        <f>'Relative Data'!J6</f>
        <v>2813.06</v>
      </c>
      <c r="L12" s="211">
        <f>'Relative Data'!K6</f>
        <v>547.48811188811192</v>
      </c>
      <c r="M12" s="211">
        <f>'Relative Data'!L6</f>
        <v>375.78</v>
      </c>
      <c r="N12" s="212"/>
      <c r="O12" s="213">
        <f t="shared" si="0"/>
        <v>5.2879256041463742</v>
      </c>
      <c r="P12" s="213">
        <f t="shared" si="1"/>
        <v>27.169999999999998</v>
      </c>
      <c r="Q12" s="213">
        <f t="shared" si="2"/>
        <v>39.878205332907555</v>
      </c>
    </row>
    <row r="13" spans="2:17" x14ac:dyDescent="0.3">
      <c r="B13" s="210" t="str">
        <f>'Relative Data'!C7</f>
        <v>Bajaj Consumer</v>
      </c>
      <c r="C13" s="210"/>
      <c r="D13" s="211">
        <f>'Relative Data'!D7</f>
        <v>195.24</v>
      </c>
      <c r="E13" s="211">
        <f>'Relative Data'!E7</f>
        <v>14.28</v>
      </c>
      <c r="F13" s="211">
        <f t="shared" si="3"/>
        <v>2788.0272</v>
      </c>
      <c r="G13" s="211">
        <f>'Relative Data'!G7-'Relative Data'!H7</f>
        <v>-37.96</v>
      </c>
      <c r="H13" s="211">
        <f t="shared" si="4"/>
        <v>2750.0672</v>
      </c>
      <c r="I13" s="211"/>
      <c r="J13" s="211"/>
      <c r="K13" s="211">
        <f>'Relative Data'!J7</f>
        <v>959.03</v>
      </c>
      <c r="L13" s="211">
        <f>'Relative Data'!K7</f>
        <v>182.00312375909994</v>
      </c>
      <c r="M13" s="211">
        <f>'Relative Data'!L7</f>
        <v>140.9</v>
      </c>
      <c r="N13" s="212"/>
      <c r="O13" s="213">
        <f t="shared" si="0"/>
        <v>2.8675507544081</v>
      </c>
      <c r="P13" s="213">
        <f t="shared" si="1"/>
        <v>15.11</v>
      </c>
      <c r="Q13" s="213">
        <f t="shared" si="2"/>
        <v>19.787276082327892</v>
      </c>
    </row>
    <row r="15" spans="2:17" x14ac:dyDescent="0.3">
      <c r="B15" s="206" t="s">
        <v>163</v>
      </c>
      <c r="C15" s="206"/>
      <c r="D15" s="206"/>
      <c r="E15" s="206"/>
      <c r="F15" s="206"/>
      <c r="G15" s="206"/>
      <c r="H15" s="206"/>
      <c r="I15" s="206"/>
      <c r="J15" s="206"/>
      <c r="K15" s="206"/>
      <c r="L15" s="206"/>
      <c r="M15" s="206"/>
      <c r="N15" s="206"/>
      <c r="O15" s="207">
        <f>MAX(O9:O13)</f>
        <v>8.8376163199735664</v>
      </c>
      <c r="P15" s="207">
        <f>MAX(P9:P13)</f>
        <v>36.81</v>
      </c>
      <c r="Q15" s="207">
        <f>MAX(Q9:Q13)</f>
        <v>52.493230862787215</v>
      </c>
    </row>
    <row r="16" spans="2:17" x14ac:dyDescent="0.3">
      <c r="B16" s="206" t="s">
        <v>353</v>
      </c>
      <c r="C16" s="206"/>
      <c r="D16" s="206"/>
      <c r="E16" s="206"/>
      <c r="F16" s="206"/>
      <c r="G16" s="206"/>
      <c r="H16" s="206"/>
      <c r="I16" s="206"/>
      <c r="J16" s="206"/>
      <c r="K16" s="206"/>
      <c r="L16" s="206"/>
      <c r="M16" s="206"/>
      <c r="N16" s="206"/>
      <c r="O16" s="207">
        <f>QUARTILE(O9:O13,3)</f>
        <v>7.5074854588106739</v>
      </c>
      <c r="P16" s="207">
        <f>QUARTILE(P9:P13,3)</f>
        <v>32.46</v>
      </c>
      <c r="Q16" s="207">
        <f>QUARTILE(Q9:Q13,3)</f>
        <v>39.878205332907555</v>
      </c>
    </row>
    <row r="17" spans="2:17" x14ac:dyDescent="0.3">
      <c r="B17" s="208" t="s">
        <v>217</v>
      </c>
      <c r="C17" s="208"/>
      <c r="D17" s="208"/>
      <c r="E17" s="208"/>
      <c r="F17" s="208"/>
      <c r="G17" s="208"/>
      <c r="H17" s="208"/>
      <c r="I17" s="208"/>
      <c r="J17" s="208"/>
      <c r="K17" s="208"/>
      <c r="L17" s="208"/>
      <c r="M17" s="208"/>
      <c r="N17" s="208"/>
      <c r="O17" s="209">
        <f>AVERAGE(O9:O13)</f>
        <v>6.304890450903911</v>
      </c>
      <c r="P17" s="209">
        <f>AVERAGE(P9:P13)</f>
        <v>27.262</v>
      </c>
      <c r="Q17" s="209">
        <f>AVERAGE(Q9:Q13)</f>
        <v>-36.090144763282183</v>
      </c>
    </row>
    <row r="18" spans="2:17" x14ac:dyDescent="0.3">
      <c r="B18" s="208" t="s">
        <v>125</v>
      </c>
      <c r="C18" s="208"/>
      <c r="D18" s="208"/>
      <c r="E18" s="208"/>
      <c r="F18" s="208"/>
      <c r="G18" s="208"/>
      <c r="H18" s="208"/>
      <c r="I18" s="208"/>
      <c r="J18" s="208"/>
      <c r="K18" s="208"/>
      <c r="L18" s="208"/>
      <c r="M18" s="208"/>
      <c r="N18" s="208"/>
      <c r="O18" s="209">
        <f>MEDIAN(O9:O13)</f>
        <v>7.0238741171808412</v>
      </c>
      <c r="P18" s="209">
        <f>MEDIAN(P9:P13)</f>
        <v>27.169999999999998</v>
      </c>
      <c r="Q18" s="209">
        <f>MEDIAN(Q9:Q13)</f>
        <v>33.816418288924432</v>
      </c>
    </row>
    <row r="19" spans="2:17" x14ac:dyDescent="0.3">
      <c r="B19" s="206" t="s">
        <v>354</v>
      </c>
      <c r="C19" s="206"/>
      <c r="D19" s="206"/>
      <c r="E19" s="206"/>
      <c r="F19" s="206"/>
      <c r="G19" s="206"/>
      <c r="H19" s="206"/>
      <c r="I19" s="206"/>
      <c r="J19" s="206"/>
      <c r="K19" s="206"/>
      <c r="L19" s="206"/>
      <c r="M19" s="206"/>
      <c r="N19" s="206"/>
      <c r="O19" s="207">
        <f>QUARTILE(O9:O13,1)</f>
        <v>5.2879256041463742</v>
      </c>
      <c r="P19" s="207">
        <f>QUARTILE(P9:P13,1)</f>
        <v>24.759999999999998</v>
      </c>
      <c r="Q19" s="207">
        <f>QUARTILE(Q9:Q13,1)</f>
        <v>19.787276082327892</v>
      </c>
    </row>
    <row r="20" spans="2:17" x14ac:dyDescent="0.3">
      <c r="B20" s="206" t="s">
        <v>164</v>
      </c>
      <c r="C20" s="206"/>
      <c r="D20" s="206"/>
      <c r="E20" s="206"/>
      <c r="F20" s="206"/>
      <c r="G20" s="206"/>
      <c r="H20" s="206"/>
      <c r="I20" s="206"/>
      <c r="J20" s="206"/>
      <c r="K20" s="206"/>
      <c r="L20" s="206"/>
      <c r="M20" s="206"/>
      <c r="N20" s="206"/>
      <c r="O20" s="207">
        <f>MIN(O9:O13)</f>
        <v>2.8675507544081</v>
      </c>
      <c r="P20" s="207">
        <f>MIN(P9:P13)</f>
        <v>15.11</v>
      </c>
      <c r="Q20" s="207">
        <f>MIN(Q9:Q13)</f>
        <v>-326.42585438335806</v>
      </c>
    </row>
    <row r="22" spans="2:17" x14ac:dyDescent="0.3">
      <c r="B22" s="215" t="s">
        <v>355</v>
      </c>
      <c r="C22" s="166"/>
      <c r="D22" s="166"/>
      <c r="E22" s="166"/>
      <c r="F22" s="166"/>
      <c r="G22" s="166"/>
      <c r="H22" s="166"/>
      <c r="I22" s="166"/>
      <c r="J22" s="166"/>
      <c r="K22" s="166"/>
      <c r="L22" s="166"/>
      <c r="M22" s="166"/>
      <c r="N22" s="166"/>
      <c r="O22" s="80" t="s">
        <v>350</v>
      </c>
      <c r="P22" s="192" t="s">
        <v>351</v>
      </c>
      <c r="Q22" s="80" t="s">
        <v>352</v>
      </c>
    </row>
    <row r="24" spans="2:17" x14ac:dyDescent="0.3">
      <c r="B24" s="99" t="s">
        <v>356</v>
      </c>
      <c r="C24" s="99"/>
      <c r="D24" s="99"/>
      <c r="E24" s="99"/>
      <c r="F24" s="99"/>
      <c r="G24" s="99"/>
      <c r="H24" s="99"/>
      <c r="I24" s="99"/>
      <c r="J24" s="99"/>
      <c r="K24" s="99"/>
      <c r="L24" s="99"/>
      <c r="M24" s="99"/>
      <c r="N24" s="99"/>
      <c r="O24" s="204">
        <f>O18*K9</f>
        <v>98637.388047429296</v>
      </c>
      <c r="P24" s="204">
        <f>P18*L9</f>
        <v>91605.976370551463</v>
      </c>
      <c r="Q24" s="204">
        <f>+Q26+Q25</f>
        <v>-9235.6172296453769</v>
      </c>
    </row>
    <row r="25" spans="2:17" x14ac:dyDescent="0.3">
      <c r="B25" s="99" t="s">
        <v>346</v>
      </c>
      <c r="C25" s="99"/>
      <c r="D25" s="99"/>
      <c r="E25" s="99"/>
      <c r="F25" s="99"/>
      <c r="G25" s="99"/>
      <c r="H25" s="99"/>
      <c r="I25" s="99"/>
      <c r="J25" s="99"/>
      <c r="K25" s="99"/>
      <c r="L25" s="99"/>
      <c r="M25" s="99"/>
      <c r="N25" s="99"/>
      <c r="O25" s="204">
        <f>$G$9</f>
        <v>3281.5299999999997</v>
      </c>
      <c r="P25" s="204">
        <f t="shared" ref="P25:Q25" si="5">$G$9</f>
        <v>3281.5299999999997</v>
      </c>
      <c r="Q25" s="204">
        <f t="shared" si="5"/>
        <v>3281.5299999999997</v>
      </c>
    </row>
    <row r="26" spans="2:17" x14ac:dyDescent="0.3">
      <c r="B26" s="99" t="s">
        <v>357</v>
      </c>
      <c r="C26" s="99"/>
      <c r="D26" s="99"/>
      <c r="E26" s="99"/>
      <c r="F26" s="99"/>
      <c r="G26" s="99"/>
      <c r="H26" s="99"/>
      <c r="I26" s="99"/>
      <c r="J26" s="99"/>
      <c r="K26" s="99"/>
      <c r="L26" s="99"/>
      <c r="M26" s="99"/>
      <c r="N26" s="99"/>
      <c r="O26" s="204">
        <f>O24-O25</f>
        <v>95355.858047429298</v>
      </c>
      <c r="P26" s="204">
        <f t="shared" ref="P26" si="6">P24-P25</f>
        <v>88324.446370551464</v>
      </c>
      <c r="Q26" s="204">
        <f>Q18*M9</f>
        <v>-12517.147229645378</v>
      </c>
    </row>
    <row r="27" spans="2:17" x14ac:dyDescent="0.3">
      <c r="B27" s="99" t="s">
        <v>344</v>
      </c>
      <c r="C27" s="99"/>
      <c r="D27" s="99"/>
      <c r="E27" s="99"/>
      <c r="F27" s="99"/>
      <c r="G27" s="99"/>
      <c r="H27" s="99"/>
      <c r="I27" s="99"/>
      <c r="J27" s="99"/>
      <c r="K27" s="99"/>
      <c r="L27" s="99"/>
      <c r="M27" s="99"/>
      <c r="N27" s="99"/>
      <c r="O27" s="205">
        <f>$E$9</f>
        <v>102.3</v>
      </c>
      <c r="P27" s="205">
        <f t="shared" ref="P27:Q27" si="7">$E$9</f>
        <v>102.3</v>
      </c>
      <c r="Q27" s="205">
        <f t="shared" si="7"/>
        <v>102.3</v>
      </c>
    </row>
    <row r="28" spans="2:17" x14ac:dyDescent="0.3">
      <c r="O28" s="92"/>
      <c r="P28" s="92"/>
      <c r="Q28" s="92"/>
    </row>
    <row r="29" spans="2:17" x14ac:dyDescent="0.3">
      <c r="B29" s="27" t="s">
        <v>358</v>
      </c>
      <c r="C29" s="27"/>
      <c r="D29" s="27"/>
      <c r="E29" s="27"/>
      <c r="F29" s="27"/>
      <c r="G29" s="27"/>
      <c r="H29" s="27"/>
      <c r="I29" s="27"/>
      <c r="J29" s="27"/>
      <c r="K29" s="27"/>
      <c r="L29" s="27"/>
      <c r="M29" s="27"/>
      <c r="N29" s="27"/>
      <c r="O29" s="203">
        <f>O26/O27</f>
        <v>932.1198245105503</v>
      </c>
      <c r="P29" s="203">
        <f t="shared" ref="P29:Q29" si="8">P26/P27</f>
        <v>863.38657253715996</v>
      </c>
      <c r="Q29" s="203">
        <f t="shared" si="8"/>
        <v>-122.35725542175345</v>
      </c>
    </row>
    <row r="30" spans="2:17" x14ac:dyDescent="0.3">
      <c r="B30" s="12"/>
      <c r="C30" s="12"/>
      <c r="D30" s="12"/>
      <c r="E30" s="12"/>
      <c r="F30" s="12"/>
      <c r="G30" s="12"/>
      <c r="H30" s="12"/>
      <c r="I30" s="12"/>
      <c r="J30" s="12"/>
      <c r="K30" s="12"/>
      <c r="L30" s="12"/>
      <c r="M30" s="12"/>
      <c r="N30" s="12"/>
      <c r="O30" s="139"/>
      <c r="P30" s="139"/>
      <c r="Q30" s="139"/>
    </row>
    <row r="31" spans="2:17" x14ac:dyDescent="0.3">
      <c r="B31" s="14"/>
    </row>
    <row r="32" spans="2:17" x14ac:dyDescent="0.3">
      <c r="O32" t="str">
        <f>IF(O29&gt;$D$11,"Undervalued","Overvalued")</f>
        <v>Undervalued</v>
      </c>
      <c r="P32" t="str">
        <f t="shared" ref="P32:Q32" si="9">IF(P29&gt;$D$11,"Undervalued","Overvalued")</f>
        <v>Undervalued</v>
      </c>
      <c r="Q32" t="str">
        <f t="shared" si="9"/>
        <v>Overvalued</v>
      </c>
    </row>
  </sheetData>
  <mergeCells count="6">
    <mergeCell ref="D7:I7"/>
    <mergeCell ref="K7:M7"/>
    <mergeCell ref="O7:Q7"/>
    <mergeCell ref="B3:E3"/>
    <mergeCell ref="B2:H2"/>
    <mergeCell ref="B5:Q5"/>
  </mergeCells>
  <pageMargins left="0.25" right="0.25" top="0.75" bottom="0.75" header="0.3" footer="0.3"/>
  <pageSetup paperSize="9" scale="86"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D8F44-8CF7-44B8-8A9B-F135F13802ED}">
  <sheetPr>
    <pageSetUpPr fitToPage="1"/>
  </sheetPr>
  <dimension ref="B1:Q3007"/>
  <sheetViews>
    <sheetView showGridLines="0" topLeftCell="A2" zoomScale="95" zoomScaleNormal="63" workbookViewId="0">
      <selection activeCell="Q9" sqref="Q9"/>
    </sheetView>
  </sheetViews>
  <sheetFormatPr defaultRowHeight="14.4" x14ac:dyDescent="0.3"/>
  <cols>
    <col min="1" max="1" width="1.88671875" customWidth="1"/>
    <col min="2" max="2" width="11.44140625" customWidth="1"/>
    <col min="4" max="4" width="12.6640625" bestFit="1" customWidth="1"/>
    <col min="5" max="5" width="14.77734375" customWidth="1"/>
    <col min="6" max="6" width="0.88671875" customWidth="1"/>
    <col min="7" max="7" width="10.5546875" customWidth="1"/>
    <col min="8" max="8" width="16.6640625" customWidth="1"/>
    <col min="9" max="9" width="3.6640625" customWidth="1"/>
    <col min="10" max="11" width="11.33203125" customWidth="1"/>
    <col min="12" max="12" width="7.77734375" customWidth="1"/>
    <col min="13" max="13" width="11.33203125" customWidth="1"/>
    <col min="14" max="14" width="10" customWidth="1"/>
  </cols>
  <sheetData>
    <row r="1" spans="2:17" ht="15" thickBot="1" x14ac:dyDescent="0.35"/>
    <row r="2" spans="2:17" ht="28.8" customHeight="1" thickTop="1" x14ac:dyDescent="0.55000000000000004">
      <c r="B2" s="238" t="str">
        <f>'Data Sheet'!B1</f>
        <v>GODREJ CONSUMER PRODUCTS LTD</v>
      </c>
      <c r="C2" s="238"/>
      <c r="D2" s="238"/>
      <c r="E2" s="238"/>
      <c r="F2" s="238"/>
      <c r="G2" s="238"/>
      <c r="H2" s="238"/>
      <c r="I2" s="193"/>
      <c r="J2" s="193"/>
      <c r="K2" s="193"/>
      <c r="L2" s="193"/>
      <c r="M2" s="193"/>
      <c r="N2" s="193"/>
    </row>
    <row r="3" spans="2:17" ht="18.600000000000001" thickBot="1" x14ac:dyDescent="0.4">
      <c r="B3" s="239" t="s">
        <v>9336</v>
      </c>
      <c r="C3" s="239"/>
      <c r="D3" s="239"/>
      <c r="E3" s="239"/>
      <c r="F3" s="194"/>
      <c r="G3" s="194"/>
      <c r="H3" s="194"/>
      <c r="I3" s="194"/>
      <c r="J3" s="194"/>
      <c r="K3" s="194"/>
      <c r="L3" s="194"/>
      <c r="M3" s="194"/>
      <c r="N3" s="194"/>
    </row>
    <row r="4" spans="2:17" ht="7.2" customHeight="1" thickTop="1" x14ac:dyDescent="0.35">
      <c r="B4" s="214"/>
      <c r="C4" s="214"/>
      <c r="D4" s="214"/>
      <c r="E4" s="214"/>
      <c r="F4" s="195"/>
      <c r="G4" s="195"/>
      <c r="H4" s="195"/>
      <c r="I4" s="195"/>
      <c r="J4" s="195"/>
      <c r="K4" s="195"/>
      <c r="L4" s="195"/>
      <c r="M4" s="195"/>
      <c r="N4" s="195"/>
    </row>
    <row r="5" spans="2:17" ht="21" x14ac:dyDescent="0.4">
      <c r="B5" s="236" t="s">
        <v>9376</v>
      </c>
      <c r="C5" s="236"/>
      <c r="D5" s="236"/>
      <c r="E5" s="236"/>
      <c r="F5" s="236"/>
      <c r="G5" s="236"/>
      <c r="H5" s="236"/>
      <c r="I5" s="236"/>
      <c r="J5" s="236"/>
      <c r="K5" s="236"/>
      <c r="L5" s="236"/>
      <c r="M5" s="236"/>
      <c r="N5" s="236"/>
      <c r="O5" s="231"/>
      <c r="P5" s="231"/>
      <c r="Q5" s="231"/>
    </row>
    <row r="6" spans="2:17" ht="6.6" customHeight="1" x14ac:dyDescent="0.3">
      <c r="N6" t="s">
        <v>1081</v>
      </c>
    </row>
    <row r="7" spans="2:17" x14ac:dyDescent="0.3">
      <c r="B7" s="33" t="s">
        <v>162</v>
      </c>
      <c r="C7" s="80" t="s">
        <v>9331</v>
      </c>
      <c r="D7" s="80" t="s">
        <v>169</v>
      </c>
      <c r="E7" s="80" t="s">
        <v>9332</v>
      </c>
      <c r="F7" s="33"/>
      <c r="G7" s="80" t="s">
        <v>1087</v>
      </c>
      <c r="H7" s="80" t="s">
        <v>1088</v>
      </c>
      <c r="I7" s="142"/>
      <c r="J7" s="240" t="s">
        <v>9333</v>
      </c>
      <c r="K7" s="240"/>
      <c r="L7" s="240"/>
      <c r="M7" s="240"/>
      <c r="N7" s="240"/>
    </row>
    <row r="8" spans="2:17" x14ac:dyDescent="0.3">
      <c r="B8" t="s">
        <v>579</v>
      </c>
      <c r="C8" s="79">
        <v>1240.3900000000001</v>
      </c>
      <c r="D8">
        <f t="shared" ref="D8:D71" si="0">LN(C8/C9)</f>
        <v>-0.13673693312199681</v>
      </c>
      <c r="E8">
        <v>7.4586223957134712E-2</v>
      </c>
      <c r="G8">
        <v>1</v>
      </c>
      <c r="H8">
        <f ca="1">_xlfn.NORM.INV(RAND(),$N$10,$N$11)</f>
        <v>-1.5827580977420323E-2</v>
      </c>
      <c r="J8" s="150"/>
      <c r="K8" s="150"/>
      <c r="L8" s="150"/>
      <c r="M8" s="150"/>
      <c r="N8" s="150"/>
    </row>
    <row r="9" spans="2:17" x14ac:dyDescent="0.3">
      <c r="B9" t="s">
        <v>497</v>
      </c>
      <c r="C9" s="79">
        <v>1422.14</v>
      </c>
      <c r="D9">
        <f t="shared" si="0"/>
        <v>0.49625257344755302</v>
      </c>
      <c r="E9">
        <v>5.6862300858276378E-2</v>
      </c>
      <c r="G9">
        <v>2</v>
      </c>
      <c r="H9">
        <f t="shared" ref="H9:H72" ca="1" si="1">_xlfn.NORM.INV(RAND(),$N$10,$N$11)</f>
        <v>-2.4704192183718665E-2</v>
      </c>
      <c r="J9" s="151" t="s">
        <v>9334</v>
      </c>
      <c r="K9" s="152"/>
      <c r="L9" s="152"/>
      <c r="M9" s="152"/>
      <c r="N9" s="152"/>
    </row>
    <row r="10" spans="2:17" x14ac:dyDescent="0.3">
      <c r="B10" t="s">
        <v>951</v>
      </c>
      <c r="C10">
        <v>865.81</v>
      </c>
      <c r="D10">
        <f t="shared" si="0"/>
        <v>-0.41211492857179494</v>
      </c>
      <c r="E10">
        <v>5.5801205474651804E-2</v>
      </c>
      <c r="G10">
        <v>3</v>
      </c>
      <c r="H10">
        <f t="shared" ca="1" si="1"/>
        <v>1.1812735805285727E-2</v>
      </c>
      <c r="J10" s="153" t="s">
        <v>1077</v>
      </c>
      <c r="K10" s="153"/>
      <c r="L10" s="153"/>
      <c r="M10" s="153"/>
      <c r="N10" s="154">
        <f>AVERAGE(E8:E725)</f>
        <v>1.871091690884233E-4</v>
      </c>
    </row>
    <row r="11" spans="2:17" x14ac:dyDescent="0.3">
      <c r="B11" t="s">
        <v>517</v>
      </c>
      <c r="C11" s="79">
        <v>1307.3800000000001</v>
      </c>
      <c r="D11">
        <f t="shared" si="0"/>
        <v>0.6377997920091788</v>
      </c>
      <c r="E11">
        <v>5.5433054730184964E-2</v>
      </c>
      <c r="G11">
        <v>4</v>
      </c>
      <c r="H11">
        <f t="shared" ca="1" si="1"/>
        <v>-2.7670075368490997E-2</v>
      </c>
      <c r="J11" s="99" t="s">
        <v>1078</v>
      </c>
      <c r="K11" s="99"/>
      <c r="L11" s="99"/>
      <c r="M11" s="99"/>
      <c r="N11" s="155">
        <f>_xlfn.STDEV.S(E8:E725)</f>
        <v>1.6905252167601137E-2</v>
      </c>
    </row>
    <row r="12" spans="2:17" x14ac:dyDescent="0.3">
      <c r="B12" t="s">
        <v>1032</v>
      </c>
      <c r="C12">
        <v>690.89</v>
      </c>
      <c r="D12">
        <f t="shared" si="0"/>
        <v>-3.6579046838695506E-2</v>
      </c>
      <c r="E12">
        <v>5.5194422539515897E-2</v>
      </c>
      <c r="G12">
        <v>5</v>
      </c>
      <c r="H12">
        <f t="shared" ca="1" si="1"/>
        <v>1.3460536414543882E-2</v>
      </c>
      <c r="J12" s="99" t="s">
        <v>1079</v>
      </c>
      <c r="K12" s="99"/>
      <c r="L12" s="99"/>
      <c r="M12" s="99"/>
      <c r="N12" s="155">
        <f>MAX(E8:E725)</f>
        <v>7.4586223957134712E-2</v>
      </c>
    </row>
    <row r="13" spans="2:17" x14ac:dyDescent="0.3">
      <c r="B13" t="s">
        <v>1017</v>
      </c>
      <c r="C13">
        <v>716.63</v>
      </c>
      <c r="D13">
        <f t="shared" si="0"/>
        <v>-4.1679531088546079E-2</v>
      </c>
      <c r="E13">
        <v>4.6236320433252431E-2</v>
      </c>
      <c r="G13">
        <v>6</v>
      </c>
      <c r="H13">
        <f t="shared" ca="1" si="1"/>
        <v>2.3925790026359757E-2</v>
      </c>
      <c r="J13" s="99" t="s">
        <v>1080</v>
      </c>
      <c r="K13" s="99"/>
      <c r="L13" s="99"/>
      <c r="M13" s="99"/>
      <c r="N13" s="155">
        <f>MIN(E8:E725)</f>
        <v>-9.119918539855533E-2</v>
      </c>
    </row>
    <row r="14" spans="2:17" x14ac:dyDescent="0.3">
      <c r="B14" t="s">
        <v>963</v>
      </c>
      <c r="C14">
        <v>747.13</v>
      </c>
      <c r="D14">
        <f t="shared" si="0"/>
        <v>-0.41977735948356076</v>
      </c>
      <c r="E14">
        <v>4.5468288198419381E-2</v>
      </c>
      <c r="G14">
        <v>7</v>
      </c>
      <c r="H14">
        <f t="shared" ca="1" si="1"/>
        <v>8.7005514788391237E-3</v>
      </c>
      <c r="J14" s="99" t="s">
        <v>1086</v>
      </c>
      <c r="K14" s="99"/>
      <c r="L14" s="99"/>
      <c r="M14" s="99"/>
      <c r="N14" s="99">
        <v>1071.9000000000001</v>
      </c>
    </row>
    <row r="15" spans="2:17" x14ac:dyDescent="0.3">
      <c r="B15" t="s">
        <v>586</v>
      </c>
      <c r="C15" s="79">
        <v>1136.8499999999999</v>
      </c>
      <c r="D15">
        <f t="shared" si="0"/>
        <v>0.37546701760897938</v>
      </c>
      <c r="E15">
        <v>4.4241874440436167E-2</v>
      </c>
      <c r="G15">
        <v>8</v>
      </c>
      <c r="H15">
        <f t="shared" ca="1" si="1"/>
        <v>5.4996539729570415E-3</v>
      </c>
    </row>
    <row r="16" spans="2:17" x14ac:dyDescent="0.3">
      <c r="B16" t="s">
        <v>1000</v>
      </c>
      <c r="C16">
        <v>780.98</v>
      </c>
      <c r="D16">
        <f t="shared" si="0"/>
        <v>-2.3224335451701727E-2</v>
      </c>
      <c r="E16">
        <v>4.1023150930179428E-2</v>
      </c>
      <c r="G16">
        <v>9</v>
      </c>
      <c r="H16">
        <f t="shared" ca="1" si="1"/>
        <v>2.1568025656852702E-2</v>
      </c>
      <c r="J16" s="164" t="s">
        <v>1082</v>
      </c>
      <c r="K16" s="165" t="s">
        <v>1083</v>
      </c>
      <c r="L16" s="165" t="s">
        <v>1084</v>
      </c>
      <c r="M16" s="165" t="s">
        <v>343</v>
      </c>
      <c r="N16" s="165" t="s">
        <v>1085</v>
      </c>
    </row>
    <row r="17" spans="2:14" x14ac:dyDescent="0.3">
      <c r="B17" t="s">
        <v>953</v>
      </c>
      <c r="C17">
        <v>799.33</v>
      </c>
      <c r="D17">
        <f t="shared" si="0"/>
        <v>-0.15195894616595104</v>
      </c>
      <c r="E17">
        <v>4.0374844935017078E-2</v>
      </c>
      <c r="G17">
        <v>10</v>
      </c>
      <c r="H17">
        <f t="shared" ca="1" si="1"/>
        <v>-4.8305363344471365E-3</v>
      </c>
      <c r="J17" s="156">
        <v>0.05</v>
      </c>
      <c r="K17" s="157">
        <f>100%-J17</f>
        <v>0.95</v>
      </c>
      <c r="L17" s="158">
        <f>_xlfn.PERCENTILE.INC($E$8:$E$725,J17)</f>
        <v>-2.5934726214130285E-2</v>
      </c>
      <c r="M17" s="159">
        <f>$N$14*(1-L17)</f>
        <v>1099.6994330289263</v>
      </c>
      <c r="N17" s="159">
        <f>$N$14-M17</f>
        <v>-27.79943302892616</v>
      </c>
    </row>
    <row r="18" spans="2:14" x14ac:dyDescent="0.3">
      <c r="B18" t="s">
        <v>909</v>
      </c>
      <c r="C18">
        <v>930.51</v>
      </c>
      <c r="D18">
        <f t="shared" si="0"/>
        <v>5.5560946707361517E-2</v>
      </c>
      <c r="E18">
        <v>3.8708007562906641E-2</v>
      </c>
      <c r="G18">
        <v>11</v>
      </c>
      <c r="H18">
        <f t="shared" ca="1" si="1"/>
        <v>-1.9924893349006806E-3</v>
      </c>
      <c r="J18" s="160">
        <v>0.01</v>
      </c>
      <c r="K18" s="161">
        <f t="shared" ref="K18:K20" si="2">100%-J18</f>
        <v>0.99</v>
      </c>
      <c r="L18" s="162">
        <f t="shared" ref="L18:L20" si="3">_xlfn.PERCENTILE.INC($E$8:$E$725,J18)</f>
        <v>-4.1246415834155087E-2</v>
      </c>
      <c r="M18" s="163">
        <f t="shared" ref="M18:M20" si="4">$N$14*(1-L18)</f>
        <v>1116.1120331326308</v>
      </c>
      <c r="N18" s="163">
        <f t="shared" ref="N18:N20" si="5">$N$14-M18</f>
        <v>-44.212033132630722</v>
      </c>
    </row>
    <row r="19" spans="2:14" x14ac:dyDescent="0.3">
      <c r="B19" t="s">
        <v>1059</v>
      </c>
      <c r="C19">
        <v>880.22</v>
      </c>
      <c r="D19">
        <f t="shared" si="0"/>
        <v>9.7011200826846944E-2</v>
      </c>
      <c r="E19">
        <v>3.8577444600105114E-2</v>
      </c>
      <c r="G19">
        <v>12</v>
      </c>
      <c r="H19">
        <f t="shared" ca="1" si="1"/>
        <v>-1.632222524602547E-2</v>
      </c>
      <c r="J19" s="160">
        <v>5.0000000000000001E-3</v>
      </c>
      <c r="K19" s="161">
        <f t="shared" si="2"/>
        <v>0.995</v>
      </c>
      <c r="L19" s="162">
        <f t="shared" si="3"/>
        <v>-4.7936594264160429E-2</v>
      </c>
      <c r="M19" s="163">
        <f t="shared" si="4"/>
        <v>1123.2832353917538</v>
      </c>
      <c r="N19" s="163">
        <f t="shared" si="5"/>
        <v>-51.383235391753715</v>
      </c>
    </row>
    <row r="20" spans="2:14" x14ac:dyDescent="0.3">
      <c r="B20" t="s">
        <v>1010</v>
      </c>
      <c r="C20">
        <v>798.84</v>
      </c>
      <c r="D20">
        <f t="shared" si="0"/>
        <v>3.7978682729510063E-2</v>
      </c>
      <c r="E20">
        <v>3.7978682729510063E-2</v>
      </c>
      <c r="G20">
        <v>13</v>
      </c>
      <c r="H20">
        <f t="shared" ca="1" si="1"/>
        <v>2.4830096888631942E-2</v>
      </c>
      <c r="J20" s="160">
        <v>0.1</v>
      </c>
      <c r="K20" s="161">
        <f t="shared" si="2"/>
        <v>0.9</v>
      </c>
      <c r="L20" s="162">
        <f t="shared" si="3"/>
        <v>-1.9605462830299073E-2</v>
      </c>
      <c r="M20" s="163">
        <f t="shared" si="4"/>
        <v>1092.9150956077976</v>
      </c>
      <c r="N20" s="163">
        <f t="shared" si="5"/>
        <v>-21.015095607797548</v>
      </c>
    </row>
    <row r="21" spans="2:14" x14ac:dyDescent="0.3">
      <c r="B21" t="s">
        <v>1011</v>
      </c>
      <c r="C21">
        <v>769.07</v>
      </c>
      <c r="D21">
        <f t="shared" si="0"/>
        <v>-0.61365260389260701</v>
      </c>
      <c r="E21">
        <v>3.7545806244429422E-2</v>
      </c>
      <c r="G21">
        <v>14</v>
      </c>
      <c r="H21">
        <f t="shared" ca="1" si="1"/>
        <v>4.621412930379458E-4</v>
      </c>
    </row>
    <row r="22" spans="2:14" x14ac:dyDescent="0.3">
      <c r="B22" t="s">
        <v>475</v>
      </c>
      <c r="C22" s="79">
        <v>1420.6</v>
      </c>
      <c r="D22">
        <f t="shared" si="0"/>
        <v>-5.3485385283427854E-2</v>
      </c>
      <c r="E22">
        <v>3.6859993469261082E-2</v>
      </c>
      <c r="G22">
        <v>15</v>
      </c>
      <c r="H22">
        <f t="shared" ca="1" si="1"/>
        <v>1.4290202910494501E-2</v>
      </c>
      <c r="J22" s="151" t="s">
        <v>9335</v>
      </c>
      <c r="K22" s="152"/>
      <c r="L22" s="152"/>
      <c r="M22" s="152"/>
      <c r="N22" s="152"/>
    </row>
    <row r="23" spans="2:14" x14ac:dyDescent="0.3">
      <c r="B23" t="s">
        <v>433</v>
      </c>
      <c r="C23" s="79">
        <v>1498.65</v>
      </c>
      <c r="D23">
        <f t="shared" si="0"/>
        <v>3.9782710032370848E-2</v>
      </c>
      <c r="E23">
        <v>3.6489983975394998E-2</v>
      </c>
      <c r="G23">
        <v>16</v>
      </c>
      <c r="H23">
        <f t="shared" ca="1" si="1"/>
        <v>6.3236704185099871E-3</v>
      </c>
      <c r="J23" s="153" t="s">
        <v>1077</v>
      </c>
      <c r="K23" s="153"/>
      <c r="L23" s="153"/>
      <c r="M23" s="153"/>
      <c r="N23" s="154">
        <f ca="1">AVERAGE(H8:H3007)</f>
        <v>-9.3632240909112226E-5</v>
      </c>
    </row>
    <row r="24" spans="2:14" x14ac:dyDescent="0.3">
      <c r="B24" t="s">
        <v>444</v>
      </c>
      <c r="C24" s="79">
        <v>1440.2</v>
      </c>
      <c r="D24">
        <f t="shared" si="0"/>
        <v>0.60783492714120557</v>
      </c>
      <c r="E24">
        <v>3.4435623941406493E-2</v>
      </c>
      <c r="G24">
        <v>17</v>
      </c>
      <c r="H24">
        <f t="shared" ca="1" si="1"/>
        <v>4.2564992841423621E-2</v>
      </c>
      <c r="J24" s="99" t="s">
        <v>1078</v>
      </c>
      <c r="K24" s="99"/>
      <c r="L24" s="99"/>
      <c r="M24" s="99"/>
      <c r="N24" s="155">
        <f ca="1">_xlfn.STDEV.S(H8:H3007)</f>
        <v>1.6870076408973558E-2</v>
      </c>
    </row>
    <row r="25" spans="2:14" x14ac:dyDescent="0.3">
      <c r="B25" t="s">
        <v>989</v>
      </c>
      <c r="C25">
        <v>784.23</v>
      </c>
      <c r="D25">
        <f t="shared" si="0"/>
        <v>2.2332890478046465E-2</v>
      </c>
      <c r="E25">
        <v>3.3755141591326206E-2</v>
      </c>
      <c r="G25">
        <v>18</v>
      </c>
      <c r="H25">
        <f t="shared" ca="1" si="1"/>
        <v>-1.82082518217314E-2</v>
      </c>
      <c r="J25" s="99" t="s">
        <v>1079</v>
      </c>
      <c r="K25" s="99"/>
      <c r="L25" s="99"/>
      <c r="M25" s="99"/>
      <c r="N25" s="155">
        <f ca="1">MAX(H8:H3007)</f>
        <v>6.0821472149826271E-2</v>
      </c>
    </row>
    <row r="26" spans="2:14" x14ac:dyDescent="0.3">
      <c r="B26" t="s">
        <v>980</v>
      </c>
      <c r="C26">
        <v>766.91</v>
      </c>
      <c r="D26">
        <f t="shared" si="0"/>
        <v>-0.67942077335562612</v>
      </c>
      <c r="E26">
        <v>3.2804600850498349E-2</v>
      </c>
      <c r="G26">
        <v>19</v>
      </c>
      <c r="H26">
        <f t="shared" ca="1" si="1"/>
        <v>-9.2656961724796177E-3</v>
      </c>
      <c r="J26" s="99" t="s">
        <v>1080</v>
      </c>
      <c r="K26" s="99"/>
      <c r="L26" s="99"/>
      <c r="M26" s="99"/>
      <c r="N26" s="155">
        <f ca="1">MIN(H8:H3007)</f>
        <v>-6.0851788663691481E-2</v>
      </c>
    </row>
    <row r="27" spans="2:14" x14ac:dyDescent="0.3">
      <c r="B27" t="s">
        <v>465</v>
      </c>
      <c r="C27" s="79">
        <v>1512.91</v>
      </c>
      <c r="D27">
        <f t="shared" si="0"/>
        <v>0.51638887743091166</v>
      </c>
      <c r="E27">
        <v>3.1947651115550604E-2</v>
      </c>
      <c r="G27">
        <v>20</v>
      </c>
      <c r="H27">
        <f t="shared" ca="1" si="1"/>
        <v>2.0620878983791259E-2</v>
      </c>
      <c r="J27" s="99" t="s">
        <v>1086</v>
      </c>
      <c r="K27" s="99"/>
      <c r="L27" s="99"/>
      <c r="M27" s="99"/>
      <c r="N27" s="99">
        <v>1071.9000000000001</v>
      </c>
    </row>
    <row r="28" spans="2:14" x14ac:dyDescent="0.3">
      <c r="B28" t="s">
        <v>826</v>
      </c>
      <c r="C28">
        <v>902.71</v>
      </c>
      <c r="D28">
        <f t="shared" si="0"/>
        <v>0.13662687226018086</v>
      </c>
      <c r="E28">
        <v>3.1897723087097429E-2</v>
      </c>
      <c r="G28">
        <v>21</v>
      </c>
      <c r="H28">
        <f t="shared" ca="1" si="1"/>
        <v>1.418054432078719E-2</v>
      </c>
    </row>
    <row r="29" spans="2:14" x14ac:dyDescent="0.3">
      <c r="B29" t="s">
        <v>1004</v>
      </c>
      <c r="C29">
        <v>787.43</v>
      </c>
      <c r="D29">
        <f t="shared" si="0"/>
        <v>-5.4589103063535274E-2</v>
      </c>
      <c r="E29">
        <v>3.1870375518219432E-2</v>
      </c>
      <c r="G29">
        <v>22</v>
      </c>
      <c r="H29">
        <f t="shared" ca="1" si="1"/>
        <v>-1.7374038766557919E-2</v>
      </c>
      <c r="J29" s="164" t="s">
        <v>1082</v>
      </c>
      <c r="K29" s="165" t="s">
        <v>1083</v>
      </c>
      <c r="L29" s="165" t="s">
        <v>1084</v>
      </c>
      <c r="M29" s="165" t="s">
        <v>343</v>
      </c>
      <c r="N29" s="165" t="s">
        <v>1085</v>
      </c>
    </row>
    <row r="30" spans="2:14" x14ac:dyDescent="0.3">
      <c r="B30" t="s">
        <v>864</v>
      </c>
      <c r="C30">
        <v>831.61</v>
      </c>
      <c r="D30">
        <f t="shared" si="0"/>
        <v>-0.23675641826441643</v>
      </c>
      <c r="E30">
        <v>3.155282852896301E-2</v>
      </c>
      <c r="G30">
        <v>23</v>
      </c>
      <c r="H30">
        <f t="shared" ca="1" si="1"/>
        <v>4.0135777825893249E-3</v>
      </c>
      <c r="J30" s="156">
        <v>0.05</v>
      </c>
      <c r="K30" s="157">
        <f>100%-J30</f>
        <v>0.95</v>
      </c>
      <c r="L30" s="158">
        <f ca="1">_xlfn.PERCENTILE.INC($H$8:$H$3007,J30)</f>
        <v>-2.751959824899667E-2</v>
      </c>
      <c r="M30" s="159">
        <f ca="1">$N$14*(1-L30)</f>
        <v>1101.3982573630997</v>
      </c>
      <c r="N30" s="159">
        <f ca="1">$N$14-M30</f>
        <v>-29.498257363099583</v>
      </c>
    </row>
    <row r="31" spans="2:14" x14ac:dyDescent="0.3">
      <c r="B31" t="s">
        <v>711</v>
      </c>
      <c r="C31" s="79">
        <v>1053.76</v>
      </c>
      <c r="D31">
        <f t="shared" si="0"/>
        <v>0.15406527503220172</v>
      </c>
      <c r="E31">
        <v>3.1405898814648926E-2</v>
      </c>
      <c r="G31">
        <v>24</v>
      </c>
      <c r="H31">
        <f t="shared" ca="1" si="1"/>
        <v>-3.7595336102756775E-2</v>
      </c>
      <c r="J31" s="160">
        <v>0.01</v>
      </c>
      <c r="K31" s="161">
        <f t="shared" ref="K31:K33" si="6">100%-J31</f>
        <v>0.99</v>
      </c>
      <c r="L31" s="162">
        <f t="shared" ref="L31:L33" ca="1" si="7">_xlfn.PERCENTILE.INC($H$8:$H$3007,J31)</f>
        <v>-3.8763007186939771E-2</v>
      </c>
      <c r="M31" s="163">
        <f t="shared" ref="M31:M33" ca="1" si="8">$N$14*(1-L31)</f>
        <v>1113.4500674036808</v>
      </c>
      <c r="N31" s="163">
        <f t="shared" ref="N31:N33" ca="1" si="9">$N$14-M31</f>
        <v>-41.550067403680714</v>
      </c>
    </row>
    <row r="32" spans="2:14" x14ac:dyDescent="0.3">
      <c r="B32" t="s">
        <v>922</v>
      </c>
      <c r="C32">
        <v>903.3</v>
      </c>
      <c r="D32">
        <f t="shared" si="0"/>
        <v>-0.39700103338620807</v>
      </c>
      <c r="E32">
        <v>3.1259572429891282E-2</v>
      </c>
      <c r="G32">
        <v>25</v>
      </c>
      <c r="H32">
        <f t="shared" ca="1" si="1"/>
        <v>8.7840727182280452E-3</v>
      </c>
      <c r="J32" s="160">
        <v>5.0000000000000001E-3</v>
      </c>
      <c r="K32" s="161">
        <f t="shared" si="6"/>
        <v>0.995</v>
      </c>
      <c r="L32" s="162">
        <f t="shared" ca="1" si="7"/>
        <v>-4.2794800483814378E-2</v>
      </c>
      <c r="M32" s="163">
        <f t="shared" ca="1" si="8"/>
        <v>1117.7717466386007</v>
      </c>
      <c r="N32" s="163">
        <f t="shared" ca="1" si="9"/>
        <v>-45.871746638600598</v>
      </c>
    </row>
    <row r="33" spans="2:14" x14ac:dyDescent="0.3">
      <c r="B33" t="s">
        <v>498</v>
      </c>
      <c r="C33" s="79">
        <v>1343.53</v>
      </c>
      <c r="D33">
        <f t="shared" si="0"/>
        <v>8.6393792173003442E-2</v>
      </c>
      <c r="E33">
        <v>3.1222299068812399E-2</v>
      </c>
      <c r="G33">
        <v>26</v>
      </c>
      <c r="H33">
        <f t="shared" ca="1" si="1"/>
        <v>4.7714867810697325E-3</v>
      </c>
      <c r="J33" s="160">
        <v>0.1</v>
      </c>
      <c r="K33" s="161">
        <f t="shared" si="6"/>
        <v>0.9</v>
      </c>
      <c r="L33" s="162">
        <f t="shared" ca="1" si="7"/>
        <v>-2.1343588688913038E-2</v>
      </c>
      <c r="M33" s="163">
        <f t="shared" ca="1" si="8"/>
        <v>1094.7781927156459</v>
      </c>
      <c r="N33" s="163">
        <f t="shared" ca="1" si="9"/>
        <v>-22.87819271564581</v>
      </c>
    </row>
    <row r="34" spans="2:14" x14ac:dyDescent="0.3">
      <c r="B34" t="s">
        <v>535</v>
      </c>
      <c r="C34" s="79">
        <v>1232.33</v>
      </c>
      <c r="D34">
        <f t="shared" si="0"/>
        <v>0.51729499426571379</v>
      </c>
      <c r="E34">
        <v>2.9982560999374269E-2</v>
      </c>
      <c r="G34">
        <v>27</v>
      </c>
      <c r="H34">
        <f t="shared" ca="1" si="1"/>
        <v>6.9616289552165232E-3</v>
      </c>
    </row>
    <row r="35" spans="2:14" x14ac:dyDescent="0.3">
      <c r="B35" t="s">
        <v>1026</v>
      </c>
      <c r="C35">
        <v>734.63</v>
      </c>
      <c r="D35">
        <f t="shared" si="0"/>
        <v>-4.4032060730564211E-2</v>
      </c>
      <c r="E35">
        <v>2.9703239118013931E-2</v>
      </c>
      <c r="G35">
        <v>28</v>
      </c>
      <c r="H35">
        <f t="shared" ca="1" si="1"/>
        <v>1.8410673459957255E-2</v>
      </c>
    </row>
    <row r="36" spans="2:14" x14ac:dyDescent="0.3">
      <c r="B36" t="s">
        <v>954</v>
      </c>
      <c r="C36">
        <v>767.7</v>
      </c>
      <c r="D36">
        <f t="shared" si="0"/>
        <v>-0.46439492474739724</v>
      </c>
      <c r="E36">
        <v>2.9665881049695447E-2</v>
      </c>
      <c r="G36">
        <v>29</v>
      </c>
      <c r="H36">
        <f t="shared" ca="1" si="1"/>
        <v>-5.0845770970095591E-3</v>
      </c>
    </row>
    <row r="37" spans="2:14" x14ac:dyDescent="0.3">
      <c r="B37" t="s">
        <v>542</v>
      </c>
      <c r="C37" s="79">
        <v>1221.45</v>
      </c>
      <c r="D37">
        <f t="shared" si="0"/>
        <v>-0.1434020795286583</v>
      </c>
      <c r="E37">
        <v>2.9368063546020132E-2</v>
      </c>
      <c r="G37">
        <v>30</v>
      </c>
      <c r="H37">
        <f t="shared" ca="1" si="1"/>
        <v>-1.2671315044564603E-2</v>
      </c>
    </row>
    <row r="38" spans="2:14" x14ac:dyDescent="0.3">
      <c r="B38" t="s">
        <v>483</v>
      </c>
      <c r="C38" s="79">
        <v>1409.79</v>
      </c>
      <c r="D38">
        <f t="shared" si="0"/>
        <v>0.47572721072485374</v>
      </c>
      <c r="E38">
        <v>2.9367515450037442E-2</v>
      </c>
      <c r="G38">
        <v>31</v>
      </c>
      <c r="H38">
        <f t="shared" ca="1" si="1"/>
        <v>3.1171572942949911E-2</v>
      </c>
    </row>
    <row r="39" spans="2:14" x14ac:dyDescent="0.3">
      <c r="B39" t="s">
        <v>924</v>
      </c>
      <c r="C39">
        <v>876.09</v>
      </c>
      <c r="D39">
        <f t="shared" si="0"/>
        <v>-0.3963646330881388</v>
      </c>
      <c r="E39">
        <v>2.9174212529543164E-2</v>
      </c>
      <c r="G39">
        <v>32</v>
      </c>
      <c r="H39">
        <f t="shared" ca="1" si="1"/>
        <v>-1.7605660674691267E-2</v>
      </c>
    </row>
    <row r="40" spans="2:14" x14ac:dyDescent="0.3">
      <c r="B40" t="s">
        <v>499</v>
      </c>
      <c r="C40" s="79">
        <v>1302.23</v>
      </c>
      <c r="D40">
        <f t="shared" si="0"/>
        <v>8.506160957509128E-3</v>
      </c>
      <c r="E40">
        <v>2.899024715987418E-2</v>
      </c>
      <c r="G40">
        <v>33</v>
      </c>
      <c r="H40">
        <f t="shared" ca="1" si="1"/>
        <v>2.8901941432264565E-2</v>
      </c>
    </row>
    <row r="41" spans="2:14" x14ac:dyDescent="0.3">
      <c r="B41" t="s">
        <v>400</v>
      </c>
      <c r="C41" s="79">
        <v>1291.2</v>
      </c>
      <c r="D41">
        <f t="shared" si="0"/>
        <v>0.11589703646106519</v>
      </c>
      <c r="E41">
        <v>2.8834931709207329E-2</v>
      </c>
      <c r="G41">
        <v>34</v>
      </c>
      <c r="H41">
        <f t="shared" ca="1" si="1"/>
        <v>-1.954855802268618E-2</v>
      </c>
    </row>
    <row r="42" spans="2:14" x14ac:dyDescent="0.3">
      <c r="B42" t="s">
        <v>584</v>
      </c>
      <c r="C42" s="79">
        <v>1149.9000000000001</v>
      </c>
      <c r="D42">
        <f t="shared" si="0"/>
        <v>0.13537424352079003</v>
      </c>
      <c r="E42">
        <v>2.8742021366180412E-2</v>
      </c>
      <c r="G42">
        <v>35</v>
      </c>
      <c r="H42">
        <f t="shared" ca="1" si="1"/>
        <v>1.1465352876513407E-2</v>
      </c>
    </row>
    <row r="43" spans="2:14" x14ac:dyDescent="0.3">
      <c r="B43" t="s">
        <v>637</v>
      </c>
      <c r="C43" s="79">
        <v>1004.31</v>
      </c>
      <c r="D43">
        <f t="shared" si="0"/>
        <v>0.21915375154816757</v>
      </c>
      <c r="E43">
        <v>2.8675401693347181E-2</v>
      </c>
      <c r="G43">
        <v>36</v>
      </c>
      <c r="H43">
        <f t="shared" ca="1" si="1"/>
        <v>-9.2020718619797194E-3</v>
      </c>
    </row>
    <row r="44" spans="2:14" x14ac:dyDescent="0.3">
      <c r="B44" t="s">
        <v>987</v>
      </c>
      <c r="C44">
        <v>806.66</v>
      </c>
      <c r="D44">
        <f t="shared" si="0"/>
        <v>-0.12903365254548457</v>
      </c>
      <c r="E44">
        <v>2.8391210024737178E-2</v>
      </c>
      <c r="G44">
        <v>37</v>
      </c>
      <c r="H44">
        <f t="shared" ca="1" si="1"/>
        <v>2.328831522917648E-2</v>
      </c>
    </row>
    <row r="45" spans="2:14" x14ac:dyDescent="0.3">
      <c r="B45" t="s">
        <v>778</v>
      </c>
      <c r="C45">
        <v>917.76</v>
      </c>
      <c r="D45">
        <f t="shared" si="0"/>
        <v>-0.2586543954823769</v>
      </c>
      <c r="E45">
        <v>2.7943018887674739E-2</v>
      </c>
      <c r="G45">
        <v>38</v>
      </c>
      <c r="H45">
        <f t="shared" ca="1" si="1"/>
        <v>1.9492444603966583E-2</v>
      </c>
    </row>
    <row r="46" spans="2:14" x14ac:dyDescent="0.3">
      <c r="B46" t="s">
        <v>596</v>
      </c>
      <c r="C46" s="79">
        <v>1188.67</v>
      </c>
      <c r="D46">
        <f t="shared" si="0"/>
        <v>0.4078234607135191</v>
      </c>
      <c r="E46">
        <v>2.7929820247863616E-2</v>
      </c>
      <c r="G46">
        <v>39</v>
      </c>
      <c r="H46">
        <f t="shared" ca="1" si="1"/>
        <v>-8.9639190389769804E-3</v>
      </c>
    </row>
    <row r="47" spans="2:14" x14ac:dyDescent="0.3">
      <c r="B47" t="s">
        <v>1040</v>
      </c>
      <c r="C47">
        <v>790.58</v>
      </c>
      <c r="D47">
        <f t="shared" si="0"/>
        <v>-0.57417127099631715</v>
      </c>
      <c r="E47">
        <v>2.7519849154353359E-2</v>
      </c>
      <c r="G47">
        <v>40</v>
      </c>
      <c r="H47">
        <f t="shared" ca="1" si="1"/>
        <v>4.5445046035203392E-2</v>
      </c>
    </row>
    <row r="48" spans="2:14" x14ac:dyDescent="0.3">
      <c r="B48" t="s">
        <v>448</v>
      </c>
      <c r="C48" s="79">
        <v>1403.8</v>
      </c>
      <c r="D48">
        <f t="shared" si="0"/>
        <v>0.16025871992669299</v>
      </c>
      <c r="E48">
        <v>2.7369293287474845E-2</v>
      </c>
      <c r="G48">
        <v>41</v>
      </c>
      <c r="H48">
        <f t="shared" ca="1" si="1"/>
        <v>6.2500034438571972E-3</v>
      </c>
    </row>
    <row r="49" spans="2:8" x14ac:dyDescent="0.3">
      <c r="B49" t="s">
        <v>536</v>
      </c>
      <c r="C49" s="79">
        <v>1195.93</v>
      </c>
      <c r="D49">
        <f t="shared" si="0"/>
        <v>-9.9454679015310659E-4</v>
      </c>
      <c r="E49">
        <v>2.7276575778351332E-2</v>
      </c>
      <c r="G49">
        <v>42</v>
      </c>
      <c r="H49">
        <f t="shared" ca="1" si="1"/>
        <v>-1.3293081407112699E-4</v>
      </c>
    </row>
    <row r="50" spans="2:8" x14ac:dyDescent="0.3">
      <c r="B50" t="s">
        <v>525</v>
      </c>
      <c r="C50" s="79">
        <v>1197.1199999999999</v>
      </c>
      <c r="D50">
        <f t="shared" si="0"/>
        <v>0.27488890976887104</v>
      </c>
      <c r="E50">
        <v>2.6957270690176279E-2</v>
      </c>
      <c r="G50">
        <v>43</v>
      </c>
      <c r="H50">
        <f t="shared" ca="1" si="1"/>
        <v>1.3540299776951236E-2</v>
      </c>
    </row>
    <row r="51" spans="2:8" x14ac:dyDescent="0.3">
      <c r="B51" t="s">
        <v>900</v>
      </c>
      <c r="C51">
        <v>909.4</v>
      </c>
      <c r="D51">
        <f t="shared" si="0"/>
        <v>1.7795406253373551E-2</v>
      </c>
      <c r="E51">
        <v>2.6316428616858744E-2</v>
      </c>
      <c r="G51">
        <v>44</v>
      </c>
      <c r="H51">
        <f t="shared" ca="1" si="1"/>
        <v>-8.5957890292166703E-3</v>
      </c>
    </row>
    <row r="52" spans="2:8" x14ac:dyDescent="0.3">
      <c r="B52" t="s">
        <v>893</v>
      </c>
      <c r="C52">
        <v>893.36</v>
      </c>
      <c r="D52">
        <f t="shared" si="0"/>
        <v>0.19481986098402163</v>
      </c>
      <c r="E52">
        <v>2.5887413570800669E-2</v>
      </c>
      <c r="G52">
        <v>45</v>
      </c>
      <c r="H52">
        <f t="shared" ca="1" si="1"/>
        <v>-1.6618634840035069E-2</v>
      </c>
    </row>
    <row r="53" spans="2:8" x14ac:dyDescent="0.3">
      <c r="B53" t="s">
        <v>1016</v>
      </c>
      <c r="C53">
        <v>735.22</v>
      </c>
      <c r="D53">
        <f t="shared" si="0"/>
        <v>-0.50921937265494954</v>
      </c>
      <c r="E53">
        <v>2.5610105799474241E-2</v>
      </c>
      <c r="G53">
        <v>46</v>
      </c>
      <c r="H53">
        <f t="shared" ca="1" si="1"/>
        <v>-2.0022525533163842E-2</v>
      </c>
    </row>
    <row r="54" spans="2:8" x14ac:dyDescent="0.3">
      <c r="B54" t="s">
        <v>383</v>
      </c>
      <c r="C54" s="79">
        <v>1223.4000000000001</v>
      </c>
      <c r="D54">
        <f t="shared" si="0"/>
        <v>8.2157726396495257E-3</v>
      </c>
      <c r="E54">
        <v>2.4995094167871018E-2</v>
      </c>
      <c r="G54">
        <v>47</v>
      </c>
      <c r="H54">
        <f t="shared" ca="1" si="1"/>
        <v>2.8468033075444775E-3</v>
      </c>
    </row>
    <row r="55" spans="2:8" x14ac:dyDescent="0.3">
      <c r="B55" t="s">
        <v>550</v>
      </c>
      <c r="C55" s="79">
        <v>1213.3900000000001</v>
      </c>
      <c r="D55">
        <f t="shared" si="0"/>
        <v>0.43954883914689519</v>
      </c>
      <c r="E55">
        <v>2.4798313789663493E-2</v>
      </c>
      <c r="G55">
        <v>48</v>
      </c>
      <c r="H55">
        <f t="shared" ca="1" si="1"/>
        <v>-6.1455547835981197E-4</v>
      </c>
    </row>
    <row r="56" spans="2:8" x14ac:dyDescent="0.3">
      <c r="B56" t="s">
        <v>959</v>
      </c>
      <c r="C56">
        <v>781.82</v>
      </c>
      <c r="D56">
        <f t="shared" si="0"/>
        <v>-0.15012632322641595</v>
      </c>
      <c r="E56">
        <v>2.4589333280339062E-2</v>
      </c>
      <c r="G56">
        <v>49</v>
      </c>
      <c r="H56">
        <f t="shared" ca="1" si="1"/>
        <v>3.3352694913017664E-2</v>
      </c>
    </row>
    <row r="57" spans="2:8" x14ac:dyDescent="0.3">
      <c r="B57" t="s">
        <v>845</v>
      </c>
      <c r="C57">
        <v>908.46</v>
      </c>
      <c r="D57">
        <f t="shared" si="0"/>
        <v>-0.30121208131445687</v>
      </c>
      <c r="E57">
        <v>2.4447172356862716E-2</v>
      </c>
      <c r="G57">
        <v>50</v>
      </c>
      <c r="H57">
        <f t="shared" ca="1" si="1"/>
        <v>3.4004553530961783E-3</v>
      </c>
    </row>
    <row r="58" spans="2:8" x14ac:dyDescent="0.3">
      <c r="B58" t="s">
        <v>548</v>
      </c>
      <c r="C58" s="79">
        <v>1227.78</v>
      </c>
      <c r="D58">
        <f t="shared" si="0"/>
        <v>0.48194979299410212</v>
      </c>
      <c r="E58">
        <v>2.4337156054015759E-2</v>
      </c>
      <c r="G58">
        <v>51</v>
      </c>
      <c r="H58">
        <f t="shared" ca="1" si="1"/>
        <v>-9.840116483850388E-3</v>
      </c>
    </row>
    <row r="59" spans="2:8" x14ac:dyDescent="0.3">
      <c r="B59" t="s">
        <v>1014</v>
      </c>
      <c r="C59">
        <v>758.25</v>
      </c>
      <c r="D59">
        <f t="shared" si="0"/>
        <v>-7.6851132909386957E-2</v>
      </c>
      <c r="E59">
        <v>2.4173789075303674E-2</v>
      </c>
      <c r="G59">
        <v>52</v>
      </c>
      <c r="H59">
        <f t="shared" ca="1" si="1"/>
        <v>-1.0943861045396859E-3</v>
      </c>
    </row>
    <row r="60" spans="2:8" x14ac:dyDescent="0.3">
      <c r="B60" t="s">
        <v>952</v>
      </c>
      <c r="C60">
        <v>818.82</v>
      </c>
      <c r="D60">
        <f t="shared" si="0"/>
        <v>-0.39709295857743715</v>
      </c>
      <c r="E60">
        <v>2.4090402709207516E-2</v>
      </c>
      <c r="G60">
        <v>53</v>
      </c>
      <c r="H60">
        <f t="shared" ca="1" si="1"/>
        <v>7.0172390386344773E-3</v>
      </c>
    </row>
    <row r="61" spans="2:8" x14ac:dyDescent="0.3">
      <c r="B61" t="s">
        <v>569</v>
      </c>
      <c r="C61" s="79">
        <v>1217.99</v>
      </c>
      <c r="D61">
        <f t="shared" si="0"/>
        <v>0.2263836324369578</v>
      </c>
      <c r="E61">
        <v>2.3786611750419434E-2</v>
      </c>
      <c r="G61">
        <v>54</v>
      </c>
      <c r="H61">
        <f t="shared" ca="1" si="1"/>
        <v>-1.0969763510898799E-2</v>
      </c>
    </row>
    <row r="62" spans="2:8" x14ac:dyDescent="0.3">
      <c r="B62" t="s">
        <v>642</v>
      </c>
      <c r="C62">
        <v>971.24</v>
      </c>
      <c r="D62">
        <f t="shared" si="0"/>
        <v>-0.39249751763024154</v>
      </c>
      <c r="E62">
        <v>2.3681273336492278E-2</v>
      </c>
      <c r="G62">
        <v>55</v>
      </c>
      <c r="H62">
        <f t="shared" ca="1" si="1"/>
        <v>1.8968730811738395E-2</v>
      </c>
    </row>
    <row r="63" spans="2:8" x14ac:dyDescent="0.3">
      <c r="B63" t="s">
        <v>473</v>
      </c>
      <c r="C63" s="79">
        <v>1438.09</v>
      </c>
      <c r="D63">
        <f t="shared" si="0"/>
        <v>0.3039155009852138</v>
      </c>
      <c r="E63">
        <v>2.2602613388194054E-2</v>
      </c>
      <c r="G63">
        <v>56</v>
      </c>
      <c r="H63">
        <f t="shared" ca="1" si="1"/>
        <v>-1.1956371192683462E-2</v>
      </c>
    </row>
    <row r="64" spans="2:8" x14ac:dyDescent="0.3">
      <c r="B64" t="s">
        <v>605</v>
      </c>
      <c r="C64" s="79">
        <v>1061.2</v>
      </c>
      <c r="D64">
        <f t="shared" si="0"/>
        <v>-0.23520768924106653</v>
      </c>
      <c r="E64">
        <v>2.2239442393321332E-2</v>
      </c>
      <c r="G64">
        <v>57</v>
      </c>
      <c r="H64">
        <f t="shared" ca="1" si="1"/>
        <v>3.7541609684436819E-3</v>
      </c>
    </row>
    <row r="65" spans="2:8" x14ac:dyDescent="0.3">
      <c r="B65" t="s">
        <v>408</v>
      </c>
      <c r="C65" s="79">
        <v>1342.6</v>
      </c>
      <c r="D65">
        <f t="shared" si="0"/>
        <v>0.42336228245626578</v>
      </c>
      <c r="E65">
        <v>2.2179201533547174E-2</v>
      </c>
      <c r="G65">
        <v>58</v>
      </c>
      <c r="H65">
        <f t="shared" ca="1" si="1"/>
        <v>2.1803225601275743E-2</v>
      </c>
    </row>
    <row r="66" spans="2:8" x14ac:dyDescent="0.3">
      <c r="B66" t="s">
        <v>829</v>
      </c>
      <c r="C66">
        <v>879.19</v>
      </c>
      <c r="D66">
        <f t="shared" si="0"/>
        <v>-0.11230977771773072</v>
      </c>
      <c r="E66">
        <v>2.1894236405337154E-2</v>
      </c>
      <c r="G66">
        <v>59</v>
      </c>
      <c r="H66">
        <f t="shared" ca="1" si="1"/>
        <v>9.8853534015177005E-3</v>
      </c>
    </row>
    <row r="67" spans="2:8" x14ac:dyDescent="0.3">
      <c r="B67" t="s">
        <v>662</v>
      </c>
      <c r="C67">
        <v>983.69</v>
      </c>
      <c r="D67">
        <f t="shared" si="0"/>
        <v>-0.30410154435529663</v>
      </c>
      <c r="E67">
        <v>2.183908020958732E-2</v>
      </c>
      <c r="G67">
        <v>60</v>
      </c>
      <c r="H67">
        <f t="shared" ca="1" si="1"/>
        <v>1.2551988370807869E-2</v>
      </c>
    </row>
    <row r="68" spans="2:8" x14ac:dyDescent="0.3">
      <c r="B68" t="s">
        <v>412</v>
      </c>
      <c r="C68" s="79">
        <v>1333.3</v>
      </c>
      <c r="D68">
        <f t="shared" si="0"/>
        <v>0.43710880931006879</v>
      </c>
      <c r="E68">
        <v>2.1722266570181635E-2</v>
      </c>
      <c r="G68">
        <v>61</v>
      </c>
      <c r="H68">
        <f t="shared" ca="1" si="1"/>
        <v>-1.251317183438732E-2</v>
      </c>
    </row>
    <row r="69" spans="2:8" x14ac:dyDescent="0.3">
      <c r="B69" t="s">
        <v>926</v>
      </c>
      <c r="C69">
        <v>861.18</v>
      </c>
      <c r="D69">
        <f t="shared" si="0"/>
        <v>2.6859700459621618E-3</v>
      </c>
      <c r="E69">
        <v>2.159759058528251E-2</v>
      </c>
      <c r="G69">
        <v>62</v>
      </c>
      <c r="H69">
        <f t="shared" ca="1" si="1"/>
        <v>5.2484675167556935E-3</v>
      </c>
    </row>
    <row r="70" spans="2:8" x14ac:dyDescent="0.3">
      <c r="B70" t="s">
        <v>929</v>
      </c>
      <c r="C70">
        <v>858.87</v>
      </c>
      <c r="D70">
        <f t="shared" si="0"/>
        <v>-0.44138355633221749</v>
      </c>
      <c r="E70">
        <v>2.1430274154186784E-2</v>
      </c>
      <c r="G70">
        <v>63</v>
      </c>
      <c r="H70">
        <f t="shared" ca="1" si="1"/>
        <v>-4.9693305088114453E-3</v>
      </c>
    </row>
    <row r="71" spans="2:8" x14ac:dyDescent="0.3">
      <c r="B71" t="s">
        <v>516</v>
      </c>
      <c r="C71" s="79">
        <v>1335.42</v>
      </c>
      <c r="D71">
        <f t="shared" si="0"/>
        <v>0.62733739611232453</v>
      </c>
      <c r="E71">
        <v>2.1220714573075037E-2</v>
      </c>
      <c r="G71">
        <v>64</v>
      </c>
      <c r="H71">
        <f t="shared" ca="1" si="1"/>
        <v>-3.6225241866676319E-2</v>
      </c>
    </row>
    <row r="72" spans="2:8" x14ac:dyDescent="0.3">
      <c r="B72" t="s">
        <v>1027</v>
      </c>
      <c r="C72">
        <v>713.13</v>
      </c>
      <c r="D72">
        <f t="shared" ref="D72:D135" si="10">LN(C72/C73)</f>
        <v>-0.36928008845287935</v>
      </c>
      <c r="E72">
        <v>2.1057884534030916E-2</v>
      </c>
      <c r="G72">
        <v>65</v>
      </c>
      <c r="H72">
        <f t="shared" ca="1" si="1"/>
        <v>-1.1355908223478602E-2</v>
      </c>
    </row>
    <row r="73" spans="2:8" x14ac:dyDescent="0.3">
      <c r="B73" t="s">
        <v>613</v>
      </c>
      <c r="C73" s="79">
        <v>1031.68</v>
      </c>
      <c r="D73">
        <f t="shared" si="10"/>
        <v>6.4879770423483751E-2</v>
      </c>
      <c r="E73">
        <v>2.0970919595600039E-2</v>
      </c>
      <c r="G73">
        <v>66</v>
      </c>
      <c r="H73">
        <f t="shared" ref="H73:H136" ca="1" si="11">_xlfn.NORM.INV(RAND(),$N$10,$N$11)</f>
        <v>6.3803630986330215E-4</v>
      </c>
    </row>
    <row r="74" spans="2:8" x14ac:dyDescent="0.3">
      <c r="B74" t="s">
        <v>743</v>
      </c>
      <c r="C74">
        <v>966.87</v>
      </c>
      <c r="D74">
        <f t="shared" si="10"/>
        <v>0.25263176744668325</v>
      </c>
      <c r="E74">
        <v>2.0522114089188373E-2</v>
      </c>
      <c r="G74">
        <v>67</v>
      </c>
      <c r="H74">
        <f t="shared" ca="1" si="11"/>
        <v>-2.3267079506262719E-2</v>
      </c>
    </row>
    <row r="75" spans="2:8" x14ac:dyDescent="0.3">
      <c r="B75" t="s">
        <v>970</v>
      </c>
      <c r="C75">
        <v>751.02</v>
      </c>
      <c r="D75">
        <f t="shared" si="10"/>
        <v>-0.50381862821575862</v>
      </c>
      <c r="E75">
        <v>2.0188576974890945E-2</v>
      </c>
      <c r="G75">
        <v>68</v>
      </c>
      <c r="H75">
        <f t="shared" ca="1" si="11"/>
        <v>-1.6097117388518517E-2</v>
      </c>
    </row>
    <row r="76" spans="2:8" x14ac:dyDescent="0.3">
      <c r="B76" t="s">
        <v>559</v>
      </c>
      <c r="C76" s="79">
        <v>1242.96</v>
      </c>
      <c r="D76">
        <f t="shared" si="10"/>
        <v>0.26564650036403076</v>
      </c>
      <c r="E76">
        <v>1.9809385380417349E-2</v>
      </c>
      <c r="G76">
        <v>69</v>
      </c>
      <c r="H76">
        <f t="shared" ca="1" si="11"/>
        <v>1.5823473319293679E-2</v>
      </c>
    </row>
    <row r="77" spans="2:8" x14ac:dyDescent="0.3">
      <c r="B77" t="s">
        <v>1076</v>
      </c>
      <c r="C77">
        <v>952.99</v>
      </c>
      <c r="D77">
        <f t="shared" si="10"/>
        <v>-8.6120799814050839E-2</v>
      </c>
      <c r="E77">
        <v>1.9656991042819944E-2</v>
      </c>
      <c r="G77">
        <v>70</v>
      </c>
      <c r="H77">
        <f t="shared" ca="1" si="11"/>
        <v>1.0311666147659288E-2</v>
      </c>
    </row>
    <row r="78" spans="2:8" x14ac:dyDescent="0.3">
      <c r="B78" t="s">
        <v>607</v>
      </c>
      <c r="C78" s="79">
        <v>1038.7</v>
      </c>
      <c r="D78">
        <f t="shared" si="10"/>
        <v>0.22823495399989899</v>
      </c>
      <c r="E78">
        <v>1.9422993965050522E-2</v>
      </c>
      <c r="G78">
        <v>71</v>
      </c>
      <c r="H78">
        <f t="shared" ca="1" si="11"/>
        <v>-4.3490260502882369E-3</v>
      </c>
    </row>
    <row r="79" spans="2:8" x14ac:dyDescent="0.3">
      <c r="B79" t="s">
        <v>885</v>
      </c>
      <c r="C79">
        <v>826.74</v>
      </c>
      <c r="D79">
        <f t="shared" si="10"/>
        <v>-0.22272253229680461</v>
      </c>
      <c r="E79">
        <v>1.9049590629497879E-2</v>
      </c>
      <c r="G79">
        <v>72</v>
      </c>
      <c r="H79">
        <f t="shared" ca="1" si="11"/>
        <v>-1.672727566842843E-2</v>
      </c>
    </row>
    <row r="80" spans="2:8" x14ac:dyDescent="0.3">
      <c r="B80" t="s">
        <v>733</v>
      </c>
      <c r="C80" s="79">
        <v>1032.99</v>
      </c>
      <c r="D80">
        <f t="shared" si="10"/>
        <v>0.307710477661295</v>
      </c>
      <c r="E80">
        <v>1.9037955889069282E-2</v>
      </c>
      <c r="G80">
        <v>73</v>
      </c>
      <c r="H80">
        <f t="shared" ca="1" si="11"/>
        <v>3.3802467314846311E-2</v>
      </c>
    </row>
    <row r="81" spans="2:8" x14ac:dyDescent="0.3">
      <c r="B81" t="s">
        <v>992</v>
      </c>
      <c r="C81">
        <v>759.38</v>
      </c>
      <c r="D81">
        <f t="shared" si="10"/>
        <v>-0.65583777935229459</v>
      </c>
      <c r="E81">
        <v>1.8970452382442504E-2</v>
      </c>
      <c r="G81">
        <v>74</v>
      </c>
      <c r="H81">
        <f t="shared" ca="1" si="11"/>
        <v>-2.0979470422091525E-2</v>
      </c>
    </row>
    <row r="82" spans="2:8" x14ac:dyDescent="0.3">
      <c r="B82" t="s">
        <v>458</v>
      </c>
      <c r="C82" s="79">
        <v>1463.14</v>
      </c>
      <c r="D82">
        <f t="shared" si="10"/>
        <v>0.39428827629802649</v>
      </c>
      <c r="E82">
        <v>1.8939241355715446E-2</v>
      </c>
      <c r="G82">
        <v>75</v>
      </c>
      <c r="H82">
        <f t="shared" ca="1" si="11"/>
        <v>1.1528166511774525E-2</v>
      </c>
    </row>
    <row r="83" spans="2:8" x14ac:dyDescent="0.3">
      <c r="B83" t="s">
        <v>628</v>
      </c>
      <c r="C83">
        <v>986.39</v>
      </c>
      <c r="D83">
        <f t="shared" si="10"/>
        <v>-0.27739761406817054</v>
      </c>
      <c r="E83">
        <v>1.8726755762382481E-2</v>
      </c>
      <c r="G83">
        <v>76</v>
      </c>
      <c r="H83">
        <f t="shared" ca="1" si="11"/>
        <v>-2.9264901761359097E-2</v>
      </c>
    </row>
    <row r="84" spans="2:8" x14ac:dyDescent="0.3">
      <c r="B84" t="s">
        <v>507</v>
      </c>
      <c r="C84" s="79">
        <v>1301.73</v>
      </c>
      <c r="D84">
        <f t="shared" si="10"/>
        <v>-5.5530194201981443E-2</v>
      </c>
      <c r="E84">
        <v>1.8538648044356024E-2</v>
      </c>
      <c r="G84">
        <v>77</v>
      </c>
      <c r="H84">
        <f t="shared" ca="1" si="11"/>
        <v>2.9774547562030208E-3</v>
      </c>
    </row>
    <row r="85" spans="2:8" x14ac:dyDescent="0.3">
      <c r="B85" t="s">
        <v>485</v>
      </c>
      <c r="C85" s="79">
        <v>1376.06</v>
      </c>
      <c r="D85">
        <f t="shared" si="10"/>
        <v>0.41576828378590153</v>
      </c>
      <c r="E85">
        <v>1.8083251075722184E-2</v>
      </c>
      <c r="G85">
        <v>78</v>
      </c>
      <c r="H85">
        <f t="shared" ca="1" si="11"/>
        <v>1.7228598533553501E-2</v>
      </c>
    </row>
    <row r="86" spans="2:8" x14ac:dyDescent="0.3">
      <c r="B86" t="s">
        <v>750</v>
      </c>
      <c r="C86">
        <v>907.97</v>
      </c>
      <c r="D86">
        <f t="shared" si="10"/>
        <v>-1.6286827779543559E-3</v>
      </c>
      <c r="E86">
        <v>1.7991873019036479E-2</v>
      </c>
      <c r="G86">
        <v>79</v>
      </c>
      <c r="H86">
        <f t="shared" ca="1" si="11"/>
        <v>1.4390612315102742E-3</v>
      </c>
    </row>
    <row r="87" spans="2:8" x14ac:dyDescent="0.3">
      <c r="B87" t="s">
        <v>914</v>
      </c>
      <c r="C87">
        <v>909.45</v>
      </c>
      <c r="D87">
        <f t="shared" si="10"/>
        <v>-0.17291279861801492</v>
      </c>
      <c r="E87">
        <v>1.7962329270827273E-2</v>
      </c>
      <c r="G87">
        <v>80</v>
      </c>
      <c r="H87">
        <f t="shared" ca="1" si="11"/>
        <v>-8.3348457196523174E-3</v>
      </c>
    </row>
    <row r="88" spans="2:8" x14ac:dyDescent="0.3">
      <c r="B88" t="s">
        <v>603</v>
      </c>
      <c r="C88" s="79">
        <v>1081.1199999999999</v>
      </c>
      <c r="D88">
        <f t="shared" si="10"/>
        <v>0.19579057652811108</v>
      </c>
      <c r="E88">
        <v>1.7853034242169739E-2</v>
      </c>
      <c r="G88">
        <v>81</v>
      </c>
      <c r="H88">
        <f t="shared" ca="1" si="11"/>
        <v>1.874049012426976E-2</v>
      </c>
    </row>
    <row r="89" spans="2:8" x14ac:dyDescent="0.3">
      <c r="B89" t="s">
        <v>841</v>
      </c>
      <c r="C89">
        <v>888.88</v>
      </c>
      <c r="D89">
        <f t="shared" si="10"/>
        <v>-0.14231978088297967</v>
      </c>
      <c r="E89">
        <v>1.7809070795636813E-2</v>
      </c>
      <c r="G89">
        <v>82</v>
      </c>
      <c r="H89">
        <f t="shared" ca="1" si="11"/>
        <v>-2.2450728308318964E-2</v>
      </c>
    </row>
    <row r="90" spans="2:8" x14ac:dyDescent="0.3">
      <c r="B90" t="s">
        <v>685</v>
      </c>
      <c r="C90" s="79">
        <v>1024.83</v>
      </c>
      <c r="D90">
        <f t="shared" si="10"/>
        <v>0.16692014680569664</v>
      </c>
      <c r="E90">
        <v>1.7779558719353557E-2</v>
      </c>
      <c r="G90">
        <v>83</v>
      </c>
      <c r="H90">
        <f t="shared" ca="1" si="11"/>
        <v>7.094826945599533E-3</v>
      </c>
    </row>
    <row r="91" spans="2:8" x14ac:dyDescent="0.3">
      <c r="B91" t="s">
        <v>852</v>
      </c>
      <c r="C91">
        <v>867.28</v>
      </c>
      <c r="D91">
        <f t="shared" si="10"/>
        <v>-3.1662938018878109E-2</v>
      </c>
      <c r="E91">
        <v>1.7740139876017021E-2</v>
      </c>
      <c r="G91">
        <v>84</v>
      </c>
      <c r="H91">
        <f t="shared" ca="1" si="11"/>
        <v>8.7571437845907797E-4</v>
      </c>
    </row>
    <row r="92" spans="2:8" x14ac:dyDescent="0.3">
      <c r="B92" t="s">
        <v>910</v>
      </c>
      <c r="C92">
        <v>895.18</v>
      </c>
      <c r="D92">
        <f t="shared" si="10"/>
        <v>-3.1860401452437584E-2</v>
      </c>
      <c r="E92">
        <v>1.7693991646155312E-2</v>
      </c>
      <c r="G92">
        <v>85</v>
      </c>
      <c r="H92">
        <f t="shared" ca="1" si="11"/>
        <v>-1.6679448946133667E-2</v>
      </c>
    </row>
    <row r="93" spans="2:8" x14ac:dyDescent="0.3">
      <c r="B93" t="s">
        <v>749</v>
      </c>
      <c r="C93">
        <v>924.16</v>
      </c>
      <c r="D93">
        <f t="shared" si="10"/>
        <v>-9.2989906318466611E-2</v>
      </c>
      <c r="E93">
        <v>1.7673878416456935E-2</v>
      </c>
      <c r="G93">
        <v>86</v>
      </c>
      <c r="H93">
        <f t="shared" ca="1" si="11"/>
        <v>-1.351132467922843E-2</v>
      </c>
    </row>
    <row r="94" spans="2:8" x14ac:dyDescent="0.3">
      <c r="B94" t="s">
        <v>619</v>
      </c>
      <c r="C94" s="79">
        <v>1014.22</v>
      </c>
      <c r="D94">
        <f t="shared" si="10"/>
        <v>0.25622962265119104</v>
      </c>
      <c r="E94">
        <v>1.765608931193571E-2</v>
      </c>
      <c r="G94">
        <v>87</v>
      </c>
      <c r="H94">
        <f t="shared" ca="1" si="11"/>
        <v>5.6315294218098758E-3</v>
      </c>
    </row>
    <row r="95" spans="2:8" x14ac:dyDescent="0.3">
      <c r="B95" t="s">
        <v>978</v>
      </c>
      <c r="C95">
        <v>784.97</v>
      </c>
      <c r="D95">
        <f t="shared" si="10"/>
        <v>-0.61615301659033384</v>
      </c>
      <c r="E95">
        <v>1.764589132043249E-2</v>
      </c>
      <c r="G95">
        <v>88</v>
      </c>
      <c r="H95">
        <f t="shared" ca="1" si="11"/>
        <v>7.4979891543570263E-3</v>
      </c>
    </row>
    <row r="96" spans="2:8" x14ac:dyDescent="0.3">
      <c r="B96" t="s">
        <v>442</v>
      </c>
      <c r="C96" s="79">
        <v>1453.6</v>
      </c>
      <c r="D96">
        <f t="shared" si="10"/>
        <v>0.52755578824181248</v>
      </c>
      <c r="E96">
        <v>1.7628327966951792E-2</v>
      </c>
      <c r="G96">
        <v>89</v>
      </c>
      <c r="H96">
        <f t="shared" ca="1" si="11"/>
        <v>2.9345016760490297E-2</v>
      </c>
    </row>
    <row r="97" spans="2:8" x14ac:dyDescent="0.3">
      <c r="B97" t="s">
        <v>946</v>
      </c>
      <c r="C97">
        <v>857.69</v>
      </c>
      <c r="D97">
        <f t="shared" si="10"/>
        <v>0.11720752709856806</v>
      </c>
      <c r="E97">
        <v>1.7596106837900458E-2</v>
      </c>
      <c r="G97">
        <v>90</v>
      </c>
      <c r="H97">
        <f t="shared" ca="1" si="11"/>
        <v>3.5647712105759954E-2</v>
      </c>
    </row>
    <row r="98" spans="2:8" x14ac:dyDescent="0.3">
      <c r="B98" t="s">
        <v>960</v>
      </c>
      <c r="C98">
        <v>762.83</v>
      </c>
      <c r="D98">
        <f t="shared" si="10"/>
        <v>-0.31336760446157519</v>
      </c>
      <c r="E98">
        <v>1.7508811354591883E-2</v>
      </c>
      <c r="G98">
        <v>91</v>
      </c>
      <c r="H98">
        <f t="shared" ca="1" si="11"/>
        <v>-2.5829236645478478E-2</v>
      </c>
    </row>
    <row r="99" spans="2:8" x14ac:dyDescent="0.3">
      <c r="B99" t="s">
        <v>704</v>
      </c>
      <c r="C99" s="79">
        <v>1043.57</v>
      </c>
      <c r="D99">
        <f t="shared" si="10"/>
        <v>6.7022190362673789E-2</v>
      </c>
      <c r="E99">
        <v>1.7457477397455404E-2</v>
      </c>
      <c r="G99">
        <v>92</v>
      </c>
      <c r="H99">
        <f t="shared" ca="1" si="11"/>
        <v>-4.271099192318409E-3</v>
      </c>
    </row>
    <row r="100" spans="2:8" x14ac:dyDescent="0.3">
      <c r="B100" t="s">
        <v>638</v>
      </c>
      <c r="C100">
        <v>975.92</v>
      </c>
      <c r="D100">
        <f t="shared" si="10"/>
        <v>-0.37608731525057232</v>
      </c>
      <c r="E100">
        <v>1.7447831712183715E-2</v>
      </c>
      <c r="G100">
        <v>93</v>
      </c>
      <c r="H100">
        <f t="shared" ca="1" si="11"/>
        <v>-2.0447374777531297E-2</v>
      </c>
    </row>
    <row r="101" spans="2:8" x14ac:dyDescent="0.3">
      <c r="B101" t="s">
        <v>495</v>
      </c>
      <c r="C101" s="79">
        <v>1421.5</v>
      </c>
      <c r="D101">
        <f t="shared" si="10"/>
        <v>0.51600963199005334</v>
      </c>
      <c r="E101">
        <v>1.7006259387023156E-2</v>
      </c>
      <c r="G101">
        <v>94</v>
      </c>
      <c r="H101">
        <f t="shared" ca="1" si="11"/>
        <v>-1.8104266306327062E-3</v>
      </c>
    </row>
    <row r="102" spans="2:8" x14ac:dyDescent="0.3">
      <c r="B102" t="s">
        <v>856</v>
      </c>
      <c r="C102">
        <v>848.49</v>
      </c>
      <c r="D102">
        <f t="shared" si="10"/>
        <v>-0.14740511221091773</v>
      </c>
      <c r="E102">
        <v>1.6901208127872453E-2</v>
      </c>
      <c r="G102">
        <v>95</v>
      </c>
      <c r="H102">
        <f t="shared" ca="1" si="11"/>
        <v>-1.033902684811373E-2</v>
      </c>
    </row>
    <row r="103" spans="2:8" x14ac:dyDescent="0.3">
      <c r="B103" t="s">
        <v>742</v>
      </c>
      <c r="C103">
        <v>983.25</v>
      </c>
      <c r="D103">
        <f t="shared" si="10"/>
        <v>5.2286735349480903E-2</v>
      </c>
      <c r="E103">
        <v>1.6799361297248426E-2</v>
      </c>
      <c r="G103">
        <v>96</v>
      </c>
      <c r="H103">
        <f t="shared" ca="1" si="11"/>
        <v>-1.3856987644526885E-3</v>
      </c>
    </row>
    <row r="104" spans="2:8" x14ac:dyDescent="0.3">
      <c r="B104" t="s">
        <v>777</v>
      </c>
      <c r="C104">
        <v>933.16</v>
      </c>
      <c r="D104">
        <f t="shared" si="10"/>
        <v>2.1577960251185073E-2</v>
      </c>
      <c r="E104">
        <v>1.6640757431291897E-2</v>
      </c>
      <c r="G104">
        <v>97</v>
      </c>
      <c r="H104">
        <f t="shared" ca="1" si="11"/>
        <v>5.8149624300823611E-3</v>
      </c>
    </row>
    <row r="105" spans="2:8" x14ac:dyDescent="0.3">
      <c r="B105" t="s">
        <v>808</v>
      </c>
      <c r="C105">
        <v>913.24</v>
      </c>
      <c r="D105">
        <f t="shared" si="10"/>
        <v>0.10625638546607266</v>
      </c>
      <c r="E105">
        <v>1.6628222061256945E-2</v>
      </c>
      <c r="G105">
        <v>98</v>
      </c>
      <c r="H105">
        <f t="shared" ca="1" si="11"/>
        <v>-2.5068077997267974E-2</v>
      </c>
    </row>
    <row r="106" spans="2:8" x14ac:dyDescent="0.3">
      <c r="B106" t="s">
        <v>875</v>
      </c>
      <c r="C106">
        <v>821.18</v>
      </c>
      <c r="D106">
        <f t="shared" si="10"/>
        <v>-9.1985710869250781E-2</v>
      </c>
      <c r="E106">
        <v>1.6551627796929588E-2</v>
      </c>
      <c r="G106">
        <v>99</v>
      </c>
      <c r="H106">
        <f t="shared" ca="1" si="11"/>
        <v>-3.4198871518873659E-3</v>
      </c>
    </row>
    <row r="107" spans="2:8" x14ac:dyDescent="0.3">
      <c r="B107" t="s">
        <v>821</v>
      </c>
      <c r="C107">
        <v>900.3</v>
      </c>
      <c r="D107">
        <f t="shared" si="10"/>
        <v>-1.1024203376586822E-2</v>
      </c>
      <c r="E107">
        <v>1.6146539862786455E-2</v>
      </c>
      <c r="G107">
        <v>100</v>
      </c>
      <c r="H107">
        <f t="shared" ca="1" si="11"/>
        <v>2.7595885731116567E-2</v>
      </c>
    </row>
    <row r="108" spans="2:8" x14ac:dyDescent="0.3">
      <c r="B108" t="s">
        <v>1053</v>
      </c>
      <c r="C108">
        <v>910.28</v>
      </c>
      <c r="D108">
        <f t="shared" si="10"/>
        <v>-0.11414874018407697</v>
      </c>
      <c r="E108">
        <v>1.6068560896826321E-2</v>
      </c>
      <c r="G108">
        <v>101</v>
      </c>
      <c r="H108">
        <f t="shared" ca="1" si="11"/>
        <v>2.4623663115878266E-2</v>
      </c>
    </row>
    <row r="109" spans="2:8" x14ac:dyDescent="0.3">
      <c r="B109" t="s">
        <v>692</v>
      </c>
      <c r="C109" s="79">
        <v>1020.35</v>
      </c>
      <c r="D109">
        <f t="shared" si="10"/>
        <v>-0.19675439578741027</v>
      </c>
      <c r="E109">
        <v>1.6044128671882776E-2</v>
      </c>
      <c r="G109">
        <v>102</v>
      </c>
      <c r="H109">
        <f t="shared" ca="1" si="11"/>
        <v>1.1045867640132963E-2</v>
      </c>
    </row>
    <row r="110" spans="2:8" x14ac:dyDescent="0.3">
      <c r="B110" t="s">
        <v>564</v>
      </c>
      <c r="C110" s="79">
        <v>1242.22</v>
      </c>
      <c r="D110">
        <f t="shared" si="10"/>
        <v>-0.17314675389941575</v>
      </c>
      <c r="E110">
        <v>1.6010339106034086E-2</v>
      </c>
      <c r="G110">
        <v>103</v>
      </c>
      <c r="H110">
        <f t="shared" ca="1" si="11"/>
        <v>6.1743485810275131E-3</v>
      </c>
    </row>
    <row r="111" spans="2:8" x14ac:dyDescent="0.3">
      <c r="B111" t="s">
        <v>441</v>
      </c>
      <c r="C111" s="79">
        <v>1477.05</v>
      </c>
      <c r="D111">
        <f t="shared" si="10"/>
        <v>0.18811059744339498</v>
      </c>
      <c r="E111">
        <v>1.6003617279959439E-2</v>
      </c>
      <c r="G111">
        <v>104</v>
      </c>
      <c r="H111">
        <f t="shared" ca="1" si="11"/>
        <v>4.2643673348098682E-2</v>
      </c>
    </row>
    <row r="112" spans="2:8" x14ac:dyDescent="0.3">
      <c r="B112" t="s">
        <v>576</v>
      </c>
      <c r="C112" s="79">
        <v>1223.77</v>
      </c>
      <c r="D112">
        <f t="shared" si="10"/>
        <v>0.41003111104908113</v>
      </c>
      <c r="E112">
        <v>1.588001709814622E-2</v>
      </c>
      <c r="G112">
        <v>105</v>
      </c>
      <c r="H112">
        <f t="shared" ca="1" si="11"/>
        <v>-1.8295398194812764E-2</v>
      </c>
    </row>
    <row r="113" spans="2:8" x14ac:dyDescent="0.3">
      <c r="B113" t="s">
        <v>1045</v>
      </c>
      <c r="C113">
        <v>812.13</v>
      </c>
      <c r="D113">
        <f t="shared" si="10"/>
        <v>-0.53944686084885718</v>
      </c>
      <c r="E113">
        <v>1.5573836062270804E-2</v>
      </c>
      <c r="G113">
        <v>106</v>
      </c>
      <c r="H113">
        <f t="shared" ca="1" si="11"/>
        <v>7.1183037991434986E-4</v>
      </c>
    </row>
    <row r="114" spans="2:8" x14ac:dyDescent="0.3">
      <c r="B114" t="s">
        <v>480</v>
      </c>
      <c r="C114" s="79">
        <v>1392.85</v>
      </c>
      <c r="D114">
        <f t="shared" si="10"/>
        <v>0.61760843024326728</v>
      </c>
      <c r="E114">
        <v>1.5498016651563544E-2</v>
      </c>
      <c r="G114">
        <v>107</v>
      </c>
      <c r="H114">
        <f t="shared" ca="1" si="11"/>
        <v>-2.8824353899082132E-2</v>
      </c>
    </row>
    <row r="115" spans="2:8" x14ac:dyDescent="0.3">
      <c r="B115" t="s">
        <v>982</v>
      </c>
      <c r="C115">
        <v>751.07</v>
      </c>
      <c r="D115">
        <f t="shared" si="10"/>
        <v>-0.67471100178186061</v>
      </c>
      <c r="E115">
        <v>1.5321755136789971E-2</v>
      </c>
      <c r="G115">
        <v>108</v>
      </c>
      <c r="H115">
        <f t="shared" ca="1" si="11"/>
        <v>-1.1620052138675287E-2</v>
      </c>
    </row>
    <row r="116" spans="2:8" x14ac:dyDescent="0.3">
      <c r="B116" t="s">
        <v>463</v>
      </c>
      <c r="C116" s="79">
        <v>1474.7</v>
      </c>
      <c r="D116">
        <f t="shared" si="10"/>
        <v>0.27660019450061613</v>
      </c>
      <c r="E116">
        <v>1.5250989122735056E-2</v>
      </c>
      <c r="G116">
        <v>109</v>
      </c>
      <c r="H116">
        <f t="shared" ca="1" si="11"/>
        <v>2.103386145988768E-3</v>
      </c>
    </row>
    <row r="117" spans="2:8" x14ac:dyDescent="0.3">
      <c r="B117" t="s">
        <v>600</v>
      </c>
      <c r="C117" s="79">
        <v>1118.3499999999999</v>
      </c>
      <c r="D117">
        <f t="shared" si="10"/>
        <v>-0.11882073295541427</v>
      </c>
      <c r="E117">
        <v>1.5235970173159035E-2</v>
      </c>
      <c r="G117">
        <v>110</v>
      </c>
      <c r="H117">
        <f t="shared" ca="1" si="11"/>
        <v>7.7365520744316083E-3</v>
      </c>
    </row>
    <row r="118" spans="2:8" x14ac:dyDescent="0.3">
      <c r="B118" t="s">
        <v>381</v>
      </c>
      <c r="C118" s="79">
        <v>1259.45</v>
      </c>
      <c r="D118">
        <f t="shared" si="10"/>
        <v>0.35123951779632351</v>
      </c>
      <c r="E118">
        <v>1.5120288064022377E-2</v>
      </c>
      <c r="G118">
        <v>111</v>
      </c>
      <c r="H118">
        <f t="shared" ca="1" si="11"/>
        <v>9.9654158385793674E-3</v>
      </c>
    </row>
    <row r="119" spans="2:8" x14ac:dyDescent="0.3">
      <c r="B119" t="s">
        <v>1055</v>
      </c>
      <c r="C119">
        <v>886.42</v>
      </c>
      <c r="D119">
        <f t="shared" si="10"/>
        <v>-0.14968621363878556</v>
      </c>
      <c r="E119">
        <v>1.5094969380989707E-2</v>
      </c>
      <c r="G119">
        <v>112</v>
      </c>
      <c r="H119">
        <f t="shared" ca="1" si="11"/>
        <v>2.8079314571223615E-2</v>
      </c>
    </row>
    <row r="120" spans="2:8" x14ac:dyDescent="0.3">
      <c r="B120" t="s">
        <v>618</v>
      </c>
      <c r="C120" s="79">
        <v>1029.55</v>
      </c>
      <c r="D120">
        <f t="shared" si="10"/>
        <v>-5.221640450436959E-3</v>
      </c>
      <c r="E120">
        <v>1.5001969411337053E-2</v>
      </c>
      <c r="G120">
        <v>113</v>
      </c>
      <c r="H120">
        <f t="shared" ca="1" si="11"/>
        <v>-3.4883381280562953E-3</v>
      </c>
    </row>
    <row r="121" spans="2:8" x14ac:dyDescent="0.3">
      <c r="B121" t="s">
        <v>611</v>
      </c>
      <c r="C121" s="79">
        <v>1034.94</v>
      </c>
      <c r="D121">
        <f t="shared" si="10"/>
        <v>0.12742412103849682</v>
      </c>
      <c r="E121">
        <v>1.4972292343199091E-2</v>
      </c>
      <c r="G121">
        <v>114</v>
      </c>
      <c r="H121">
        <f t="shared" ca="1" si="11"/>
        <v>1.798528960876911E-2</v>
      </c>
    </row>
    <row r="122" spans="2:8" x14ac:dyDescent="0.3">
      <c r="B122" t="s">
        <v>786</v>
      </c>
      <c r="C122">
        <v>911.12</v>
      </c>
      <c r="D122">
        <f t="shared" si="10"/>
        <v>-6.951516899333296E-2</v>
      </c>
      <c r="E122">
        <v>1.4905514910719843E-2</v>
      </c>
      <c r="G122">
        <v>115</v>
      </c>
      <c r="H122">
        <f t="shared" ca="1" si="11"/>
        <v>-2.0271921315606671E-2</v>
      </c>
    </row>
    <row r="123" spans="2:8" x14ac:dyDescent="0.3">
      <c r="B123" t="s">
        <v>640</v>
      </c>
      <c r="C123">
        <v>976.71</v>
      </c>
      <c r="D123">
        <f t="shared" si="10"/>
        <v>-0.23679607778588269</v>
      </c>
      <c r="E123">
        <v>1.4821962382086955E-2</v>
      </c>
      <c r="G123">
        <v>116</v>
      </c>
      <c r="H123">
        <f t="shared" ca="1" si="11"/>
        <v>1.992623026814971E-2</v>
      </c>
    </row>
    <row r="124" spans="2:8" x14ac:dyDescent="0.3">
      <c r="B124" t="s">
        <v>519</v>
      </c>
      <c r="C124" s="79">
        <v>1237.67</v>
      </c>
      <c r="D124">
        <f t="shared" si="10"/>
        <v>2.5656176687771183E-2</v>
      </c>
      <c r="E124">
        <v>1.4773241059815983E-2</v>
      </c>
      <c r="G124">
        <v>117</v>
      </c>
      <c r="H124">
        <f t="shared" ca="1" si="11"/>
        <v>-1.2444648178766024E-2</v>
      </c>
    </row>
    <row r="125" spans="2:8" x14ac:dyDescent="0.3">
      <c r="B125" t="s">
        <v>595</v>
      </c>
      <c r="C125" s="79">
        <v>1206.32</v>
      </c>
      <c r="D125">
        <f t="shared" si="10"/>
        <v>-0.21497311968350463</v>
      </c>
      <c r="E125">
        <v>1.4739368044017058E-2</v>
      </c>
      <c r="G125">
        <v>118</v>
      </c>
      <c r="H125">
        <f t="shared" ca="1" si="11"/>
        <v>-1.1109869301794108E-2</v>
      </c>
    </row>
    <row r="126" spans="2:8" x14ac:dyDescent="0.3">
      <c r="B126" t="s">
        <v>454</v>
      </c>
      <c r="C126" s="79">
        <v>1495.63</v>
      </c>
      <c r="D126">
        <f t="shared" si="10"/>
        <v>0.24303410529096148</v>
      </c>
      <c r="E126">
        <v>1.4669498077794734E-2</v>
      </c>
      <c r="G126">
        <v>119</v>
      </c>
      <c r="H126">
        <f t="shared" ca="1" si="11"/>
        <v>-3.2931540577831779E-3</v>
      </c>
    </row>
    <row r="127" spans="2:8" x14ac:dyDescent="0.3">
      <c r="B127" t="s">
        <v>527</v>
      </c>
      <c r="C127" s="79">
        <v>1172.94</v>
      </c>
      <c r="D127">
        <f t="shared" si="10"/>
        <v>0.31964695897306405</v>
      </c>
      <c r="E127">
        <v>1.4478445460008125E-2</v>
      </c>
      <c r="G127">
        <v>120</v>
      </c>
      <c r="H127">
        <f t="shared" ca="1" si="11"/>
        <v>-3.7194853710337226E-2</v>
      </c>
    </row>
    <row r="128" spans="2:8" x14ac:dyDescent="0.3">
      <c r="B128" t="s">
        <v>853</v>
      </c>
      <c r="C128">
        <v>852.03</v>
      </c>
      <c r="D128">
        <f t="shared" si="10"/>
        <v>-0.37568837117065179</v>
      </c>
      <c r="E128">
        <v>1.4255560563144514E-2</v>
      </c>
      <c r="G128">
        <v>121</v>
      </c>
      <c r="H128">
        <f t="shared" ca="1" si="11"/>
        <v>-1.231516817990636E-2</v>
      </c>
    </row>
    <row r="129" spans="2:8" x14ac:dyDescent="0.3">
      <c r="B129" t="s">
        <v>382</v>
      </c>
      <c r="C129" s="79">
        <v>1240.55</v>
      </c>
      <c r="D129">
        <f t="shared" si="10"/>
        <v>-6.4913788267945277E-2</v>
      </c>
      <c r="E129">
        <v>1.392096183920649E-2</v>
      </c>
      <c r="G129">
        <v>122</v>
      </c>
      <c r="H129">
        <f t="shared" ca="1" si="11"/>
        <v>-2.8513778666118254E-2</v>
      </c>
    </row>
    <row r="130" spans="2:8" x14ac:dyDescent="0.3">
      <c r="B130" t="s">
        <v>504</v>
      </c>
      <c r="C130" s="79">
        <v>1323.75</v>
      </c>
      <c r="D130">
        <f t="shared" si="10"/>
        <v>0.4044797580309884</v>
      </c>
      <c r="E130">
        <v>1.382889091094709E-2</v>
      </c>
      <c r="G130">
        <v>123</v>
      </c>
      <c r="H130">
        <f t="shared" ca="1" si="11"/>
        <v>-1.7192521736983567E-2</v>
      </c>
    </row>
    <row r="131" spans="2:8" x14ac:dyDescent="0.3">
      <c r="B131" t="s">
        <v>847</v>
      </c>
      <c r="C131">
        <v>883.37</v>
      </c>
      <c r="D131">
        <f t="shared" si="10"/>
        <v>-0.17445707557788265</v>
      </c>
      <c r="E131">
        <v>1.373483570447203E-2</v>
      </c>
      <c r="G131">
        <v>124</v>
      </c>
      <c r="H131">
        <f t="shared" ca="1" si="11"/>
        <v>-2.5279002610943811E-2</v>
      </c>
    </row>
    <row r="132" spans="2:8" x14ac:dyDescent="0.3">
      <c r="B132" t="s">
        <v>721</v>
      </c>
      <c r="C132" s="79">
        <v>1051.74</v>
      </c>
      <c r="D132">
        <f t="shared" si="10"/>
        <v>-0.13610001930001742</v>
      </c>
      <c r="E132">
        <v>1.3660878438373394E-2</v>
      </c>
      <c r="G132">
        <v>125</v>
      </c>
      <c r="H132">
        <f t="shared" ca="1" si="11"/>
        <v>1.6350621935112056E-3</v>
      </c>
    </row>
    <row r="133" spans="2:8" x14ac:dyDescent="0.3">
      <c r="B133" t="s">
        <v>522</v>
      </c>
      <c r="C133" s="79">
        <v>1205.08</v>
      </c>
      <c r="D133">
        <f t="shared" si="10"/>
        <v>0.17259374116238671</v>
      </c>
      <c r="E133">
        <v>1.359314799053641E-2</v>
      </c>
      <c r="G133">
        <v>126</v>
      </c>
      <c r="H133">
        <f t="shared" ca="1" si="11"/>
        <v>-5.2248080636548939E-3</v>
      </c>
    </row>
    <row r="134" spans="2:8" x14ac:dyDescent="0.3">
      <c r="B134" t="s">
        <v>697</v>
      </c>
      <c r="C134" s="79">
        <v>1014.05</v>
      </c>
      <c r="D134">
        <f t="shared" si="10"/>
        <v>0.25032032522912046</v>
      </c>
      <c r="E134">
        <v>1.3432348771152987E-2</v>
      </c>
      <c r="G134">
        <v>127</v>
      </c>
      <c r="H134">
        <f t="shared" ca="1" si="11"/>
        <v>1.9112880753584596E-2</v>
      </c>
    </row>
    <row r="135" spans="2:8" x14ac:dyDescent="0.3">
      <c r="B135" t="s">
        <v>998</v>
      </c>
      <c r="C135">
        <v>789.49</v>
      </c>
      <c r="D135">
        <f t="shared" si="10"/>
        <v>-0.11079355070301576</v>
      </c>
      <c r="E135">
        <v>1.3363284612190648E-2</v>
      </c>
      <c r="G135">
        <v>128</v>
      </c>
      <c r="H135">
        <f t="shared" ca="1" si="11"/>
        <v>-1.4928227868677469E-2</v>
      </c>
    </row>
    <row r="136" spans="2:8" x14ac:dyDescent="0.3">
      <c r="B136" t="s">
        <v>890</v>
      </c>
      <c r="C136">
        <v>881.99</v>
      </c>
      <c r="D136">
        <f t="shared" ref="D136:D199" si="12">LN(C136/C137)</f>
        <v>-0.33891825004816273</v>
      </c>
      <c r="E136">
        <v>1.330826800056221E-2</v>
      </c>
      <c r="G136">
        <v>129</v>
      </c>
      <c r="H136">
        <f t="shared" ca="1" si="11"/>
        <v>-8.4333916807878689E-3</v>
      </c>
    </row>
    <row r="137" spans="2:8" x14ac:dyDescent="0.3">
      <c r="B137" t="s">
        <v>541</v>
      </c>
      <c r="C137" s="79">
        <v>1237.81</v>
      </c>
      <c r="D137">
        <f t="shared" si="12"/>
        <v>-9.4288058619339102E-2</v>
      </c>
      <c r="E137">
        <v>1.3305011540949159E-2</v>
      </c>
      <c r="G137">
        <v>130</v>
      </c>
      <c r="H137">
        <f t="shared" ref="H137:H200" ca="1" si="13">_xlfn.NORM.INV(RAND(),$N$10,$N$11)</f>
        <v>-2.0535924249427337E-2</v>
      </c>
    </row>
    <row r="138" spans="2:8" x14ac:dyDescent="0.3">
      <c r="B138" t="s">
        <v>407</v>
      </c>
      <c r="C138" s="79">
        <v>1360.2</v>
      </c>
      <c r="D138">
        <f t="shared" si="12"/>
        <v>0.11088145431332562</v>
      </c>
      <c r="E138">
        <v>1.3023715236887301E-2</v>
      </c>
      <c r="G138">
        <v>131</v>
      </c>
      <c r="H138">
        <f t="shared" ca="1" si="13"/>
        <v>-1.43834773142297E-2</v>
      </c>
    </row>
    <row r="139" spans="2:8" x14ac:dyDescent="0.3">
      <c r="B139" t="s">
        <v>545</v>
      </c>
      <c r="C139" s="79">
        <v>1217.44</v>
      </c>
      <c r="D139">
        <f t="shared" si="12"/>
        <v>-8.3385880187650349E-2</v>
      </c>
      <c r="E139">
        <v>1.2954823396120575E-2</v>
      </c>
      <c r="G139">
        <v>132</v>
      </c>
      <c r="H139">
        <f t="shared" ca="1" si="13"/>
        <v>-2.166487157273949E-2</v>
      </c>
    </row>
    <row r="140" spans="2:8" x14ac:dyDescent="0.3">
      <c r="B140" t="s">
        <v>513</v>
      </c>
      <c r="C140" s="79">
        <v>1323.31</v>
      </c>
      <c r="D140">
        <f t="shared" si="12"/>
        <v>0.32041664813574927</v>
      </c>
      <c r="E140">
        <v>1.2937460123345389E-2</v>
      </c>
      <c r="G140">
        <v>133</v>
      </c>
      <c r="H140">
        <f t="shared" ca="1" si="13"/>
        <v>-1.3138201873199766E-2</v>
      </c>
    </row>
    <row r="141" spans="2:8" x14ac:dyDescent="0.3">
      <c r="B141" t="s">
        <v>753</v>
      </c>
      <c r="C141">
        <v>960.52</v>
      </c>
      <c r="D141">
        <f t="shared" si="12"/>
        <v>0.10069570476046245</v>
      </c>
      <c r="E141">
        <v>1.288826163804282E-2</v>
      </c>
      <c r="G141">
        <v>134</v>
      </c>
      <c r="H141">
        <f t="shared" ca="1" si="13"/>
        <v>-2.4492584353190943E-2</v>
      </c>
    </row>
    <row r="142" spans="2:8" x14ac:dyDescent="0.3">
      <c r="B142" t="s">
        <v>895</v>
      </c>
      <c r="C142">
        <v>868.51</v>
      </c>
      <c r="D142">
        <f t="shared" si="12"/>
        <v>-0.11175332058558274</v>
      </c>
      <c r="E142">
        <v>1.2827893973111081E-2</v>
      </c>
      <c r="G142">
        <v>135</v>
      </c>
      <c r="H142">
        <f t="shared" ca="1" si="13"/>
        <v>1.5895976957315056E-2</v>
      </c>
    </row>
    <row r="143" spans="2:8" x14ac:dyDescent="0.3">
      <c r="B143" t="s">
        <v>756</v>
      </c>
      <c r="C143">
        <v>971.2</v>
      </c>
      <c r="D143">
        <f t="shared" si="12"/>
        <v>0.21434026020200356</v>
      </c>
      <c r="E143">
        <v>1.2797770585709224E-2</v>
      </c>
      <c r="G143">
        <v>136</v>
      </c>
      <c r="H143">
        <f t="shared" ca="1" si="13"/>
        <v>-9.7879819379559818E-4</v>
      </c>
    </row>
    <row r="144" spans="2:8" x14ac:dyDescent="0.3">
      <c r="B144" t="s">
        <v>1006</v>
      </c>
      <c r="C144">
        <v>783.83</v>
      </c>
      <c r="D144">
        <f t="shared" si="12"/>
        <v>-0.42020189253736318</v>
      </c>
      <c r="E144">
        <v>1.2749493826816885E-2</v>
      </c>
      <c r="G144">
        <v>137</v>
      </c>
      <c r="H144">
        <f t="shared" ca="1" si="13"/>
        <v>-1.2232499547563983E-2</v>
      </c>
    </row>
    <row r="145" spans="2:8" x14ac:dyDescent="0.3">
      <c r="B145" t="s">
        <v>384</v>
      </c>
      <c r="C145" s="79">
        <v>1193.2</v>
      </c>
      <c r="D145">
        <f t="shared" si="12"/>
        <v>0.15992916009550923</v>
      </c>
      <c r="E145">
        <v>1.2608486836753191E-2</v>
      </c>
      <c r="G145">
        <v>138</v>
      </c>
      <c r="H145">
        <f t="shared" ca="1" si="13"/>
        <v>7.7643716162676931E-4</v>
      </c>
    </row>
    <row r="146" spans="2:8" x14ac:dyDescent="0.3">
      <c r="B146" t="s">
        <v>673</v>
      </c>
      <c r="C146" s="79">
        <v>1016.85</v>
      </c>
      <c r="D146">
        <f t="shared" si="12"/>
        <v>-0.3653776838905054</v>
      </c>
      <c r="E146">
        <v>1.250845081839928E-2</v>
      </c>
      <c r="G146">
        <v>139</v>
      </c>
      <c r="H146">
        <f t="shared" ca="1" si="13"/>
        <v>-3.1956002475551373E-2</v>
      </c>
    </row>
    <row r="147" spans="2:8" x14ac:dyDescent="0.3">
      <c r="B147" t="s">
        <v>466</v>
      </c>
      <c r="C147" s="79">
        <v>1465.34</v>
      </c>
      <c r="D147">
        <f t="shared" si="12"/>
        <v>0.24568752257345888</v>
      </c>
      <c r="E147">
        <v>1.249119242619904E-2</v>
      </c>
      <c r="G147">
        <v>140</v>
      </c>
      <c r="H147">
        <f t="shared" ca="1" si="13"/>
        <v>2.9187259214201251E-3</v>
      </c>
    </row>
    <row r="148" spans="2:8" x14ac:dyDescent="0.3">
      <c r="B148" t="s">
        <v>598</v>
      </c>
      <c r="C148" s="79">
        <v>1146.1400000000001</v>
      </c>
      <c r="D148">
        <f t="shared" si="12"/>
        <v>0.39935021111259106</v>
      </c>
      <c r="E148">
        <v>1.2457965685815914E-2</v>
      </c>
      <c r="G148">
        <v>141</v>
      </c>
      <c r="H148">
        <f t="shared" ca="1" si="13"/>
        <v>6.9616575082420981E-3</v>
      </c>
    </row>
    <row r="149" spans="2:8" x14ac:dyDescent="0.3">
      <c r="B149" t="s">
        <v>991</v>
      </c>
      <c r="C149">
        <v>768.78</v>
      </c>
      <c r="D149">
        <f t="shared" si="12"/>
        <v>-0.48845120712048523</v>
      </c>
      <c r="E149">
        <v>1.2302531880163304E-2</v>
      </c>
      <c r="G149">
        <v>142</v>
      </c>
      <c r="H149">
        <f t="shared" ca="1" si="13"/>
        <v>-1.3010650048412484E-3</v>
      </c>
    </row>
    <row r="150" spans="2:8" x14ac:dyDescent="0.3">
      <c r="B150" t="s">
        <v>561</v>
      </c>
      <c r="C150" s="79">
        <v>1252.95</v>
      </c>
      <c r="D150">
        <f t="shared" si="12"/>
        <v>0.2824098040610743</v>
      </c>
      <c r="E150">
        <v>1.2270191124713604E-2</v>
      </c>
      <c r="G150">
        <v>143</v>
      </c>
      <c r="H150">
        <f t="shared" ca="1" si="13"/>
        <v>-7.2666345207238713E-3</v>
      </c>
    </row>
    <row r="151" spans="2:8" x14ac:dyDescent="0.3">
      <c r="B151" t="s">
        <v>776</v>
      </c>
      <c r="C151">
        <v>944.68</v>
      </c>
      <c r="D151">
        <f t="shared" si="12"/>
        <v>-1.5451420023536111E-2</v>
      </c>
      <c r="E151">
        <v>1.2269569846512786E-2</v>
      </c>
      <c r="G151">
        <v>144</v>
      </c>
      <c r="H151">
        <f t="shared" ca="1" si="13"/>
        <v>2.3286208677129272E-2</v>
      </c>
    </row>
    <row r="152" spans="2:8" x14ac:dyDescent="0.3">
      <c r="B152" t="s">
        <v>760</v>
      </c>
      <c r="C152">
        <v>959.39</v>
      </c>
      <c r="D152">
        <f t="shared" si="12"/>
        <v>3.7196059679612176E-2</v>
      </c>
      <c r="E152">
        <v>1.2133055023426105E-2</v>
      </c>
      <c r="G152">
        <v>145</v>
      </c>
      <c r="H152">
        <f t="shared" ca="1" si="13"/>
        <v>-2.0011961591481126E-2</v>
      </c>
    </row>
    <row r="153" spans="2:8" x14ac:dyDescent="0.3">
      <c r="B153" t="s">
        <v>807</v>
      </c>
      <c r="C153">
        <v>924.36</v>
      </c>
      <c r="D153">
        <f t="shared" si="12"/>
        <v>-4.8307860976881722E-2</v>
      </c>
      <c r="E153">
        <v>1.2102890441621919E-2</v>
      </c>
      <c r="G153">
        <v>146</v>
      </c>
      <c r="H153">
        <f t="shared" ca="1" si="13"/>
        <v>1.108998149286269E-2</v>
      </c>
    </row>
    <row r="154" spans="2:8" x14ac:dyDescent="0.3">
      <c r="B154" t="s">
        <v>653</v>
      </c>
      <c r="C154">
        <v>970.11</v>
      </c>
      <c r="D154">
        <f t="shared" si="12"/>
        <v>-0.15428762104655844</v>
      </c>
      <c r="E154">
        <v>1.2092070845587067E-2</v>
      </c>
      <c r="G154">
        <v>147</v>
      </c>
      <c r="H154">
        <f t="shared" ca="1" si="13"/>
        <v>1.3100441269567815E-2</v>
      </c>
    </row>
    <row r="155" spans="2:8" x14ac:dyDescent="0.3">
      <c r="B155" t="s">
        <v>599</v>
      </c>
      <c r="C155" s="79">
        <v>1131.95</v>
      </c>
      <c r="D155">
        <f t="shared" si="12"/>
        <v>0.32671916655553634</v>
      </c>
      <c r="E155">
        <v>1.2087424420035749E-2</v>
      </c>
      <c r="G155">
        <v>148</v>
      </c>
      <c r="H155">
        <f t="shared" ca="1" si="13"/>
        <v>-3.5049038515885911E-3</v>
      </c>
    </row>
    <row r="156" spans="2:8" x14ac:dyDescent="0.3">
      <c r="B156" t="s">
        <v>986</v>
      </c>
      <c r="C156">
        <v>816.46</v>
      </c>
      <c r="D156">
        <f t="shared" si="12"/>
        <v>-8.2991066528507643E-2</v>
      </c>
      <c r="E156">
        <v>1.2075655635116884E-2</v>
      </c>
      <c r="G156">
        <v>149</v>
      </c>
      <c r="H156">
        <f t="shared" ca="1" si="13"/>
        <v>3.2301385206154845E-2</v>
      </c>
    </row>
    <row r="157" spans="2:8" x14ac:dyDescent="0.3">
      <c r="B157" t="s">
        <v>918</v>
      </c>
      <c r="C157">
        <v>887.11</v>
      </c>
      <c r="D157">
        <f t="shared" si="12"/>
        <v>1.5815815669169571E-2</v>
      </c>
      <c r="E157">
        <v>1.2055102074572862E-2</v>
      </c>
      <c r="G157">
        <v>150</v>
      </c>
      <c r="H157">
        <f t="shared" ca="1" si="13"/>
        <v>1.7022992649897956E-2</v>
      </c>
    </row>
    <row r="158" spans="2:8" x14ac:dyDescent="0.3">
      <c r="B158" t="s">
        <v>842</v>
      </c>
      <c r="C158">
        <v>873.19</v>
      </c>
      <c r="D158">
        <f t="shared" si="12"/>
        <v>-3.100796377209563E-2</v>
      </c>
      <c r="E158">
        <v>1.1970257965115194E-2</v>
      </c>
      <c r="G158">
        <v>151</v>
      </c>
      <c r="H158">
        <f t="shared" ca="1" si="13"/>
        <v>7.9244282437493461E-3</v>
      </c>
    </row>
    <row r="159" spans="2:8" x14ac:dyDescent="0.3">
      <c r="B159" t="s">
        <v>782</v>
      </c>
      <c r="C159">
        <v>900.69</v>
      </c>
      <c r="D159">
        <f t="shared" si="12"/>
        <v>-0.49247216741103789</v>
      </c>
      <c r="E159">
        <v>1.1928437634093344E-2</v>
      </c>
      <c r="G159">
        <v>152</v>
      </c>
      <c r="H159">
        <f t="shared" ca="1" si="13"/>
        <v>-6.5166341112090093E-3</v>
      </c>
    </row>
    <row r="160" spans="2:8" x14ac:dyDescent="0.3">
      <c r="B160" t="s">
        <v>455</v>
      </c>
      <c r="C160" s="79">
        <v>1473.85</v>
      </c>
      <c r="D160">
        <f t="shared" si="12"/>
        <v>0.25450164407033166</v>
      </c>
      <c r="E160">
        <v>1.1862324798236635E-2</v>
      </c>
      <c r="G160">
        <v>153</v>
      </c>
      <c r="H160">
        <f t="shared" ca="1" si="13"/>
        <v>1.1898427849349977E-2</v>
      </c>
    </row>
    <row r="161" spans="2:8" x14ac:dyDescent="0.3">
      <c r="B161" t="s">
        <v>591</v>
      </c>
      <c r="C161" s="79">
        <v>1142.68</v>
      </c>
      <c r="D161">
        <f t="shared" si="12"/>
        <v>-0.23646154985423207</v>
      </c>
      <c r="E161">
        <v>1.1840396085090441E-2</v>
      </c>
      <c r="G161">
        <v>154</v>
      </c>
      <c r="H161">
        <f t="shared" ca="1" si="13"/>
        <v>1.3659333736175583E-2</v>
      </c>
    </row>
    <row r="162" spans="2:8" x14ac:dyDescent="0.3">
      <c r="B162" t="s">
        <v>469</v>
      </c>
      <c r="C162" s="79">
        <v>1447.5</v>
      </c>
      <c r="D162">
        <f t="shared" si="12"/>
        <v>0.42405127352166844</v>
      </c>
      <c r="E162">
        <v>1.1597212989702574E-2</v>
      </c>
      <c r="G162">
        <v>155</v>
      </c>
      <c r="H162">
        <f t="shared" ca="1" si="13"/>
        <v>4.6534518406676131E-3</v>
      </c>
    </row>
    <row r="163" spans="2:8" x14ac:dyDescent="0.3">
      <c r="B163" t="s">
        <v>744</v>
      </c>
      <c r="C163">
        <v>947.23</v>
      </c>
      <c r="D163">
        <f t="shared" si="12"/>
        <v>2.6736442554379351E-2</v>
      </c>
      <c r="E163">
        <v>1.1595317700174331E-2</v>
      </c>
      <c r="G163">
        <v>156</v>
      </c>
      <c r="H163">
        <f t="shared" ca="1" si="13"/>
        <v>5.9454082659149107E-4</v>
      </c>
    </row>
    <row r="164" spans="2:8" x14ac:dyDescent="0.3">
      <c r="B164" t="s">
        <v>794</v>
      </c>
      <c r="C164">
        <v>922.24</v>
      </c>
      <c r="D164">
        <f t="shared" si="12"/>
        <v>1.3152124445266597E-2</v>
      </c>
      <c r="E164">
        <v>1.153837982412753E-2</v>
      </c>
      <c r="G164">
        <v>157</v>
      </c>
      <c r="H164">
        <f t="shared" ca="1" si="13"/>
        <v>-8.2398515345921495E-3</v>
      </c>
    </row>
    <row r="165" spans="2:8" x14ac:dyDescent="0.3">
      <c r="B165" t="s">
        <v>1068</v>
      </c>
      <c r="C165">
        <v>910.19</v>
      </c>
      <c r="D165">
        <f t="shared" si="12"/>
        <v>0.26278734255918124</v>
      </c>
      <c r="E165">
        <v>1.1203051589122487E-2</v>
      </c>
      <c r="G165">
        <v>158</v>
      </c>
      <c r="H165">
        <f t="shared" ca="1" si="13"/>
        <v>-3.9857705771219783E-3</v>
      </c>
    </row>
    <row r="166" spans="2:8" x14ac:dyDescent="0.3">
      <c r="B166" t="s">
        <v>1030</v>
      </c>
      <c r="C166">
        <v>699.85</v>
      </c>
      <c r="D166">
        <f t="shared" si="12"/>
        <v>-0.55534659131884057</v>
      </c>
      <c r="E166">
        <v>1.1178919795551266E-2</v>
      </c>
      <c r="G166">
        <v>159</v>
      </c>
      <c r="H166">
        <f t="shared" ca="1" si="13"/>
        <v>-3.217215235017206E-2</v>
      </c>
    </row>
    <row r="167" spans="2:8" x14ac:dyDescent="0.3">
      <c r="B167" t="s">
        <v>520</v>
      </c>
      <c r="C167" s="79">
        <v>1219.52</v>
      </c>
      <c r="D167">
        <f t="shared" si="12"/>
        <v>0.15096325217504558</v>
      </c>
      <c r="E167">
        <v>1.1173116329658639E-2</v>
      </c>
      <c r="G167">
        <v>160</v>
      </c>
      <c r="H167">
        <f t="shared" ca="1" si="13"/>
        <v>6.7779810223250383E-3</v>
      </c>
    </row>
    <row r="168" spans="2:8" x14ac:dyDescent="0.3">
      <c r="B168" t="s">
        <v>726</v>
      </c>
      <c r="C168" s="79">
        <v>1048.6400000000001</v>
      </c>
      <c r="D168">
        <f t="shared" si="12"/>
        <v>-0.33152437156486803</v>
      </c>
      <c r="E168">
        <v>1.0950029347699531E-2</v>
      </c>
      <c r="G168">
        <v>161</v>
      </c>
      <c r="H168">
        <f t="shared" ca="1" si="13"/>
        <v>2.5772831777900584E-2</v>
      </c>
    </row>
    <row r="169" spans="2:8" x14ac:dyDescent="0.3">
      <c r="B169" t="s">
        <v>424</v>
      </c>
      <c r="C169" s="79">
        <v>1460.85</v>
      </c>
      <c r="D169">
        <f t="shared" si="12"/>
        <v>0.75715054013370631</v>
      </c>
      <c r="E169">
        <v>1.0874535051298911E-2</v>
      </c>
      <c r="G169">
        <v>162</v>
      </c>
      <c r="H169">
        <f t="shared" ca="1" si="13"/>
        <v>-1.4333110404524913E-2</v>
      </c>
    </row>
    <row r="170" spans="2:8" x14ac:dyDescent="0.3">
      <c r="B170" t="s">
        <v>1021</v>
      </c>
      <c r="C170">
        <v>685.14</v>
      </c>
      <c r="D170">
        <f t="shared" si="12"/>
        <v>-0.5619275520904804</v>
      </c>
      <c r="E170">
        <v>1.0770937768660768E-2</v>
      </c>
      <c r="G170">
        <v>163</v>
      </c>
      <c r="H170">
        <f t="shared" ca="1" si="13"/>
        <v>1.5400664727323585E-2</v>
      </c>
    </row>
    <row r="171" spans="2:8" x14ac:dyDescent="0.3">
      <c r="B171" t="s">
        <v>546</v>
      </c>
      <c r="C171" s="79">
        <v>1201.77</v>
      </c>
      <c r="D171">
        <f t="shared" si="12"/>
        <v>0.37656744271875081</v>
      </c>
      <c r="E171">
        <v>1.0632391040911765E-2</v>
      </c>
      <c r="G171">
        <v>164</v>
      </c>
      <c r="H171">
        <f t="shared" ca="1" si="13"/>
        <v>1.3244069692831503E-2</v>
      </c>
    </row>
    <row r="172" spans="2:8" x14ac:dyDescent="0.3">
      <c r="B172" t="s">
        <v>872</v>
      </c>
      <c r="C172">
        <v>824.67</v>
      </c>
      <c r="D172">
        <f t="shared" si="12"/>
        <v>-0.23343395438768552</v>
      </c>
      <c r="E172">
        <v>1.0617972158577441E-2</v>
      </c>
      <c r="G172">
        <v>165</v>
      </c>
      <c r="H172">
        <f t="shared" ca="1" si="13"/>
        <v>1.6252482067605895E-2</v>
      </c>
    </row>
    <row r="173" spans="2:8" x14ac:dyDescent="0.3">
      <c r="B173" t="s">
        <v>731</v>
      </c>
      <c r="C173" s="79">
        <v>1041.5</v>
      </c>
      <c r="D173">
        <f t="shared" si="12"/>
        <v>0.1535395687860045</v>
      </c>
      <c r="E173">
        <v>1.0588748712747474E-2</v>
      </c>
      <c r="G173">
        <v>166</v>
      </c>
      <c r="H173">
        <f t="shared" ca="1" si="13"/>
        <v>2.6151433802189272E-2</v>
      </c>
    </row>
    <row r="174" spans="2:8" x14ac:dyDescent="0.3">
      <c r="B174" t="s">
        <v>915</v>
      </c>
      <c r="C174">
        <v>893.26</v>
      </c>
      <c r="D174">
        <f t="shared" si="12"/>
        <v>-3.692483743421892E-2</v>
      </c>
      <c r="E174">
        <v>1.0579012860120191E-2</v>
      </c>
      <c r="G174">
        <v>167</v>
      </c>
      <c r="H174">
        <f t="shared" ca="1" si="13"/>
        <v>1.004284170783375E-2</v>
      </c>
    </row>
    <row r="175" spans="2:8" x14ac:dyDescent="0.3">
      <c r="B175" t="s">
        <v>796</v>
      </c>
      <c r="C175">
        <v>926.86</v>
      </c>
      <c r="D175">
        <f t="shared" si="12"/>
        <v>3.4118845755049587E-2</v>
      </c>
      <c r="E175">
        <v>1.0509687142895E-2</v>
      </c>
      <c r="G175">
        <v>168</v>
      </c>
      <c r="H175">
        <f t="shared" ca="1" si="13"/>
        <v>-1.8276420409757934E-2</v>
      </c>
    </row>
    <row r="176" spans="2:8" x14ac:dyDescent="0.3">
      <c r="B176" t="s">
        <v>1054</v>
      </c>
      <c r="C176">
        <v>895.77</v>
      </c>
      <c r="D176">
        <f t="shared" si="12"/>
        <v>-0.49900073485601038</v>
      </c>
      <c r="E176">
        <v>1.0492804678821514E-2</v>
      </c>
      <c r="G176">
        <v>169</v>
      </c>
      <c r="H176">
        <f t="shared" ca="1" si="13"/>
        <v>-1.3716178865474558E-3</v>
      </c>
    </row>
    <row r="177" spans="2:8" x14ac:dyDescent="0.3">
      <c r="B177" t="s">
        <v>436</v>
      </c>
      <c r="C177" s="79">
        <v>1475.4</v>
      </c>
      <c r="D177">
        <f t="shared" si="12"/>
        <v>7.3075148383463476E-2</v>
      </c>
      <c r="E177">
        <v>1.0458457758878069E-2</v>
      </c>
      <c r="G177">
        <v>170</v>
      </c>
      <c r="H177">
        <f t="shared" ca="1" si="13"/>
        <v>-3.1708692536166636E-2</v>
      </c>
    </row>
    <row r="178" spans="2:8" x14ac:dyDescent="0.3">
      <c r="B178" t="s">
        <v>481</v>
      </c>
      <c r="C178" s="79">
        <v>1371.43</v>
      </c>
      <c r="D178">
        <f t="shared" si="12"/>
        <v>4.1796817449159251E-2</v>
      </c>
      <c r="E178">
        <v>1.0371294007313788E-2</v>
      </c>
      <c r="G178">
        <v>171</v>
      </c>
      <c r="H178">
        <f t="shared" ca="1" si="13"/>
        <v>-1.450814297394528E-2</v>
      </c>
    </row>
    <row r="179" spans="2:8" x14ac:dyDescent="0.3">
      <c r="B179" t="s">
        <v>506</v>
      </c>
      <c r="C179" s="79">
        <v>1315.29</v>
      </c>
      <c r="D179">
        <f t="shared" si="12"/>
        <v>0.38903041047632853</v>
      </c>
      <c r="E179">
        <v>1.0363024625764026E-2</v>
      </c>
      <c r="G179">
        <v>172</v>
      </c>
      <c r="H179">
        <f t="shared" ca="1" si="13"/>
        <v>-2.1318628138956661E-2</v>
      </c>
    </row>
    <row r="180" spans="2:8" x14ac:dyDescent="0.3">
      <c r="B180" t="s">
        <v>839</v>
      </c>
      <c r="C180">
        <v>891.39</v>
      </c>
      <c r="D180">
        <f t="shared" si="12"/>
        <v>-7.5884515087454663E-3</v>
      </c>
      <c r="E180">
        <v>1.0204572887342908E-2</v>
      </c>
      <c r="G180">
        <v>173</v>
      </c>
      <c r="H180">
        <f t="shared" ca="1" si="13"/>
        <v>-2.1298779476356935E-3</v>
      </c>
    </row>
    <row r="181" spans="2:8" x14ac:dyDescent="0.3">
      <c r="B181" t="s">
        <v>809</v>
      </c>
      <c r="C181">
        <v>898.18</v>
      </c>
      <c r="D181">
        <f t="shared" si="12"/>
        <v>6.1104874731021316E-2</v>
      </c>
      <c r="E181">
        <v>1.0183273433430038E-2</v>
      </c>
      <c r="G181">
        <v>174</v>
      </c>
      <c r="H181">
        <f t="shared" ca="1" si="13"/>
        <v>2.1725929553890705E-3</v>
      </c>
    </row>
    <row r="182" spans="2:8" x14ac:dyDescent="0.3">
      <c r="B182" t="s">
        <v>948</v>
      </c>
      <c r="C182">
        <v>844.94</v>
      </c>
      <c r="D182">
        <f t="shared" si="12"/>
        <v>-4.7202993855076779E-2</v>
      </c>
      <c r="E182">
        <v>1.018256365421861E-2</v>
      </c>
      <c r="G182">
        <v>175</v>
      </c>
      <c r="H182">
        <f t="shared" ca="1" si="13"/>
        <v>2.2443696885646403E-2</v>
      </c>
    </row>
    <row r="183" spans="2:8" x14ac:dyDescent="0.3">
      <c r="B183" t="s">
        <v>901</v>
      </c>
      <c r="C183">
        <v>885.78</v>
      </c>
      <c r="D183">
        <f t="shared" si="12"/>
        <v>-0.10103293718081757</v>
      </c>
      <c r="E183">
        <v>1.0155481837164136E-2</v>
      </c>
      <c r="G183">
        <v>176</v>
      </c>
      <c r="H183">
        <f t="shared" ca="1" si="13"/>
        <v>8.4244135403217426E-3</v>
      </c>
    </row>
    <row r="184" spans="2:8" x14ac:dyDescent="0.3">
      <c r="B184" t="s">
        <v>649</v>
      </c>
      <c r="C184">
        <v>979.95</v>
      </c>
      <c r="D184">
        <f t="shared" si="12"/>
        <v>4.9557334230157832E-2</v>
      </c>
      <c r="E184">
        <v>1.0092082825112732E-2</v>
      </c>
      <c r="G184">
        <v>177</v>
      </c>
      <c r="H184">
        <f t="shared" ca="1" si="13"/>
        <v>-1.7632845181857024E-2</v>
      </c>
    </row>
    <row r="185" spans="2:8" x14ac:dyDescent="0.3">
      <c r="B185" t="s">
        <v>906</v>
      </c>
      <c r="C185">
        <v>932.57</v>
      </c>
      <c r="D185">
        <f t="shared" si="12"/>
        <v>-8.9956768950383459E-2</v>
      </c>
      <c r="E185">
        <v>1.0076656427369381E-2</v>
      </c>
      <c r="G185">
        <v>178</v>
      </c>
      <c r="H185">
        <f t="shared" ca="1" si="13"/>
        <v>-2.9234943798087699E-3</v>
      </c>
    </row>
    <row r="186" spans="2:8" x14ac:dyDescent="0.3">
      <c r="B186" t="s">
        <v>687</v>
      </c>
      <c r="C186" s="79">
        <v>1020.35</v>
      </c>
      <c r="D186">
        <f t="shared" si="12"/>
        <v>-0.19516726650606353</v>
      </c>
      <c r="E186">
        <v>1.0036971544669928E-2</v>
      </c>
      <c r="G186">
        <v>179</v>
      </c>
      <c r="H186">
        <f t="shared" ca="1" si="13"/>
        <v>-3.5734684392458218E-3</v>
      </c>
    </row>
    <row r="187" spans="2:8" x14ac:dyDescent="0.3">
      <c r="B187" t="s">
        <v>375</v>
      </c>
      <c r="C187" s="79">
        <v>1240.25</v>
      </c>
      <c r="D187">
        <f t="shared" si="12"/>
        <v>0.27014937810485495</v>
      </c>
      <c r="E187">
        <v>9.8854266905914392E-3</v>
      </c>
      <c r="G187">
        <v>180</v>
      </c>
      <c r="H187">
        <f t="shared" ca="1" si="13"/>
        <v>1.1838696933613391E-2</v>
      </c>
    </row>
    <row r="188" spans="2:8" x14ac:dyDescent="0.3">
      <c r="B188" t="s">
        <v>771</v>
      </c>
      <c r="C188">
        <v>946.64</v>
      </c>
      <c r="D188">
        <f t="shared" si="12"/>
        <v>7.0341403822395523E-2</v>
      </c>
      <c r="E188">
        <v>9.8194554491649044E-3</v>
      </c>
      <c r="G188">
        <v>181</v>
      </c>
      <c r="H188">
        <f t="shared" ca="1" si="13"/>
        <v>3.6326223868590982E-2</v>
      </c>
    </row>
    <row r="189" spans="2:8" x14ac:dyDescent="0.3">
      <c r="B189" t="s">
        <v>832</v>
      </c>
      <c r="C189">
        <v>882.34</v>
      </c>
      <c r="D189">
        <f t="shared" si="12"/>
        <v>-0.26987537792549426</v>
      </c>
      <c r="E189">
        <v>9.8060658104964747E-3</v>
      </c>
      <c r="G189">
        <v>182</v>
      </c>
      <c r="H189">
        <f t="shared" ca="1" si="13"/>
        <v>-1.0686823728472588E-3</v>
      </c>
    </row>
    <row r="190" spans="2:8" x14ac:dyDescent="0.3">
      <c r="B190" t="s">
        <v>582</v>
      </c>
      <c r="C190" s="79">
        <v>1155.69</v>
      </c>
      <c r="D190">
        <f t="shared" si="12"/>
        <v>0.20417160219380648</v>
      </c>
      <c r="E190">
        <v>9.7209703850216923E-3</v>
      </c>
      <c r="G190">
        <v>183</v>
      </c>
      <c r="H190">
        <f t="shared" ca="1" si="13"/>
        <v>-1.6344343301013909E-2</v>
      </c>
    </row>
    <row r="191" spans="2:8" x14ac:dyDescent="0.3">
      <c r="B191" t="s">
        <v>1071</v>
      </c>
      <c r="C191">
        <v>942.26</v>
      </c>
      <c r="D191">
        <f t="shared" si="12"/>
        <v>-5.2147258610080759E-2</v>
      </c>
      <c r="E191">
        <v>9.5974120058775966E-3</v>
      </c>
      <c r="G191">
        <v>184</v>
      </c>
      <c r="H191">
        <f t="shared" ca="1" si="13"/>
        <v>-2.8629993900159323E-4</v>
      </c>
    </row>
    <row r="192" spans="2:8" x14ac:dyDescent="0.3">
      <c r="B192" t="s">
        <v>741</v>
      </c>
      <c r="C192">
        <v>992.7</v>
      </c>
      <c r="D192">
        <f t="shared" si="12"/>
        <v>0.19130710689979874</v>
      </c>
      <c r="E192">
        <v>9.5650922837572459E-3</v>
      </c>
      <c r="G192">
        <v>185</v>
      </c>
      <c r="H192">
        <f t="shared" ca="1" si="13"/>
        <v>-8.5174453802499463E-3</v>
      </c>
    </row>
    <row r="193" spans="2:8" x14ac:dyDescent="0.3">
      <c r="B193" t="s">
        <v>1044</v>
      </c>
      <c r="C193">
        <v>819.85</v>
      </c>
      <c r="D193">
        <f t="shared" si="12"/>
        <v>-0.2354189393282595</v>
      </c>
      <c r="E193">
        <v>9.4609708264327113E-3</v>
      </c>
      <c r="G193">
        <v>186</v>
      </c>
      <c r="H193">
        <f t="shared" ca="1" si="13"/>
        <v>9.2369621422639103E-3</v>
      </c>
    </row>
    <row r="194" spans="2:8" x14ac:dyDescent="0.3">
      <c r="B194" t="s">
        <v>722</v>
      </c>
      <c r="C194" s="79">
        <v>1037.47</v>
      </c>
      <c r="D194">
        <f t="shared" si="12"/>
        <v>-5.9833357558983023E-2</v>
      </c>
      <c r="E194">
        <v>9.38392069406087E-3</v>
      </c>
      <c r="G194">
        <v>187</v>
      </c>
      <c r="H194">
        <f t="shared" ca="1" si="13"/>
        <v>1.668707381135856E-2</v>
      </c>
    </row>
    <row r="195" spans="2:8" x14ac:dyDescent="0.3">
      <c r="B195" t="s">
        <v>601</v>
      </c>
      <c r="C195" s="79">
        <v>1101.44</v>
      </c>
      <c r="D195">
        <f t="shared" si="12"/>
        <v>0.36270861174272184</v>
      </c>
      <c r="E195">
        <v>9.3770640572980648E-3</v>
      </c>
      <c r="G195">
        <v>188</v>
      </c>
      <c r="H195">
        <f t="shared" ca="1" si="13"/>
        <v>-2.4966246447052476E-2</v>
      </c>
    </row>
    <row r="196" spans="2:8" x14ac:dyDescent="0.3">
      <c r="B196" t="s">
        <v>1038</v>
      </c>
      <c r="C196">
        <v>766.37</v>
      </c>
      <c r="D196">
        <f t="shared" si="12"/>
        <v>-0.35333154768542374</v>
      </c>
      <c r="E196">
        <v>9.3603200461466751E-3</v>
      </c>
      <c r="G196">
        <v>189</v>
      </c>
      <c r="H196">
        <f t="shared" ca="1" si="13"/>
        <v>8.7201197073475852E-3</v>
      </c>
    </row>
    <row r="197" spans="2:8" x14ac:dyDescent="0.3">
      <c r="B197" t="s">
        <v>602</v>
      </c>
      <c r="C197" s="79">
        <v>1091.1600000000001</v>
      </c>
      <c r="D197">
        <f t="shared" si="12"/>
        <v>0.15267627332919162</v>
      </c>
      <c r="E197">
        <v>9.2438097219574699E-3</v>
      </c>
      <c r="G197">
        <v>190</v>
      </c>
      <c r="H197">
        <f t="shared" ca="1" si="13"/>
        <v>-1.6938309483072383E-2</v>
      </c>
    </row>
    <row r="198" spans="2:8" x14ac:dyDescent="0.3">
      <c r="B198" t="s">
        <v>774</v>
      </c>
      <c r="C198">
        <v>936.66</v>
      </c>
      <c r="D198">
        <f t="shared" si="12"/>
        <v>0.3139970082758417</v>
      </c>
      <c r="E198">
        <v>9.1916453543326362E-3</v>
      </c>
      <c r="G198">
        <v>191</v>
      </c>
      <c r="H198">
        <f t="shared" ca="1" si="13"/>
        <v>-4.1390552249251584E-3</v>
      </c>
    </row>
    <row r="199" spans="2:8" x14ac:dyDescent="0.3">
      <c r="B199" t="s">
        <v>1018</v>
      </c>
      <c r="C199">
        <v>684.25</v>
      </c>
      <c r="D199">
        <f t="shared" si="12"/>
        <v>-0.44095027103976564</v>
      </c>
      <c r="E199">
        <v>9.1760599803928384E-3</v>
      </c>
      <c r="G199">
        <v>192</v>
      </c>
      <c r="H199">
        <f t="shared" ca="1" si="13"/>
        <v>-1.8035208935025686E-2</v>
      </c>
    </row>
    <row r="200" spans="2:8" x14ac:dyDescent="0.3">
      <c r="B200" t="s">
        <v>710</v>
      </c>
      <c r="C200" s="79">
        <v>1063.45</v>
      </c>
      <c r="D200">
        <f t="shared" ref="D200:D263" si="14">LN(C200/C201)</f>
        <v>0.21986949613379236</v>
      </c>
      <c r="E200">
        <v>9.1536197725545498E-3</v>
      </c>
      <c r="G200">
        <v>193</v>
      </c>
      <c r="H200">
        <f t="shared" ca="1" si="13"/>
        <v>-4.7536183756828904E-3</v>
      </c>
    </row>
    <row r="201" spans="2:8" x14ac:dyDescent="0.3">
      <c r="B201" t="s">
        <v>942</v>
      </c>
      <c r="C201">
        <v>853.55</v>
      </c>
      <c r="D201">
        <f t="shared" si="14"/>
        <v>7.0542882622665771E-3</v>
      </c>
      <c r="E201">
        <v>9.0266172529771642E-3</v>
      </c>
      <c r="G201">
        <v>194</v>
      </c>
      <c r="H201">
        <f t="shared" ref="H201:H264" ca="1" si="15">_xlfn.NORM.INV(RAND(),$N$10,$N$11)</f>
        <v>-4.1950186645777227E-3</v>
      </c>
    </row>
    <row r="202" spans="2:8" x14ac:dyDescent="0.3">
      <c r="B202" t="s">
        <v>933</v>
      </c>
      <c r="C202">
        <v>847.55</v>
      </c>
      <c r="D202">
        <f t="shared" si="14"/>
        <v>-8.4238771998981499E-2</v>
      </c>
      <c r="E202">
        <v>8.8050957873886636E-3</v>
      </c>
      <c r="G202">
        <v>195</v>
      </c>
      <c r="H202">
        <f t="shared" ca="1" si="15"/>
        <v>5.6040110406351609E-3</v>
      </c>
    </row>
    <row r="203" spans="2:8" x14ac:dyDescent="0.3">
      <c r="B203" t="s">
        <v>1063</v>
      </c>
      <c r="C203">
        <v>922.04</v>
      </c>
      <c r="D203">
        <f t="shared" si="14"/>
        <v>-0.10856780876659933</v>
      </c>
      <c r="E203">
        <v>8.681451608657572E-3</v>
      </c>
      <c r="G203">
        <v>196</v>
      </c>
      <c r="H203">
        <f t="shared" ca="1" si="15"/>
        <v>-1.1207466281932543E-2</v>
      </c>
    </row>
    <row r="204" spans="2:8" x14ac:dyDescent="0.3">
      <c r="B204" t="s">
        <v>723</v>
      </c>
      <c r="C204" s="79">
        <v>1027.78</v>
      </c>
      <c r="D204">
        <f t="shared" si="14"/>
        <v>-0.19869006637020575</v>
      </c>
      <c r="E204">
        <v>8.6088231688018352E-3</v>
      </c>
      <c r="G204">
        <v>197</v>
      </c>
      <c r="H204">
        <f t="shared" ca="1" si="15"/>
        <v>-1.0337355006261121E-2</v>
      </c>
    </row>
    <row r="205" spans="2:8" x14ac:dyDescent="0.3">
      <c r="B205" t="s">
        <v>558</v>
      </c>
      <c r="C205" s="79">
        <v>1253.69</v>
      </c>
      <c r="D205">
        <f t="shared" si="14"/>
        <v>8.1185987934622353E-2</v>
      </c>
      <c r="E205">
        <v>8.595570916536217E-3</v>
      </c>
      <c r="G205">
        <v>198</v>
      </c>
      <c r="H205">
        <f t="shared" ca="1" si="15"/>
        <v>7.5044881517560939E-3</v>
      </c>
    </row>
    <row r="206" spans="2:8" x14ac:dyDescent="0.3">
      <c r="B206" t="s">
        <v>597</v>
      </c>
      <c r="C206" s="79">
        <v>1155.93</v>
      </c>
      <c r="D206">
        <f t="shared" si="14"/>
        <v>0.43248062625712114</v>
      </c>
      <c r="E206">
        <v>8.5054399035287605E-3</v>
      </c>
      <c r="G206">
        <v>199</v>
      </c>
      <c r="H206">
        <f t="shared" ca="1" si="15"/>
        <v>-2.033018949915387E-2</v>
      </c>
    </row>
    <row r="207" spans="2:8" x14ac:dyDescent="0.3">
      <c r="B207" t="s">
        <v>995</v>
      </c>
      <c r="C207">
        <v>750.08</v>
      </c>
      <c r="D207">
        <f t="shared" si="14"/>
        <v>-0.19195618391893687</v>
      </c>
      <c r="E207">
        <v>8.4345753277251523E-3</v>
      </c>
      <c r="G207">
        <v>200</v>
      </c>
      <c r="H207">
        <f t="shared" ca="1" si="15"/>
        <v>1.4721145704734313E-4</v>
      </c>
    </row>
    <row r="208" spans="2:8" x14ac:dyDescent="0.3">
      <c r="B208" t="s">
        <v>789</v>
      </c>
      <c r="C208">
        <v>908.81</v>
      </c>
      <c r="D208">
        <f t="shared" si="14"/>
        <v>-0.15445401327555416</v>
      </c>
      <c r="E208">
        <v>8.4310357476921772E-3</v>
      </c>
      <c r="G208">
        <v>201</v>
      </c>
      <c r="H208">
        <f t="shared" ca="1" si="15"/>
        <v>2.6281142267633083E-2</v>
      </c>
    </row>
    <row r="209" spans="2:8" x14ac:dyDescent="0.3">
      <c r="B209" t="s">
        <v>720</v>
      </c>
      <c r="C209" s="79">
        <v>1060.5999999999999</v>
      </c>
      <c r="D209">
        <f t="shared" si="14"/>
        <v>6.5970182221903886E-2</v>
      </c>
      <c r="E209">
        <v>8.3888502405190819E-3</v>
      </c>
      <c r="G209">
        <v>202</v>
      </c>
      <c r="H209">
        <f t="shared" ca="1" si="15"/>
        <v>-8.3997260737434642E-3</v>
      </c>
    </row>
    <row r="210" spans="2:8" x14ac:dyDescent="0.3">
      <c r="B210" t="s">
        <v>677</v>
      </c>
      <c r="C210">
        <v>992.89</v>
      </c>
      <c r="D210">
        <f t="shared" si="14"/>
        <v>-0.3752793195428934</v>
      </c>
      <c r="E210">
        <v>8.3539463951213307E-3</v>
      </c>
      <c r="G210">
        <v>203</v>
      </c>
      <c r="H210">
        <f t="shared" ca="1" si="15"/>
        <v>-1.3993776788905985E-2</v>
      </c>
    </row>
    <row r="211" spans="2:8" x14ac:dyDescent="0.3">
      <c r="B211" t="s">
        <v>425</v>
      </c>
      <c r="C211" s="79">
        <v>1445.05</v>
      </c>
      <c r="D211">
        <f t="shared" si="14"/>
        <v>0.50997249943479128</v>
      </c>
      <c r="E211">
        <v>8.3039929599933553E-3</v>
      </c>
      <c r="G211">
        <v>204</v>
      </c>
      <c r="H211">
        <f t="shared" ca="1" si="15"/>
        <v>-1.9419213058890949E-2</v>
      </c>
    </row>
    <row r="212" spans="2:8" x14ac:dyDescent="0.3">
      <c r="B212" t="s">
        <v>834</v>
      </c>
      <c r="C212">
        <v>867.77</v>
      </c>
      <c r="D212">
        <f t="shared" si="14"/>
        <v>8.3085020523781493E-3</v>
      </c>
      <c r="E212">
        <v>8.2504040642952855E-3</v>
      </c>
      <c r="G212">
        <v>205</v>
      </c>
      <c r="H212">
        <f t="shared" ca="1" si="15"/>
        <v>5.2917104409533526E-3</v>
      </c>
    </row>
    <row r="213" spans="2:8" x14ac:dyDescent="0.3">
      <c r="B213" t="s">
        <v>941</v>
      </c>
      <c r="C213">
        <v>860.59</v>
      </c>
      <c r="D213">
        <f t="shared" si="14"/>
        <v>-0.10012717069100759</v>
      </c>
      <c r="E213">
        <v>8.2140777100876902E-3</v>
      </c>
      <c r="G213">
        <v>206</v>
      </c>
      <c r="H213">
        <f t="shared" ca="1" si="15"/>
        <v>-6.9536695151911354E-3</v>
      </c>
    </row>
    <row r="214" spans="2:8" x14ac:dyDescent="0.3">
      <c r="B214" t="s">
        <v>769</v>
      </c>
      <c r="C214">
        <v>951.22</v>
      </c>
      <c r="D214">
        <f t="shared" si="14"/>
        <v>9.0114600339886233E-2</v>
      </c>
      <c r="E214">
        <v>8.1066119813960856E-3</v>
      </c>
      <c r="G214">
        <v>207</v>
      </c>
      <c r="H214">
        <f t="shared" ca="1" si="15"/>
        <v>1.2397020476226572E-2</v>
      </c>
    </row>
    <row r="215" spans="2:8" x14ac:dyDescent="0.3">
      <c r="B215" t="s">
        <v>939</v>
      </c>
      <c r="C215">
        <v>869.25</v>
      </c>
      <c r="D215">
        <f t="shared" si="14"/>
        <v>-7.4315847337336816E-2</v>
      </c>
      <c r="E215">
        <v>8.0159361049025515E-3</v>
      </c>
      <c r="G215">
        <v>208</v>
      </c>
      <c r="H215">
        <f t="shared" ca="1" si="15"/>
        <v>2.7472944881864313E-3</v>
      </c>
    </row>
    <row r="216" spans="2:8" x14ac:dyDescent="0.3">
      <c r="B216" t="s">
        <v>745</v>
      </c>
      <c r="C216">
        <v>936.31</v>
      </c>
      <c r="D216">
        <f t="shared" si="14"/>
        <v>7.9670589065570022E-3</v>
      </c>
      <c r="E216">
        <v>7.9670589065570022E-3</v>
      </c>
      <c r="G216">
        <v>209</v>
      </c>
      <c r="H216">
        <f t="shared" ca="1" si="15"/>
        <v>-4.9750500221567774E-2</v>
      </c>
    </row>
    <row r="217" spans="2:8" x14ac:dyDescent="0.3">
      <c r="B217" t="s">
        <v>746</v>
      </c>
      <c r="C217">
        <v>928.88</v>
      </c>
      <c r="D217">
        <f t="shared" si="14"/>
        <v>-7.0981820358991435E-2</v>
      </c>
      <c r="E217">
        <v>7.8682693771239803E-3</v>
      </c>
      <c r="G217">
        <v>210</v>
      </c>
      <c r="H217">
        <f t="shared" ca="1" si="15"/>
        <v>1.0693554215537493E-2</v>
      </c>
    </row>
    <row r="218" spans="2:8" x14ac:dyDescent="0.3">
      <c r="B218" t="s">
        <v>625</v>
      </c>
      <c r="C218">
        <v>997.21</v>
      </c>
      <c r="D218">
        <f t="shared" si="14"/>
        <v>-0.31701322341670635</v>
      </c>
      <c r="E218">
        <v>7.7616146351218007E-3</v>
      </c>
      <c r="G218">
        <v>211</v>
      </c>
      <c r="H218">
        <f t="shared" ca="1" si="15"/>
        <v>-3.0311368396586527E-3</v>
      </c>
    </row>
    <row r="219" spans="2:8" x14ac:dyDescent="0.3">
      <c r="B219" t="s">
        <v>476</v>
      </c>
      <c r="C219" s="79">
        <v>1369.19</v>
      </c>
      <c r="D219">
        <f t="shared" si="14"/>
        <v>0.30786952681356178</v>
      </c>
      <c r="E219">
        <v>7.705683925406279E-3</v>
      </c>
      <c r="G219">
        <v>212</v>
      </c>
      <c r="H219">
        <f t="shared" ca="1" si="15"/>
        <v>-2.2460546608928912E-2</v>
      </c>
    </row>
    <row r="220" spans="2:8" x14ac:dyDescent="0.3">
      <c r="B220" t="s">
        <v>735</v>
      </c>
      <c r="C220" s="79">
        <v>1006.37</v>
      </c>
      <c r="D220">
        <f t="shared" si="14"/>
        <v>0.32078660705935019</v>
      </c>
      <c r="E220">
        <v>7.6506430317976552E-3</v>
      </c>
      <c r="G220">
        <v>213</v>
      </c>
      <c r="H220">
        <f t="shared" ca="1" si="15"/>
        <v>-4.4040330333145021E-3</v>
      </c>
    </row>
    <row r="221" spans="2:8" x14ac:dyDescent="0.3">
      <c r="B221" t="s">
        <v>966</v>
      </c>
      <c r="C221">
        <v>730.2</v>
      </c>
      <c r="D221">
        <f t="shared" si="14"/>
        <v>-0.35943885568038514</v>
      </c>
      <c r="E221">
        <v>7.6296895530111953E-3</v>
      </c>
      <c r="G221">
        <v>214</v>
      </c>
      <c r="H221">
        <f t="shared" ca="1" si="15"/>
        <v>3.9673536316401229E-3</v>
      </c>
    </row>
    <row r="222" spans="2:8" x14ac:dyDescent="0.3">
      <c r="B222" t="s">
        <v>707</v>
      </c>
      <c r="C222" s="79">
        <v>1046.03</v>
      </c>
      <c r="D222">
        <f t="shared" si="14"/>
        <v>4.428230499543561E-2</v>
      </c>
      <c r="E222">
        <v>7.5521304729465359E-3</v>
      </c>
      <c r="G222">
        <v>215</v>
      </c>
      <c r="H222">
        <f t="shared" ca="1" si="15"/>
        <v>-2.3087055648676504E-3</v>
      </c>
    </row>
    <row r="223" spans="2:8" x14ac:dyDescent="0.3">
      <c r="B223" t="s">
        <v>737</v>
      </c>
      <c r="C223" s="79">
        <v>1000.72</v>
      </c>
      <c r="D223">
        <f t="shared" si="14"/>
        <v>-0.2599893082760022</v>
      </c>
      <c r="E223">
        <v>7.4523541877807506E-3</v>
      </c>
      <c r="G223">
        <v>216</v>
      </c>
      <c r="H223">
        <f t="shared" ca="1" si="15"/>
        <v>-3.3837484799516072E-2</v>
      </c>
    </row>
    <row r="224" spans="2:8" x14ac:dyDescent="0.3">
      <c r="B224" t="s">
        <v>510</v>
      </c>
      <c r="C224" s="79">
        <v>1297.8499999999999</v>
      </c>
      <c r="D224">
        <f t="shared" si="14"/>
        <v>-0.12646309150148793</v>
      </c>
      <c r="E224">
        <v>7.4398660315976167E-3</v>
      </c>
      <c r="G224">
        <v>217</v>
      </c>
      <c r="H224">
        <f t="shared" ca="1" si="15"/>
        <v>-2.9821231569225632E-2</v>
      </c>
    </row>
    <row r="225" spans="2:8" x14ac:dyDescent="0.3">
      <c r="B225" t="s">
        <v>461</v>
      </c>
      <c r="C225" s="79">
        <v>1472.81</v>
      </c>
      <c r="D225">
        <f t="shared" si="14"/>
        <v>0.42961002339980681</v>
      </c>
      <c r="E225">
        <v>7.4009796854784824E-3</v>
      </c>
      <c r="G225">
        <v>218</v>
      </c>
      <c r="H225">
        <f t="shared" ca="1" si="15"/>
        <v>2.6211363006178556E-2</v>
      </c>
    </row>
    <row r="226" spans="2:8" x14ac:dyDescent="0.3">
      <c r="B226" t="s">
        <v>654</v>
      </c>
      <c r="C226">
        <v>958.45</v>
      </c>
      <c r="D226">
        <f t="shared" si="14"/>
        <v>-0.37746622025560705</v>
      </c>
      <c r="E226">
        <v>7.3092392094968794E-3</v>
      </c>
      <c r="G226">
        <v>219</v>
      </c>
      <c r="H226">
        <f t="shared" ca="1" si="15"/>
        <v>-5.1439212430300953E-3</v>
      </c>
    </row>
    <row r="227" spans="2:8" x14ac:dyDescent="0.3">
      <c r="B227" t="s">
        <v>489</v>
      </c>
      <c r="C227" s="79">
        <v>1397.98</v>
      </c>
      <c r="D227">
        <f t="shared" si="14"/>
        <v>0.46686973046506308</v>
      </c>
      <c r="E227">
        <v>7.2221140217037681E-3</v>
      </c>
      <c r="G227">
        <v>220</v>
      </c>
      <c r="H227">
        <f t="shared" ca="1" si="15"/>
        <v>-2.866270910081543E-2</v>
      </c>
    </row>
    <row r="228" spans="2:8" x14ac:dyDescent="0.3">
      <c r="B228" t="s">
        <v>836</v>
      </c>
      <c r="C228">
        <v>876.48</v>
      </c>
      <c r="D228">
        <f t="shared" si="14"/>
        <v>-0.14526094656688879</v>
      </c>
      <c r="E228">
        <v>7.2137992744996417E-3</v>
      </c>
      <c r="G228">
        <v>221</v>
      </c>
      <c r="H228">
        <f t="shared" ca="1" si="15"/>
        <v>-1.440722962247006E-2</v>
      </c>
    </row>
    <row r="229" spans="2:8" x14ac:dyDescent="0.3">
      <c r="B229" t="s">
        <v>734</v>
      </c>
      <c r="C229" s="79">
        <v>1013.51</v>
      </c>
      <c r="D229">
        <f t="shared" si="14"/>
        <v>0.10898376572725325</v>
      </c>
      <c r="E229">
        <v>7.0697563607153386E-3</v>
      </c>
      <c r="G229">
        <v>222</v>
      </c>
      <c r="H229">
        <f t="shared" ca="1" si="15"/>
        <v>8.1042983816158789E-3</v>
      </c>
    </row>
    <row r="230" spans="2:8" x14ac:dyDescent="0.3">
      <c r="B230" t="s">
        <v>819</v>
      </c>
      <c r="C230">
        <v>908.86</v>
      </c>
      <c r="D230">
        <f t="shared" si="14"/>
        <v>-9.8200733388918007E-2</v>
      </c>
      <c r="E230">
        <v>7.0112964362892619E-3</v>
      </c>
      <c r="G230">
        <v>223</v>
      </c>
      <c r="H230">
        <f t="shared" ca="1" si="15"/>
        <v>3.3781891273579237E-2</v>
      </c>
    </row>
    <row r="231" spans="2:8" x14ac:dyDescent="0.3">
      <c r="B231" t="s">
        <v>695</v>
      </c>
      <c r="C231" s="79">
        <v>1002.64</v>
      </c>
      <c r="D231">
        <f t="shared" si="14"/>
        <v>-0.40960557106605844</v>
      </c>
      <c r="E231">
        <v>6.9960100985826442E-3</v>
      </c>
      <c r="G231">
        <v>224</v>
      </c>
      <c r="H231">
        <f t="shared" ca="1" si="15"/>
        <v>1.266625853591845E-2</v>
      </c>
    </row>
    <row r="232" spans="2:8" x14ac:dyDescent="0.3">
      <c r="B232" t="s">
        <v>430</v>
      </c>
      <c r="C232" s="79">
        <v>1510.2</v>
      </c>
      <c r="D232">
        <f t="shared" si="14"/>
        <v>3.5546897775137511E-2</v>
      </c>
      <c r="E232">
        <v>6.9436648361227097E-3</v>
      </c>
      <c r="G232">
        <v>225</v>
      </c>
      <c r="H232">
        <f t="shared" ca="1" si="15"/>
        <v>-2.5907524451473898E-2</v>
      </c>
    </row>
    <row r="233" spans="2:8" x14ac:dyDescent="0.3">
      <c r="B233" t="s">
        <v>468</v>
      </c>
      <c r="C233" s="79">
        <v>1457.46</v>
      </c>
      <c r="D233">
        <f t="shared" si="14"/>
        <v>0.51167907015077652</v>
      </c>
      <c r="E233">
        <v>6.8572641470373077E-3</v>
      </c>
      <c r="G233">
        <v>226</v>
      </c>
      <c r="H233">
        <f t="shared" ca="1" si="15"/>
        <v>-2.8093334371460782E-3</v>
      </c>
    </row>
    <row r="234" spans="2:8" x14ac:dyDescent="0.3">
      <c r="B234" t="s">
        <v>833</v>
      </c>
      <c r="C234">
        <v>873.73</v>
      </c>
      <c r="D234">
        <f t="shared" si="14"/>
        <v>-0.14440931618588104</v>
      </c>
      <c r="E234">
        <v>6.8447008541835004E-3</v>
      </c>
      <c r="G234">
        <v>227</v>
      </c>
      <c r="H234">
        <f t="shared" ca="1" si="15"/>
        <v>6.9263396645410291E-3</v>
      </c>
    </row>
    <row r="235" spans="2:8" x14ac:dyDescent="0.3">
      <c r="B235" t="s">
        <v>694</v>
      </c>
      <c r="C235" s="79">
        <v>1009.47</v>
      </c>
      <c r="D235">
        <f t="shared" si="14"/>
        <v>5.1446069909767821E-2</v>
      </c>
      <c r="E235">
        <v>6.7889193260255208E-3</v>
      </c>
      <c r="G235">
        <v>228</v>
      </c>
      <c r="H235">
        <f t="shared" ca="1" si="15"/>
        <v>5.6425448866131425E-3</v>
      </c>
    </row>
    <row r="236" spans="2:8" x14ac:dyDescent="0.3">
      <c r="B236" t="s">
        <v>757</v>
      </c>
      <c r="C236">
        <v>958.85</v>
      </c>
      <c r="D236">
        <f t="shared" si="14"/>
        <v>9.3638740185144259E-2</v>
      </c>
      <c r="E236">
        <v>6.7495351068168567E-3</v>
      </c>
      <c r="G236">
        <v>229</v>
      </c>
      <c r="H236">
        <f t="shared" ca="1" si="15"/>
        <v>-4.5951977983180511E-3</v>
      </c>
    </row>
    <row r="237" spans="2:8" x14ac:dyDescent="0.3">
      <c r="B237" t="s">
        <v>1056</v>
      </c>
      <c r="C237">
        <v>873.14</v>
      </c>
      <c r="D237">
        <f t="shared" si="14"/>
        <v>0.16525655204099354</v>
      </c>
      <c r="E237">
        <v>6.7340321813441194E-3</v>
      </c>
      <c r="G237">
        <v>230</v>
      </c>
      <c r="H237">
        <f t="shared" ca="1" si="15"/>
        <v>-6.4216647243639938E-3</v>
      </c>
    </row>
    <row r="238" spans="2:8" x14ac:dyDescent="0.3">
      <c r="B238" t="s">
        <v>1015</v>
      </c>
      <c r="C238">
        <v>740.14</v>
      </c>
      <c r="D238">
        <f t="shared" si="14"/>
        <v>-0.11971773347974174</v>
      </c>
      <c r="E238">
        <v>6.6695833398717833E-3</v>
      </c>
      <c r="G238">
        <v>231</v>
      </c>
      <c r="H238">
        <f t="shared" ca="1" si="15"/>
        <v>-2.9279539747332642E-3</v>
      </c>
    </row>
    <row r="239" spans="2:8" x14ac:dyDescent="0.3">
      <c r="B239" t="s">
        <v>857</v>
      </c>
      <c r="C239">
        <v>834.27</v>
      </c>
      <c r="D239">
        <f t="shared" si="14"/>
        <v>0.2074098030327331</v>
      </c>
      <c r="E239">
        <v>6.6264831808467619E-3</v>
      </c>
      <c r="G239">
        <v>232</v>
      </c>
      <c r="H239">
        <f t="shared" ca="1" si="15"/>
        <v>-3.1778762173554131E-2</v>
      </c>
    </row>
    <row r="240" spans="2:8" x14ac:dyDescent="0.3">
      <c r="B240" t="s">
        <v>1019</v>
      </c>
      <c r="C240">
        <v>678</v>
      </c>
      <c r="D240">
        <f t="shared" si="14"/>
        <v>-0.30010459245033799</v>
      </c>
      <c r="E240">
        <v>6.5553628211742071E-3</v>
      </c>
      <c r="G240">
        <v>233</v>
      </c>
      <c r="H240">
        <f t="shared" ca="1" si="15"/>
        <v>3.7057078600745419E-2</v>
      </c>
    </row>
    <row r="241" spans="2:8" x14ac:dyDescent="0.3">
      <c r="B241" t="s">
        <v>799</v>
      </c>
      <c r="C241">
        <v>915.3</v>
      </c>
      <c r="D241">
        <f t="shared" si="14"/>
        <v>-0.28939316096573731</v>
      </c>
      <c r="E241">
        <v>6.4668389998234731E-3</v>
      </c>
      <c r="G241">
        <v>234</v>
      </c>
      <c r="H241">
        <f t="shared" ca="1" si="15"/>
        <v>1.3931350477506554E-3</v>
      </c>
    </row>
    <row r="242" spans="2:8" x14ac:dyDescent="0.3">
      <c r="B242" t="s">
        <v>565</v>
      </c>
      <c r="C242" s="79">
        <v>1222.49</v>
      </c>
      <c r="D242">
        <f t="shared" si="14"/>
        <v>0.29532132827292396</v>
      </c>
      <c r="E242">
        <v>6.450258708479234E-3</v>
      </c>
      <c r="G242">
        <v>235</v>
      </c>
      <c r="H242">
        <f t="shared" ca="1" si="15"/>
        <v>-2.1366531810463597E-2</v>
      </c>
    </row>
    <row r="243" spans="2:8" x14ac:dyDescent="0.3">
      <c r="B243" t="s">
        <v>1065</v>
      </c>
      <c r="C243">
        <v>909.89</v>
      </c>
      <c r="D243">
        <f t="shared" si="14"/>
        <v>-7.1050343060678423E-2</v>
      </c>
      <c r="E243">
        <v>6.450105882664218E-3</v>
      </c>
      <c r="G243">
        <v>236</v>
      </c>
      <c r="H243">
        <f t="shared" ca="1" si="15"/>
        <v>2.6977330049509113E-2</v>
      </c>
    </row>
    <row r="244" spans="2:8" x14ac:dyDescent="0.3">
      <c r="B244" t="s">
        <v>630</v>
      </c>
      <c r="C244">
        <v>976.89</v>
      </c>
      <c r="D244">
        <f t="shared" si="14"/>
        <v>-0.22697491490740604</v>
      </c>
      <c r="E244">
        <v>6.3978036512122739E-3</v>
      </c>
      <c r="G244">
        <v>237</v>
      </c>
      <c r="H244">
        <f t="shared" ca="1" si="15"/>
        <v>-1.0715047647582522E-2</v>
      </c>
    </row>
    <row r="245" spans="2:8" x14ac:dyDescent="0.3">
      <c r="B245" t="s">
        <v>568</v>
      </c>
      <c r="C245" s="79">
        <v>1225.8</v>
      </c>
      <c r="D245">
        <f t="shared" si="14"/>
        <v>0.19939252932494633</v>
      </c>
      <c r="E245">
        <v>6.3917329961167202E-3</v>
      </c>
      <c r="G245">
        <v>238</v>
      </c>
      <c r="H245">
        <f t="shared" ca="1" si="15"/>
        <v>-2.540720259150709E-2</v>
      </c>
    </row>
    <row r="246" spans="2:8" x14ac:dyDescent="0.3">
      <c r="B246" t="s">
        <v>674</v>
      </c>
      <c r="C246" s="79">
        <v>1004.21</v>
      </c>
      <c r="D246">
        <f t="shared" si="14"/>
        <v>2.2530615265321722E-3</v>
      </c>
      <c r="E246">
        <v>6.2933498424357255E-3</v>
      </c>
      <c r="G246">
        <v>239</v>
      </c>
      <c r="H246">
        <f t="shared" ca="1" si="15"/>
        <v>1.5581790926726473E-2</v>
      </c>
    </row>
    <row r="247" spans="2:8" x14ac:dyDescent="0.3">
      <c r="B247" t="s">
        <v>739</v>
      </c>
      <c r="C247" s="79">
        <v>1001.95</v>
      </c>
      <c r="D247">
        <f t="shared" si="14"/>
        <v>0.17786222949536787</v>
      </c>
      <c r="E247">
        <v>6.2573728061143452E-3</v>
      </c>
      <c r="G247">
        <v>240</v>
      </c>
      <c r="H247">
        <f t="shared" ca="1" si="15"/>
        <v>-2.0525356978278318E-2</v>
      </c>
    </row>
    <row r="248" spans="2:8" x14ac:dyDescent="0.3">
      <c r="B248" t="s">
        <v>935</v>
      </c>
      <c r="C248">
        <v>838.69</v>
      </c>
      <c r="D248">
        <f t="shared" si="14"/>
        <v>-0.17237788312609775</v>
      </c>
      <c r="E248">
        <v>6.2314440027857621E-3</v>
      </c>
      <c r="G248">
        <v>241</v>
      </c>
      <c r="H248">
        <f t="shared" ca="1" si="15"/>
        <v>-9.9239265422068641E-3</v>
      </c>
    </row>
    <row r="249" spans="2:8" x14ac:dyDescent="0.3">
      <c r="B249" t="s">
        <v>620</v>
      </c>
      <c r="C249">
        <v>996.47</v>
      </c>
      <c r="D249">
        <f t="shared" si="14"/>
        <v>8.59837302874394E-2</v>
      </c>
      <c r="E249">
        <v>6.0697449939808371E-3</v>
      </c>
      <c r="G249">
        <v>242</v>
      </c>
      <c r="H249">
        <f t="shared" ca="1" si="15"/>
        <v>1.5534733347746483E-2</v>
      </c>
    </row>
    <row r="250" spans="2:8" x14ac:dyDescent="0.3">
      <c r="B250" t="s">
        <v>818</v>
      </c>
      <c r="C250">
        <v>914.37</v>
      </c>
      <c r="D250">
        <f t="shared" si="14"/>
        <v>2.4242403899972002E-2</v>
      </c>
      <c r="E250">
        <v>6.0442366290946918E-3</v>
      </c>
      <c r="G250">
        <v>243</v>
      </c>
      <c r="H250">
        <f t="shared" ca="1" si="15"/>
        <v>-1.6251287379518979E-3</v>
      </c>
    </row>
    <row r="251" spans="2:8" x14ac:dyDescent="0.3">
      <c r="B251" t="s">
        <v>917</v>
      </c>
      <c r="C251">
        <v>892.47</v>
      </c>
      <c r="D251">
        <f t="shared" si="14"/>
        <v>-3.1152211892529053E-2</v>
      </c>
      <c r="E251">
        <v>6.023911494185347E-3</v>
      </c>
      <c r="G251">
        <v>244</v>
      </c>
      <c r="H251">
        <f t="shared" ca="1" si="15"/>
        <v>1.7622436423667565E-2</v>
      </c>
    </row>
    <row r="252" spans="2:8" x14ac:dyDescent="0.3">
      <c r="B252" t="s">
        <v>798</v>
      </c>
      <c r="C252">
        <v>920.71</v>
      </c>
      <c r="D252">
        <f t="shared" si="14"/>
        <v>-0.25066375244238609</v>
      </c>
      <c r="E252">
        <v>5.8932311452670142E-3</v>
      </c>
      <c r="G252">
        <v>245</v>
      </c>
      <c r="H252">
        <f t="shared" ca="1" si="15"/>
        <v>1.3505013342951809E-2</v>
      </c>
    </row>
    <row r="253" spans="2:8" x14ac:dyDescent="0.3">
      <c r="B253" t="s">
        <v>389</v>
      </c>
      <c r="C253" s="79">
        <v>1183</v>
      </c>
      <c r="D253">
        <f t="shared" si="14"/>
        <v>0.14709476360503623</v>
      </c>
      <c r="E253">
        <v>5.7221730787974483E-3</v>
      </c>
      <c r="G253">
        <v>246</v>
      </c>
      <c r="H253">
        <f t="shared" ca="1" si="15"/>
        <v>-5.642752062562149E-3</v>
      </c>
    </row>
    <row r="254" spans="2:8" x14ac:dyDescent="0.3">
      <c r="B254" t="s">
        <v>712</v>
      </c>
      <c r="C254" s="79">
        <v>1021.18</v>
      </c>
      <c r="D254">
        <f t="shared" si="14"/>
        <v>-2.0605297686479073E-2</v>
      </c>
      <c r="E254">
        <v>5.6958947253010804E-3</v>
      </c>
      <c r="G254">
        <v>247</v>
      </c>
      <c r="H254">
        <f t="shared" ca="1" si="15"/>
        <v>-3.5351090209481843E-2</v>
      </c>
    </row>
    <row r="255" spans="2:8" x14ac:dyDescent="0.3">
      <c r="B255" t="s">
        <v>729</v>
      </c>
      <c r="C255" s="79">
        <v>1042.44</v>
      </c>
      <c r="D255">
        <f t="shared" si="14"/>
        <v>0.30131978888863431</v>
      </c>
      <c r="E255">
        <v>5.6758755152142648E-3</v>
      </c>
      <c r="G255">
        <v>248</v>
      </c>
      <c r="H255">
        <f t="shared" ca="1" si="15"/>
        <v>7.4503389527286745E-3</v>
      </c>
    </row>
    <row r="256" spans="2:8" x14ac:dyDescent="0.3">
      <c r="B256" t="s">
        <v>979</v>
      </c>
      <c r="C256">
        <v>771.24</v>
      </c>
      <c r="D256">
        <f t="shared" si="14"/>
        <v>-0.40479064181887975</v>
      </c>
      <c r="E256">
        <v>5.6301549756809632E-3</v>
      </c>
      <c r="G256">
        <v>249</v>
      </c>
      <c r="H256">
        <f t="shared" ca="1" si="15"/>
        <v>8.564082311145518E-3</v>
      </c>
    </row>
    <row r="257" spans="2:8" x14ac:dyDescent="0.3">
      <c r="B257" t="s">
        <v>528</v>
      </c>
      <c r="C257" s="79">
        <v>1156.08</v>
      </c>
      <c r="D257">
        <f t="shared" si="14"/>
        <v>-2.1707525655502099E-2</v>
      </c>
      <c r="E257">
        <v>5.6209162252598265E-3</v>
      </c>
      <c r="G257">
        <v>250</v>
      </c>
      <c r="H257">
        <f t="shared" ca="1" si="15"/>
        <v>-6.8757008757733395E-3</v>
      </c>
    </row>
    <row r="258" spans="2:8" x14ac:dyDescent="0.3">
      <c r="B258" t="s">
        <v>387</v>
      </c>
      <c r="C258" s="79">
        <v>1181.45</v>
      </c>
      <c r="D258">
        <f t="shared" si="14"/>
        <v>0.11298374501735024</v>
      </c>
      <c r="E258">
        <v>5.4743500673176682E-3</v>
      </c>
      <c r="G258">
        <v>251</v>
      </c>
      <c r="H258">
        <f t="shared" ca="1" si="15"/>
        <v>-1.3458677281995377E-2</v>
      </c>
    </row>
    <row r="259" spans="2:8" x14ac:dyDescent="0.3">
      <c r="B259" t="s">
        <v>717</v>
      </c>
      <c r="C259" s="79">
        <v>1055.23</v>
      </c>
      <c r="D259">
        <f t="shared" si="14"/>
        <v>0.13540274168660005</v>
      </c>
      <c r="E259">
        <v>5.425835855451931E-3</v>
      </c>
      <c r="G259">
        <v>252</v>
      </c>
      <c r="H259">
        <f t="shared" ca="1" si="15"/>
        <v>-1.5588421167669552E-2</v>
      </c>
    </row>
    <row r="260" spans="2:8" x14ac:dyDescent="0.3">
      <c r="B260" t="s">
        <v>747</v>
      </c>
      <c r="C260">
        <v>921.6</v>
      </c>
      <c r="D260">
        <f t="shared" si="14"/>
        <v>6.0691762742211282E-2</v>
      </c>
      <c r="E260">
        <v>5.4073887491409393E-3</v>
      </c>
      <c r="G260">
        <v>253</v>
      </c>
      <c r="H260">
        <f t="shared" ca="1" si="15"/>
        <v>1.792988185591016E-3</v>
      </c>
    </row>
    <row r="261" spans="2:8" x14ac:dyDescent="0.3">
      <c r="B261" t="s">
        <v>850</v>
      </c>
      <c r="C261">
        <v>867.33</v>
      </c>
      <c r="D261">
        <f t="shared" si="14"/>
        <v>-0.10798237391102487</v>
      </c>
      <c r="E261">
        <v>5.3988882518654713E-3</v>
      </c>
      <c r="G261">
        <v>254</v>
      </c>
      <c r="H261">
        <f t="shared" ca="1" si="15"/>
        <v>3.5692668895557243E-2</v>
      </c>
    </row>
    <row r="262" spans="2:8" x14ac:dyDescent="0.3">
      <c r="B262" t="s">
        <v>651</v>
      </c>
      <c r="C262">
        <v>966.23</v>
      </c>
      <c r="D262">
        <f t="shared" si="14"/>
        <v>1.256004847237557E-2</v>
      </c>
      <c r="E262">
        <v>5.3650591255496481E-3</v>
      </c>
      <c r="G262">
        <v>255</v>
      </c>
      <c r="H262">
        <f t="shared" ca="1" si="15"/>
        <v>1.1213059846652329E-2</v>
      </c>
    </row>
    <row r="263" spans="2:8" x14ac:dyDescent="0.3">
      <c r="B263" t="s">
        <v>766</v>
      </c>
      <c r="C263">
        <v>954.17</v>
      </c>
      <c r="D263">
        <f t="shared" si="14"/>
        <v>-4.9350454377489382E-2</v>
      </c>
      <c r="E263">
        <v>5.2223280764564072E-3</v>
      </c>
      <c r="G263">
        <v>256</v>
      </c>
      <c r="H263">
        <f t="shared" ca="1" si="15"/>
        <v>1.3029198367463668E-2</v>
      </c>
    </row>
    <row r="264" spans="2:8" x14ac:dyDescent="0.3">
      <c r="B264" t="s">
        <v>681</v>
      </c>
      <c r="C264" s="79">
        <v>1002.44</v>
      </c>
      <c r="D264">
        <f t="shared" ref="D264:D327" si="16">LN(C264/C265)</f>
        <v>-0.35077994400602336</v>
      </c>
      <c r="E264">
        <v>5.1707612794731862E-3</v>
      </c>
      <c r="G264">
        <v>257</v>
      </c>
      <c r="H264">
        <f t="shared" ca="1" si="15"/>
        <v>-9.1675102953105419E-3</v>
      </c>
    </row>
    <row r="265" spans="2:8" x14ac:dyDescent="0.3">
      <c r="B265" t="s">
        <v>493</v>
      </c>
      <c r="C265" s="79">
        <v>1423.64</v>
      </c>
      <c r="D265">
        <f t="shared" si="16"/>
        <v>0.40090624241488143</v>
      </c>
      <c r="E265">
        <v>5.1550135989476198E-3</v>
      </c>
      <c r="G265">
        <v>258</v>
      </c>
      <c r="H265">
        <f t="shared" ref="H265:H328" ca="1" si="17">_xlfn.NORM.INV(RAND(),$N$10,$N$11)</f>
        <v>1.3546099263423584E-3</v>
      </c>
    </row>
    <row r="266" spans="2:8" x14ac:dyDescent="0.3">
      <c r="B266" t="s">
        <v>762</v>
      </c>
      <c r="C266">
        <v>953.43</v>
      </c>
      <c r="D266">
        <f t="shared" si="16"/>
        <v>-7.2879320199004144E-2</v>
      </c>
      <c r="E266">
        <v>5.0682533676309613E-3</v>
      </c>
      <c r="G266">
        <v>259</v>
      </c>
      <c r="H266">
        <f t="shared" ca="1" si="17"/>
        <v>2.0833348426358048E-2</v>
      </c>
    </row>
    <row r="267" spans="2:8" x14ac:dyDescent="0.3">
      <c r="B267" t="s">
        <v>691</v>
      </c>
      <c r="C267" s="79">
        <v>1025.51</v>
      </c>
      <c r="D267">
        <f t="shared" si="16"/>
        <v>-0.10020835957076993</v>
      </c>
      <c r="E267">
        <v>5.0443441306057971E-3</v>
      </c>
      <c r="G267">
        <v>260</v>
      </c>
      <c r="H267">
        <f t="shared" ca="1" si="17"/>
        <v>9.0159278868585536E-3</v>
      </c>
    </row>
    <row r="268" spans="2:8" x14ac:dyDescent="0.3">
      <c r="B268" t="s">
        <v>372</v>
      </c>
      <c r="C268" s="79">
        <v>1133.5999999999999</v>
      </c>
      <c r="D268">
        <f t="shared" si="16"/>
        <v>0.34061099413234452</v>
      </c>
      <c r="E268">
        <v>5.0409127305994523E-3</v>
      </c>
      <c r="G268">
        <v>261</v>
      </c>
      <c r="H268">
        <f t="shared" ca="1" si="17"/>
        <v>3.7579826662075522E-3</v>
      </c>
    </row>
    <row r="269" spans="2:8" x14ac:dyDescent="0.3">
      <c r="B269" t="s">
        <v>866</v>
      </c>
      <c r="C269">
        <v>806.37</v>
      </c>
      <c r="D269">
        <f t="shared" si="16"/>
        <v>-0.11578996041356007</v>
      </c>
      <c r="E269">
        <v>5.0226996870252581E-3</v>
      </c>
      <c r="G269">
        <v>262</v>
      </c>
      <c r="H269">
        <f t="shared" ca="1" si="17"/>
        <v>-1.2461246713170311E-2</v>
      </c>
    </row>
    <row r="270" spans="2:8" x14ac:dyDescent="0.3">
      <c r="B270" t="s">
        <v>784</v>
      </c>
      <c r="C270">
        <v>905.36</v>
      </c>
      <c r="D270">
        <f t="shared" si="16"/>
        <v>-0.10148050543389485</v>
      </c>
      <c r="E270">
        <v>4.893991941544551E-3</v>
      </c>
      <c r="G270">
        <v>263</v>
      </c>
      <c r="H270">
        <f t="shared" ca="1" si="17"/>
        <v>-1.8854922478035451E-2</v>
      </c>
    </row>
    <row r="271" spans="2:8" x14ac:dyDescent="0.3">
      <c r="B271" t="s">
        <v>624</v>
      </c>
      <c r="C271" s="79">
        <v>1002.06</v>
      </c>
      <c r="D271">
        <f t="shared" si="16"/>
        <v>8.6483513111831084E-2</v>
      </c>
      <c r="E271">
        <v>4.8517804138389154E-3</v>
      </c>
      <c r="G271">
        <v>264</v>
      </c>
      <c r="H271">
        <f t="shared" ca="1" si="17"/>
        <v>-1.0432159055084643E-2</v>
      </c>
    </row>
    <row r="272" spans="2:8" x14ac:dyDescent="0.3">
      <c r="B272" t="s">
        <v>792</v>
      </c>
      <c r="C272">
        <v>919.04</v>
      </c>
      <c r="D272">
        <f t="shared" si="16"/>
        <v>-0.34467227126809913</v>
      </c>
      <c r="E272">
        <v>4.8319020740417214E-3</v>
      </c>
      <c r="G272">
        <v>265</v>
      </c>
      <c r="H272">
        <f t="shared" ca="1" si="17"/>
        <v>1.6059281225972565E-2</v>
      </c>
    </row>
    <row r="273" spans="2:8" x14ac:dyDescent="0.3">
      <c r="B273" t="s">
        <v>399</v>
      </c>
      <c r="C273" s="79">
        <v>1297.25</v>
      </c>
      <c r="D273">
        <f t="shared" si="16"/>
        <v>0.35009476329302969</v>
      </c>
      <c r="E273">
        <v>4.6746207321645208E-3</v>
      </c>
      <c r="G273">
        <v>266</v>
      </c>
      <c r="H273">
        <f t="shared" ca="1" si="17"/>
        <v>4.3637104574930537E-3</v>
      </c>
    </row>
    <row r="274" spans="2:8" x14ac:dyDescent="0.3">
      <c r="B274" t="s">
        <v>1064</v>
      </c>
      <c r="C274">
        <v>914.07</v>
      </c>
      <c r="D274">
        <f t="shared" si="16"/>
        <v>-0.12347630500730182</v>
      </c>
      <c r="E274">
        <v>4.5834418712723552E-3</v>
      </c>
      <c r="G274">
        <v>267</v>
      </c>
      <c r="H274">
        <f t="shared" ca="1" si="17"/>
        <v>-2.7320499164412336E-2</v>
      </c>
    </row>
    <row r="275" spans="2:8" x14ac:dyDescent="0.3">
      <c r="B275" t="s">
        <v>617</v>
      </c>
      <c r="C275" s="79">
        <v>1034.2</v>
      </c>
      <c r="D275">
        <f t="shared" si="16"/>
        <v>0.31244301716465861</v>
      </c>
      <c r="E275">
        <v>4.5063674079656385E-3</v>
      </c>
      <c r="G275">
        <v>268</v>
      </c>
      <c r="H275">
        <f t="shared" ca="1" si="17"/>
        <v>-3.5746734729481255E-2</v>
      </c>
    </row>
    <row r="276" spans="2:8" x14ac:dyDescent="0.3">
      <c r="B276" t="s">
        <v>975</v>
      </c>
      <c r="C276">
        <v>756.68</v>
      </c>
      <c r="D276">
        <f t="shared" si="16"/>
        <v>-0.52828868274491414</v>
      </c>
      <c r="E276">
        <v>4.5034381656053335E-3</v>
      </c>
      <c r="G276">
        <v>269</v>
      </c>
      <c r="H276">
        <f t="shared" ca="1" si="17"/>
        <v>1.4952060215448653E-2</v>
      </c>
    </row>
    <row r="277" spans="2:8" x14ac:dyDescent="0.3">
      <c r="B277" t="s">
        <v>397</v>
      </c>
      <c r="C277" s="79">
        <v>1283.3499999999999</v>
      </c>
      <c r="D277">
        <f t="shared" si="16"/>
        <v>7.6058499237281377E-2</v>
      </c>
      <c r="E277">
        <v>4.4905286415739517E-3</v>
      </c>
      <c r="G277">
        <v>270</v>
      </c>
      <c r="H277">
        <f t="shared" ca="1" si="17"/>
        <v>5.4656733938952939E-3</v>
      </c>
    </row>
    <row r="278" spans="2:8" x14ac:dyDescent="0.3">
      <c r="B278" t="s">
        <v>570</v>
      </c>
      <c r="C278" s="79">
        <v>1189.3599999999999</v>
      </c>
      <c r="D278">
        <f t="shared" si="16"/>
        <v>0.23701564206592729</v>
      </c>
      <c r="E278">
        <v>4.4576909871368829E-3</v>
      </c>
      <c r="G278">
        <v>271</v>
      </c>
      <c r="H278">
        <f t="shared" ca="1" si="17"/>
        <v>1.096775056122184E-2</v>
      </c>
    </row>
    <row r="279" spans="2:8" x14ac:dyDescent="0.3">
      <c r="B279" t="s">
        <v>1073</v>
      </c>
      <c r="C279">
        <v>938.38</v>
      </c>
      <c r="D279">
        <f t="shared" si="16"/>
        <v>2.1837775089143203E-2</v>
      </c>
      <c r="E279">
        <v>4.4216197039405178E-3</v>
      </c>
      <c r="G279">
        <v>272</v>
      </c>
      <c r="H279">
        <f t="shared" ca="1" si="17"/>
        <v>-2.1540100420225406E-2</v>
      </c>
    </row>
    <row r="280" spans="2:8" x14ac:dyDescent="0.3">
      <c r="B280" t="s">
        <v>815</v>
      </c>
      <c r="C280">
        <v>918.11</v>
      </c>
      <c r="D280">
        <f t="shared" si="16"/>
        <v>-0.41772298039876415</v>
      </c>
      <c r="E280">
        <v>4.4100541952055592E-3</v>
      </c>
      <c r="G280">
        <v>273</v>
      </c>
      <c r="H280">
        <f t="shared" ca="1" si="17"/>
        <v>1.9483964054685967E-2</v>
      </c>
    </row>
    <row r="281" spans="2:8" x14ac:dyDescent="0.3">
      <c r="B281" t="s">
        <v>418</v>
      </c>
      <c r="C281" s="79">
        <v>1394.15</v>
      </c>
      <c r="D281">
        <f t="shared" si="16"/>
        <v>0.49340481915071938</v>
      </c>
      <c r="E281">
        <v>4.3129851568254026E-3</v>
      </c>
      <c r="G281">
        <v>274</v>
      </c>
      <c r="H281">
        <f t="shared" ca="1" si="17"/>
        <v>4.8071375148100212E-4</v>
      </c>
    </row>
    <row r="282" spans="2:8" x14ac:dyDescent="0.3">
      <c r="B282" t="s">
        <v>932</v>
      </c>
      <c r="C282">
        <v>851.19</v>
      </c>
      <c r="D282">
        <f t="shared" si="16"/>
        <v>-0.16962364907528824</v>
      </c>
      <c r="E282">
        <v>4.2855358335743788E-3</v>
      </c>
      <c r="G282">
        <v>275</v>
      </c>
      <c r="H282">
        <f t="shared" ca="1" si="17"/>
        <v>1.5464569803284981E-2</v>
      </c>
    </row>
    <row r="283" spans="2:8" x14ac:dyDescent="0.3">
      <c r="B283" t="s">
        <v>636</v>
      </c>
      <c r="C283" s="79">
        <v>1008.54</v>
      </c>
      <c r="D283">
        <f t="shared" si="16"/>
        <v>0.14624971629320205</v>
      </c>
      <c r="E283">
        <v>4.2030019395285795E-3</v>
      </c>
      <c r="G283">
        <v>276</v>
      </c>
      <c r="H283">
        <f t="shared" ca="1" si="17"/>
        <v>1.3562211040866997E-2</v>
      </c>
    </row>
    <row r="284" spans="2:8" x14ac:dyDescent="0.3">
      <c r="B284" t="s">
        <v>848</v>
      </c>
      <c r="C284">
        <v>871.32</v>
      </c>
      <c r="D284">
        <f t="shared" si="16"/>
        <v>4.2625483668359519E-2</v>
      </c>
      <c r="E284">
        <v>4.1978451399885272E-3</v>
      </c>
      <c r="G284">
        <v>277</v>
      </c>
      <c r="H284">
        <f t="shared" ca="1" si="17"/>
        <v>2.1147605208563996E-2</v>
      </c>
    </row>
    <row r="285" spans="2:8" x14ac:dyDescent="0.3">
      <c r="B285" t="s">
        <v>863</v>
      </c>
      <c r="C285">
        <v>834.96</v>
      </c>
      <c r="D285">
        <f t="shared" si="16"/>
        <v>-0.15002564761796014</v>
      </c>
      <c r="E285">
        <v>4.0202385882134118E-3</v>
      </c>
      <c r="G285">
        <v>278</v>
      </c>
      <c r="H285">
        <f t="shared" ca="1" si="17"/>
        <v>-6.3778795738553343E-3</v>
      </c>
    </row>
    <row r="286" spans="2:8" x14ac:dyDescent="0.3">
      <c r="B286" t="s">
        <v>650</v>
      </c>
      <c r="C286">
        <v>970.11</v>
      </c>
      <c r="D286">
        <f t="shared" si="16"/>
        <v>0.101495581055043</v>
      </c>
      <c r="E286">
        <v>4.0075660193160025E-3</v>
      </c>
      <c r="G286">
        <v>279</v>
      </c>
      <c r="H286">
        <f t="shared" ca="1" si="17"/>
        <v>2.8101996843087174E-2</v>
      </c>
    </row>
    <row r="287" spans="2:8" x14ac:dyDescent="0.3">
      <c r="B287" t="s">
        <v>919</v>
      </c>
      <c r="C287">
        <v>876.48</v>
      </c>
      <c r="D287">
        <f t="shared" si="16"/>
        <v>6.7146275195714991E-2</v>
      </c>
      <c r="E287">
        <v>3.9325122698790297E-3</v>
      </c>
      <c r="G287">
        <v>280</v>
      </c>
      <c r="H287">
        <f t="shared" ca="1" si="17"/>
        <v>1.0957950964655858E-3</v>
      </c>
    </row>
    <row r="288" spans="2:8" x14ac:dyDescent="0.3">
      <c r="B288" t="s">
        <v>887</v>
      </c>
      <c r="C288">
        <v>819.56</v>
      </c>
      <c r="D288">
        <f t="shared" si="16"/>
        <v>-0.40165092255500801</v>
      </c>
      <c r="E288">
        <v>3.850931120726468E-3</v>
      </c>
      <c r="G288">
        <v>281</v>
      </c>
      <c r="H288">
        <f t="shared" ca="1" si="17"/>
        <v>2.9200563287878775E-2</v>
      </c>
    </row>
    <row r="289" spans="2:8" x14ac:dyDescent="0.3">
      <c r="B289" t="s">
        <v>553</v>
      </c>
      <c r="C289" s="79">
        <v>1224.6600000000001</v>
      </c>
      <c r="D289">
        <f t="shared" si="16"/>
        <v>0.23143316794798299</v>
      </c>
      <c r="E289">
        <v>3.8369861729816083E-3</v>
      </c>
      <c r="G289">
        <v>282</v>
      </c>
      <c r="H289">
        <f t="shared" ca="1" si="17"/>
        <v>-1.8891753844773873E-2</v>
      </c>
    </row>
    <row r="290" spans="2:8" x14ac:dyDescent="0.3">
      <c r="B290" t="s">
        <v>646</v>
      </c>
      <c r="C290">
        <v>971.64</v>
      </c>
      <c r="D290">
        <f t="shared" si="16"/>
        <v>-0.19927189348472638</v>
      </c>
      <c r="E290">
        <v>3.8049324360647E-3</v>
      </c>
      <c r="G290">
        <v>283</v>
      </c>
      <c r="H290">
        <f t="shared" ca="1" si="17"/>
        <v>2.391015581253754E-2</v>
      </c>
    </row>
    <row r="291" spans="2:8" x14ac:dyDescent="0.3">
      <c r="B291" t="s">
        <v>386</v>
      </c>
      <c r="C291" s="79">
        <v>1185.9000000000001</v>
      </c>
      <c r="D291">
        <f t="shared" si="16"/>
        <v>0.18708878359301157</v>
      </c>
      <c r="E291">
        <v>3.7594823251726511E-3</v>
      </c>
      <c r="G291">
        <v>284</v>
      </c>
      <c r="H291">
        <f t="shared" ca="1" si="17"/>
        <v>7.7092510565462125E-3</v>
      </c>
    </row>
    <row r="292" spans="2:8" x14ac:dyDescent="0.3">
      <c r="B292" t="s">
        <v>648</v>
      </c>
      <c r="C292">
        <v>983.55</v>
      </c>
      <c r="D292">
        <f t="shared" si="16"/>
        <v>-9.1694276091204438E-2</v>
      </c>
      <c r="E292">
        <v>3.666925422868872E-3</v>
      </c>
      <c r="G292">
        <v>285</v>
      </c>
      <c r="H292">
        <f t="shared" ca="1" si="17"/>
        <v>2.2936518973008771E-3</v>
      </c>
    </row>
    <row r="293" spans="2:8" x14ac:dyDescent="0.3">
      <c r="B293" t="s">
        <v>362</v>
      </c>
      <c r="C293" s="79">
        <v>1078</v>
      </c>
      <c r="D293">
        <f t="shared" si="16"/>
        <v>0.26293214367666062</v>
      </c>
      <c r="E293">
        <v>3.6243708649413074E-3</v>
      </c>
      <c r="G293">
        <v>286</v>
      </c>
      <c r="H293">
        <f t="shared" ca="1" si="17"/>
        <v>3.1393920626568358E-3</v>
      </c>
    </row>
    <row r="294" spans="2:8" x14ac:dyDescent="0.3">
      <c r="B294" t="s">
        <v>858</v>
      </c>
      <c r="C294">
        <v>828.76</v>
      </c>
      <c r="D294">
        <f t="shared" si="16"/>
        <v>-0.1098090742051164</v>
      </c>
      <c r="E294">
        <v>3.5779943402919259E-3</v>
      </c>
      <c r="G294">
        <v>287</v>
      </c>
      <c r="H294">
        <f t="shared" ca="1" si="17"/>
        <v>1.1882695808679211E-2</v>
      </c>
    </row>
    <row r="295" spans="2:8" x14ac:dyDescent="0.3">
      <c r="B295" t="s">
        <v>804</v>
      </c>
      <c r="C295">
        <v>924.95</v>
      </c>
      <c r="D295">
        <f t="shared" si="16"/>
        <v>4.2435996105925036E-2</v>
      </c>
      <c r="E295">
        <v>3.5741400552154893E-3</v>
      </c>
      <c r="G295">
        <v>288</v>
      </c>
      <c r="H295">
        <f t="shared" ca="1" si="17"/>
        <v>-3.3758944054779506E-2</v>
      </c>
    </row>
    <row r="296" spans="2:8" x14ac:dyDescent="0.3">
      <c r="B296" t="s">
        <v>846</v>
      </c>
      <c r="C296">
        <v>886.52</v>
      </c>
      <c r="D296">
        <f t="shared" si="16"/>
        <v>2.951120151552275E-2</v>
      </c>
      <c r="E296">
        <v>3.5595470068452576E-3</v>
      </c>
      <c r="G296">
        <v>289</v>
      </c>
      <c r="H296">
        <f t="shared" ca="1" si="17"/>
        <v>-2.9481157483752934E-2</v>
      </c>
    </row>
    <row r="297" spans="2:8" x14ac:dyDescent="0.3">
      <c r="B297" t="s">
        <v>945</v>
      </c>
      <c r="C297">
        <v>860.74</v>
      </c>
      <c r="D297">
        <f t="shared" si="16"/>
        <v>-0.5432878428201825</v>
      </c>
      <c r="E297">
        <v>3.5497555358012969E-3</v>
      </c>
      <c r="G297">
        <v>290</v>
      </c>
      <c r="H297">
        <f t="shared" ca="1" si="17"/>
        <v>2.1442461928775042E-2</v>
      </c>
    </row>
    <row r="298" spans="2:8" x14ac:dyDescent="0.3">
      <c r="B298" t="s">
        <v>439</v>
      </c>
      <c r="C298" s="79">
        <v>1481.9</v>
      </c>
      <c r="D298">
        <f t="shared" si="16"/>
        <v>0.32184194659213167</v>
      </c>
      <c r="E298">
        <v>3.5151797164044516E-3</v>
      </c>
      <c r="G298">
        <v>291</v>
      </c>
      <c r="H298">
        <f t="shared" ca="1" si="17"/>
        <v>-1.2616511306680635E-3</v>
      </c>
    </row>
    <row r="299" spans="2:8" x14ac:dyDescent="0.3">
      <c r="B299" t="s">
        <v>363</v>
      </c>
      <c r="C299" s="79">
        <v>1074.0999999999999</v>
      </c>
      <c r="D299">
        <f t="shared" si="16"/>
        <v>0.25362867390200172</v>
      </c>
      <c r="E299">
        <v>3.4039808112698296E-3</v>
      </c>
      <c r="G299">
        <v>292</v>
      </c>
      <c r="H299">
        <f t="shared" ca="1" si="17"/>
        <v>-6.0557232943777347E-3</v>
      </c>
    </row>
    <row r="300" spans="2:8" x14ac:dyDescent="0.3">
      <c r="B300" t="s">
        <v>936</v>
      </c>
      <c r="C300">
        <v>833.48</v>
      </c>
      <c r="D300">
        <f t="shared" si="16"/>
        <v>-7.2788190896594954E-2</v>
      </c>
      <c r="E300">
        <v>3.3650642272211764E-3</v>
      </c>
      <c r="G300">
        <v>293</v>
      </c>
      <c r="H300">
        <f t="shared" ca="1" si="17"/>
        <v>1.051187339623029E-2</v>
      </c>
    </row>
    <row r="301" spans="2:8" x14ac:dyDescent="0.3">
      <c r="B301" t="s">
        <v>823</v>
      </c>
      <c r="C301">
        <v>896.41</v>
      </c>
      <c r="D301">
        <f t="shared" si="16"/>
        <v>3.3472430187770908E-4</v>
      </c>
      <c r="E301">
        <v>3.0836979622068188E-3</v>
      </c>
      <c r="G301">
        <v>294</v>
      </c>
      <c r="H301">
        <f t="shared" ca="1" si="17"/>
        <v>1.4741429236344875E-2</v>
      </c>
    </row>
    <row r="302" spans="2:8" x14ac:dyDescent="0.3">
      <c r="B302" t="s">
        <v>892</v>
      </c>
      <c r="C302">
        <v>896.11</v>
      </c>
      <c r="D302">
        <f t="shared" si="16"/>
        <v>-9.9136591745903765E-2</v>
      </c>
      <c r="E302">
        <v>3.073538159179975E-3</v>
      </c>
      <c r="G302">
        <v>295</v>
      </c>
      <c r="H302">
        <f t="shared" ca="1" si="17"/>
        <v>-3.1016882458753782E-3</v>
      </c>
    </row>
    <row r="303" spans="2:8" x14ac:dyDescent="0.3">
      <c r="B303" t="s">
        <v>626</v>
      </c>
      <c r="C303">
        <v>989.5</v>
      </c>
      <c r="D303">
        <f t="shared" si="16"/>
        <v>-0.38943705606465889</v>
      </c>
      <c r="E303">
        <v>3.0567134803453056E-3</v>
      </c>
      <c r="G303">
        <v>296</v>
      </c>
      <c r="H303">
        <f t="shared" ca="1" si="17"/>
        <v>2.7070296237734002E-3</v>
      </c>
    </row>
    <row r="304" spans="2:8" x14ac:dyDescent="0.3">
      <c r="B304" t="s">
        <v>427</v>
      </c>
      <c r="C304" s="79">
        <v>1460.65</v>
      </c>
      <c r="D304">
        <f t="shared" si="16"/>
        <v>0.38319081371324071</v>
      </c>
      <c r="E304">
        <v>3.0512391466686623E-3</v>
      </c>
      <c r="G304">
        <v>297</v>
      </c>
      <c r="H304">
        <f t="shared" ca="1" si="17"/>
        <v>6.5272181656270125E-3</v>
      </c>
    </row>
    <row r="305" spans="2:8" x14ac:dyDescent="0.3">
      <c r="B305" t="s">
        <v>740</v>
      </c>
      <c r="C305">
        <v>995.7</v>
      </c>
      <c r="D305">
        <f t="shared" si="16"/>
        <v>4.6608398371423519E-3</v>
      </c>
      <c r="E305">
        <v>3.0175037983624017E-3</v>
      </c>
      <c r="G305">
        <v>298</v>
      </c>
      <c r="H305">
        <f t="shared" ca="1" si="17"/>
        <v>2.0891810627345865E-3</v>
      </c>
    </row>
    <row r="306" spans="2:8" x14ac:dyDescent="0.3">
      <c r="B306" t="s">
        <v>670</v>
      </c>
      <c r="C306">
        <v>991.07</v>
      </c>
      <c r="D306">
        <f t="shared" si="16"/>
        <v>-4.8114762763816783E-3</v>
      </c>
      <c r="E306">
        <v>2.9810196945136837E-3</v>
      </c>
      <c r="G306">
        <v>299</v>
      </c>
      <c r="H306">
        <f t="shared" ca="1" si="17"/>
        <v>1.3164317563325277E-2</v>
      </c>
    </row>
    <row r="307" spans="2:8" x14ac:dyDescent="0.3">
      <c r="B307" t="s">
        <v>676</v>
      </c>
      <c r="C307">
        <v>995.85</v>
      </c>
      <c r="D307">
        <f t="shared" si="16"/>
        <v>0.23902182090234711</v>
      </c>
      <c r="E307">
        <v>2.9767613521523282E-3</v>
      </c>
      <c r="G307">
        <v>300</v>
      </c>
      <c r="H307">
        <f t="shared" ca="1" si="17"/>
        <v>1.6993711717839317E-2</v>
      </c>
    </row>
    <row r="308" spans="2:8" x14ac:dyDescent="0.3">
      <c r="B308" t="s">
        <v>958</v>
      </c>
      <c r="C308">
        <v>784.13</v>
      </c>
      <c r="D308">
        <f t="shared" si="16"/>
        <v>-0.16159071901125166</v>
      </c>
      <c r="E308">
        <v>2.9502879090111812E-3</v>
      </c>
      <c r="G308">
        <v>301</v>
      </c>
      <c r="H308">
        <f t="shared" ca="1" si="17"/>
        <v>3.9489520726708176E-3</v>
      </c>
    </row>
    <row r="309" spans="2:8" x14ac:dyDescent="0.3">
      <c r="B309" t="s">
        <v>805</v>
      </c>
      <c r="C309">
        <v>921.65</v>
      </c>
      <c r="D309">
        <f t="shared" si="16"/>
        <v>0.20715957137224913</v>
      </c>
      <c r="E309">
        <v>2.9447100747828168E-3</v>
      </c>
      <c r="G309">
        <v>302</v>
      </c>
      <c r="H309">
        <f t="shared" ca="1" si="17"/>
        <v>-1.5516819022672093E-2</v>
      </c>
    </row>
    <row r="310" spans="2:8" x14ac:dyDescent="0.3">
      <c r="B310" t="s">
        <v>962</v>
      </c>
      <c r="C310">
        <v>749.2</v>
      </c>
      <c r="D310">
        <f t="shared" si="16"/>
        <v>-0.6647650082950799</v>
      </c>
      <c r="E310">
        <v>2.7667711273466132E-3</v>
      </c>
      <c r="G310">
        <v>303</v>
      </c>
      <c r="H310">
        <f t="shared" ca="1" si="17"/>
        <v>-8.2754409310984919E-3</v>
      </c>
    </row>
    <row r="311" spans="2:8" x14ac:dyDescent="0.3">
      <c r="B311" t="s">
        <v>456</v>
      </c>
      <c r="C311" s="79">
        <v>1456.47</v>
      </c>
      <c r="D311">
        <f t="shared" si="16"/>
        <v>0.16879829911892591</v>
      </c>
      <c r="E311">
        <v>2.6744142029864995E-3</v>
      </c>
      <c r="G311">
        <v>304</v>
      </c>
      <c r="H311">
        <f t="shared" ca="1" si="17"/>
        <v>-4.5368000900492074E-3</v>
      </c>
    </row>
    <row r="312" spans="2:8" x14ac:dyDescent="0.3">
      <c r="B312" t="s">
        <v>377</v>
      </c>
      <c r="C312" s="79">
        <v>1230.25</v>
      </c>
      <c r="D312">
        <f t="shared" si="16"/>
        <v>-0.19991298666327506</v>
      </c>
      <c r="E312">
        <v>2.6452350351760965E-3</v>
      </c>
      <c r="G312">
        <v>305</v>
      </c>
      <c r="H312">
        <f t="shared" ca="1" si="17"/>
        <v>1.5691461031312141E-2</v>
      </c>
    </row>
    <row r="313" spans="2:8" x14ac:dyDescent="0.3">
      <c r="B313" t="s">
        <v>432</v>
      </c>
      <c r="C313" s="79">
        <v>1502.5</v>
      </c>
      <c r="D313">
        <f t="shared" si="16"/>
        <v>0.50970589593130311</v>
      </c>
      <c r="E313">
        <v>2.565684562225265E-3</v>
      </c>
      <c r="G313">
        <v>306</v>
      </c>
      <c r="H313">
        <f t="shared" ca="1" si="17"/>
        <v>1.8060173642128641E-2</v>
      </c>
    </row>
    <row r="314" spans="2:8" x14ac:dyDescent="0.3">
      <c r="B314" t="s">
        <v>820</v>
      </c>
      <c r="C314">
        <v>902.51</v>
      </c>
      <c r="D314">
        <f t="shared" si="16"/>
        <v>8.5249162685777757E-2</v>
      </c>
      <c r="E314">
        <v>2.4517293636284049E-3</v>
      </c>
      <c r="G314">
        <v>307</v>
      </c>
      <c r="H314">
        <f t="shared" ca="1" si="17"/>
        <v>5.5442372098323724E-3</v>
      </c>
    </row>
    <row r="315" spans="2:8" x14ac:dyDescent="0.3">
      <c r="B315" t="s">
        <v>884</v>
      </c>
      <c r="C315">
        <v>828.76</v>
      </c>
      <c r="D315">
        <f t="shared" si="16"/>
        <v>-0.18834453603670631</v>
      </c>
      <c r="E315">
        <v>2.440351558414914E-3</v>
      </c>
      <c r="G315">
        <v>308</v>
      </c>
      <c r="H315">
        <f t="shared" ca="1" si="17"/>
        <v>1.8752272081593274E-2</v>
      </c>
    </row>
    <row r="316" spans="2:8" x14ac:dyDescent="0.3">
      <c r="B316" t="s">
        <v>698</v>
      </c>
      <c r="C316" s="79">
        <v>1000.52</v>
      </c>
      <c r="D316">
        <f t="shared" si="16"/>
        <v>0.13917292226225197</v>
      </c>
      <c r="E316">
        <v>2.3615597262222694E-3</v>
      </c>
      <c r="G316">
        <v>309</v>
      </c>
      <c r="H316">
        <f t="shared" ca="1" si="17"/>
        <v>-3.2244981702011746E-2</v>
      </c>
    </row>
    <row r="317" spans="2:8" x14ac:dyDescent="0.3">
      <c r="B317" t="s">
        <v>894</v>
      </c>
      <c r="C317">
        <v>870.53</v>
      </c>
      <c r="D317">
        <f t="shared" si="16"/>
        <v>-0.15985666366642451</v>
      </c>
      <c r="E317">
        <v>2.323121847084888E-3</v>
      </c>
      <c r="G317">
        <v>310</v>
      </c>
      <c r="H317">
        <f t="shared" ca="1" si="17"/>
        <v>-5.7540208841115534E-3</v>
      </c>
    </row>
    <row r="318" spans="2:8" x14ac:dyDescent="0.3">
      <c r="B318" t="s">
        <v>701</v>
      </c>
      <c r="C318" s="79">
        <v>1021.43</v>
      </c>
      <c r="D318">
        <f t="shared" si="16"/>
        <v>4.8153514617622233E-2</v>
      </c>
      <c r="E318">
        <v>2.3131595709928576E-3</v>
      </c>
      <c r="G318">
        <v>311</v>
      </c>
      <c r="H318">
        <f t="shared" ca="1" si="17"/>
        <v>-2.4012891679445819E-3</v>
      </c>
    </row>
    <row r="319" spans="2:8" x14ac:dyDescent="0.3">
      <c r="B319" t="s">
        <v>755</v>
      </c>
      <c r="C319">
        <v>973.41</v>
      </c>
      <c r="D319">
        <f t="shared" si="16"/>
        <v>-0.11459441821864491</v>
      </c>
      <c r="E319">
        <v>2.2729503103045105E-3</v>
      </c>
      <c r="G319">
        <v>312</v>
      </c>
      <c r="H319">
        <f t="shared" ca="1" si="17"/>
        <v>-1.2983594327224849E-2</v>
      </c>
    </row>
    <row r="320" spans="2:8" x14ac:dyDescent="0.3">
      <c r="B320" t="s">
        <v>366</v>
      </c>
      <c r="C320" s="79">
        <v>1091.5999999999999</v>
      </c>
      <c r="D320">
        <f t="shared" si="16"/>
        <v>0.23003791148114702</v>
      </c>
      <c r="E320">
        <v>2.2469343398177659E-3</v>
      </c>
      <c r="G320">
        <v>313</v>
      </c>
      <c r="H320">
        <f t="shared" ca="1" si="17"/>
        <v>-2.7832137349633763E-3</v>
      </c>
    </row>
    <row r="321" spans="2:8" x14ac:dyDescent="0.3">
      <c r="B321" t="s">
        <v>1057</v>
      </c>
      <c r="C321">
        <v>867.28</v>
      </c>
      <c r="D321">
        <f t="shared" si="16"/>
        <v>-0.10410984920349262</v>
      </c>
      <c r="E321">
        <v>2.1584942788873598E-3</v>
      </c>
      <c r="G321">
        <v>314</v>
      </c>
      <c r="H321">
        <f t="shared" ca="1" si="17"/>
        <v>6.9468741966009313E-3</v>
      </c>
    </row>
    <row r="322" spans="2:8" x14ac:dyDescent="0.3">
      <c r="B322" t="s">
        <v>663</v>
      </c>
      <c r="C322">
        <v>962.44</v>
      </c>
      <c r="D322">
        <f t="shared" si="16"/>
        <v>-3.6191365327720382E-2</v>
      </c>
      <c r="E322">
        <v>2.1010377698677503E-3</v>
      </c>
      <c r="G322">
        <v>315</v>
      </c>
      <c r="H322">
        <f t="shared" ca="1" si="17"/>
        <v>-1.7735875355835137E-2</v>
      </c>
    </row>
    <row r="323" spans="2:8" x14ac:dyDescent="0.3">
      <c r="B323" t="s">
        <v>675</v>
      </c>
      <c r="C323">
        <v>997.91</v>
      </c>
      <c r="D323">
        <f t="shared" si="16"/>
        <v>-0.24507758062563675</v>
      </c>
      <c r="E323">
        <v>2.066448050971293E-3</v>
      </c>
      <c r="G323">
        <v>316</v>
      </c>
      <c r="H323">
        <f t="shared" ca="1" si="17"/>
        <v>-2.601431000806316E-2</v>
      </c>
    </row>
    <row r="324" spans="2:8" x14ac:dyDescent="0.3">
      <c r="B324" t="s">
        <v>394</v>
      </c>
      <c r="C324" s="79">
        <v>1275.05</v>
      </c>
      <c r="D324">
        <f t="shared" si="16"/>
        <v>0.3911258377268178</v>
      </c>
      <c r="E324">
        <v>2.0412175880325841E-3</v>
      </c>
      <c r="G324">
        <v>317</v>
      </c>
      <c r="H324">
        <f t="shared" ca="1" si="17"/>
        <v>-4.8655964098901572E-3</v>
      </c>
    </row>
    <row r="325" spans="2:8" x14ac:dyDescent="0.3">
      <c r="B325" t="s">
        <v>940</v>
      </c>
      <c r="C325">
        <v>862.31</v>
      </c>
      <c r="D325">
        <f t="shared" si="16"/>
        <v>0.12665172778149192</v>
      </c>
      <c r="E325">
        <v>1.9966342462188176E-3</v>
      </c>
      <c r="G325">
        <v>318</v>
      </c>
      <c r="H325">
        <f t="shared" ca="1" si="17"/>
        <v>-1.6323465250834602E-2</v>
      </c>
    </row>
    <row r="326" spans="2:8" x14ac:dyDescent="0.3">
      <c r="B326" t="s">
        <v>1013</v>
      </c>
      <c r="C326">
        <v>759.73</v>
      </c>
      <c r="D326">
        <f t="shared" si="16"/>
        <v>-0.6386572051646292</v>
      </c>
      <c r="E326">
        <v>1.9499604328856663E-3</v>
      </c>
      <c r="G326">
        <v>319</v>
      </c>
      <c r="H326">
        <f t="shared" ca="1" si="17"/>
        <v>8.2307540271007243E-3</v>
      </c>
    </row>
    <row r="327" spans="2:8" x14ac:dyDescent="0.3">
      <c r="B327" t="s">
        <v>471</v>
      </c>
      <c r="C327" s="79">
        <v>1438.88</v>
      </c>
      <c r="D327">
        <f t="shared" si="16"/>
        <v>0.4539757536350188</v>
      </c>
      <c r="E327">
        <v>1.9408904272674578E-3</v>
      </c>
      <c r="G327">
        <v>320</v>
      </c>
      <c r="H327">
        <f t="shared" ca="1" si="17"/>
        <v>-1.5094463856294498E-3</v>
      </c>
    </row>
    <row r="328" spans="2:8" x14ac:dyDescent="0.3">
      <c r="B328" t="s">
        <v>813</v>
      </c>
      <c r="C328">
        <v>913.83</v>
      </c>
      <c r="D328">
        <f t="shared" ref="D328:D391" si="18">LN(C328/C329)</f>
        <v>0.11460369539489199</v>
      </c>
      <c r="E328">
        <v>1.8949253450737547E-3</v>
      </c>
      <c r="G328">
        <v>321</v>
      </c>
      <c r="H328">
        <f t="shared" ca="1" si="17"/>
        <v>-1.5119214586531244E-2</v>
      </c>
    </row>
    <row r="329" spans="2:8" x14ac:dyDescent="0.3">
      <c r="B329" t="s">
        <v>879</v>
      </c>
      <c r="C329">
        <v>814.88</v>
      </c>
      <c r="D329">
        <f t="shared" si="18"/>
        <v>-0.15645860888216559</v>
      </c>
      <c r="E329">
        <v>1.7564011811151245E-3</v>
      </c>
      <c r="G329">
        <v>322</v>
      </c>
      <c r="H329">
        <f t="shared" ref="H329:H392" ca="1" si="19">_xlfn.NORM.INV(RAND(),$N$10,$N$11)</f>
        <v>-2.9214181007997334E-3</v>
      </c>
    </row>
    <row r="330" spans="2:8" x14ac:dyDescent="0.3">
      <c r="B330" t="s">
        <v>768</v>
      </c>
      <c r="C330">
        <v>952.89</v>
      </c>
      <c r="D330">
        <f t="shared" si="18"/>
        <v>-5.847342882409403E-2</v>
      </c>
      <c r="E330">
        <v>1.7541007906030799E-3</v>
      </c>
      <c r="G330">
        <v>323</v>
      </c>
      <c r="H330">
        <f t="shared" ca="1" si="19"/>
        <v>1.8468689504460269E-2</v>
      </c>
    </row>
    <row r="331" spans="2:8" x14ac:dyDescent="0.3">
      <c r="B331" t="s">
        <v>614</v>
      </c>
      <c r="C331" s="79">
        <v>1010.27</v>
      </c>
      <c r="D331">
        <f t="shared" si="18"/>
        <v>0.37828579427145054</v>
      </c>
      <c r="E331">
        <v>1.7138813691962758E-3</v>
      </c>
      <c r="G331">
        <v>324</v>
      </c>
      <c r="H331">
        <f t="shared" ca="1" si="19"/>
        <v>2.8360842545842387E-3</v>
      </c>
    </row>
    <row r="332" spans="2:8" x14ac:dyDescent="0.3">
      <c r="B332" t="s">
        <v>1031</v>
      </c>
      <c r="C332">
        <v>692.07</v>
      </c>
      <c r="D332">
        <f t="shared" si="18"/>
        <v>-0.19385763220600291</v>
      </c>
      <c r="E332">
        <v>1.7064850557581056E-3</v>
      </c>
      <c r="G332">
        <v>325</v>
      </c>
      <c r="H332">
        <f t="shared" ca="1" si="19"/>
        <v>-2.7192114815272291E-2</v>
      </c>
    </row>
    <row r="333" spans="2:8" x14ac:dyDescent="0.3">
      <c r="B333" t="s">
        <v>934</v>
      </c>
      <c r="C333">
        <v>840.12</v>
      </c>
      <c r="D333">
        <f t="shared" si="18"/>
        <v>-0.36141183833826873</v>
      </c>
      <c r="E333">
        <v>1.7035880723213377E-3</v>
      </c>
      <c r="G333">
        <v>326</v>
      </c>
      <c r="H333">
        <f t="shared" ca="1" si="19"/>
        <v>-4.8564641193349243E-3</v>
      </c>
    </row>
    <row r="334" spans="2:8" x14ac:dyDescent="0.3">
      <c r="B334" t="s">
        <v>573</v>
      </c>
      <c r="C334" s="79">
        <v>1205.8699999999999</v>
      </c>
      <c r="D334">
        <f t="shared" si="18"/>
        <v>-9.4852465059691304E-2</v>
      </c>
      <c r="E334">
        <v>1.6350111743944355E-3</v>
      </c>
      <c r="G334">
        <v>327</v>
      </c>
      <c r="H334">
        <f t="shared" ca="1" si="19"/>
        <v>1.5781283257246738E-2</v>
      </c>
    </row>
    <row r="335" spans="2:8" x14ac:dyDescent="0.3">
      <c r="B335" t="s">
        <v>503</v>
      </c>
      <c r="C335" s="79">
        <v>1325.85</v>
      </c>
      <c r="D335">
        <f t="shared" si="18"/>
        <v>0.15524491632923371</v>
      </c>
      <c r="E335">
        <v>1.5851452594502996E-3</v>
      </c>
      <c r="G335">
        <v>328</v>
      </c>
      <c r="H335">
        <f t="shared" ca="1" si="19"/>
        <v>8.4745896832541939E-3</v>
      </c>
    </row>
    <row r="336" spans="2:8" x14ac:dyDescent="0.3">
      <c r="B336" t="s">
        <v>371</v>
      </c>
      <c r="C336" s="79">
        <v>1135.2</v>
      </c>
      <c r="D336">
        <f t="shared" si="18"/>
        <v>0.22037255264201119</v>
      </c>
      <c r="E336">
        <v>1.4104374693623334E-3</v>
      </c>
      <c r="G336">
        <v>329</v>
      </c>
      <c r="H336">
        <f t="shared" ca="1" si="19"/>
        <v>-3.6302717407885189E-2</v>
      </c>
    </row>
    <row r="337" spans="2:8" x14ac:dyDescent="0.3">
      <c r="B337" t="s">
        <v>899</v>
      </c>
      <c r="C337">
        <v>910.68</v>
      </c>
      <c r="D337">
        <f t="shared" si="18"/>
        <v>-0.10338531547598383</v>
      </c>
      <c r="E337">
        <v>1.4065318129114835E-3</v>
      </c>
      <c r="G337">
        <v>330</v>
      </c>
      <c r="H337">
        <f t="shared" ca="1" si="19"/>
        <v>2.4416505640896872E-2</v>
      </c>
    </row>
    <row r="338" spans="2:8" x14ac:dyDescent="0.3">
      <c r="B338" t="s">
        <v>689</v>
      </c>
      <c r="C338" s="79">
        <v>1009.87</v>
      </c>
      <c r="D338">
        <f t="shared" si="18"/>
        <v>-2.672244748294491E-2</v>
      </c>
      <c r="E338">
        <v>1.3178692064476651E-3</v>
      </c>
      <c r="G338">
        <v>331</v>
      </c>
      <c r="H338">
        <f t="shared" ca="1" si="19"/>
        <v>2.3058140424958823E-2</v>
      </c>
    </row>
    <row r="339" spans="2:8" x14ac:dyDescent="0.3">
      <c r="B339" t="s">
        <v>727</v>
      </c>
      <c r="C339" s="79">
        <v>1037.22</v>
      </c>
      <c r="D339">
        <f t="shared" si="18"/>
        <v>5.9915043503853516E-2</v>
      </c>
      <c r="E339">
        <v>1.2251770562588589E-3</v>
      </c>
      <c r="G339">
        <v>332</v>
      </c>
      <c r="H339">
        <f t="shared" ca="1" si="19"/>
        <v>1.303336866975952E-2</v>
      </c>
    </row>
    <row r="340" spans="2:8" x14ac:dyDescent="0.3">
      <c r="B340" t="s">
        <v>659</v>
      </c>
      <c r="C340">
        <v>976.9</v>
      </c>
      <c r="D340">
        <f t="shared" si="18"/>
        <v>-0.12885649416921752</v>
      </c>
      <c r="E340">
        <v>1.1573897546857585E-3</v>
      </c>
      <c r="G340">
        <v>333</v>
      </c>
      <c r="H340">
        <f t="shared" ca="1" si="19"/>
        <v>-1.7982942713929719E-2</v>
      </c>
    </row>
    <row r="341" spans="2:8" x14ac:dyDescent="0.3">
      <c r="B341" t="s">
        <v>369</v>
      </c>
      <c r="C341" s="79">
        <v>1111.25</v>
      </c>
      <c r="D341">
        <f t="shared" si="18"/>
        <v>0.39970892834118049</v>
      </c>
      <c r="E341">
        <v>1.1254925217345582E-3</v>
      </c>
      <c r="G341">
        <v>334</v>
      </c>
      <c r="H341">
        <f t="shared" ca="1" si="19"/>
        <v>1.2105883520703844E-3</v>
      </c>
    </row>
    <row r="342" spans="2:8" x14ac:dyDescent="0.3">
      <c r="B342" t="s">
        <v>993</v>
      </c>
      <c r="C342">
        <v>745.11</v>
      </c>
      <c r="D342">
        <f t="shared" si="18"/>
        <v>-0.1905614614729583</v>
      </c>
      <c r="E342">
        <v>1.1145503674932376E-3</v>
      </c>
      <c r="G342">
        <v>335</v>
      </c>
      <c r="H342">
        <f t="shared" ca="1" si="19"/>
        <v>-8.5000511807028784E-5</v>
      </c>
    </row>
    <row r="343" spans="2:8" x14ac:dyDescent="0.3">
      <c r="B343" t="s">
        <v>781</v>
      </c>
      <c r="C343">
        <v>901.53</v>
      </c>
      <c r="D343">
        <f t="shared" si="18"/>
        <v>-3.9006097667246283E-2</v>
      </c>
      <c r="E343">
        <v>9.321837076799659E-4</v>
      </c>
      <c r="G343">
        <v>336</v>
      </c>
      <c r="H343">
        <f t="shared" ca="1" si="19"/>
        <v>-1.7905726513213892E-2</v>
      </c>
    </row>
    <row r="344" spans="2:8" x14ac:dyDescent="0.3">
      <c r="B344" t="s">
        <v>772</v>
      </c>
      <c r="C344">
        <v>937.39</v>
      </c>
      <c r="D344">
        <f t="shared" si="18"/>
        <v>-0.12480036793455619</v>
      </c>
      <c r="E344">
        <v>7.7906143050816845E-4</v>
      </c>
      <c r="G344">
        <v>337</v>
      </c>
      <c r="H344">
        <f t="shared" ca="1" si="19"/>
        <v>3.4243266763305531E-2</v>
      </c>
    </row>
    <row r="345" spans="2:8" x14ac:dyDescent="0.3">
      <c r="B345" t="s">
        <v>604</v>
      </c>
      <c r="C345" s="79">
        <v>1061.99</v>
      </c>
      <c r="D345">
        <f t="shared" si="18"/>
        <v>-0.12713971579414224</v>
      </c>
      <c r="E345">
        <v>7.4416329810990693E-4</v>
      </c>
      <c r="G345">
        <v>338</v>
      </c>
      <c r="H345">
        <f t="shared" ca="1" si="19"/>
        <v>9.5010956352893968E-3</v>
      </c>
    </row>
    <row r="346" spans="2:8" x14ac:dyDescent="0.3">
      <c r="B346" t="s">
        <v>521</v>
      </c>
      <c r="C346" s="79">
        <v>1205.97</v>
      </c>
      <c r="D346">
        <f t="shared" si="18"/>
        <v>0.37844472783485872</v>
      </c>
      <c r="E346">
        <v>7.3826759330900135E-4</v>
      </c>
      <c r="G346">
        <v>339</v>
      </c>
      <c r="H346">
        <f t="shared" ca="1" si="19"/>
        <v>9.8976149167296235E-3</v>
      </c>
    </row>
    <row r="347" spans="2:8" x14ac:dyDescent="0.3">
      <c r="B347" t="s">
        <v>860</v>
      </c>
      <c r="C347">
        <v>826</v>
      </c>
      <c r="D347">
        <f t="shared" si="18"/>
        <v>-8.317432353439777E-2</v>
      </c>
      <c r="E347">
        <v>7.1454093786885034E-4</v>
      </c>
      <c r="G347">
        <v>340</v>
      </c>
      <c r="H347">
        <f t="shared" ca="1" si="19"/>
        <v>1.7807038239579208E-2</v>
      </c>
    </row>
    <row r="348" spans="2:8" x14ac:dyDescent="0.3">
      <c r="B348" t="s">
        <v>787</v>
      </c>
      <c r="C348">
        <v>897.64</v>
      </c>
      <c r="D348">
        <f t="shared" si="18"/>
        <v>9.017211669354E-2</v>
      </c>
      <c r="E348">
        <v>6.5749518998244418E-4</v>
      </c>
      <c r="G348">
        <v>341</v>
      </c>
      <c r="H348">
        <f t="shared" ca="1" si="19"/>
        <v>-2.1633926623914096E-3</v>
      </c>
    </row>
    <row r="349" spans="2:8" x14ac:dyDescent="0.3">
      <c r="B349" t="s">
        <v>882</v>
      </c>
      <c r="C349">
        <v>820.24</v>
      </c>
      <c r="D349">
        <f t="shared" si="18"/>
        <v>-0.35031270149768318</v>
      </c>
      <c r="E349">
        <v>5.9756463707818434E-4</v>
      </c>
      <c r="G349">
        <v>342</v>
      </c>
      <c r="H349">
        <f t="shared" ca="1" si="19"/>
        <v>2.3968880624539645E-3</v>
      </c>
    </row>
    <row r="350" spans="2:8" x14ac:dyDescent="0.3">
      <c r="B350" t="s">
        <v>530</v>
      </c>
      <c r="C350" s="79">
        <v>1164.3399999999999</v>
      </c>
      <c r="D350">
        <f t="shared" si="18"/>
        <v>0.36571897941126813</v>
      </c>
      <c r="E350">
        <v>5.9278606884491261E-4</v>
      </c>
      <c r="G350">
        <v>343</v>
      </c>
      <c r="H350">
        <f t="shared" ca="1" si="19"/>
        <v>1.7512950955947973E-2</v>
      </c>
    </row>
    <row r="351" spans="2:8" x14ac:dyDescent="0.3">
      <c r="B351" t="s">
        <v>876</v>
      </c>
      <c r="C351">
        <v>807.7</v>
      </c>
      <c r="D351">
        <f t="shared" si="18"/>
        <v>-0.13607859764203992</v>
      </c>
      <c r="E351">
        <v>5.5729280986617502E-4</v>
      </c>
      <c r="G351">
        <v>344</v>
      </c>
      <c r="H351">
        <f t="shared" ca="1" si="19"/>
        <v>1.5459644231078068E-2</v>
      </c>
    </row>
    <row r="352" spans="2:8" x14ac:dyDescent="0.3">
      <c r="B352" t="s">
        <v>803</v>
      </c>
      <c r="C352">
        <v>925.44</v>
      </c>
      <c r="D352">
        <f t="shared" si="18"/>
        <v>-5.2933774603817151E-4</v>
      </c>
      <c r="E352">
        <v>5.2961809289231898E-4</v>
      </c>
      <c r="G352">
        <v>345</v>
      </c>
      <c r="H352">
        <f t="shared" ca="1" si="19"/>
        <v>1.1041114523379988E-2</v>
      </c>
    </row>
    <row r="353" spans="2:8" x14ac:dyDescent="0.3">
      <c r="B353" t="s">
        <v>802</v>
      </c>
      <c r="C353">
        <v>925.93</v>
      </c>
      <c r="D353">
        <f t="shared" si="18"/>
        <v>0.21127224744933987</v>
      </c>
      <c r="E353">
        <v>5.2933774603813009E-4</v>
      </c>
      <c r="G353">
        <v>346</v>
      </c>
      <c r="H353">
        <f t="shared" ca="1" si="19"/>
        <v>1.103136184454304E-2</v>
      </c>
    </row>
    <row r="354" spans="2:8" x14ac:dyDescent="0.3">
      <c r="B354" t="s">
        <v>961</v>
      </c>
      <c r="C354">
        <v>749.59</v>
      </c>
      <c r="D354">
        <f t="shared" si="18"/>
        <v>-0.64987445847896663</v>
      </c>
      <c r="E354">
        <v>5.2041981705538032E-4</v>
      </c>
      <c r="G354">
        <v>347</v>
      </c>
      <c r="H354">
        <f t="shared" ca="1" si="19"/>
        <v>-2.374185446466676E-2</v>
      </c>
    </row>
    <row r="355" spans="2:8" x14ac:dyDescent="0.3">
      <c r="B355" t="s">
        <v>459</v>
      </c>
      <c r="C355" s="79">
        <v>1435.69</v>
      </c>
      <c r="D355">
        <f t="shared" si="18"/>
        <v>0.15921914389167066</v>
      </c>
      <c r="E355">
        <v>5.1556448484756448E-4</v>
      </c>
      <c r="G355">
        <v>348</v>
      </c>
      <c r="H355">
        <f t="shared" ca="1" si="19"/>
        <v>2.6201524695761924E-2</v>
      </c>
    </row>
    <row r="356" spans="2:8" x14ac:dyDescent="0.3">
      <c r="B356" t="s">
        <v>575</v>
      </c>
      <c r="C356" s="79">
        <v>1224.3699999999999</v>
      </c>
      <c r="D356">
        <f t="shared" si="18"/>
        <v>5.7261713594547396E-2</v>
      </c>
      <c r="E356">
        <v>4.9016805575912402E-4</v>
      </c>
      <c r="G356">
        <v>349</v>
      </c>
      <c r="H356">
        <f t="shared" ca="1" si="19"/>
        <v>-2.4338748207405861E-3</v>
      </c>
    </row>
    <row r="357" spans="2:8" x14ac:dyDescent="0.3">
      <c r="B357" t="s">
        <v>581</v>
      </c>
      <c r="C357" s="79">
        <v>1156.23</v>
      </c>
      <c r="D357">
        <f t="shared" si="18"/>
        <v>0.28710853333957048</v>
      </c>
      <c r="E357">
        <v>4.6714420033558993E-4</v>
      </c>
      <c r="G357">
        <v>350</v>
      </c>
      <c r="H357">
        <f t="shared" ca="1" si="19"/>
        <v>3.121866552655839E-2</v>
      </c>
    </row>
    <row r="358" spans="2:8" x14ac:dyDescent="0.3">
      <c r="B358" t="s">
        <v>849</v>
      </c>
      <c r="C358">
        <v>867.67</v>
      </c>
      <c r="D358">
        <f t="shared" si="18"/>
        <v>-0.1520525550902575</v>
      </c>
      <c r="E358">
        <v>3.9193084075190947E-4</v>
      </c>
      <c r="G358">
        <v>351</v>
      </c>
      <c r="H358">
        <f t="shared" ca="1" si="19"/>
        <v>7.1949526381710057E-3</v>
      </c>
    </row>
    <row r="359" spans="2:8" x14ac:dyDescent="0.3">
      <c r="B359" t="s">
        <v>688</v>
      </c>
      <c r="C359" s="79">
        <v>1010.16</v>
      </c>
      <c r="D359">
        <f t="shared" si="18"/>
        <v>3.4637110226213658E-2</v>
      </c>
      <c r="E359">
        <v>2.8712445061934683E-4</v>
      </c>
      <c r="G359">
        <v>352</v>
      </c>
      <c r="H359">
        <f t="shared" ca="1" si="19"/>
        <v>3.6331424972218256E-3</v>
      </c>
    </row>
    <row r="360" spans="2:8" x14ac:dyDescent="0.3">
      <c r="B360" t="s">
        <v>660</v>
      </c>
      <c r="C360">
        <v>975.77</v>
      </c>
      <c r="D360">
        <f t="shared" si="18"/>
        <v>-9.1064899878170083E-2</v>
      </c>
      <c r="E360">
        <v>2.4598985415896459E-4</v>
      </c>
      <c r="G360">
        <v>353</v>
      </c>
      <c r="H360">
        <f t="shared" ca="1" si="19"/>
        <v>-1.2054613377888884E-2</v>
      </c>
    </row>
    <row r="361" spans="2:8" x14ac:dyDescent="0.3">
      <c r="B361" t="s">
        <v>359</v>
      </c>
      <c r="C361" s="79">
        <v>1068.8</v>
      </c>
      <c r="D361">
        <f t="shared" si="18"/>
        <v>0.26451196583445608</v>
      </c>
      <c r="E361">
        <v>1.8714325871030282E-4</v>
      </c>
      <c r="G361">
        <v>354</v>
      </c>
      <c r="H361">
        <f t="shared" ca="1" si="19"/>
        <v>-1.0151541090931597E-2</v>
      </c>
    </row>
    <row r="362" spans="2:8" x14ac:dyDescent="0.3">
      <c r="B362" t="s">
        <v>881</v>
      </c>
      <c r="C362">
        <v>820.39</v>
      </c>
      <c r="D362">
        <f t="shared" si="18"/>
        <v>-0.37092824882406633</v>
      </c>
      <c r="E362">
        <v>1.8285658608932097E-4</v>
      </c>
      <c r="G362">
        <v>355</v>
      </c>
      <c r="H362">
        <f t="shared" ca="1" si="19"/>
        <v>-7.5651908645270175E-5</v>
      </c>
    </row>
    <row r="363" spans="2:8" x14ac:dyDescent="0.3">
      <c r="B363" t="s">
        <v>523</v>
      </c>
      <c r="C363" s="79">
        <v>1188.81</v>
      </c>
      <c r="D363">
        <f t="shared" si="18"/>
        <v>0.18255879693508942</v>
      </c>
      <c r="E363">
        <v>1.5983646240239454E-4</v>
      </c>
      <c r="G363">
        <v>356</v>
      </c>
      <c r="H363">
        <f t="shared" ca="1" si="19"/>
        <v>1.3702239182052302E-2</v>
      </c>
    </row>
    <row r="364" spans="2:8" x14ac:dyDescent="0.3">
      <c r="B364" t="s">
        <v>621</v>
      </c>
      <c r="C364">
        <v>990.44</v>
      </c>
      <c r="D364">
        <f t="shared" si="18"/>
        <v>0.20451587919851749</v>
      </c>
      <c r="E364">
        <v>1.5145931074590611E-4</v>
      </c>
      <c r="G364">
        <v>357</v>
      </c>
      <c r="H364">
        <f t="shared" ca="1" si="19"/>
        <v>-7.6169500485038155E-4</v>
      </c>
    </row>
    <row r="365" spans="2:8" x14ac:dyDescent="0.3">
      <c r="B365" t="s">
        <v>877</v>
      </c>
      <c r="C365">
        <v>807.25</v>
      </c>
      <c r="D365">
        <f t="shared" si="18"/>
        <v>-0.20050964192389051</v>
      </c>
      <c r="E365">
        <v>1.1149584070134415E-4</v>
      </c>
      <c r="G365">
        <v>358</v>
      </c>
      <c r="H365">
        <f t="shared" ca="1" si="19"/>
        <v>7.3212977349874165E-3</v>
      </c>
    </row>
    <row r="366" spans="2:8" x14ac:dyDescent="0.3">
      <c r="B366" t="s">
        <v>627</v>
      </c>
      <c r="C366">
        <v>986.48</v>
      </c>
      <c r="D366">
        <f t="shared" si="18"/>
        <v>-0.22684280718303632</v>
      </c>
      <c r="E366">
        <v>9.1237638630532728E-5</v>
      </c>
      <c r="G366">
        <v>359</v>
      </c>
      <c r="H366">
        <f t="shared" ca="1" si="19"/>
        <v>2.6301234255803316E-2</v>
      </c>
    </row>
    <row r="367" spans="2:8" x14ac:dyDescent="0.3">
      <c r="B367" t="s">
        <v>562</v>
      </c>
      <c r="C367" s="79">
        <v>1237.67</v>
      </c>
      <c r="D367">
        <f t="shared" si="18"/>
        <v>0.27866550254868117</v>
      </c>
      <c r="E367">
        <v>4.0399306753492701E-5</v>
      </c>
      <c r="G367">
        <v>360</v>
      </c>
      <c r="H367">
        <f t="shared" ca="1" si="19"/>
        <v>-3.4107564574358068E-2</v>
      </c>
    </row>
    <row r="368" spans="2:8" x14ac:dyDescent="0.3">
      <c r="B368" t="s">
        <v>773</v>
      </c>
      <c r="C368">
        <v>936.66</v>
      </c>
      <c r="D368">
        <f t="shared" si="18"/>
        <v>0.24900188697509368</v>
      </c>
      <c r="E368">
        <v>0</v>
      </c>
      <c r="G368">
        <v>361</v>
      </c>
      <c r="H368">
        <f t="shared" ca="1" si="19"/>
        <v>1.8075922517354615E-2</v>
      </c>
    </row>
    <row r="369" spans="2:8" x14ac:dyDescent="0.3">
      <c r="B369" t="s">
        <v>965</v>
      </c>
      <c r="C369">
        <v>730.2</v>
      </c>
      <c r="D369">
        <f t="shared" si="18"/>
        <v>-0.44776943263172458</v>
      </c>
      <c r="E369">
        <v>0</v>
      </c>
      <c r="G369">
        <v>362</v>
      </c>
      <c r="H369">
        <f t="shared" ca="1" si="19"/>
        <v>2.0755422138013943E-2</v>
      </c>
    </row>
    <row r="370" spans="2:8" x14ac:dyDescent="0.3">
      <c r="B370" t="s">
        <v>590</v>
      </c>
      <c r="C370" s="79">
        <v>1142.6300000000001</v>
      </c>
      <c r="D370">
        <f t="shared" si="18"/>
        <v>0.22344334332207455</v>
      </c>
      <c r="E370">
        <v>-4.3757739657100177E-5</v>
      </c>
      <c r="G370">
        <v>363</v>
      </c>
      <c r="H370">
        <f t="shared" ca="1" si="19"/>
        <v>-3.4258488334291347E-3</v>
      </c>
    </row>
    <row r="371" spans="2:8" x14ac:dyDescent="0.3">
      <c r="B371" t="s">
        <v>903</v>
      </c>
      <c r="C371">
        <v>913.83</v>
      </c>
      <c r="D371">
        <f t="shared" si="18"/>
        <v>-0.42915108517787337</v>
      </c>
      <c r="E371">
        <v>-9.8481739923623614E-5</v>
      </c>
      <c r="G371">
        <v>364</v>
      </c>
      <c r="H371">
        <f t="shared" ca="1" si="19"/>
        <v>7.5937169480110164E-3</v>
      </c>
    </row>
    <row r="372" spans="2:8" x14ac:dyDescent="0.3">
      <c r="B372" t="s">
        <v>447</v>
      </c>
      <c r="C372" s="79">
        <v>1403.6</v>
      </c>
      <c r="D372">
        <f t="shared" si="18"/>
        <v>0.42872440099974163</v>
      </c>
      <c r="E372">
        <v>-1.4248058726105953E-4</v>
      </c>
      <c r="G372">
        <v>365</v>
      </c>
      <c r="H372">
        <f t="shared" ca="1" si="19"/>
        <v>-1.6722652612653068E-2</v>
      </c>
    </row>
    <row r="373" spans="2:8" x14ac:dyDescent="0.3">
      <c r="B373" t="s">
        <v>817</v>
      </c>
      <c r="C373">
        <v>914.22</v>
      </c>
      <c r="D373">
        <f t="shared" si="18"/>
        <v>1.6408775449903981E-4</v>
      </c>
      <c r="E373">
        <v>-1.6406083412517155E-4</v>
      </c>
      <c r="G373">
        <v>366</v>
      </c>
      <c r="H373">
        <f t="shared" ca="1" si="19"/>
        <v>-7.6468035850000785E-3</v>
      </c>
    </row>
    <row r="374" spans="2:8" x14ac:dyDescent="0.3">
      <c r="B374" t="s">
        <v>816</v>
      </c>
      <c r="C374">
        <v>914.07</v>
      </c>
      <c r="D374">
        <f t="shared" si="18"/>
        <v>0.15339609899389478</v>
      </c>
      <c r="E374">
        <v>-1.640877544991024E-4</v>
      </c>
      <c r="G374">
        <v>367</v>
      </c>
      <c r="H374">
        <f t="shared" ca="1" si="19"/>
        <v>-1.3330864718891952E-2</v>
      </c>
    </row>
    <row r="375" spans="2:8" x14ac:dyDescent="0.3">
      <c r="B375" t="s">
        <v>988</v>
      </c>
      <c r="C375">
        <v>784.08</v>
      </c>
      <c r="D375">
        <f t="shared" si="18"/>
        <v>-0.140668714517135</v>
      </c>
      <c r="E375">
        <v>-1.9128871263632288E-4</v>
      </c>
      <c r="G375">
        <v>368</v>
      </c>
      <c r="H375">
        <f t="shared" ca="1" si="19"/>
        <v>7.3477535526255636E-4</v>
      </c>
    </row>
    <row r="376" spans="2:8" x14ac:dyDescent="0.3">
      <c r="B376" t="s">
        <v>825</v>
      </c>
      <c r="C376">
        <v>902.51</v>
      </c>
      <c r="D376">
        <f t="shared" si="18"/>
        <v>-0.49238537700166873</v>
      </c>
      <c r="E376">
        <v>-2.2157964216922035E-4</v>
      </c>
      <c r="G376">
        <v>369</v>
      </c>
      <c r="H376">
        <f t="shared" ca="1" si="19"/>
        <v>2.4047584078148783E-2</v>
      </c>
    </row>
    <row r="377" spans="2:8" x14ac:dyDescent="0.3">
      <c r="B377" t="s">
        <v>440</v>
      </c>
      <c r="C377" s="79">
        <v>1476.7</v>
      </c>
      <c r="D377">
        <f t="shared" si="18"/>
        <v>0.58121253402773854</v>
      </c>
      <c r="E377">
        <v>-2.3698688219242801E-4</v>
      </c>
      <c r="G377">
        <v>370</v>
      </c>
      <c r="H377">
        <f t="shared" ca="1" si="19"/>
        <v>4.173694619541945E-3</v>
      </c>
    </row>
    <row r="378" spans="2:8" x14ac:dyDescent="0.3">
      <c r="B378" t="s">
        <v>859</v>
      </c>
      <c r="C378">
        <v>825.8</v>
      </c>
      <c r="D378">
        <f t="shared" si="18"/>
        <v>-0.46592350770410518</v>
      </c>
      <c r="E378">
        <v>-2.4216006898829614E-4</v>
      </c>
      <c r="G378">
        <v>371</v>
      </c>
      <c r="H378">
        <f t="shared" ca="1" si="19"/>
        <v>6.5518811348742982E-3</v>
      </c>
    </row>
    <row r="379" spans="2:8" x14ac:dyDescent="0.3">
      <c r="B379" t="s">
        <v>410</v>
      </c>
      <c r="C379" s="79">
        <v>1315.9</v>
      </c>
      <c r="D379">
        <f t="shared" si="18"/>
        <v>0.35440856185875313</v>
      </c>
      <c r="E379">
        <v>-3.0392827526705456E-4</v>
      </c>
      <c r="G379">
        <v>372</v>
      </c>
      <c r="H379">
        <f t="shared" ca="1" si="19"/>
        <v>2.2745013031510875E-3</v>
      </c>
    </row>
    <row r="380" spans="2:8" x14ac:dyDescent="0.3">
      <c r="B380" t="s">
        <v>907</v>
      </c>
      <c r="C380">
        <v>923.22</v>
      </c>
      <c r="D380">
        <f t="shared" si="18"/>
        <v>-6.9231139496266428E-2</v>
      </c>
      <c r="E380">
        <v>-4.8730569650049822E-4</v>
      </c>
      <c r="G380">
        <v>373</v>
      </c>
      <c r="H380">
        <f t="shared" ca="1" si="19"/>
        <v>1.6269794385383796E-3</v>
      </c>
    </row>
    <row r="381" spans="2:8" x14ac:dyDescent="0.3">
      <c r="B381" t="s">
        <v>679</v>
      </c>
      <c r="C381">
        <v>989.4</v>
      </c>
      <c r="D381">
        <f t="shared" si="18"/>
        <v>0.34849285134236413</v>
      </c>
      <c r="E381">
        <v>-4.9512705061953595E-4</v>
      </c>
      <c r="G381">
        <v>374</v>
      </c>
      <c r="H381">
        <f t="shared" ca="1" si="19"/>
        <v>1.3852471845778062E-2</v>
      </c>
    </row>
    <row r="382" spans="2:8" x14ac:dyDescent="0.3">
      <c r="B382" t="s">
        <v>1028</v>
      </c>
      <c r="C382">
        <v>698.27</v>
      </c>
      <c r="D382">
        <f t="shared" si="18"/>
        <v>-0.13400387754601017</v>
      </c>
      <c r="E382">
        <v>-5.0111319763787555E-4</v>
      </c>
      <c r="G382">
        <v>375</v>
      </c>
      <c r="H382">
        <f t="shared" ca="1" si="19"/>
        <v>2.4216574599533795E-2</v>
      </c>
    </row>
    <row r="383" spans="2:8" x14ac:dyDescent="0.3">
      <c r="B383" t="s">
        <v>1009</v>
      </c>
      <c r="C383">
        <v>798.4</v>
      </c>
      <c r="D383">
        <f t="shared" si="18"/>
        <v>-7.4555195352381781E-2</v>
      </c>
      <c r="E383">
        <v>-5.5095040335845225E-4</v>
      </c>
      <c r="G383">
        <v>376</v>
      </c>
      <c r="H383">
        <f t="shared" ca="1" si="19"/>
        <v>2.3133367042267292E-2</v>
      </c>
    </row>
    <row r="384" spans="2:8" x14ac:dyDescent="0.3">
      <c r="B384" t="s">
        <v>944</v>
      </c>
      <c r="C384">
        <v>860.2</v>
      </c>
      <c r="D384">
        <f t="shared" si="18"/>
        <v>-0.2554457467348818</v>
      </c>
      <c r="E384">
        <v>-6.2756402631427601E-4</v>
      </c>
      <c r="G384">
        <v>377</v>
      </c>
      <c r="H384">
        <f t="shared" ca="1" si="19"/>
        <v>1.972735173176773E-2</v>
      </c>
    </row>
    <row r="385" spans="2:8" x14ac:dyDescent="0.3">
      <c r="B385" t="s">
        <v>368</v>
      </c>
      <c r="C385" s="79">
        <v>1110.55</v>
      </c>
      <c r="D385">
        <f t="shared" si="18"/>
        <v>-0.10773669170982138</v>
      </c>
      <c r="E385">
        <v>-6.3011974359644945E-4</v>
      </c>
      <c r="G385">
        <v>378</v>
      </c>
      <c r="H385">
        <f t="shared" ca="1" si="19"/>
        <v>2.0592515787834179E-2</v>
      </c>
    </row>
    <row r="386" spans="2:8" x14ac:dyDescent="0.3">
      <c r="B386" t="s">
        <v>518</v>
      </c>
      <c r="C386" s="79">
        <v>1236.8800000000001</v>
      </c>
      <c r="D386">
        <f t="shared" si="18"/>
        <v>0.34555220706843265</v>
      </c>
      <c r="E386">
        <v>-6.3849995097216804E-4</v>
      </c>
      <c r="G386">
        <v>379</v>
      </c>
      <c r="H386">
        <f t="shared" ca="1" si="19"/>
        <v>-2.1946814823979068E-2</v>
      </c>
    </row>
    <row r="387" spans="2:8" x14ac:dyDescent="0.3">
      <c r="B387" t="s">
        <v>923</v>
      </c>
      <c r="C387">
        <v>875.5</v>
      </c>
      <c r="D387">
        <f t="shared" si="18"/>
        <v>-3.477669477994385E-3</v>
      </c>
      <c r="E387">
        <v>-6.736736591481709E-4</v>
      </c>
      <c r="G387">
        <v>380</v>
      </c>
      <c r="H387">
        <f t="shared" ca="1" si="19"/>
        <v>2.4051761825266742E-2</v>
      </c>
    </row>
    <row r="388" spans="2:8" x14ac:dyDescent="0.3">
      <c r="B388" t="s">
        <v>828</v>
      </c>
      <c r="C388">
        <v>878.55</v>
      </c>
      <c r="D388">
        <f t="shared" si="18"/>
        <v>8.6462068809280784E-2</v>
      </c>
      <c r="E388">
        <v>-7.2820784448442599E-4</v>
      </c>
      <c r="G388">
        <v>381</v>
      </c>
      <c r="H388">
        <f t="shared" ca="1" si="19"/>
        <v>4.0085683060665424E-3</v>
      </c>
    </row>
    <row r="389" spans="2:8" x14ac:dyDescent="0.3">
      <c r="B389" t="s">
        <v>865</v>
      </c>
      <c r="C389">
        <v>805.78</v>
      </c>
      <c r="D389">
        <f t="shared" si="18"/>
        <v>-0.13824241092348005</v>
      </c>
      <c r="E389">
        <v>-7.3194184950594709E-4</v>
      </c>
      <c r="G389">
        <v>382</v>
      </c>
      <c r="H389">
        <f t="shared" ca="1" si="19"/>
        <v>-1.5070647571616348E-2</v>
      </c>
    </row>
    <row r="390" spans="2:8" x14ac:dyDescent="0.3">
      <c r="B390" t="s">
        <v>801</v>
      </c>
      <c r="C390">
        <v>925.24</v>
      </c>
      <c r="D390">
        <f t="shared" si="18"/>
        <v>2.6725501945188881E-2</v>
      </c>
      <c r="E390">
        <v>-7.4547451822853559E-4</v>
      </c>
      <c r="G390">
        <v>383</v>
      </c>
      <c r="H390">
        <f t="shared" ca="1" si="19"/>
        <v>8.1996079928525357E-3</v>
      </c>
    </row>
    <row r="391" spans="2:8" x14ac:dyDescent="0.3">
      <c r="B391" t="s">
        <v>780</v>
      </c>
      <c r="C391">
        <v>900.84</v>
      </c>
      <c r="D391">
        <f t="shared" si="18"/>
        <v>-0.14158851849735204</v>
      </c>
      <c r="E391">
        <v>-7.6565858698081086E-4</v>
      </c>
      <c r="G391">
        <v>384</v>
      </c>
      <c r="H391">
        <f t="shared" ca="1" si="19"/>
        <v>-1.1017201470006963E-2</v>
      </c>
    </row>
    <row r="392" spans="2:8" x14ac:dyDescent="0.3">
      <c r="B392" t="s">
        <v>606</v>
      </c>
      <c r="C392" s="79">
        <v>1037.8599999999999</v>
      </c>
      <c r="D392">
        <f t="shared" ref="D392:D455" si="20">LN(C392/C393)</f>
        <v>-0.13179675544769498</v>
      </c>
      <c r="E392">
        <v>-8.0903036350239818E-4</v>
      </c>
      <c r="G392">
        <v>385</v>
      </c>
      <c r="H392">
        <f t="shared" ca="1" si="19"/>
        <v>-1.4174356923656791E-2</v>
      </c>
    </row>
    <row r="393" spans="2:8" x14ac:dyDescent="0.3">
      <c r="B393" t="s">
        <v>571</v>
      </c>
      <c r="C393" s="79">
        <v>1184.07</v>
      </c>
      <c r="D393">
        <f t="shared" si="20"/>
        <v>0.37234760116319465</v>
      </c>
      <c r="E393">
        <v>-8.7794094733273246E-4</v>
      </c>
      <c r="G393">
        <v>386</v>
      </c>
      <c r="H393">
        <f t="shared" ref="H393:H456" ca="1" si="21">_xlfn.NORM.INV(RAND(),$N$10,$N$11)</f>
        <v>-1.465408752906476E-2</v>
      </c>
    </row>
    <row r="394" spans="2:8" x14ac:dyDescent="0.3">
      <c r="B394" t="s">
        <v>873</v>
      </c>
      <c r="C394">
        <v>815.96</v>
      </c>
      <c r="D394">
        <f t="shared" si="20"/>
        <v>-0.10836472441826328</v>
      </c>
      <c r="E394">
        <v>-9.0649620946633785E-4</v>
      </c>
      <c r="G394">
        <v>387</v>
      </c>
      <c r="H394">
        <f t="shared" ca="1" si="21"/>
        <v>-3.0192269983207974E-2</v>
      </c>
    </row>
    <row r="395" spans="2:8" x14ac:dyDescent="0.3">
      <c r="B395" t="s">
        <v>1067</v>
      </c>
      <c r="C395">
        <v>909.35</v>
      </c>
      <c r="D395">
        <f t="shared" si="20"/>
        <v>0.14809147273805673</v>
      </c>
      <c r="E395">
        <v>-9.2331035280914105E-4</v>
      </c>
      <c r="G395">
        <v>388</v>
      </c>
      <c r="H395">
        <f t="shared" ca="1" si="21"/>
        <v>-3.3901859591244483E-3</v>
      </c>
    </row>
    <row r="396" spans="2:8" x14ac:dyDescent="0.3">
      <c r="B396" t="s">
        <v>1002</v>
      </c>
      <c r="C396">
        <v>784.18</v>
      </c>
      <c r="D396">
        <f t="shared" si="20"/>
        <v>6.6470214692663843E-2</v>
      </c>
      <c r="E396">
        <v>-1.0706093298933472E-3</v>
      </c>
      <c r="G396">
        <v>389</v>
      </c>
      <c r="H396">
        <f t="shared" ca="1" si="21"/>
        <v>5.097966350619842E-3</v>
      </c>
    </row>
    <row r="397" spans="2:8" x14ac:dyDescent="0.3">
      <c r="B397" t="s">
        <v>1025</v>
      </c>
      <c r="C397">
        <v>733.75</v>
      </c>
      <c r="D397">
        <f t="shared" si="20"/>
        <v>-0.67901024460072967</v>
      </c>
      <c r="E397">
        <v>-1.1985999609825308E-3</v>
      </c>
      <c r="G397">
        <v>390</v>
      </c>
      <c r="H397">
        <f t="shared" ca="1" si="21"/>
        <v>-3.2047330017685037E-3</v>
      </c>
    </row>
    <row r="398" spans="2:8" x14ac:dyDescent="0.3">
      <c r="B398" t="s">
        <v>422</v>
      </c>
      <c r="C398" s="79">
        <v>1446.9</v>
      </c>
      <c r="D398">
        <f t="shared" si="20"/>
        <v>0.17498383309504434</v>
      </c>
      <c r="E398">
        <v>-1.208751507018778E-3</v>
      </c>
      <c r="G398">
        <v>391</v>
      </c>
      <c r="H398">
        <f t="shared" ca="1" si="21"/>
        <v>-1.5214742310236267E-2</v>
      </c>
    </row>
    <row r="399" spans="2:8" x14ac:dyDescent="0.3">
      <c r="B399" t="s">
        <v>566</v>
      </c>
      <c r="C399" s="79">
        <v>1214.6300000000001</v>
      </c>
      <c r="D399">
        <f t="shared" si="20"/>
        <v>-0.16748463909094638</v>
      </c>
      <c r="E399">
        <v>-1.3410728122563269E-3</v>
      </c>
      <c r="G399">
        <v>392</v>
      </c>
      <c r="H399">
        <f t="shared" ca="1" si="21"/>
        <v>-1.2821857374551728E-3</v>
      </c>
    </row>
    <row r="400" spans="2:8" x14ac:dyDescent="0.3">
      <c r="B400" t="s">
        <v>472</v>
      </c>
      <c r="C400" s="79">
        <v>1436.09</v>
      </c>
      <c r="D400">
        <f t="shared" si="20"/>
        <v>3.1577773865577814E-2</v>
      </c>
      <c r="E400">
        <v>-1.3917015098605424E-3</v>
      </c>
      <c r="G400">
        <v>393</v>
      </c>
      <c r="H400">
        <f t="shared" ca="1" si="21"/>
        <v>-1.6910932929529807E-2</v>
      </c>
    </row>
    <row r="401" spans="2:8" x14ac:dyDescent="0.3">
      <c r="B401" t="s">
        <v>445</v>
      </c>
      <c r="C401" s="79">
        <v>1391.45</v>
      </c>
      <c r="D401">
        <f t="shared" si="20"/>
        <v>0.29762751632849699</v>
      </c>
      <c r="E401">
        <v>-1.5798358820711947E-3</v>
      </c>
      <c r="G401">
        <v>394</v>
      </c>
      <c r="H401">
        <f t="shared" ca="1" si="21"/>
        <v>1.5204545200859789E-2</v>
      </c>
    </row>
    <row r="402" spans="2:8" x14ac:dyDescent="0.3">
      <c r="B402" t="s">
        <v>610</v>
      </c>
      <c r="C402" s="79">
        <v>1033.26</v>
      </c>
      <c r="D402">
        <f t="shared" si="20"/>
        <v>0.12926279313696806</v>
      </c>
      <c r="E402">
        <v>-1.6246014597294525E-3</v>
      </c>
      <c r="G402">
        <v>395</v>
      </c>
      <c r="H402">
        <f t="shared" ca="1" si="21"/>
        <v>6.077679537959374E-3</v>
      </c>
    </row>
    <row r="403" spans="2:8" x14ac:dyDescent="0.3">
      <c r="B403" t="s">
        <v>913</v>
      </c>
      <c r="C403">
        <v>907.97</v>
      </c>
      <c r="D403">
        <f t="shared" si="20"/>
        <v>0.22552255873936972</v>
      </c>
      <c r="E403">
        <v>-1.6286827779543559E-3</v>
      </c>
      <c r="G403">
        <v>396</v>
      </c>
      <c r="H403">
        <f t="shared" ca="1" si="21"/>
        <v>1.0834465119316213E-2</v>
      </c>
    </row>
    <row r="404" spans="2:8" x14ac:dyDescent="0.3">
      <c r="B404" t="s">
        <v>967</v>
      </c>
      <c r="C404">
        <v>724.65</v>
      </c>
      <c r="D404">
        <f t="shared" si="20"/>
        <v>3.6581819019643413E-2</v>
      </c>
      <c r="E404">
        <v>-1.7510362471283255E-3</v>
      </c>
      <c r="G404">
        <v>397</v>
      </c>
      <c r="H404">
        <f t="shared" ca="1" si="21"/>
        <v>4.5404629033495902E-2</v>
      </c>
    </row>
    <row r="405" spans="2:8" x14ac:dyDescent="0.3">
      <c r="B405" t="s">
        <v>1029</v>
      </c>
      <c r="C405">
        <v>698.62</v>
      </c>
      <c r="D405">
        <f t="shared" si="20"/>
        <v>-0.56407586384168484</v>
      </c>
      <c r="E405">
        <v>-1.7590657177730367E-3</v>
      </c>
      <c r="G405">
        <v>398</v>
      </c>
      <c r="H405">
        <f t="shared" ca="1" si="21"/>
        <v>-2.9929212033622948E-2</v>
      </c>
    </row>
    <row r="406" spans="2:8" x14ac:dyDescent="0.3">
      <c r="B406" t="s">
        <v>376</v>
      </c>
      <c r="C406" s="79">
        <v>1228.05</v>
      </c>
      <c r="D406">
        <f t="shared" si="20"/>
        <v>0.25419770987785917</v>
      </c>
      <c r="E406">
        <v>-1.7898552555207978E-3</v>
      </c>
      <c r="G406">
        <v>399</v>
      </c>
      <c r="H406">
        <f t="shared" ca="1" si="21"/>
        <v>2.8993101828128563E-2</v>
      </c>
    </row>
    <row r="407" spans="2:8" x14ac:dyDescent="0.3">
      <c r="B407" t="s">
        <v>758</v>
      </c>
      <c r="C407">
        <v>952.4</v>
      </c>
      <c r="D407">
        <f t="shared" si="20"/>
        <v>-0.45406859192049476</v>
      </c>
      <c r="E407">
        <v>-1.8043350886847761E-3</v>
      </c>
      <c r="G407">
        <v>400</v>
      </c>
      <c r="H407">
        <f t="shared" ca="1" si="21"/>
        <v>-1.3723584934647167E-3</v>
      </c>
    </row>
    <row r="408" spans="2:8" x14ac:dyDescent="0.3">
      <c r="B408" t="s">
        <v>431</v>
      </c>
      <c r="C408" s="79">
        <v>1499.75</v>
      </c>
      <c r="D408">
        <f t="shared" si="20"/>
        <v>0.38592726587180898</v>
      </c>
      <c r="E408">
        <v>-1.8319598761601227E-3</v>
      </c>
      <c r="G408">
        <v>401</v>
      </c>
      <c r="H408">
        <f t="shared" ca="1" si="21"/>
        <v>7.7215398247326488E-4</v>
      </c>
    </row>
    <row r="409" spans="2:8" x14ac:dyDescent="0.3">
      <c r="B409" t="s">
        <v>700</v>
      </c>
      <c r="C409" s="79">
        <v>1019.56</v>
      </c>
      <c r="D409">
        <f t="shared" si="20"/>
        <v>7.0264536045480025E-2</v>
      </c>
      <c r="E409">
        <v>-1.8324445717670321E-3</v>
      </c>
      <c r="G409">
        <v>402</v>
      </c>
      <c r="H409">
        <f t="shared" ca="1" si="21"/>
        <v>-9.1558178248508683E-3</v>
      </c>
    </row>
    <row r="410" spans="2:8" x14ac:dyDescent="0.3">
      <c r="B410" t="s">
        <v>764</v>
      </c>
      <c r="C410">
        <v>950.38</v>
      </c>
      <c r="D410">
        <f t="shared" si="20"/>
        <v>1.8641493768479663E-3</v>
      </c>
      <c r="E410">
        <v>-1.8606807889121593E-3</v>
      </c>
      <c r="G410">
        <v>403</v>
      </c>
      <c r="H410">
        <f t="shared" ca="1" si="21"/>
        <v>4.236828140992072E-3</v>
      </c>
    </row>
    <row r="411" spans="2:8" x14ac:dyDescent="0.3">
      <c r="B411" t="s">
        <v>763</v>
      </c>
      <c r="C411">
        <v>948.61</v>
      </c>
      <c r="D411">
        <f t="shared" si="20"/>
        <v>-2.4697497775033422E-2</v>
      </c>
      <c r="E411">
        <v>-1.8641493768479802E-3</v>
      </c>
      <c r="G411">
        <v>404</v>
      </c>
      <c r="H411">
        <f t="shared" ca="1" si="21"/>
        <v>7.0535755030338926E-3</v>
      </c>
    </row>
    <row r="412" spans="2:8" x14ac:dyDescent="0.3">
      <c r="B412" t="s">
        <v>666</v>
      </c>
      <c r="C412">
        <v>972.33</v>
      </c>
      <c r="D412">
        <f t="shared" si="20"/>
        <v>0.17225850928757591</v>
      </c>
      <c r="E412">
        <v>-1.8700428777972157E-3</v>
      </c>
      <c r="G412">
        <v>405</v>
      </c>
      <c r="H412">
        <f t="shared" ca="1" si="21"/>
        <v>2.1121852759753844E-3</v>
      </c>
    </row>
    <row r="413" spans="2:8" x14ac:dyDescent="0.3">
      <c r="B413" t="s">
        <v>870</v>
      </c>
      <c r="C413">
        <v>818.47</v>
      </c>
      <c r="D413">
        <f t="shared" si="20"/>
        <v>-0.19901768952256596</v>
      </c>
      <c r="E413">
        <v>-1.9285702825949541E-3</v>
      </c>
      <c r="G413">
        <v>406</v>
      </c>
      <c r="H413">
        <f t="shared" ca="1" si="21"/>
        <v>1.8183099649757097E-2</v>
      </c>
    </row>
    <row r="414" spans="2:8" x14ac:dyDescent="0.3">
      <c r="B414" t="s">
        <v>736</v>
      </c>
      <c r="C414">
        <v>998.7</v>
      </c>
      <c r="D414">
        <f t="shared" si="20"/>
        <v>-0.24224502167276443</v>
      </c>
      <c r="E414">
        <v>-2.0205866573969173E-3</v>
      </c>
      <c r="G414">
        <v>407</v>
      </c>
      <c r="H414">
        <f t="shared" ca="1" si="21"/>
        <v>7.4339057762057553E-3</v>
      </c>
    </row>
    <row r="415" spans="2:8" x14ac:dyDescent="0.3">
      <c r="B415" t="s">
        <v>395</v>
      </c>
      <c r="C415" s="79">
        <v>1272.45</v>
      </c>
      <c r="D415">
        <f t="shared" si="20"/>
        <v>-3.1484655049250444E-2</v>
      </c>
      <c r="E415">
        <v>-2.0412175880326119E-3</v>
      </c>
      <c r="G415">
        <v>408</v>
      </c>
      <c r="H415">
        <f t="shared" ca="1" si="21"/>
        <v>8.4588997585851033E-3</v>
      </c>
    </row>
    <row r="416" spans="2:8" x14ac:dyDescent="0.3">
      <c r="B416" t="s">
        <v>409</v>
      </c>
      <c r="C416" s="79">
        <v>1313.15</v>
      </c>
      <c r="D416">
        <f t="shared" si="20"/>
        <v>0.32146152456627825</v>
      </c>
      <c r="E416">
        <v>-2.0920111849910311E-3</v>
      </c>
      <c r="G416">
        <v>409</v>
      </c>
      <c r="H416">
        <f t="shared" ca="1" si="21"/>
        <v>2.3853110558605017E-2</v>
      </c>
    </row>
    <row r="417" spans="2:8" x14ac:dyDescent="0.3">
      <c r="B417" t="s">
        <v>765</v>
      </c>
      <c r="C417">
        <v>952.15</v>
      </c>
      <c r="D417">
        <f t="shared" si="20"/>
        <v>0.23428558077296846</v>
      </c>
      <c r="E417">
        <v>-2.1192672332392211E-3</v>
      </c>
      <c r="G417">
        <v>410</v>
      </c>
      <c r="H417">
        <f t="shared" ca="1" si="21"/>
        <v>2.1516453111517477E-2</v>
      </c>
    </row>
    <row r="418" spans="2:8" x14ac:dyDescent="0.3">
      <c r="B418" t="s">
        <v>976</v>
      </c>
      <c r="C418">
        <v>753.28</v>
      </c>
      <c r="D418">
        <f t="shared" si="20"/>
        <v>-0.32596580157129873</v>
      </c>
      <c r="E418">
        <v>-2.3469675899408706E-3</v>
      </c>
      <c r="G418">
        <v>411</v>
      </c>
      <c r="H418">
        <f t="shared" ca="1" si="21"/>
        <v>-5.1185374152836532E-3</v>
      </c>
    </row>
    <row r="419" spans="2:8" x14ac:dyDescent="0.3">
      <c r="B419" t="s">
        <v>706</v>
      </c>
      <c r="C419" s="79">
        <v>1043.57</v>
      </c>
      <c r="D419">
        <f t="shared" si="20"/>
        <v>-0.26635073239943891</v>
      </c>
      <c r="E419">
        <v>-2.3545186987656767E-3</v>
      </c>
      <c r="G419">
        <v>412</v>
      </c>
      <c r="H419">
        <f t="shared" ca="1" si="21"/>
        <v>-6.5365399984027971E-3</v>
      </c>
    </row>
    <row r="420" spans="2:8" x14ac:dyDescent="0.3">
      <c r="B420" t="s">
        <v>478</v>
      </c>
      <c r="C420" s="79">
        <v>1362.06</v>
      </c>
      <c r="D420">
        <f t="shared" si="20"/>
        <v>0.27892502661431579</v>
      </c>
      <c r="E420">
        <v>-2.3759250881109943E-3</v>
      </c>
      <c r="G420">
        <v>413</v>
      </c>
      <c r="H420">
        <f t="shared" ca="1" si="21"/>
        <v>-7.3014094940315319E-3</v>
      </c>
    </row>
    <row r="421" spans="2:8" x14ac:dyDescent="0.3">
      <c r="B421" t="s">
        <v>732</v>
      </c>
      <c r="C421" s="79">
        <v>1030.53</v>
      </c>
      <c r="D421">
        <f t="shared" si="20"/>
        <v>5.5862947192445486E-2</v>
      </c>
      <c r="E421">
        <v>-2.3842765423922963E-3</v>
      </c>
      <c r="G421">
        <v>414</v>
      </c>
      <c r="H421">
        <f t="shared" ca="1" si="21"/>
        <v>7.5283091414658386E-3</v>
      </c>
    </row>
    <row r="422" spans="2:8" x14ac:dyDescent="0.3">
      <c r="B422" t="s">
        <v>658</v>
      </c>
      <c r="C422">
        <v>974.54</v>
      </c>
      <c r="D422">
        <f t="shared" si="20"/>
        <v>4.70042161173211E-3</v>
      </c>
      <c r="E422">
        <v>-2.4187278630631096E-3</v>
      </c>
      <c r="G422">
        <v>415</v>
      </c>
      <c r="H422">
        <f t="shared" ca="1" si="21"/>
        <v>1.9267872084755309E-2</v>
      </c>
    </row>
    <row r="423" spans="2:8" x14ac:dyDescent="0.3">
      <c r="B423" t="s">
        <v>665</v>
      </c>
      <c r="C423">
        <v>969.97</v>
      </c>
      <c r="D423">
        <f t="shared" si="20"/>
        <v>0.15236356255812877</v>
      </c>
      <c r="E423">
        <v>-2.4301098299972556E-3</v>
      </c>
      <c r="G423">
        <v>416</v>
      </c>
      <c r="H423">
        <f t="shared" ca="1" si="21"/>
        <v>3.510231943600358E-2</v>
      </c>
    </row>
    <row r="424" spans="2:8" x14ac:dyDescent="0.3">
      <c r="B424" t="s">
        <v>862</v>
      </c>
      <c r="C424">
        <v>832.89</v>
      </c>
      <c r="D424">
        <f t="shared" si="20"/>
        <v>-0.23118661514680205</v>
      </c>
      <c r="E424">
        <v>-2.4822388858235945E-3</v>
      </c>
      <c r="G424">
        <v>417</v>
      </c>
      <c r="H424">
        <f t="shared" ca="1" si="21"/>
        <v>-4.2290214759405732E-2</v>
      </c>
    </row>
    <row r="425" spans="2:8" x14ac:dyDescent="0.3">
      <c r="B425" t="s">
        <v>718</v>
      </c>
      <c r="C425" s="79">
        <v>1049.52</v>
      </c>
      <c r="D425">
        <f t="shared" si="20"/>
        <v>-0.25818072339626735</v>
      </c>
      <c r="E425">
        <v>-2.4837640347114588E-3</v>
      </c>
      <c r="G425">
        <v>418</v>
      </c>
      <c r="H425">
        <f t="shared" ca="1" si="21"/>
        <v>-2.6016722092282903E-2</v>
      </c>
    </row>
    <row r="426" spans="2:8" x14ac:dyDescent="0.3">
      <c r="B426" t="s">
        <v>477</v>
      </c>
      <c r="C426" s="79">
        <v>1358.68</v>
      </c>
      <c r="D426">
        <f t="shared" si="20"/>
        <v>0.50935223941077046</v>
      </c>
      <c r="E426">
        <v>-2.4846194335526274E-3</v>
      </c>
      <c r="G426">
        <v>419</v>
      </c>
      <c r="H426">
        <f t="shared" ca="1" si="21"/>
        <v>9.8809052330383167E-3</v>
      </c>
    </row>
    <row r="427" spans="2:8" x14ac:dyDescent="0.3">
      <c r="B427" t="s">
        <v>869</v>
      </c>
      <c r="C427">
        <v>816.41</v>
      </c>
      <c r="D427">
        <f t="shared" si="20"/>
        <v>4.6892796999441655E-2</v>
      </c>
      <c r="E427">
        <v>-2.5200639682512464E-3</v>
      </c>
      <c r="G427">
        <v>420</v>
      </c>
      <c r="H427">
        <f t="shared" ca="1" si="21"/>
        <v>1.4854926641362201E-3</v>
      </c>
    </row>
    <row r="428" spans="2:8" x14ac:dyDescent="0.3">
      <c r="B428" t="s">
        <v>999</v>
      </c>
      <c r="C428">
        <v>779.01</v>
      </c>
      <c r="D428">
        <f t="shared" si="20"/>
        <v>-0.55087248835924429</v>
      </c>
      <c r="E428">
        <v>-2.5256585583382568E-3</v>
      </c>
      <c r="G428">
        <v>421</v>
      </c>
      <c r="H428">
        <f t="shared" ca="1" si="21"/>
        <v>-7.3833328366569931E-3</v>
      </c>
    </row>
    <row r="429" spans="2:8" x14ac:dyDescent="0.3">
      <c r="B429" t="s">
        <v>486</v>
      </c>
      <c r="C429" s="79">
        <v>1351.4</v>
      </c>
      <c r="D429">
        <f t="shared" si="20"/>
        <v>0.4722497491158259</v>
      </c>
      <c r="E429">
        <v>-2.5422740427836236E-3</v>
      </c>
      <c r="G429">
        <v>422</v>
      </c>
      <c r="H429">
        <f t="shared" ca="1" si="21"/>
        <v>9.5352915649126319E-3</v>
      </c>
    </row>
    <row r="430" spans="2:8" x14ac:dyDescent="0.3">
      <c r="B430" t="s">
        <v>947</v>
      </c>
      <c r="C430">
        <v>842.73</v>
      </c>
      <c r="D430">
        <f t="shared" si="20"/>
        <v>-0.14478521531037294</v>
      </c>
      <c r="E430">
        <v>-2.6189969167262988E-3</v>
      </c>
      <c r="G430">
        <v>423</v>
      </c>
      <c r="H430">
        <f t="shared" ca="1" si="21"/>
        <v>1.8460321707934602E-2</v>
      </c>
    </row>
    <row r="431" spans="2:8" x14ac:dyDescent="0.3">
      <c r="B431" t="s">
        <v>632</v>
      </c>
      <c r="C431">
        <v>974.02</v>
      </c>
      <c r="D431">
        <f t="shared" si="20"/>
        <v>0.28018813171952528</v>
      </c>
      <c r="E431">
        <v>-2.6453143149385828E-3</v>
      </c>
      <c r="G431">
        <v>424</v>
      </c>
      <c r="H431">
        <f t="shared" ca="1" si="21"/>
        <v>9.5830355159327209E-5</v>
      </c>
    </row>
    <row r="432" spans="2:8" x14ac:dyDescent="0.3">
      <c r="B432" t="s">
        <v>971</v>
      </c>
      <c r="C432">
        <v>736.01</v>
      </c>
      <c r="D432">
        <f t="shared" si="20"/>
        <v>-0.54159950572022308</v>
      </c>
      <c r="E432">
        <v>-2.7407685876750239E-3</v>
      </c>
      <c r="G432">
        <v>425</v>
      </c>
      <c r="H432">
        <f t="shared" ca="1" si="21"/>
        <v>3.3515545983231899E-4</v>
      </c>
    </row>
    <row r="433" spans="2:8" x14ac:dyDescent="0.3">
      <c r="B433" t="s">
        <v>500</v>
      </c>
      <c r="C433" s="79">
        <v>1265.02</v>
      </c>
      <c r="D433">
        <f t="shared" si="20"/>
        <v>0.39916101006840365</v>
      </c>
      <c r="E433">
        <v>-2.9127038861928699E-3</v>
      </c>
      <c r="G433">
        <v>426</v>
      </c>
      <c r="H433">
        <f t="shared" ca="1" si="21"/>
        <v>3.1988824795632555E-3</v>
      </c>
    </row>
    <row r="434" spans="2:8" x14ac:dyDescent="0.3">
      <c r="B434" t="s">
        <v>931</v>
      </c>
      <c r="C434">
        <v>848.68</v>
      </c>
      <c r="D434">
        <f t="shared" si="20"/>
        <v>7.797300608005206E-2</v>
      </c>
      <c r="E434">
        <v>-2.9531691531538744E-3</v>
      </c>
      <c r="G434">
        <v>427</v>
      </c>
      <c r="H434">
        <f t="shared" ca="1" si="21"/>
        <v>7.6264181449063892E-3</v>
      </c>
    </row>
    <row r="435" spans="2:8" x14ac:dyDescent="0.3">
      <c r="B435" t="s">
        <v>1003</v>
      </c>
      <c r="C435">
        <v>785.02</v>
      </c>
      <c r="D435">
        <f t="shared" si="20"/>
        <v>-0.30839546435880744</v>
      </c>
      <c r="E435">
        <v>-3.0652826951842933E-3</v>
      </c>
      <c r="G435">
        <v>428</v>
      </c>
      <c r="H435">
        <f t="shared" ca="1" si="21"/>
        <v>2.3122549716232871E-2</v>
      </c>
    </row>
    <row r="436" spans="2:8" x14ac:dyDescent="0.3">
      <c r="B436" t="s">
        <v>360</v>
      </c>
      <c r="C436" s="79">
        <v>1068.5999999999999</v>
      </c>
      <c r="D436">
        <f t="shared" si="20"/>
        <v>-0.13768474315807047</v>
      </c>
      <c r="E436">
        <v>-3.1766821070764524E-3</v>
      </c>
      <c r="G436">
        <v>429</v>
      </c>
      <c r="H436">
        <f t="shared" ca="1" si="21"/>
        <v>1.3942362371707264E-2</v>
      </c>
    </row>
    <row r="437" spans="2:8" x14ac:dyDescent="0.3">
      <c r="B437" t="s">
        <v>555</v>
      </c>
      <c r="C437" s="79">
        <v>1226.3399999999999</v>
      </c>
      <c r="D437">
        <f t="shared" si="20"/>
        <v>0.26215064343528044</v>
      </c>
      <c r="E437">
        <v>-3.2239183843818012E-3</v>
      </c>
      <c r="G437">
        <v>430</v>
      </c>
      <c r="H437">
        <f t="shared" ca="1" si="21"/>
        <v>-9.8587690191716901E-3</v>
      </c>
    </row>
    <row r="438" spans="2:8" x14ac:dyDescent="0.3">
      <c r="B438" t="s">
        <v>770</v>
      </c>
      <c r="C438">
        <v>943.54</v>
      </c>
      <c r="D438">
        <f t="shared" si="20"/>
        <v>0.23188824808575029</v>
      </c>
      <c r="E438">
        <v>-3.2801138298424108E-3</v>
      </c>
      <c r="G438">
        <v>431</v>
      </c>
      <c r="H438">
        <f t="shared" ca="1" si="21"/>
        <v>-1.0603491950686123E-2</v>
      </c>
    </row>
    <row r="439" spans="2:8" x14ac:dyDescent="0.3">
      <c r="B439" t="s">
        <v>973</v>
      </c>
      <c r="C439">
        <v>748.26</v>
      </c>
      <c r="D439">
        <f t="shared" si="20"/>
        <v>-0.29518134619024083</v>
      </c>
      <c r="E439">
        <v>-3.28223486434528E-3</v>
      </c>
      <c r="G439">
        <v>432</v>
      </c>
      <c r="H439">
        <f t="shared" ca="1" si="21"/>
        <v>-1.0695666050249795E-2</v>
      </c>
    </row>
    <row r="440" spans="2:8" x14ac:dyDescent="0.3">
      <c r="B440" t="s">
        <v>635</v>
      </c>
      <c r="C440" s="79">
        <v>1005.19</v>
      </c>
      <c r="D440">
        <f t="shared" si="20"/>
        <v>3.495560485793852E-2</v>
      </c>
      <c r="E440">
        <v>-3.3271621224062126E-3</v>
      </c>
      <c r="G440">
        <v>433</v>
      </c>
      <c r="H440">
        <f t="shared" ca="1" si="21"/>
        <v>-1.6491107306877422E-3</v>
      </c>
    </row>
    <row r="441" spans="2:8" x14ac:dyDescent="0.3">
      <c r="B441" t="s">
        <v>631</v>
      </c>
      <c r="C441">
        <v>970.66</v>
      </c>
      <c r="D441">
        <f t="shared" si="20"/>
        <v>-3.5890433988831866E-3</v>
      </c>
      <c r="E441">
        <v>-3.4555848196083125E-3</v>
      </c>
      <c r="G441">
        <v>434</v>
      </c>
      <c r="H441">
        <f t="shared" ca="1" si="21"/>
        <v>-4.4129569510691314E-3</v>
      </c>
    </row>
    <row r="442" spans="2:8" x14ac:dyDescent="0.3">
      <c r="B442" t="s">
        <v>667</v>
      </c>
      <c r="C442">
        <v>974.15</v>
      </c>
      <c r="D442">
        <f t="shared" si="20"/>
        <v>-3.6348213122956087E-2</v>
      </c>
      <c r="E442">
        <v>-3.5250633405472134E-3</v>
      </c>
      <c r="G442">
        <v>435</v>
      </c>
      <c r="H442">
        <f t="shared" ca="1" si="21"/>
        <v>4.3175062160756578E-3</v>
      </c>
    </row>
    <row r="443" spans="2:8" x14ac:dyDescent="0.3">
      <c r="B443" t="s">
        <v>683</v>
      </c>
      <c r="C443" s="79">
        <v>1010.21</v>
      </c>
      <c r="D443">
        <f t="shared" si="20"/>
        <v>-0.33790372840777783</v>
      </c>
      <c r="E443">
        <v>-3.5474170233966702E-3</v>
      </c>
      <c r="G443">
        <v>436</v>
      </c>
      <c r="H443">
        <f t="shared" ca="1" si="21"/>
        <v>1.2492680360138814E-2</v>
      </c>
    </row>
    <row r="444" spans="2:8" x14ac:dyDescent="0.3">
      <c r="B444" t="s">
        <v>494</v>
      </c>
      <c r="C444" s="79">
        <v>1416.32</v>
      </c>
      <c r="D444">
        <f t="shared" si="20"/>
        <v>5.2858244589865856E-2</v>
      </c>
      <c r="E444">
        <v>-3.6506936684243293E-3</v>
      </c>
      <c r="G444">
        <v>437</v>
      </c>
      <c r="H444">
        <f t="shared" ca="1" si="21"/>
        <v>1.5250448212882396E-3</v>
      </c>
    </row>
    <row r="445" spans="2:8" x14ac:dyDescent="0.3">
      <c r="B445" t="s">
        <v>415</v>
      </c>
      <c r="C445" s="79">
        <v>1343.4</v>
      </c>
      <c r="D445">
        <f t="shared" si="20"/>
        <v>0.54208939210983853</v>
      </c>
      <c r="E445">
        <v>-3.6779088547537276E-3</v>
      </c>
      <c r="G445">
        <v>438</v>
      </c>
      <c r="H445">
        <f t="shared" ca="1" si="21"/>
        <v>2.8014926010588052E-3</v>
      </c>
    </row>
    <row r="446" spans="2:8" x14ac:dyDescent="0.3">
      <c r="B446" t="s">
        <v>957</v>
      </c>
      <c r="C446">
        <v>781.23</v>
      </c>
      <c r="D446">
        <f t="shared" si="20"/>
        <v>-0.46007585871563222</v>
      </c>
      <c r="E446">
        <v>-3.7052222080052439E-3</v>
      </c>
      <c r="G446">
        <v>439</v>
      </c>
      <c r="H446">
        <f t="shared" ca="1" si="21"/>
        <v>1.6407848361398008E-2</v>
      </c>
    </row>
    <row r="447" spans="2:8" x14ac:dyDescent="0.3">
      <c r="B447" t="s">
        <v>563</v>
      </c>
      <c r="C447" s="79">
        <v>1237.6199999999999</v>
      </c>
      <c r="D447">
        <f t="shared" si="20"/>
        <v>1.6334983941313575E-3</v>
      </c>
      <c r="E447">
        <v>-3.7099210239471708E-3</v>
      </c>
      <c r="G447">
        <v>440</v>
      </c>
      <c r="H447">
        <f t="shared" ca="1" si="21"/>
        <v>-2.4473659035308577E-2</v>
      </c>
    </row>
    <row r="448" spans="2:8" x14ac:dyDescent="0.3">
      <c r="B448" t="s">
        <v>374</v>
      </c>
      <c r="C448" s="79">
        <v>1235.5999999999999</v>
      </c>
      <c r="D448">
        <f t="shared" si="20"/>
        <v>0.19629375539637708</v>
      </c>
      <c r="E448">
        <v>-3.7562901367316844E-3</v>
      </c>
      <c r="G448">
        <v>441</v>
      </c>
      <c r="H448">
        <f t="shared" ca="1" si="21"/>
        <v>-3.8685346430915911E-3</v>
      </c>
    </row>
    <row r="449" spans="2:8" x14ac:dyDescent="0.3">
      <c r="B449" t="s">
        <v>713</v>
      </c>
      <c r="C449" s="79">
        <v>1015.38</v>
      </c>
      <c r="D449">
        <f t="shared" si="20"/>
        <v>0.10172536344170335</v>
      </c>
      <c r="E449">
        <v>-3.7747022112252881E-3</v>
      </c>
      <c r="G449">
        <v>442</v>
      </c>
      <c r="H449">
        <f t="shared" ca="1" si="21"/>
        <v>1.8311129913847056E-2</v>
      </c>
    </row>
    <row r="450" spans="2:8" x14ac:dyDescent="0.3">
      <c r="B450" t="s">
        <v>797</v>
      </c>
      <c r="C450">
        <v>917.17</v>
      </c>
      <c r="D450">
        <f t="shared" si="20"/>
        <v>-3.4326682355262594E-2</v>
      </c>
      <c r="E450">
        <v>-3.8522693296545833E-3</v>
      </c>
      <c r="G450">
        <v>443</v>
      </c>
      <c r="H450">
        <f t="shared" ca="1" si="21"/>
        <v>1.3266201132338744E-2</v>
      </c>
    </row>
    <row r="451" spans="2:8" x14ac:dyDescent="0.3">
      <c r="B451" t="s">
        <v>767</v>
      </c>
      <c r="C451">
        <v>949.2</v>
      </c>
      <c r="D451">
        <f t="shared" si="20"/>
        <v>-8.0966136088405471E-2</v>
      </c>
      <c r="E451">
        <v>-3.8799474568516189E-3</v>
      </c>
      <c r="G451">
        <v>444</v>
      </c>
      <c r="H451">
        <f t="shared" ca="1" si="21"/>
        <v>1.4042761441654124E-2</v>
      </c>
    </row>
    <row r="452" spans="2:8" x14ac:dyDescent="0.3">
      <c r="B452" t="s">
        <v>609</v>
      </c>
      <c r="C452" s="79">
        <v>1029.25</v>
      </c>
      <c r="D452">
        <f t="shared" si="20"/>
        <v>3.0682095031351397E-2</v>
      </c>
      <c r="E452">
        <v>-3.8884708948490171E-3</v>
      </c>
      <c r="G452">
        <v>445</v>
      </c>
      <c r="H452">
        <f t="shared" ca="1" si="21"/>
        <v>-3.4920745914185709E-2</v>
      </c>
    </row>
    <row r="453" spans="2:8" x14ac:dyDescent="0.3">
      <c r="B453" t="s">
        <v>623</v>
      </c>
      <c r="C453">
        <v>998.15</v>
      </c>
      <c r="D453">
        <f t="shared" si="20"/>
        <v>-0.32505053236111731</v>
      </c>
      <c r="E453">
        <v>-3.9095944729184403E-3</v>
      </c>
      <c r="G453">
        <v>446</v>
      </c>
      <c r="H453">
        <f t="shared" ca="1" si="21"/>
        <v>-1.0450622441700348E-2</v>
      </c>
    </row>
    <row r="454" spans="2:8" x14ac:dyDescent="0.3">
      <c r="B454" t="s">
        <v>450</v>
      </c>
      <c r="C454" s="79">
        <v>1381.54</v>
      </c>
      <c r="D454">
        <f t="shared" si="20"/>
        <v>0.28470914221711913</v>
      </c>
      <c r="E454">
        <v>-4.0668815150679541E-3</v>
      </c>
      <c r="G454">
        <v>447</v>
      </c>
      <c r="H454">
        <f t="shared" ca="1" si="21"/>
        <v>2.3006760023510823E-2</v>
      </c>
    </row>
    <row r="455" spans="2:8" x14ac:dyDescent="0.3">
      <c r="B455" t="s">
        <v>703</v>
      </c>
      <c r="C455" s="79">
        <v>1039.24</v>
      </c>
      <c r="D455">
        <f t="shared" si="20"/>
        <v>0.24556304791723896</v>
      </c>
      <c r="E455">
        <v>-4.1578504404952161E-3</v>
      </c>
      <c r="G455">
        <v>448</v>
      </c>
      <c r="H455">
        <f t="shared" ca="1" si="21"/>
        <v>-7.9158583630326591E-3</v>
      </c>
    </row>
    <row r="456" spans="2:8" x14ac:dyDescent="0.3">
      <c r="B456" t="s">
        <v>868</v>
      </c>
      <c r="C456">
        <v>812.96</v>
      </c>
      <c r="D456">
        <f t="shared" ref="D456:D519" si="22">LN(C456/C457)</f>
        <v>-0.53511733227629477</v>
      </c>
      <c r="E456">
        <v>-4.2347719128499129E-3</v>
      </c>
      <c r="G456">
        <v>449</v>
      </c>
      <c r="H456">
        <f t="shared" ca="1" si="21"/>
        <v>1.5362768229164171E-2</v>
      </c>
    </row>
    <row r="457" spans="2:8" x14ac:dyDescent="0.3">
      <c r="B457" t="s">
        <v>417</v>
      </c>
      <c r="C457" s="79">
        <v>1388.25</v>
      </c>
      <c r="D457">
        <f t="shared" si="22"/>
        <v>0.18720433880056589</v>
      </c>
      <c r="E457">
        <v>-4.2409494270723392E-3</v>
      </c>
      <c r="G457">
        <v>450</v>
      </c>
      <c r="H457">
        <f t="shared" ref="H457:H520" ca="1" si="23">_xlfn.NORM.INV(RAND(),$N$10,$N$11)</f>
        <v>-1.5108224178174348E-2</v>
      </c>
    </row>
    <row r="458" spans="2:8" x14ac:dyDescent="0.3">
      <c r="B458" t="s">
        <v>580</v>
      </c>
      <c r="C458" s="79">
        <v>1151.24</v>
      </c>
      <c r="D458">
        <f t="shared" si="22"/>
        <v>5.8630245267703275E-3</v>
      </c>
      <c r="E458">
        <v>-4.3250900585870174E-3</v>
      </c>
      <c r="G458">
        <v>451</v>
      </c>
      <c r="H458">
        <f t="shared" ca="1" si="23"/>
        <v>1.2951483098374619E-2</v>
      </c>
    </row>
    <row r="459" spans="2:8" x14ac:dyDescent="0.3">
      <c r="B459" t="s">
        <v>583</v>
      </c>
      <c r="C459" s="79">
        <v>1144.51</v>
      </c>
      <c r="D459">
        <f t="shared" si="22"/>
        <v>0.26922824976124904</v>
      </c>
      <c r="E459">
        <v>-4.6983842602389457E-3</v>
      </c>
      <c r="G459">
        <v>452</v>
      </c>
      <c r="H459">
        <f t="shared" ca="1" si="23"/>
        <v>7.2503958119889125E-3</v>
      </c>
    </row>
    <row r="460" spans="2:8" x14ac:dyDescent="0.3">
      <c r="B460" t="s">
        <v>827</v>
      </c>
      <c r="C460">
        <v>874.37</v>
      </c>
      <c r="D460">
        <f t="shared" si="22"/>
        <v>-0.17013989551148412</v>
      </c>
      <c r="E460">
        <v>-4.7691941707696849E-3</v>
      </c>
      <c r="G460">
        <v>453</v>
      </c>
      <c r="H460">
        <f t="shared" ca="1" si="23"/>
        <v>5.8096944226802396E-3</v>
      </c>
    </row>
    <row r="461" spans="2:8" x14ac:dyDescent="0.3">
      <c r="B461" t="s">
        <v>730</v>
      </c>
      <c r="C461" s="79">
        <v>1036.54</v>
      </c>
      <c r="D461">
        <f t="shared" si="22"/>
        <v>8.5635365469942798E-2</v>
      </c>
      <c r="E461">
        <v>-4.7737381564113227E-3</v>
      </c>
      <c r="G461">
        <v>454</v>
      </c>
      <c r="H461">
        <f t="shared" ca="1" si="23"/>
        <v>-7.8506040885115303E-3</v>
      </c>
    </row>
    <row r="462" spans="2:8" x14ac:dyDescent="0.3">
      <c r="B462" t="s">
        <v>655</v>
      </c>
      <c r="C462">
        <v>951.47</v>
      </c>
      <c r="D462">
        <f t="shared" si="22"/>
        <v>0.11938184110050704</v>
      </c>
      <c r="E462">
        <v>-4.7915961056024152E-3</v>
      </c>
      <c r="G462">
        <v>455</v>
      </c>
      <c r="H462">
        <f t="shared" ca="1" si="23"/>
        <v>-1.1303988941109807E-2</v>
      </c>
    </row>
    <row r="463" spans="2:8" x14ac:dyDescent="0.3">
      <c r="B463" t="s">
        <v>855</v>
      </c>
      <c r="C463">
        <v>844.4</v>
      </c>
      <c r="D463">
        <f t="shared" si="22"/>
        <v>-0.15363962011183885</v>
      </c>
      <c r="E463">
        <v>-4.8319831268356485E-3</v>
      </c>
      <c r="G463">
        <v>456</v>
      </c>
      <c r="H463">
        <f t="shared" ca="1" si="23"/>
        <v>-1.7742510542087683E-2</v>
      </c>
    </row>
    <row r="464" spans="2:8" x14ac:dyDescent="0.3">
      <c r="B464" t="s">
        <v>678</v>
      </c>
      <c r="C464">
        <v>984.63</v>
      </c>
      <c r="D464">
        <f t="shared" si="22"/>
        <v>-0.32956258457386656</v>
      </c>
      <c r="E464">
        <v>-4.8327627076037707E-3</v>
      </c>
      <c r="G464">
        <v>457</v>
      </c>
      <c r="H464">
        <f t="shared" ca="1" si="23"/>
        <v>9.4899120831171812E-3</v>
      </c>
    </row>
    <row r="465" spans="2:8" x14ac:dyDescent="0.3">
      <c r="B465" t="s">
        <v>484</v>
      </c>
      <c r="C465" s="79">
        <v>1368.99</v>
      </c>
      <c r="D465">
        <f t="shared" si="22"/>
        <v>0.11524697339884622</v>
      </c>
      <c r="E465">
        <v>-5.1511015339255452E-3</v>
      </c>
      <c r="G465">
        <v>458</v>
      </c>
      <c r="H465">
        <f t="shared" ca="1" si="23"/>
        <v>2.0997863534517706E-2</v>
      </c>
    </row>
    <row r="466" spans="2:8" x14ac:dyDescent="0.3">
      <c r="B466" t="s">
        <v>554</v>
      </c>
      <c r="C466" s="79">
        <v>1219.97</v>
      </c>
      <c r="D466">
        <f t="shared" si="22"/>
        <v>0.37321537034715002</v>
      </c>
      <c r="E466">
        <v>-5.2078554207166646E-3</v>
      </c>
      <c r="G466">
        <v>459</v>
      </c>
      <c r="H466">
        <f t="shared" ca="1" si="23"/>
        <v>6.7892897477816235E-3</v>
      </c>
    </row>
    <row r="467" spans="2:8" x14ac:dyDescent="0.3">
      <c r="B467" t="s">
        <v>854</v>
      </c>
      <c r="C467">
        <v>839.97</v>
      </c>
      <c r="D467">
        <f t="shared" si="22"/>
        <v>-1.6963064107083547E-2</v>
      </c>
      <c r="E467">
        <v>-5.2601390602907425E-3</v>
      </c>
      <c r="G467">
        <v>460</v>
      </c>
      <c r="H467">
        <f t="shared" ca="1" si="23"/>
        <v>-1.2762995102985389E-2</v>
      </c>
    </row>
    <row r="468" spans="2:8" x14ac:dyDescent="0.3">
      <c r="B468" t="s">
        <v>928</v>
      </c>
      <c r="C468">
        <v>854.34</v>
      </c>
      <c r="D468">
        <f t="shared" si="22"/>
        <v>-0.16152761498225382</v>
      </c>
      <c r="E468">
        <v>-5.2883307444235488E-3</v>
      </c>
      <c r="G468">
        <v>461</v>
      </c>
      <c r="H468">
        <f t="shared" ca="1" si="23"/>
        <v>-4.6278990751365042E-3</v>
      </c>
    </row>
    <row r="469" spans="2:8" x14ac:dyDescent="0.3">
      <c r="B469" t="s">
        <v>693</v>
      </c>
      <c r="C469" s="79">
        <v>1004.11</v>
      </c>
      <c r="D469">
        <f t="shared" si="22"/>
        <v>0.15183621705566211</v>
      </c>
      <c r="E469">
        <v>-5.3238636260803055E-3</v>
      </c>
      <c r="G469">
        <v>462</v>
      </c>
      <c r="H469">
        <f t="shared" ca="1" si="23"/>
        <v>-6.381494628147767E-3</v>
      </c>
    </row>
    <row r="470" spans="2:8" x14ac:dyDescent="0.3">
      <c r="B470" t="s">
        <v>851</v>
      </c>
      <c r="C470">
        <v>862.66</v>
      </c>
      <c r="D470">
        <f t="shared" si="22"/>
        <v>5.4748808583319993E-2</v>
      </c>
      <c r="E470">
        <v>-5.3412384054862851E-3</v>
      </c>
      <c r="G470">
        <v>463</v>
      </c>
      <c r="H470">
        <f t="shared" ca="1" si="23"/>
        <v>-9.5785018030026068E-3</v>
      </c>
    </row>
    <row r="471" spans="2:8" x14ac:dyDescent="0.3">
      <c r="B471" t="s">
        <v>874</v>
      </c>
      <c r="C471">
        <v>816.7</v>
      </c>
      <c r="D471">
        <f t="shared" si="22"/>
        <v>-0.13341200261548769</v>
      </c>
      <c r="E471">
        <v>-5.4704998809502791E-3</v>
      </c>
      <c r="G471">
        <v>464</v>
      </c>
      <c r="H471">
        <f t="shared" ca="1" si="23"/>
        <v>-1.6406028721906458E-2</v>
      </c>
    </row>
    <row r="472" spans="2:8" x14ac:dyDescent="0.3">
      <c r="B472" t="s">
        <v>1072</v>
      </c>
      <c r="C472">
        <v>933.26</v>
      </c>
      <c r="D472">
        <f t="shared" si="22"/>
        <v>-0.32427939579266879</v>
      </c>
      <c r="E472">
        <v>-5.4711512594501381E-3</v>
      </c>
      <c r="G472">
        <v>465</v>
      </c>
      <c r="H472">
        <f t="shared" ca="1" si="23"/>
        <v>-1.5206415642153057E-2</v>
      </c>
    </row>
    <row r="473" spans="2:8" x14ac:dyDescent="0.3">
      <c r="B473" t="s">
        <v>509</v>
      </c>
      <c r="C473" s="79">
        <v>1290.73</v>
      </c>
      <c r="D473">
        <f t="shared" si="22"/>
        <v>0.30217377907099413</v>
      </c>
      <c r="E473">
        <v>-5.5010994101016009E-3</v>
      </c>
      <c r="G473">
        <v>466</v>
      </c>
      <c r="H473">
        <f t="shared" ca="1" si="23"/>
        <v>1.7420119753821184E-2</v>
      </c>
    </row>
    <row r="474" spans="2:8" x14ac:dyDescent="0.3">
      <c r="B474" t="s">
        <v>759</v>
      </c>
      <c r="C474">
        <v>954.12</v>
      </c>
      <c r="D474">
        <f t="shared" si="22"/>
        <v>-3.2471289130287677E-2</v>
      </c>
      <c r="E474">
        <v>-5.5082161310944806E-3</v>
      </c>
      <c r="G474">
        <v>467</v>
      </c>
      <c r="H474">
        <f t="shared" ca="1" si="23"/>
        <v>2.2985834693096108E-2</v>
      </c>
    </row>
    <row r="475" spans="2:8" x14ac:dyDescent="0.3">
      <c r="B475" t="s">
        <v>669</v>
      </c>
      <c r="C475">
        <v>985.61</v>
      </c>
      <c r="D475">
        <f t="shared" si="22"/>
        <v>-0.20570976411453146</v>
      </c>
      <c r="E475">
        <v>-5.5244287252162452E-3</v>
      </c>
      <c r="G475">
        <v>468</v>
      </c>
      <c r="H475">
        <f t="shared" ca="1" si="23"/>
        <v>3.2856531790177597E-3</v>
      </c>
    </row>
    <row r="476" spans="2:8" x14ac:dyDescent="0.3">
      <c r="B476" t="s">
        <v>544</v>
      </c>
      <c r="C476" s="79">
        <v>1210.72</v>
      </c>
      <c r="D476">
        <f t="shared" si="22"/>
        <v>-4.8448589403934208E-3</v>
      </c>
      <c r="E476">
        <v>-5.5350694820011396E-3</v>
      </c>
      <c r="G476">
        <v>469</v>
      </c>
      <c r="H476">
        <f t="shared" ca="1" si="23"/>
        <v>1.1200580089858339E-2</v>
      </c>
    </row>
    <row r="477" spans="2:8" x14ac:dyDescent="0.3">
      <c r="B477" t="s">
        <v>533</v>
      </c>
      <c r="C477" s="79">
        <v>1216.5999999999999</v>
      </c>
      <c r="D477">
        <f t="shared" si="22"/>
        <v>0.12653402025585767</v>
      </c>
      <c r="E477">
        <v>-5.5574369052824304E-3</v>
      </c>
      <c r="G477">
        <v>470</v>
      </c>
      <c r="H477">
        <f t="shared" ca="1" si="23"/>
        <v>-1.6381059121236649E-2</v>
      </c>
    </row>
    <row r="478" spans="2:8" x14ac:dyDescent="0.3">
      <c r="B478" t="s">
        <v>361</v>
      </c>
      <c r="C478" s="79">
        <v>1072</v>
      </c>
      <c r="D478">
        <f t="shared" si="22"/>
        <v>0.14493950193848434</v>
      </c>
      <c r="E478">
        <v>-5.581409838195152E-3</v>
      </c>
      <c r="G478">
        <v>471</v>
      </c>
      <c r="H478">
        <f t="shared" ca="1" si="23"/>
        <v>-1.2144151424115551E-2</v>
      </c>
    </row>
    <row r="479" spans="2:8" x14ac:dyDescent="0.3">
      <c r="B479" t="s">
        <v>905</v>
      </c>
      <c r="C479">
        <v>927.36</v>
      </c>
      <c r="D479">
        <f t="shared" si="22"/>
        <v>0.12297652568314507</v>
      </c>
      <c r="E479">
        <v>-5.602376032448452E-3</v>
      </c>
      <c r="G479">
        <v>472</v>
      </c>
      <c r="H479">
        <f t="shared" ca="1" si="23"/>
        <v>5.8705656584163574E-3</v>
      </c>
    </row>
    <row r="480" spans="2:8" x14ac:dyDescent="0.3">
      <c r="B480" t="s">
        <v>871</v>
      </c>
      <c r="C480">
        <v>820.05</v>
      </c>
      <c r="D480">
        <f t="shared" si="22"/>
        <v>-0.55663068244832981</v>
      </c>
      <c r="E480">
        <v>-5.6179923042232608E-3</v>
      </c>
      <c r="G480">
        <v>473</v>
      </c>
      <c r="H480">
        <f t="shared" ca="1" si="23"/>
        <v>3.2655570596618459E-3</v>
      </c>
    </row>
    <row r="481" spans="2:8" x14ac:dyDescent="0.3">
      <c r="B481" t="s">
        <v>470</v>
      </c>
      <c r="C481" s="79">
        <v>1430.81</v>
      </c>
      <c r="D481">
        <f t="shared" si="22"/>
        <v>0.10201061317331182</v>
      </c>
      <c r="E481">
        <v>-5.6243157087576849E-3</v>
      </c>
      <c r="G481">
        <v>474</v>
      </c>
      <c r="H481">
        <f t="shared" ca="1" si="23"/>
        <v>-2.2295752174185755E-3</v>
      </c>
    </row>
    <row r="482" spans="2:8" x14ac:dyDescent="0.3">
      <c r="B482" t="s">
        <v>402</v>
      </c>
      <c r="C482" s="79">
        <v>1292.05</v>
      </c>
      <c r="D482">
        <f t="shared" si="22"/>
        <v>-9.5728736283024363E-2</v>
      </c>
      <c r="E482">
        <v>-5.6340351238098382E-3</v>
      </c>
      <c r="G482">
        <v>475</v>
      </c>
      <c r="H482">
        <f t="shared" ca="1" si="23"/>
        <v>-1.4358280178627638E-2</v>
      </c>
    </row>
    <row r="483" spans="2:8" x14ac:dyDescent="0.3">
      <c r="B483" t="s">
        <v>420</v>
      </c>
      <c r="C483" s="79">
        <v>1421.85</v>
      </c>
      <c r="D483">
        <f t="shared" si="22"/>
        <v>0.13386803290746482</v>
      </c>
      <c r="E483">
        <v>-5.6456711716413675E-3</v>
      </c>
      <c r="G483">
        <v>476</v>
      </c>
      <c r="H483">
        <f t="shared" ca="1" si="23"/>
        <v>1.7190689030424509E-2</v>
      </c>
    </row>
    <row r="484" spans="2:8" x14ac:dyDescent="0.3">
      <c r="B484" t="s">
        <v>379</v>
      </c>
      <c r="C484" s="79">
        <v>1243.7</v>
      </c>
      <c r="D484">
        <f t="shared" si="22"/>
        <v>0.19905317880042073</v>
      </c>
      <c r="E484">
        <v>-5.6525637086190638E-3</v>
      </c>
      <c r="G484">
        <v>477</v>
      </c>
      <c r="H484">
        <f t="shared" ca="1" si="23"/>
        <v>1.5798221244419117E-3</v>
      </c>
    </row>
    <row r="485" spans="2:8" x14ac:dyDescent="0.3">
      <c r="B485" t="s">
        <v>714</v>
      </c>
      <c r="C485" s="79">
        <v>1019.22</v>
      </c>
      <c r="D485">
        <f t="shared" si="22"/>
        <v>6.3993154678999853E-2</v>
      </c>
      <c r="E485">
        <v>-5.7720500314365417E-3</v>
      </c>
      <c r="G485">
        <v>478</v>
      </c>
      <c r="H485">
        <f t="shared" ca="1" si="23"/>
        <v>2.226347711555968E-2</v>
      </c>
    </row>
    <row r="486" spans="2:8" x14ac:dyDescent="0.3">
      <c r="B486" t="s">
        <v>656</v>
      </c>
      <c r="C486">
        <v>956.04</v>
      </c>
      <c r="D486">
        <f t="shared" si="22"/>
        <v>5.5926145979392376E-2</v>
      </c>
      <c r="E486">
        <v>-5.8508059211010554E-3</v>
      </c>
      <c r="G486">
        <v>479</v>
      </c>
      <c r="H486">
        <f t="shared" ca="1" si="23"/>
        <v>7.6190758921497199E-3</v>
      </c>
    </row>
    <row r="487" spans="2:8" x14ac:dyDescent="0.3">
      <c r="B487" t="s">
        <v>1066</v>
      </c>
      <c r="C487">
        <v>904.04</v>
      </c>
      <c r="D487">
        <f t="shared" si="22"/>
        <v>-1.634722466651729E-2</v>
      </c>
      <c r="E487">
        <v>-5.856451372144301E-3</v>
      </c>
      <c r="G487">
        <v>480</v>
      </c>
      <c r="H487">
        <f t="shared" ca="1" si="23"/>
        <v>9.1089682023724403E-3</v>
      </c>
    </row>
    <row r="488" spans="2:8" x14ac:dyDescent="0.3">
      <c r="B488" t="s">
        <v>806</v>
      </c>
      <c r="C488">
        <v>918.94</v>
      </c>
      <c r="D488">
        <f t="shared" si="22"/>
        <v>-3.0943778941660994E-2</v>
      </c>
      <c r="E488">
        <v>-5.8807742854748504E-3</v>
      </c>
      <c r="G488">
        <v>481</v>
      </c>
      <c r="H488">
        <f t="shared" ca="1" si="23"/>
        <v>-3.0789667689791939E-3</v>
      </c>
    </row>
    <row r="489" spans="2:8" x14ac:dyDescent="0.3">
      <c r="B489" t="s">
        <v>761</v>
      </c>
      <c r="C489">
        <v>947.82</v>
      </c>
      <c r="D489">
        <f t="shared" si="22"/>
        <v>-1.2133055023426065E-2</v>
      </c>
      <c r="E489">
        <v>-5.9013977976355835E-3</v>
      </c>
      <c r="G489">
        <v>482</v>
      </c>
      <c r="H489">
        <f t="shared" ca="1" si="23"/>
        <v>-3.0347662449674117E-3</v>
      </c>
    </row>
    <row r="490" spans="2:8" x14ac:dyDescent="0.3">
      <c r="B490" t="s">
        <v>644</v>
      </c>
      <c r="C490">
        <v>959.39</v>
      </c>
      <c r="D490">
        <f t="shared" si="22"/>
        <v>-4.0597243137494562E-2</v>
      </c>
      <c r="E490">
        <v>-5.9755027039515131E-3</v>
      </c>
      <c r="G490">
        <v>483</v>
      </c>
      <c r="H490">
        <f t="shared" ca="1" si="23"/>
        <v>-6.921696592477513E-3</v>
      </c>
    </row>
    <row r="491" spans="2:8" x14ac:dyDescent="0.3">
      <c r="B491" t="s">
        <v>634</v>
      </c>
      <c r="C491">
        <v>999.14</v>
      </c>
      <c r="D491">
        <f t="shared" si="22"/>
        <v>-3.6179250136510049E-2</v>
      </c>
      <c r="E491">
        <v>-6.0369483809701308E-3</v>
      </c>
      <c r="G491">
        <v>484</v>
      </c>
      <c r="H491">
        <f t="shared" ca="1" si="23"/>
        <v>1.2205927043662248E-2</v>
      </c>
    </row>
    <row r="492" spans="2:8" x14ac:dyDescent="0.3">
      <c r="B492" t="s">
        <v>728</v>
      </c>
      <c r="C492" s="79">
        <v>1035.95</v>
      </c>
      <c r="D492">
        <f t="shared" si="22"/>
        <v>0.14659686954621839</v>
      </c>
      <c r="E492">
        <v>-6.2452389533378967E-3</v>
      </c>
      <c r="G492">
        <v>485</v>
      </c>
      <c r="H492">
        <f t="shared" ca="1" si="23"/>
        <v>1.08608672061928E-2</v>
      </c>
    </row>
    <row r="493" spans="2:8" x14ac:dyDescent="0.3">
      <c r="B493" t="s">
        <v>811</v>
      </c>
      <c r="C493">
        <v>894.69</v>
      </c>
      <c r="D493">
        <f t="shared" si="22"/>
        <v>-0.44993355513026434</v>
      </c>
      <c r="E493">
        <v>-6.2507515541578209E-3</v>
      </c>
      <c r="G493">
        <v>486</v>
      </c>
      <c r="H493">
        <f t="shared" ca="1" si="23"/>
        <v>2.298916734964411E-2</v>
      </c>
    </row>
    <row r="494" spans="2:8" x14ac:dyDescent="0.3">
      <c r="B494" t="s">
        <v>491</v>
      </c>
      <c r="C494" s="79">
        <v>1403.06</v>
      </c>
      <c r="D494">
        <f t="shared" si="22"/>
        <v>0.51732778942578139</v>
      </c>
      <c r="E494">
        <v>-6.2665839154551197E-3</v>
      </c>
      <c r="G494">
        <v>487</v>
      </c>
      <c r="H494">
        <f t="shared" ca="1" si="23"/>
        <v>-2.6824000321359058E-2</v>
      </c>
    </row>
    <row r="495" spans="2:8" x14ac:dyDescent="0.3">
      <c r="B495" t="s">
        <v>949</v>
      </c>
      <c r="C495">
        <v>836.38</v>
      </c>
      <c r="D495">
        <f t="shared" si="22"/>
        <v>-6.1104164951809863E-2</v>
      </c>
      <c r="E495">
        <v>-6.281195600334584E-3</v>
      </c>
      <c r="G495">
        <v>488</v>
      </c>
      <c r="H495">
        <f t="shared" ca="1" si="23"/>
        <v>5.0800808904384069E-3</v>
      </c>
    </row>
    <row r="496" spans="2:8" x14ac:dyDescent="0.3">
      <c r="B496" t="s">
        <v>810</v>
      </c>
      <c r="C496">
        <v>889.08</v>
      </c>
      <c r="D496">
        <f t="shared" si="22"/>
        <v>-0.28159834558727426</v>
      </c>
      <c r="E496">
        <v>-6.2900693437072854E-3</v>
      </c>
      <c r="G496">
        <v>489</v>
      </c>
      <c r="H496">
        <f t="shared" ca="1" si="23"/>
        <v>3.5470573020417629E-3</v>
      </c>
    </row>
    <row r="497" spans="2:8" x14ac:dyDescent="0.3">
      <c r="B497" t="s">
        <v>385</v>
      </c>
      <c r="C497" s="79">
        <v>1178.25</v>
      </c>
      <c r="D497">
        <f t="shared" si="22"/>
        <v>-7.8955106706045844E-2</v>
      </c>
      <c r="E497">
        <v>-6.4716931669093541E-3</v>
      </c>
      <c r="G497">
        <v>490</v>
      </c>
      <c r="H497">
        <f t="shared" ca="1" si="23"/>
        <v>-3.0423769575688136E-2</v>
      </c>
    </row>
    <row r="498" spans="2:8" x14ac:dyDescent="0.3">
      <c r="B498" t="s">
        <v>396</v>
      </c>
      <c r="C498" s="79">
        <v>1275.05</v>
      </c>
      <c r="D498">
        <f t="shared" si="22"/>
        <v>9.0023992040281109E-2</v>
      </c>
      <c r="E498">
        <v>-6.4884530324905119E-3</v>
      </c>
      <c r="G498">
        <v>491</v>
      </c>
      <c r="H498">
        <f t="shared" ca="1" si="23"/>
        <v>-1.4160055959100958E-2</v>
      </c>
    </row>
    <row r="499" spans="2:8" x14ac:dyDescent="0.3">
      <c r="B499" t="s">
        <v>526</v>
      </c>
      <c r="C499" s="79">
        <v>1165.28</v>
      </c>
      <c r="D499">
        <f t="shared" si="22"/>
        <v>-0.22550928022171904</v>
      </c>
      <c r="E499">
        <v>-6.5520159804781999E-3</v>
      </c>
      <c r="G499">
        <v>492</v>
      </c>
      <c r="H499">
        <f t="shared" ca="1" si="23"/>
        <v>-1.2687221150287635E-2</v>
      </c>
    </row>
    <row r="500" spans="2:8" x14ac:dyDescent="0.3">
      <c r="B500" t="s">
        <v>437</v>
      </c>
      <c r="C500" s="79">
        <v>1460.05</v>
      </c>
      <c r="D500">
        <f t="shared" si="22"/>
        <v>0.61017577868530426</v>
      </c>
      <c r="E500">
        <v>-6.5535954941916379E-3</v>
      </c>
      <c r="G500">
        <v>493</v>
      </c>
      <c r="H500">
        <f t="shared" ca="1" si="23"/>
        <v>-1.2688915157826419E-2</v>
      </c>
    </row>
    <row r="501" spans="2:8" x14ac:dyDescent="0.3">
      <c r="B501" t="s">
        <v>1008</v>
      </c>
      <c r="C501">
        <v>793.18</v>
      </c>
      <c r="D501">
        <f t="shared" si="22"/>
        <v>-0.13969945118009297</v>
      </c>
      <c r="E501">
        <v>-6.5595429912344138E-3</v>
      </c>
      <c r="G501">
        <v>494</v>
      </c>
      <c r="H501">
        <f t="shared" ca="1" si="23"/>
        <v>-4.4049625515886559E-3</v>
      </c>
    </row>
    <row r="502" spans="2:8" x14ac:dyDescent="0.3">
      <c r="B502" t="s">
        <v>814</v>
      </c>
      <c r="C502">
        <v>912.1</v>
      </c>
      <c r="D502">
        <f t="shared" si="22"/>
        <v>-5.6523535350325636E-2</v>
      </c>
      <c r="E502">
        <v>-6.5675759639119494E-3</v>
      </c>
      <c r="G502">
        <v>495</v>
      </c>
      <c r="H502">
        <f t="shared" ca="1" si="23"/>
        <v>-3.6232187992986434E-3</v>
      </c>
    </row>
    <row r="503" spans="2:8" x14ac:dyDescent="0.3">
      <c r="B503" t="s">
        <v>645</v>
      </c>
      <c r="C503">
        <v>965.14</v>
      </c>
      <c r="D503">
        <f t="shared" si="22"/>
        <v>-0.19675025804182086</v>
      </c>
      <c r="E503">
        <v>-6.7121969495847703E-3</v>
      </c>
      <c r="G503">
        <v>496</v>
      </c>
      <c r="H503">
        <f t="shared" ca="1" si="23"/>
        <v>-7.7122411081350078E-3</v>
      </c>
    </row>
    <row r="504" spans="2:8" x14ac:dyDescent="0.3">
      <c r="B504" t="s">
        <v>388</v>
      </c>
      <c r="C504" s="79">
        <v>1175</v>
      </c>
      <c r="D504">
        <f t="shared" si="22"/>
        <v>-6.2475223790055122E-2</v>
      </c>
      <c r="E504">
        <v>-6.7854374001274599E-3</v>
      </c>
      <c r="G504">
        <v>497</v>
      </c>
      <c r="H504">
        <f t="shared" ca="1" si="23"/>
        <v>-1.201062900092752E-2</v>
      </c>
    </row>
    <row r="505" spans="2:8" x14ac:dyDescent="0.3">
      <c r="B505" t="s">
        <v>380</v>
      </c>
      <c r="C505" s="79">
        <v>1250.75</v>
      </c>
      <c r="D505">
        <f t="shared" si="22"/>
        <v>7.9955225116470349E-5</v>
      </c>
      <c r="E505">
        <v>-6.9317463433789641E-3</v>
      </c>
      <c r="G505">
        <v>498</v>
      </c>
      <c r="H505">
        <f t="shared" ca="1" si="23"/>
        <v>-1.846643805313165E-2</v>
      </c>
    </row>
    <row r="506" spans="2:8" x14ac:dyDescent="0.3">
      <c r="B506" t="s">
        <v>392</v>
      </c>
      <c r="C506" s="79">
        <v>1250.6500000000001</v>
      </c>
      <c r="D506">
        <f t="shared" si="22"/>
        <v>0.19704095960095375</v>
      </c>
      <c r="E506">
        <v>-6.9322986781884949E-3</v>
      </c>
      <c r="G506">
        <v>499</v>
      </c>
      <c r="H506">
        <f t="shared" ca="1" si="23"/>
        <v>-1.6094021741394484E-2</v>
      </c>
    </row>
    <row r="507" spans="2:8" x14ac:dyDescent="0.3">
      <c r="B507" t="s">
        <v>616</v>
      </c>
      <c r="C507" s="79">
        <v>1026.98</v>
      </c>
      <c r="D507">
        <f t="shared" si="22"/>
        <v>-0.3429736484671464</v>
      </c>
      <c r="E507">
        <v>-7.0057244198768881E-3</v>
      </c>
      <c r="G507">
        <v>500</v>
      </c>
      <c r="H507">
        <f t="shared" ca="1" si="23"/>
        <v>3.863499175831185E-3</v>
      </c>
    </row>
    <row r="508" spans="2:8" x14ac:dyDescent="0.3">
      <c r="B508" t="s">
        <v>467</v>
      </c>
      <c r="C508" s="79">
        <v>1447.15</v>
      </c>
      <c r="D508">
        <f t="shared" si="22"/>
        <v>3.7669900253959367E-2</v>
      </c>
      <c r="E508">
        <v>-7.0990895847971086E-3</v>
      </c>
      <c r="G508">
        <v>501</v>
      </c>
      <c r="H508">
        <f t="shared" ca="1" si="23"/>
        <v>1.1735476147083557E-2</v>
      </c>
    </row>
    <row r="509" spans="2:8" x14ac:dyDescent="0.3">
      <c r="B509" t="s">
        <v>446</v>
      </c>
      <c r="C509" s="79">
        <v>1393.65</v>
      </c>
      <c r="D509">
        <f t="shared" si="22"/>
        <v>0.15913323444584204</v>
      </c>
      <c r="E509">
        <v>-7.1141599536287629E-3</v>
      </c>
      <c r="G509">
        <v>502</v>
      </c>
      <c r="H509">
        <f t="shared" ca="1" si="23"/>
        <v>7.0970082094864518E-4</v>
      </c>
    </row>
    <row r="510" spans="2:8" x14ac:dyDescent="0.3">
      <c r="B510" t="s">
        <v>524</v>
      </c>
      <c r="C510" s="79">
        <v>1188.6199999999999</v>
      </c>
      <c r="D510">
        <f t="shared" si="22"/>
        <v>0.13534305488061399</v>
      </c>
      <c r="E510">
        <v>-7.1257018501920451E-3</v>
      </c>
      <c r="G510">
        <v>503</v>
      </c>
      <c r="H510">
        <f t="shared" ca="1" si="23"/>
        <v>4.1589568273442843E-3</v>
      </c>
    </row>
    <row r="511" spans="2:8" x14ac:dyDescent="0.3">
      <c r="B511" t="s">
        <v>708</v>
      </c>
      <c r="C511" s="79">
        <v>1038.1600000000001</v>
      </c>
      <c r="D511">
        <f t="shared" si="22"/>
        <v>-0.33589137023305171</v>
      </c>
      <c r="E511">
        <v>-7.1792226963667185E-3</v>
      </c>
      <c r="G511">
        <v>504</v>
      </c>
      <c r="H511">
        <f t="shared" ca="1" si="23"/>
        <v>-3.5293975524825418E-2</v>
      </c>
    </row>
    <row r="512" spans="2:8" x14ac:dyDescent="0.3">
      <c r="B512" t="s">
        <v>457</v>
      </c>
      <c r="C512" s="79">
        <v>1452.58</v>
      </c>
      <c r="D512">
        <f t="shared" si="22"/>
        <v>0.17172376587013952</v>
      </c>
      <c r="E512">
        <v>-7.243525559644198E-3</v>
      </c>
      <c r="G512">
        <v>505</v>
      </c>
      <c r="H512">
        <f t="shared" ca="1" si="23"/>
        <v>3.1742646343739266E-3</v>
      </c>
    </row>
    <row r="513" spans="2:8" x14ac:dyDescent="0.3">
      <c r="B513" t="s">
        <v>534</v>
      </c>
      <c r="C513" s="79">
        <v>1223.3800000000001</v>
      </c>
      <c r="D513">
        <f t="shared" si="22"/>
        <v>0.16147415550690061</v>
      </c>
      <c r="E513">
        <v>-7.2891665771150456E-3</v>
      </c>
      <c r="G513">
        <v>506</v>
      </c>
      <c r="H513">
        <f t="shared" ca="1" si="23"/>
        <v>1.2645680270324141E-2</v>
      </c>
    </row>
    <row r="514" spans="2:8" x14ac:dyDescent="0.3">
      <c r="B514" t="s">
        <v>725</v>
      </c>
      <c r="C514" s="79">
        <v>1040.96</v>
      </c>
      <c r="D514">
        <f t="shared" si="22"/>
        <v>0.11954377829114438</v>
      </c>
      <c r="E514">
        <v>-7.3507222254632519E-3</v>
      </c>
      <c r="G514">
        <v>507</v>
      </c>
      <c r="H514">
        <f t="shared" ca="1" si="23"/>
        <v>7.5666365733312252E-3</v>
      </c>
    </row>
    <row r="515" spans="2:8" x14ac:dyDescent="0.3">
      <c r="B515" t="s">
        <v>908</v>
      </c>
      <c r="C515">
        <v>923.67</v>
      </c>
      <c r="D515">
        <f t="shared" si="22"/>
        <v>4.5777395739934508E-2</v>
      </c>
      <c r="E515">
        <v>-7.3779579409787629E-3</v>
      </c>
      <c r="G515">
        <v>508</v>
      </c>
      <c r="H515">
        <f t="shared" ca="1" si="23"/>
        <v>1.2224905818496761E-2</v>
      </c>
    </row>
    <row r="516" spans="2:8" x14ac:dyDescent="0.3">
      <c r="B516" t="s">
        <v>840</v>
      </c>
      <c r="C516">
        <v>882.34</v>
      </c>
      <c r="D516">
        <f t="shared" si="22"/>
        <v>-0.39181753675076131</v>
      </c>
      <c r="E516">
        <v>-7.3847740218454857E-3</v>
      </c>
      <c r="G516">
        <v>509</v>
      </c>
      <c r="H516">
        <f t="shared" ca="1" si="23"/>
        <v>-1.6765359937529593E-2</v>
      </c>
    </row>
    <row r="517" spans="2:8" x14ac:dyDescent="0.3">
      <c r="B517" t="s">
        <v>505</v>
      </c>
      <c r="C517" s="79">
        <v>1305.57</v>
      </c>
      <c r="D517">
        <f t="shared" si="22"/>
        <v>-2.289063628686646E-2</v>
      </c>
      <c r="E517">
        <v>-7.4174466129100719E-3</v>
      </c>
      <c r="G517">
        <v>510</v>
      </c>
      <c r="H517">
        <f t="shared" ca="1" si="23"/>
        <v>1.4948385012206541E-2</v>
      </c>
    </row>
    <row r="518" spans="2:8" x14ac:dyDescent="0.3">
      <c r="B518" t="s">
        <v>405</v>
      </c>
      <c r="C518" s="79">
        <v>1335.8</v>
      </c>
      <c r="D518">
        <f t="shared" si="22"/>
        <v>2.233164979901793E-2</v>
      </c>
      <c r="E518">
        <v>-7.4211151495310523E-3</v>
      </c>
      <c r="G518">
        <v>511</v>
      </c>
      <c r="H518">
        <f t="shared" ca="1" si="23"/>
        <v>-2.5658188734864577E-2</v>
      </c>
    </row>
    <row r="519" spans="2:8" x14ac:dyDescent="0.3">
      <c r="B519" t="s">
        <v>514</v>
      </c>
      <c r="C519" s="79">
        <v>1306.3</v>
      </c>
      <c r="D519">
        <f t="shared" si="22"/>
        <v>0.19911959269978607</v>
      </c>
      <c r="E519">
        <v>-7.4665061120706821E-3</v>
      </c>
      <c r="G519">
        <v>512</v>
      </c>
      <c r="H519">
        <f t="shared" ca="1" si="23"/>
        <v>-2.6452480138955789E-3</v>
      </c>
    </row>
    <row r="520" spans="2:8" x14ac:dyDescent="0.3">
      <c r="B520" t="s">
        <v>364</v>
      </c>
      <c r="C520" s="79">
        <v>1070.45</v>
      </c>
      <c r="D520">
        <f t="shared" ref="D520:D583" si="24">LN(C520/C521)</f>
        <v>0.36341709167329084</v>
      </c>
      <c r="E520">
        <v>-7.723842604906276E-3</v>
      </c>
      <c r="G520">
        <v>513</v>
      </c>
      <c r="H520">
        <f t="shared" ca="1" si="23"/>
        <v>3.5267381491709562E-2</v>
      </c>
    </row>
    <row r="521" spans="2:8" x14ac:dyDescent="0.3">
      <c r="B521" t="s">
        <v>994</v>
      </c>
      <c r="C521">
        <v>744.28</v>
      </c>
      <c r="D521">
        <f t="shared" si="24"/>
        <v>-0.2833868397429421</v>
      </c>
      <c r="E521">
        <v>-7.7625593890978178E-3</v>
      </c>
      <c r="G521">
        <v>514</v>
      </c>
      <c r="H521">
        <f t="shared" ref="H521:H584" ca="1" si="25">_xlfn.NORM.INV(RAND(),$N$10,$N$11)</f>
        <v>1.70569461808881E-2</v>
      </c>
    </row>
    <row r="522" spans="2:8" x14ac:dyDescent="0.3">
      <c r="B522" t="s">
        <v>671</v>
      </c>
      <c r="C522">
        <v>988.12</v>
      </c>
      <c r="D522">
        <f t="shared" si="24"/>
        <v>-0.20773170759786522</v>
      </c>
      <c r="E522">
        <v>-7.7924959708954439E-3</v>
      </c>
      <c r="G522">
        <v>515</v>
      </c>
      <c r="H522">
        <f t="shared" ca="1" si="25"/>
        <v>-1.3693390226378901E-2</v>
      </c>
    </row>
    <row r="523" spans="2:8" x14ac:dyDescent="0.3">
      <c r="B523" t="s">
        <v>567</v>
      </c>
      <c r="C523" s="79">
        <v>1216.26</v>
      </c>
      <c r="D523">
        <f t="shared" si="24"/>
        <v>0.20553802593409165</v>
      </c>
      <c r="E523">
        <v>-7.8131155913834516E-3</v>
      </c>
      <c r="G523">
        <v>516</v>
      </c>
      <c r="H523">
        <f t="shared" ca="1" si="25"/>
        <v>3.1578234831234654E-2</v>
      </c>
    </row>
    <row r="524" spans="2:8" x14ac:dyDescent="0.3">
      <c r="B524" t="s">
        <v>622</v>
      </c>
      <c r="C524">
        <v>990.29</v>
      </c>
      <c r="D524">
        <f t="shared" si="24"/>
        <v>0.27696508350110016</v>
      </c>
      <c r="E524">
        <v>-7.9057360925064487E-3</v>
      </c>
      <c r="G524">
        <v>517</v>
      </c>
      <c r="H524">
        <f t="shared" ca="1" si="25"/>
        <v>-2.5237759380251724E-2</v>
      </c>
    </row>
    <row r="525" spans="2:8" x14ac:dyDescent="0.3">
      <c r="B525" t="s">
        <v>974</v>
      </c>
      <c r="C525">
        <v>750.72</v>
      </c>
      <c r="D525">
        <f t="shared" si="24"/>
        <v>-0.33247953029480931</v>
      </c>
      <c r="E525">
        <v>-7.9076967724065039E-3</v>
      </c>
      <c r="G525">
        <v>518</v>
      </c>
      <c r="H525">
        <f t="shared" ca="1" si="25"/>
        <v>2.4656900474996045E-3</v>
      </c>
    </row>
    <row r="526" spans="2:8" x14ac:dyDescent="0.3">
      <c r="B526" t="s">
        <v>716</v>
      </c>
      <c r="C526" s="79">
        <v>1046.82</v>
      </c>
      <c r="D526">
        <f t="shared" si="24"/>
        <v>-5.0596834876209347E-3</v>
      </c>
      <c r="E526">
        <v>-8.0017553083614225E-3</v>
      </c>
      <c r="G526">
        <v>519</v>
      </c>
      <c r="H526">
        <f t="shared" ca="1" si="25"/>
        <v>3.090748739605171E-2</v>
      </c>
    </row>
    <row r="527" spans="2:8" x14ac:dyDescent="0.3">
      <c r="B527" t="s">
        <v>719</v>
      </c>
      <c r="C527" s="79">
        <v>1052.1300000000001</v>
      </c>
      <c r="D527">
        <f t="shared" si="24"/>
        <v>0.14335969277256122</v>
      </c>
      <c r="E527">
        <v>-8.0181048955432089E-3</v>
      </c>
      <c r="G527">
        <v>520</v>
      </c>
      <c r="H527">
        <f t="shared" ca="1" si="25"/>
        <v>-9.8303480577476426E-3</v>
      </c>
    </row>
    <row r="528" spans="2:8" x14ac:dyDescent="0.3">
      <c r="B528" t="s">
        <v>791</v>
      </c>
      <c r="C528">
        <v>911.61</v>
      </c>
      <c r="D528">
        <f t="shared" si="24"/>
        <v>-2.4521097500302281E-2</v>
      </c>
      <c r="E528">
        <v>-8.117379944824735E-3</v>
      </c>
      <c r="G528">
        <v>521</v>
      </c>
      <c r="H528">
        <f t="shared" ca="1" si="25"/>
        <v>-2.0478183714985033E-3</v>
      </c>
    </row>
    <row r="529" spans="2:8" x14ac:dyDescent="0.3">
      <c r="B529" t="s">
        <v>1074</v>
      </c>
      <c r="C529">
        <v>934.24</v>
      </c>
      <c r="D529">
        <f t="shared" si="24"/>
        <v>-4.535699469721597E-2</v>
      </c>
      <c r="E529">
        <v>-8.1338962713889164E-3</v>
      </c>
      <c r="G529">
        <v>522</v>
      </c>
      <c r="H529">
        <f t="shared" ca="1" si="25"/>
        <v>-1.0555720688121537E-2</v>
      </c>
    </row>
    <row r="530" spans="2:8" x14ac:dyDescent="0.3">
      <c r="B530" t="s">
        <v>668</v>
      </c>
      <c r="C530">
        <v>977.59</v>
      </c>
      <c r="D530">
        <f t="shared" si="24"/>
        <v>0.15230770670322291</v>
      </c>
      <c r="E530">
        <v>-8.1703795992366882E-3</v>
      </c>
      <c r="G530">
        <v>523</v>
      </c>
      <c r="H530">
        <f t="shared" ca="1" si="25"/>
        <v>-5.4181324167300229E-3</v>
      </c>
    </row>
    <row r="531" spans="2:8" x14ac:dyDescent="0.3">
      <c r="B531" t="s">
        <v>1048</v>
      </c>
      <c r="C531">
        <v>839.48</v>
      </c>
      <c r="D531">
        <f t="shared" si="24"/>
        <v>-8.7921248663265478E-2</v>
      </c>
      <c r="E531">
        <v>-8.173963712248206E-3</v>
      </c>
      <c r="G531">
        <v>524</v>
      </c>
      <c r="H531">
        <f t="shared" ca="1" si="25"/>
        <v>3.6912792069526164E-4</v>
      </c>
    </row>
    <row r="532" spans="2:8" x14ac:dyDescent="0.3">
      <c r="B532" t="s">
        <v>748</v>
      </c>
      <c r="C532">
        <v>916.63</v>
      </c>
      <c r="D532">
        <f t="shared" si="24"/>
        <v>-0.43197352741350681</v>
      </c>
      <c r="E532">
        <v>-8.1813156318660558E-3</v>
      </c>
      <c r="G532">
        <v>525</v>
      </c>
      <c r="H532">
        <f t="shared" ca="1" si="25"/>
        <v>9.6972789393760632E-3</v>
      </c>
    </row>
    <row r="533" spans="2:8" x14ac:dyDescent="0.3">
      <c r="B533" t="s">
        <v>492</v>
      </c>
      <c r="C533" s="79">
        <v>1411.88</v>
      </c>
      <c r="D533">
        <f t="shared" si="24"/>
        <v>-4.0102127579523042E-2</v>
      </c>
      <c r="E533">
        <v>-8.2948224155850996E-3</v>
      </c>
      <c r="G533">
        <v>526</v>
      </c>
      <c r="H533">
        <f t="shared" ca="1" si="25"/>
        <v>-2.5753173159735354E-2</v>
      </c>
    </row>
    <row r="534" spans="2:8" x14ac:dyDescent="0.3">
      <c r="B534" t="s">
        <v>438</v>
      </c>
      <c r="C534" s="79">
        <v>1469.65</v>
      </c>
      <c r="D534">
        <f t="shared" si="24"/>
        <v>0.47428181127980734</v>
      </c>
      <c r="E534">
        <v>-8.300771010617141E-3</v>
      </c>
      <c r="G534">
        <v>527</v>
      </c>
      <c r="H534">
        <f t="shared" ca="1" si="25"/>
        <v>1.3144570513259905E-3</v>
      </c>
    </row>
    <row r="535" spans="2:8" x14ac:dyDescent="0.3">
      <c r="B535" t="s">
        <v>793</v>
      </c>
      <c r="C535">
        <v>914.61</v>
      </c>
      <c r="D535">
        <f t="shared" si="24"/>
        <v>-0.29651557616041496</v>
      </c>
      <c r="E535">
        <v>-8.3077484653942876E-3</v>
      </c>
      <c r="G535">
        <v>528</v>
      </c>
      <c r="H535">
        <f t="shared" ca="1" si="25"/>
        <v>1.4248124433125521E-2</v>
      </c>
    </row>
    <row r="536" spans="2:8" x14ac:dyDescent="0.3">
      <c r="B536" t="s">
        <v>556</v>
      </c>
      <c r="C536" s="79">
        <v>1230.3</v>
      </c>
      <c r="D536">
        <f t="shared" si="24"/>
        <v>0.23203240801607103</v>
      </c>
      <c r="E536">
        <v>-8.3209701112833181E-3</v>
      </c>
      <c r="G536">
        <v>529</v>
      </c>
      <c r="H536">
        <f t="shared" ca="1" si="25"/>
        <v>2.167374977094069E-3</v>
      </c>
    </row>
    <row r="537" spans="2:8" x14ac:dyDescent="0.3">
      <c r="B537" t="s">
        <v>661</v>
      </c>
      <c r="C537">
        <v>975.53</v>
      </c>
      <c r="D537">
        <f t="shared" si="24"/>
        <v>-0.38118927606495756</v>
      </c>
      <c r="E537">
        <v>-8.3298937160640098E-3</v>
      </c>
      <c r="G537">
        <v>530</v>
      </c>
      <c r="H537">
        <f t="shared" ca="1" si="25"/>
        <v>1.7292448842719889E-2</v>
      </c>
    </row>
    <row r="538" spans="2:8" x14ac:dyDescent="0.3">
      <c r="B538" t="s">
        <v>443</v>
      </c>
      <c r="C538" s="79">
        <v>1428.2</v>
      </c>
      <c r="D538">
        <f t="shared" si="24"/>
        <v>0.25200985077808247</v>
      </c>
      <c r="E538">
        <v>-8.3670826997567765E-3</v>
      </c>
      <c r="G538">
        <v>531</v>
      </c>
      <c r="H538">
        <f t="shared" ca="1" si="25"/>
        <v>-2.1403795963862858E-3</v>
      </c>
    </row>
    <row r="539" spans="2:8" x14ac:dyDescent="0.3">
      <c r="B539" t="s">
        <v>588</v>
      </c>
      <c r="C539" s="79">
        <v>1110.05</v>
      </c>
      <c r="D539">
        <f t="shared" si="24"/>
        <v>-0.26622702891312744</v>
      </c>
      <c r="E539">
        <v>-8.3788347232737533E-3</v>
      </c>
      <c r="G539">
        <v>532</v>
      </c>
      <c r="H539">
        <f t="shared" ca="1" si="25"/>
        <v>6.7694004685472332E-3</v>
      </c>
    </row>
    <row r="540" spans="2:8" x14ac:dyDescent="0.3">
      <c r="B540" t="s">
        <v>423</v>
      </c>
      <c r="C540" s="79">
        <v>1448.65</v>
      </c>
      <c r="D540">
        <f t="shared" si="24"/>
        <v>0.5771029052948754</v>
      </c>
      <c r="E540">
        <v>-8.3863698252630518E-3</v>
      </c>
      <c r="G540">
        <v>533</v>
      </c>
      <c r="H540">
        <f t="shared" ca="1" si="25"/>
        <v>1.6252839652567637E-2</v>
      </c>
    </row>
    <row r="541" spans="2:8" x14ac:dyDescent="0.3">
      <c r="B541" t="s">
        <v>880</v>
      </c>
      <c r="C541">
        <v>813.45</v>
      </c>
      <c r="D541">
        <f t="shared" si="24"/>
        <v>-0.53291436258206404</v>
      </c>
      <c r="E541">
        <v>-8.4953749927458421E-3</v>
      </c>
      <c r="G541">
        <v>534</v>
      </c>
      <c r="H541">
        <f t="shared" ca="1" si="25"/>
        <v>4.4538636186068747E-3</v>
      </c>
    </row>
    <row r="542" spans="2:8" x14ac:dyDescent="0.3">
      <c r="B542" t="s">
        <v>488</v>
      </c>
      <c r="C542" s="79">
        <v>1386.03</v>
      </c>
      <c r="D542">
        <f t="shared" si="24"/>
        <v>0.33317615881853818</v>
      </c>
      <c r="E542">
        <v>-8.5847920025329261E-3</v>
      </c>
      <c r="G542">
        <v>535</v>
      </c>
      <c r="H542">
        <f t="shared" ca="1" si="25"/>
        <v>-5.8405722548204074E-3</v>
      </c>
    </row>
    <row r="543" spans="2:8" x14ac:dyDescent="0.3">
      <c r="B543" t="s">
        <v>738</v>
      </c>
      <c r="C543">
        <v>993.29</v>
      </c>
      <c r="D543">
        <f t="shared" si="24"/>
        <v>-0.38650377427979243</v>
      </c>
      <c r="E543">
        <v>-8.6807144814478009E-3</v>
      </c>
      <c r="G543">
        <v>536</v>
      </c>
      <c r="H543">
        <f t="shared" ca="1" si="25"/>
        <v>-2.2930903322543549E-3</v>
      </c>
    </row>
    <row r="544" spans="2:8" x14ac:dyDescent="0.3">
      <c r="B544" t="s">
        <v>462</v>
      </c>
      <c r="C544" s="79">
        <v>1461.95</v>
      </c>
      <c r="D544">
        <f t="shared" si="24"/>
        <v>1.16964421267553E-2</v>
      </c>
      <c r="E544">
        <v>-8.6834182583974667E-3</v>
      </c>
      <c r="G544">
        <v>537</v>
      </c>
      <c r="H544">
        <f t="shared" ca="1" si="25"/>
        <v>-1.6797087065177737E-2</v>
      </c>
    </row>
    <row r="545" spans="2:8" x14ac:dyDescent="0.3">
      <c r="B545" t="s">
        <v>434</v>
      </c>
      <c r="C545" s="79">
        <v>1444.95</v>
      </c>
      <c r="D545">
        <f t="shared" si="24"/>
        <v>0.66965289653349758</v>
      </c>
      <c r="E545">
        <v>-8.9909146968611547E-3</v>
      </c>
      <c r="G545">
        <v>538</v>
      </c>
      <c r="H545">
        <f t="shared" ca="1" si="25"/>
        <v>1.1119759716746684E-2</v>
      </c>
    </row>
    <row r="546" spans="2:8" x14ac:dyDescent="0.3">
      <c r="B546" t="s">
        <v>983</v>
      </c>
      <c r="C546">
        <v>739.65</v>
      </c>
      <c r="D546">
        <f t="shared" si="24"/>
        <v>-0.10970313124486442</v>
      </c>
      <c r="E546">
        <v>-9.0041591116835767E-3</v>
      </c>
      <c r="G546">
        <v>539</v>
      </c>
      <c r="H546">
        <f t="shared" ca="1" si="25"/>
        <v>-4.3965612663841025E-3</v>
      </c>
    </row>
    <row r="547" spans="2:8" x14ac:dyDescent="0.3">
      <c r="B547" t="s">
        <v>861</v>
      </c>
      <c r="C547">
        <v>825.41</v>
      </c>
      <c r="D547">
        <f t="shared" si="24"/>
        <v>-0.15944482557815282</v>
      </c>
      <c r="E547">
        <v>-9.0213480428636018E-3</v>
      </c>
      <c r="G547">
        <v>540</v>
      </c>
      <c r="H547">
        <f t="shared" ca="1" si="25"/>
        <v>-1.6245794095151388E-2</v>
      </c>
    </row>
    <row r="548" spans="2:8" x14ac:dyDescent="0.3">
      <c r="B548" t="s">
        <v>629</v>
      </c>
      <c r="C548">
        <v>968.09</v>
      </c>
      <c r="D548">
        <f t="shared" si="24"/>
        <v>7.3252568983908167E-2</v>
      </c>
      <c r="E548">
        <v>-9.0489979829633423E-3</v>
      </c>
      <c r="G548">
        <v>541</v>
      </c>
      <c r="H548">
        <f t="shared" ca="1" si="25"/>
        <v>-9.8578912750717385E-3</v>
      </c>
    </row>
    <row r="549" spans="2:8" x14ac:dyDescent="0.3">
      <c r="B549" t="s">
        <v>912</v>
      </c>
      <c r="C549">
        <v>899.71</v>
      </c>
      <c r="D549">
        <f t="shared" si="24"/>
        <v>-6.7295329399987822E-2</v>
      </c>
      <c r="E549">
        <v>-9.1388492305412121E-3</v>
      </c>
      <c r="G549">
        <v>542</v>
      </c>
      <c r="H549">
        <f t="shared" ca="1" si="25"/>
        <v>-1.5662228517386967E-2</v>
      </c>
    </row>
    <row r="550" spans="2:8" x14ac:dyDescent="0.3">
      <c r="B550" t="s">
        <v>641</v>
      </c>
      <c r="C550">
        <v>962.34</v>
      </c>
      <c r="D550">
        <f t="shared" si="24"/>
        <v>7.5374918933870119E-2</v>
      </c>
      <c r="E550">
        <v>-9.2057870412152899E-3</v>
      </c>
      <c r="G550">
        <v>543</v>
      </c>
      <c r="H550">
        <f t="shared" ca="1" si="25"/>
        <v>1.2370433006284594E-2</v>
      </c>
    </row>
    <row r="551" spans="2:8" x14ac:dyDescent="0.3">
      <c r="B551" t="s">
        <v>779</v>
      </c>
      <c r="C551">
        <v>892.47</v>
      </c>
      <c r="D551">
        <f t="shared" si="24"/>
        <v>-7.4043942341419311E-2</v>
      </c>
      <c r="E551">
        <v>-9.3347617294398874E-3</v>
      </c>
      <c r="G551">
        <v>544</v>
      </c>
      <c r="H551">
        <f t="shared" ca="1" si="25"/>
        <v>-8.535361376417137E-3</v>
      </c>
    </row>
    <row r="552" spans="2:8" x14ac:dyDescent="0.3">
      <c r="B552" t="s">
        <v>652</v>
      </c>
      <c r="C552">
        <v>961.06</v>
      </c>
      <c r="D552">
        <f t="shared" si="24"/>
        <v>0.13384954437369587</v>
      </c>
      <c r="E552">
        <v>-9.3726251448655908E-3</v>
      </c>
      <c r="G552">
        <v>545</v>
      </c>
      <c r="H552">
        <f t="shared" ca="1" si="25"/>
        <v>6.7162738049678849E-3</v>
      </c>
    </row>
    <row r="553" spans="2:8" x14ac:dyDescent="0.3">
      <c r="B553" t="s">
        <v>930</v>
      </c>
      <c r="C553">
        <v>840.66</v>
      </c>
      <c r="D553">
        <f t="shared" si="24"/>
        <v>4.0665383813511626E-2</v>
      </c>
      <c r="E553">
        <v>-9.4949036337206028E-3</v>
      </c>
      <c r="G553">
        <v>546</v>
      </c>
      <c r="H553">
        <f t="shared" ca="1" si="25"/>
        <v>-2.1719866354679929E-2</v>
      </c>
    </row>
    <row r="554" spans="2:8" x14ac:dyDescent="0.3">
      <c r="B554" t="s">
        <v>878</v>
      </c>
      <c r="C554">
        <v>807.16</v>
      </c>
      <c r="D554">
        <f t="shared" si="24"/>
        <v>-6.0769436784924007E-3</v>
      </c>
      <c r="E554">
        <v>-9.5189493386111691E-3</v>
      </c>
      <c r="G554">
        <v>547</v>
      </c>
      <c r="H554">
        <f t="shared" ca="1" si="25"/>
        <v>-8.9567940840640913E-3</v>
      </c>
    </row>
    <row r="555" spans="2:8" x14ac:dyDescent="0.3">
      <c r="B555" t="s">
        <v>1043</v>
      </c>
      <c r="C555">
        <v>812.08</v>
      </c>
      <c r="D555">
        <f t="shared" si="24"/>
        <v>-0.49371123294156821</v>
      </c>
      <c r="E555">
        <v>-9.5225392197018036E-3</v>
      </c>
      <c r="G555">
        <v>548</v>
      </c>
      <c r="H555">
        <f t="shared" ca="1" si="25"/>
        <v>2.5572050198213892E-2</v>
      </c>
    </row>
    <row r="556" spans="2:8" x14ac:dyDescent="0.3">
      <c r="B556" t="s">
        <v>414</v>
      </c>
      <c r="C556" s="79">
        <v>1330.5</v>
      </c>
      <c r="D556">
        <f t="shared" si="24"/>
        <v>0.40901141136284186</v>
      </c>
      <c r="E556">
        <v>-9.6489024150203922E-3</v>
      </c>
      <c r="G556">
        <v>549</v>
      </c>
      <c r="H556">
        <f t="shared" ca="1" si="25"/>
        <v>-2.7991567398598298E-3</v>
      </c>
    </row>
    <row r="557" spans="2:8" x14ac:dyDescent="0.3">
      <c r="B557" t="s">
        <v>916</v>
      </c>
      <c r="C557">
        <v>883.86</v>
      </c>
      <c r="D557">
        <f t="shared" si="24"/>
        <v>-1.1015520581485564E-2</v>
      </c>
      <c r="E557">
        <v>-9.6942205885694726E-3</v>
      </c>
      <c r="G557">
        <v>550</v>
      </c>
      <c r="H557">
        <f t="shared" ca="1" si="25"/>
        <v>2.3750249150841965E-2</v>
      </c>
    </row>
    <row r="558" spans="2:8" x14ac:dyDescent="0.3">
      <c r="B558" t="s">
        <v>824</v>
      </c>
      <c r="C558">
        <v>893.65</v>
      </c>
      <c r="D558">
        <f t="shared" si="24"/>
        <v>-7.2056489150273587E-2</v>
      </c>
      <c r="E558">
        <v>-9.8655708416719324E-3</v>
      </c>
      <c r="G558">
        <v>551</v>
      </c>
      <c r="H558">
        <f t="shared" ca="1" si="25"/>
        <v>2.243508341229164E-2</v>
      </c>
    </row>
    <row r="559" spans="2:8" x14ac:dyDescent="0.3">
      <c r="B559" t="s">
        <v>664</v>
      </c>
      <c r="C559">
        <v>960.42</v>
      </c>
      <c r="D559">
        <f t="shared" si="24"/>
        <v>-0.28554009116079804</v>
      </c>
      <c r="E559">
        <v>-9.894454397440515E-3</v>
      </c>
      <c r="G559">
        <v>552</v>
      </c>
      <c r="H559">
        <f t="shared" ca="1" si="25"/>
        <v>-2.1618165975896848E-3</v>
      </c>
    </row>
    <row r="560" spans="2:8" x14ac:dyDescent="0.3">
      <c r="B560" t="s">
        <v>508</v>
      </c>
      <c r="C560" s="79">
        <v>1277.82</v>
      </c>
      <c r="D560">
        <f t="shared" si="24"/>
        <v>-8.1136822034314198E-3</v>
      </c>
      <c r="E560">
        <v>-1.0052448824927437E-2</v>
      </c>
      <c r="G560">
        <v>553</v>
      </c>
      <c r="H560">
        <f t="shared" ca="1" si="25"/>
        <v>1.5780505401714915E-2</v>
      </c>
    </row>
    <row r="561" spans="2:8" x14ac:dyDescent="0.3">
      <c r="B561" t="s">
        <v>511</v>
      </c>
      <c r="C561" s="79">
        <v>1288.23</v>
      </c>
      <c r="D561">
        <f t="shared" si="24"/>
        <v>0.23472224588217547</v>
      </c>
      <c r="E561">
        <v>-1.0202160567969135E-2</v>
      </c>
      <c r="G561">
        <v>554</v>
      </c>
      <c r="H561">
        <f t="shared" ca="1" si="25"/>
        <v>-9.5964492461164392E-4</v>
      </c>
    </row>
    <row r="562" spans="2:8" x14ac:dyDescent="0.3">
      <c r="B562" t="s">
        <v>608</v>
      </c>
      <c r="C562" s="79">
        <v>1018.72</v>
      </c>
      <c r="D562">
        <f t="shared" si="24"/>
        <v>0.22786155066434616</v>
      </c>
      <c r="E562">
        <v>-1.0283444381298872E-2</v>
      </c>
      <c r="G562">
        <v>555</v>
      </c>
      <c r="H562">
        <f t="shared" ca="1" si="25"/>
        <v>2.5208950870426836E-2</v>
      </c>
    </row>
    <row r="563" spans="2:8" x14ac:dyDescent="0.3">
      <c r="B563" t="s">
        <v>886</v>
      </c>
      <c r="C563">
        <v>811.14</v>
      </c>
      <c r="D563">
        <f t="shared" si="24"/>
        <v>-0.55002784425623552</v>
      </c>
      <c r="E563">
        <v>-1.0326945274629349E-2</v>
      </c>
      <c r="G563">
        <v>556</v>
      </c>
      <c r="H563">
        <f t="shared" ca="1" si="25"/>
        <v>6.38208617588469E-3</v>
      </c>
    </row>
    <row r="564" spans="2:8" x14ac:dyDescent="0.3">
      <c r="B564" t="s">
        <v>474</v>
      </c>
      <c r="C564" s="79">
        <v>1405.95</v>
      </c>
      <c r="D564">
        <f t="shared" si="24"/>
        <v>0.20116870344057142</v>
      </c>
      <c r="E564">
        <v>-1.0366086703104967E-2</v>
      </c>
      <c r="G564">
        <v>557</v>
      </c>
      <c r="H564">
        <f t="shared" ca="1" si="25"/>
        <v>-1.013006504490444E-2</v>
      </c>
    </row>
    <row r="565" spans="2:8" x14ac:dyDescent="0.3">
      <c r="B565" t="s">
        <v>593</v>
      </c>
      <c r="C565" s="79">
        <v>1149.75</v>
      </c>
      <c r="D565">
        <f t="shared" si="24"/>
        <v>-7.6034484757373358E-2</v>
      </c>
      <c r="E565">
        <v>-1.0443213657124376E-2</v>
      </c>
      <c r="G565">
        <v>558</v>
      </c>
      <c r="H565">
        <f t="shared" ca="1" si="25"/>
        <v>-1.427900847803729E-2</v>
      </c>
    </row>
    <row r="566" spans="2:8" x14ac:dyDescent="0.3">
      <c r="B566" t="s">
        <v>557</v>
      </c>
      <c r="C566" s="79">
        <v>1240.58</v>
      </c>
      <c r="D566">
        <f t="shared" si="24"/>
        <v>-8.1372466263660168E-2</v>
      </c>
      <c r="E566">
        <v>-1.0512190522875406E-2</v>
      </c>
      <c r="G566">
        <v>559</v>
      </c>
      <c r="H566">
        <f t="shared" ca="1" si="25"/>
        <v>-2.9206966397110404E-2</v>
      </c>
    </row>
    <row r="567" spans="2:8" x14ac:dyDescent="0.3">
      <c r="B567" t="s">
        <v>406</v>
      </c>
      <c r="C567" s="79">
        <v>1345.75</v>
      </c>
      <c r="D567">
        <f t="shared" si="24"/>
        <v>0.63421602887783857</v>
      </c>
      <c r="E567">
        <v>-1.0680269300471635E-2</v>
      </c>
      <c r="G567">
        <v>560</v>
      </c>
      <c r="H567">
        <f t="shared" ca="1" si="25"/>
        <v>6.8399926778024082E-5</v>
      </c>
    </row>
    <row r="568" spans="2:8" x14ac:dyDescent="0.3">
      <c r="B568" t="s">
        <v>1034</v>
      </c>
      <c r="C568">
        <v>713.72</v>
      </c>
      <c r="D568">
        <f t="shared" si="24"/>
        <v>-0.3509701974750209</v>
      </c>
      <c r="E568">
        <v>-1.0703039906210512E-2</v>
      </c>
      <c r="G568">
        <v>561</v>
      </c>
      <c r="H568">
        <f t="shared" ca="1" si="25"/>
        <v>9.1325409413587893E-3</v>
      </c>
    </row>
    <row r="569" spans="2:8" x14ac:dyDescent="0.3">
      <c r="B569" t="s">
        <v>684</v>
      </c>
      <c r="C569" s="79">
        <v>1013.8</v>
      </c>
      <c r="D569">
        <f t="shared" si="24"/>
        <v>-0.31410057647982365</v>
      </c>
      <c r="E569">
        <v>-1.0821098120483997E-2</v>
      </c>
      <c r="G569">
        <v>562</v>
      </c>
      <c r="H569">
        <f t="shared" ca="1" si="25"/>
        <v>-1.8103216126274885E-2</v>
      </c>
    </row>
    <row r="570" spans="2:8" x14ac:dyDescent="0.3">
      <c r="B570" t="s">
        <v>490</v>
      </c>
      <c r="C570" s="79">
        <v>1387.92</v>
      </c>
      <c r="D570">
        <f t="shared" si="24"/>
        <v>0.52656208679331495</v>
      </c>
      <c r="E570">
        <v>-1.0849342172464934E-2</v>
      </c>
      <c r="G570">
        <v>563</v>
      </c>
      <c r="H570">
        <f t="shared" ca="1" si="25"/>
        <v>-1.2193620109300224E-2</v>
      </c>
    </row>
    <row r="571" spans="2:8" x14ac:dyDescent="0.3">
      <c r="B571" t="s">
        <v>883</v>
      </c>
      <c r="C571">
        <v>819.75</v>
      </c>
      <c r="D571">
        <f t="shared" si="24"/>
        <v>-0.35040341286651916</v>
      </c>
      <c r="E571">
        <v>-1.0931192067524175E-2</v>
      </c>
      <c r="G571">
        <v>564</v>
      </c>
      <c r="H571">
        <f t="shared" ca="1" si="25"/>
        <v>-1.9354428251301417E-2</v>
      </c>
    </row>
    <row r="572" spans="2:8" x14ac:dyDescent="0.3">
      <c r="B572" t="s">
        <v>537</v>
      </c>
      <c r="C572" s="79">
        <v>1163.75</v>
      </c>
      <c r="D572">
        <f t="shared" si="24"/>
        <v>0.26458111298709458</v>
      </c>
      <c r="E572">
        <v>-1.1151340695950899E-2</v>
      </c>
      <c r="G572">
        <v>565</v>
      </c>
      <c r="H572">
        <f t="shared" ca="1" si="25"/>
        <v>5.2140437006423261E-3</v>
      </c>
    </row>
    <row r="573" spans="2:8" x14ac:dyDescent="0.3">
      <c r="B573" t="s">
        <v>921</v>
      </c>
      <c r="C573">
        <v>893.21</v>
      </c>
      <c r="D573">
        <f t="shared" si="24"/>
        <v>-8.6169471119592229E-3</v>
      </c>
      <c r="E573">
        <v>-1.1233008551615476E-2</v>
      </c>
      <c r="G573">
        <v>566</v>
      </c>
      <c r="H573">
        <f t="shared" ca="1" si="25"/>
        <v>1.753835955506618E-2</v>
      </c>
    </row>
    <row r="574" spans="2:8" x14ac:dyDescent="0.3">
      <c r="B574" t="s">
        <v>785</v>
      </c>
      <c r="C574">
        <v>900.94</v>
      </c>
      <c r="D574">
        <f t="shared" si="24"/>
        <v>-0.41613016829270455</v>
      </c>
      <c r="E574">
        <v>-1.1235949249954077E-2</v>
      </c>
      <c r="G574">
        <v>567</v>
      </c>
      <c r="H574">
        <f t="shared" ca="1" si="25"/>
        <v>8.1610426655848514E-3</v>
      </c>
    </row>
    <row r="575" spans="2:8" x14ac:dyDescent="0.3">
      <c r="B575" t="s">
        <v>449</v>
      </c>
      <c r="C575" s="79">
        <v>1365.9</v>
      </c>
      <c r="D575">
        <f t="shared" si="24"/>
        <v>0.36467649872678137</v>
      </c>
      <c r="E575">
        <v>-1.1385266970933795E-2</v>
      </c>
      <c r="G575">
        <v>568</v>
      </c>
      <c r="H575">
        <f t="shared" ca="1" si="25"/>
        <v>1.5604241225498987E-2</v>
      </c>
    </row>
    <row r="576" spans="2:8" x14ac:dyDescent="0.3">
      <c r="B576" t="s">
        <v>643</v>
      </c>
      <c r="C576">
        <v>948.51</v>
      </c>
      <c r="D576">
        <f t="shared" si="24"/>
        <v>5.1187316602281589E-2</v>
      </c>
      <c r="E576">
        <v>-1.1405333550422201E-2</v>
      </c>
      <c r="G576">
        <v>569</v>
      </c>
      <c r="H576">
        <f t="shared" ca="1" si="25"/>
        <v>-5.9149591972236298E-3</v>
      </c>
    </row>
    <row r="577" spans="2:8" x14ac:dyDescent="0.3">
      <c r="B577" t="s">
        <v>790</v>
      </c>
      <c r="C577">
        <v>901.18</v>
      </c>
      <c r="D577">
        <f t="shared" si="24"/>
        <v>-4.416224512683329E-2</v>
      </c>
      <c r="E577">
        <v>-1.1507251355142165E-2</v>
      </c>
      <c r="G577">
        <v>570</v>
      </c>
      <c r="H577">
        <f t="shared" ca="1" si="25"/>
        <v>3.2395062939186023E-2</v>
      </c>
    </row>
    <row r="578" spans="2:8" x14ac:dyDescent="0.3">
      <c r="B578" t="s">
        <v>1075</v>
      </c>
      <c r="C578">
        <v>941.87</v>
      </c>
      <c r="D578">
        <f t="shared" si="24"/>
        <v>8.5230243700922095E-2</v>
      </c>
      <c r="E578">
        <v>-1.1737149613098633E-2</v>
      </c>
      <c r="G578">
        <v>571</v>
      </c>
      <c r="H578">
        <f t="shared" ca="1" si="25"/>
        <v>-1.28149389925243E-3</v>
      </c>
    </row>
    <row r="579" spans="2:8" x14ac:dyDescent="0.3">
      <c r="B579" t="s">
        <v>1050</v>
      </c>
      <c r="C579">
        <v>864.92</v>
      </c>
      <c r="D579">
        <f t="shared" si="24"/>
        <v>-2.3944484145950351E-2</v>
      </c>
      <c r="E579">
        <v>-1.1758283131150337E-2</v>
      </c>
      <c r="G579">
        <v>572</v>
      </c>
      <c r="H579">
        <f t="shared" ca="1" si="25"/>
        <v>-4.0819742488267155E-2</v>
      </c>
    </row>
    <row r="580" spans="2:8" x14ac:dyDescent="0.3">
      <c r="B580" t="s">
        <v>822</v>
      </c>
      <c r="C580">
        <v>885.88</v>
      </c>
      <c r="D580">
        <f t="shared" si="24"/>
        <v>-0.14054493940974894</v>
      </c>
      <c r="E580">
        <v>-1.1816396346949904E-2</v>
      </c>
      <c r="G580">
        <v>573</v>
      </c>
      <c r="H580">
        <f t="shared" ca="1" si="25"/>
        <v>2.1923393684989526E-2</v>
      </c>
    </row>
    <row r="581" spans="2:8" x14ac:dyDescent="0.3">
      <c r="B581" t="s">
        <v>612</v>
      </c>
      <c r="C581" s="79">
        <v>1019.56</v>
      </c>
      <c r="D581">
        <f t="shared" si="24"/>
        <v>-0.33823335007740812</v>
      </c>
      <c r="E581">
        <v>-1.1817379776760612E-2</v>
      </c>
      <c r="G581">
        <v>574</v>
      </c>
      <c r="H581">
        <f t="shared" ca="1" si="25"/>
        <v>4.6638989323746397E-4</v>
      </c>
    </row>
    <row r="582" spans="2:8" x14ac:dyDescent="0.3">
      <c r="B582" t="s">
        <v>421</v>
      </c>
      <c r="C582" s="79">
        <v>1429.9</v>
      </c>
      <c r="D582">
        <f t="shared" si="24"/>
        <v>0.28180154834116394</v>
      </c>
      <c r="E582">
        <v>-1.1818825004234344E-2</v>
      </c>
      <c r="G582">
        <v>575</v>
      </c>
      <c r="H582">
        <f t="shared" ca="1" si="25"/>
        <v>-1.061668275798216E-2</v>
      </c>
    </row>
    <row r="583" spans="2:8" x14ac:dyDescent="0.3">
      <c r="B583" t="s">
        <v>365</v>
      </c>
      <c r="C583" s="79">
        <v>1078.75</v>
      </c>
      <c r="D583">
        <f t="shared" si="24"/>
        <v>-0.3012626701709657</v>
      </c>
      <c r="E583">
        <v>-1.1841546436545653E-2</v>
      </c>
      <c r="G583">
        <v>576</v>
      </c>
      <c r="H583">
        <f t="shared" ca="1" si="25"/>
        <v>-1.1636491548485622E-3</v>
      </c>
    </row>
    <row r="584" spans="2:8" x14ac:dyDescent="0.3">
      <c r="B584" t="s">
        <v>435</v>
      </c>
      <c r="C584" s="79">
        <v>1458</v>
      </c>
      <c r="D584">
        <f t="shared" ref="D584:D647" si="26">LN(C584/C585)</f>
        <v>0.5161208257683898</v>
      </c>
      <c r="E584">
        <v>-1.1863505881598464E-2</v>
      </c>
      <c r="G584">
        <v>577</v>
      </c>
      <c r="H584">
        <f t="shared" ca="1" si="25"/>
        <v>-3.5118527402268389E-2</v>
      </c>
    </row>
    <row r="585" spans="2:8" x14ac:dyDescent="0.3">
      <c r="B585" t="s">
        <v>837</v>
      </c>
      <c r="C585">
        <v>870.18</v>
      </c>
      <c r="D585">
        <f t="shared" si="26"/>
        <v>0.15913523345519764</v>
      </c>
      <c r="E585">
        <v>-1.1869338259996757E-2</v>
      </c>
      <c r="G585">
        <v>578</v>
      </c>
      <c r="H585">
        <f t="shared" ref="H585:H648" ca="1" si="27">_xlfn.NORM.INV(RAND(),$N$10,$N$11)</f>
        <v>-1.6633916883656407E-2</v>
      </c>
    </row>
    <row r="586" spans="2:8" x14ac:dyDescent="0.3">
      <c r="B586" t="s">
        <v>981</v>
      </c>
      <c r="C586">
        <v>742.16</v>
      </c>
      <c r="D586">
        <f t="shared" si="26"/>
        <v>-0.56005456506292972</v>
      </c>
      <c r="E586">
        <v>-1.1934003130018685E-2</v>
      </c>
      <c r="G586">
        <v>579</v>
      </c>
      <c r="H586">
        <f t="shared" ca="1" si="27"/>
        <v>-1.3028681804989868E-3</v>
      </c>
    </row>
    <row r="587" spans="2:8" x14ac:dyDescent="0.3">
      <c r="B587" t="s">
        <v>403</v>
      </c>
      <c r="C587" s="79">
        <v>1299.3499999999999</v>
      </c>
      <c r="D587">
        <f t="shared" si="26"/>
        <v>0.42332480555243407</v>
      </c>
      <c r="E587">
        <v>-1.1972526203919202E-2</v>
      </c>
      <c r="G587">
        <v>580</v>
      </c>
      <c r="H587">
        <f t="shared" ca="1" si="27"/>
        <v>-1.7543298788576175E-2</v>
      </c>
    </row>
    <row r="588" spans="2:8" x14ac:dyDescent="0.3">
      <c r="B588" t="s">
        <v>925</v>
      </c>
      <c r="C588">
        <v>850.9</v>
      </c>
      <c r="D588">
        <f t="shared" si="26"/>
        <v>-0.36485038895397415</v>
      </c>
      <c r="E588">
        <v>-1.2008928955832327E-2</v>
      </c>
      <c r="G588">
        <v>581</v>
      </c>
      <c r="H588">
        <f t="shared" ca="1" si="27"/>
        <v>-6.4533440599752884E-3</v>
      </c>
    </row>
    <row r="589" spans="2:8" x14ac:dyDescent="0.3">
      <c r="B589" t="s">
        <v>578</v>
      </c>
      <c r="C589" s="79">
        <v>1225.55</v>
      </c>
      <c r="D589">
        <f t="shared" si="26"/>
        <v>0.34063084514085518</v>
      </c>
      <c r="E589">
        <v>-1.2036123468799597E-2</v>
      </c>
      <c r="G589">
        <v>582</v>
      </c>
      <c r="H589">
        <f t="shared" ca="1" si="27"/>
        <v>1.7631051609497923E-2</v>
      </c>
    </row>
    <row r="590" spans="2:8" x14ac:dyDescent="0.3">
      <c r="B590" t="s">
        <v>831</v>
      </c>
      <c r="C590">
        <v>871.76</v>
      </c>
      <c r="D590">
        <f t="shared" si="26"/>
        <v>0.15678100588447333</v>
      </c>
      <c r="E590">
        <v>-1.2063312585277102E-2</v>
      </c>
      <c r="G590">
        <v>583</v>
      </c>
      <c r="H590">
        <f t="shared" ca="1" si="27"/>
        <v>8.2860193070646831E-3</v>
      </c>
    </row>
    <row r="591" spans="2:8" x14ac:dyDescent="0.3">
      <c r="B591" t="s">
        <v>955</v>
      </c>
      <c r="C591">
        <v>745.26</v>
      </c>
      <c r="D591">
        <f t="shared" si="26"/>
        <v>-0.16683627427605305</v>
      </c>
      <c r="E591">
        <v>-1.2136556860007018E-2</v>
      </c>
      <c r="G591">
        <v>584</v>
      </c>
      <c r="H591">
        <f t="shared" ca="1" si="27"/>
        <v>1.2501662913812798E-2</v>
      </c>
    </row>
    <row r="592" spans="2:8" x14ac:dyDescent="0.3">
      <c r="B592" t="s">
        <v>838</v>
      </c>
      <c r="C592">
        <v>880.57</v>
      </c>
      <c r="D592">
        <f t="shared" si="26"/>
        <v>-0.35778156876117606</v>
      </c>
      <c r="E592">
        <v>-1.2212617081040232E-2</v>
      </c>
      <c r="G592">
        <v>585</v>
      </c>
      <c r="H592">
        <f t="shared" ca="1" si="27"/>
        <v>-8.2974277286669579E-3</v>
      </c>
    </row>
    <row r="593" spans="2:8" x14ac:dyDescent="0.3">
      <c r="B593" t="s">
        <v>393</v>
      </c>
      <c r="C593" s="79">
        <v>1259.3499999999999</v>
      </c>
      <c r="D593">
        <f t="shared" si="26"/>
        <v>6.1975933442234746E-2</v>
      </c>
      <c r="E593">
        <v>-1.2389678688499625E-2</v>
      </c>
      <c r="G593">
        <v>586</v>
      </c>
      <c r="H593">
        <f t="shared" ca="1" si="27"/>
        <v>-1.4881002561910007E-2</v>
      </c>
    </row>
    <row r="594" spans="2:8" x14ac:dyDescent="0.3">
      <c r="B594" t="s">
        <v>551</v>
      </c>
      <c r="C594" s="79">
        <v>1183.67</v>
      </c>
      <c r="D594">
        <f t="shared" si="26"/>
        <v>-1.2250723129625326E-2</v>
      </c>
      <c r="E594">
        <v>-1.2417617886179568E-2</v>
      </c>
      <c r="G594">
        <v>587</v>
      </c>
      <c r="H594">
        <f t="shared" ca="1" si="27"/>
        <v>-4.955431446354954E-4</v>
      </c>
    </row>
    <row r="595" spans="2:8" x14ac:dyDescent="0.3">
      <c r="B595" t="s">
        <v>549</v>
      </c>
      <c r="C595" s="79">
        <v>1198.26</v>
      </c>
      <c r="D595">
        <f t="shared" si="26"/>
        <v>0.19103195766454917</v>
      </c>
      <c r="E595">
        <v>-1.2547590660038061E-2</v>
      </c>
      <c r="G595">
        <v>588</v>
      </c>
      <c r="H595">
        <f t="shared" ca="1" si="27"/>
        <v>7.7424505827025309E-3</v>
      </c>
    </row>
    <row r="596" spans="2:8" x14ac:dyDescent="0.3">
      <c r="B596" t="s">
        <v>680</v>
      </c>
      <c r="C596">
        <v>989.89</v>
      </c>
      <c r="D596">
        <f t="shared" si="26"/>
        <v>-0.14957550892058735</v>
      </c>
      <c r="E596">
        <v>-1.2598481171326644E-2</v>
      </c>
      <c r="G596">
        <v>589</v>
      </c>
      <c r="H596">
        <f t="shared" ca="1" si="27"/>
        <v>1.5023336179503572E-2</v>
      </c>
    </row>
    <row r="597" spans="2:8" x14ac:dyDescent="0.3">
      <c r="B597" t="s">
        <v>529</v>
      </c>
      <c r="C597" s="79">
        <v>1149.5999999999999</v>
      </c>
      <c r="D597">
        <f t="shared" si="26"/>
        <v>-0.13541071466654686</v>
      </c>
      <c r="E597">
        <v>-1.2740347094703822E-2</v>
      </c>
      <c r="G597">
        <v>590</v>
      </c>
      <c r="H597">
        <f t="shared" ca="1" si="27"/>
        <v>3.7263254353837268E-2</v>
      </c>
    </row>
    <row r="598" spans="2:8" x14ac:dyDescent="0.3">
      <c r="B598" t="s">
        <v>411</v>
      </c>
      <c r="C598" s="79">
        <v>1316.3</v>
      </c>
      <c r="D598">
        <f t="shared" si="26"/>
        <v>0.27755850369528073</v>
      </c>
      <c r="E598">
        <v>-1.2832301690050736E-2</v>
      </c>
      <c r="G598">
        <v>591</v>
      </c>
      <c r="H598">
        <f t="shared" ca="1" si="27"/>
        <v>-7.1439274758515157E-3</v>
      </c>
    </row>
    <row r="599" spans="2:8" x14ac:dyDescent="0.3">
      <c r="B599" t="s">
        <v>682</v>
      </c>
      <c r="C599">
        <v>997.27</v>
      </c>
      <c r="D599">
        <f t="shared" si="26"/>
        <v>0.10590994387068783</v>
      </c>
      <c r="E599">
        <v>-1.2891963278771052E-2</v>
      </c>
      <c r="G599">
        <v>592</v>
      </c>
      <c r="H599">
        <f t="shared" ca="1" si="27"/>
        <v>-6.981239998715979E-3</v>
      </c>
    </row>
    <row r="600" spans="2:8" x14ac:dyDescent="0.3">
      <c r="B600" t="s">
        <v>788</v>
      </c>
      <c r="C600">
        <v>897.05</v>
      </c>
      <c r="D600">
        <f t="shared" si="26"/>
        <v>0.11159160730829258</v>
      </c>
      <c r="E600">
        <v>-1.3024449562081937E-2</v>
      </c>
      <c r="G600">
        <v>593</v>
      </c>
      <c r="H600">
        <f t="shared" ca="1" si="27"/>
        <v>7.5300280224956792E-3</v>
      </c>
    </row>
    <row r="601" spans="2:8" x14ac:dyDescent="0.3">
      <c r="B601" t="s">
        <v>867</v>
      </c>
      <c r="C601">
        <v>802.33</v>
      </c>
      <c r="D601">
        <f t="shared" si="26"/>
        <v>-0.58458668880328413</v>
      </c>
      <c r="E601">
        <v>-1.3161913288321054E-2</v>
      </c>
      <c r="G601">
        <v>594</v>
      </c>
      <c r="H601">
        <f t="shared" ca="1" si="27"/>
        <v>2.0198041460914789E-2</v>
      </c>
    </row>
    <row r="602" spans="2:8" x14ac:dyDescent="0.3">
      <c r="B602" t="s">
        <v>452</v>
      </c>
      <c r="C602" s="79">
        <v>1439.58</v>
      </c>
      <c r="D602">
        <f t="shared" si="26"/>
        <v>0.4034561242590089</v>
      </c>
      <c r="E602">
        <v>-1.3166801678966118E-2</v>
      </c>
      <c r="G602">
        <v>595</v>
      </c>
      <c r="H602">
        <f t="shared" ca="1" si="27"/>
        <v>-1.9760931408441127E-2</v>
      </c>
    </row>
    <row r="603" spans="2:8" x14ac:dyDescent="0.3">
      <c r="B603" t="s">
        <v>657</v>
      </c>
      <c r="C603">
        <v>961.65</v>
      </c>
      <c r="D603">
        <f t="shared" si="26"/>
        <v>-4.5851906338003394E-2</v>
      </c>
      <c r="E603">
        <v>-1.3315005694457751E-2</v>
      </c>
      <c r="G603">
        <v>596</v>
      </c>
      <c r="H603">
        <f t="shared" ca="1" si="27"/>
        <v>-1.697934435626605E-3</v>
      </c>
    </row>
    <row r="604" spans="2:8" x14ac:dyDescent="0.3">
      <c r="B604" t="s">
        <v>686</v>
      </c>
      <c r="C604" s="79">
        <v>1006.77</v>
      </c>
      <c r="D604">
        <f t="shared" si="26"/>
        <v>0.15739567279633107</v>
      </c>
      <c r="E604">
        <v>-1.3398519235715457E-2</v>
      </c>
      <c r="G604">
        <v>597</v>
      </c>
      <c r="H604">
        <f t="shared" ca="1" si="27"/>
        <v>2.5688097122816857E-2</v>
      </c>
    </row>
    <row r="605" spans="2:8" x14ac:dyDescent="0.3">
      <c r="B605" t="s">
        <v>830</v>
      </c>
      <c r="C605">
        <v>860.15</v>
      </c>
      <c r="D605">
        <f t="shared" si="26"/>
        <v>-0.35522065206786319</v>
      </c>
      <c r="E605">
        <v>-1.3407364025582456E-2</v>
      </c>
      <c r="G605">
        <v>598</v>
      </c>
      <c r="H605">
        <f t="shared" ca="1" si="27"/>
        <v>-8.5726227649968404E-3</v>
      </c>
    </row>
    <row r="606" spans="2:8" x14ac:dyDescent="0.3">
      <c r="B606" t="s">
        <v>378</v>
      </c>
      <c r="C606" s="79">
        <v>1227</v>
      </c>
      <c r="D606">
        <f t="shared" si="26"/>
        <v>0.31212396939434922</v>
      </c>
      <c r="E606">
        <v>-1.3518641948783888E-2</v>
      </c>
      <c r="G606">
        <v>599</v>
      </c>
      <c r="H606">
        <f t="shared" ca="1" si="27"/>
        <v>-3.2284322304844744E-2</v>
      </c>
    </row>
    <row r="607" spans="2:8" x14ac:dyDescent="0.3">
      <c r="B607" t="s">
        <v>1052</v>
      </c>
      <c r="C607">
        <v>898.03</v>
      </c>
      <c r="D607">
        <f t="shared" si="26"/>
        <v>-0.5061936864256138</v>
      </c>
      <c r="E607">
        <v>-1.3548769174455738E-2</v>
      </c>
      <c r="G607">
        <v>600</v>
      </c>
      <c r="H607">
        <f t="shared" ca="1" si="27"/>
        <v>1.7738735137103535E-2</v>
      </c>
    </row>
    <row r="608" spans="2:8" x14ac:dyDescent="0.3">
      <c r="B608" t="s">
        <v>429</v>
      </c>
      <c r="C608" s="79">
        <v>1489.8</v>
      </c>
      <c r="D608">
        <f t="shared" si="26"/>
        <v>0.56969121051611438</v>
      </c>
      <c r="E608">
        <v>-1.3600209627149286E-2</v>
      </c>
      <c r="G608">
        <v>601</v>
      </c>
      <c r="H608">
        <f t="shared" ca="1" si="27"/>
        <v>-1.8304185061776778E-3</v>
      </c>
    </row>
    <row r="609" spans="2:8" x14ac:dyDescent="0.3">
      <c r="B609" t="s">
        <v>927</v>
      </c>
      <c r="C609">
        <v>842.78</v>
      </c>
      <c r="D609">
        <f t="shared" si="26"/>
        <v>-3.9550154488554513E-2</v>
      </c>
      <c r="E609">
        <v>-1.3623289794896735E-2</v>
      </c>
      <c r="G609">
        <v>602</v>
      </c>
      <c r="H609">
        <f t="shared" ca="1" si="27"/>
        <v>3.7607633485617119E-3</v>
      </c>
    </row>
    <row r="610" spans="2:8" x14ac:dyDescent="0.3">
      <c r="B610" t="s">
        <v>1061</v>
      </c>
      <c r="C610">
        <v>876.78</v>
      </c>
      <c r="D610">
        <f t="shared" si="26"/>
        <v>0.17227163153384484</v>
      </c>
      <c r="E610">
        <v>-1.3762386541639346E-2</v>
      </c>
      <c r="G610">
        <v>603</v>
      </c>
      <c r="H610">
        <f t="shared" ca="1" si="27"/>
        <v>1.4416952297355807E-2</v>
      </c>
    </row>
    <row r="611" spans="2:8" x14ac:dyDescent="0.3">
      <c r="B611" t="s">
        <v>972</v>
      </c>
      <c r="C611">
        <v>738.03</v>
      </c>
      <c r="D611">
        <f t="shared" si="26"/>
        <v>-2.6962728901463378E-2</v>
      </c>
      <c r="E611">
        <v>-1.3766036979939583E-2</v>
      </c>
      <c r="G611">
        <v>604</v>
      </c>
      <c r="H611">
        <f t="shared" ca="1" si="27"/>
        <v>1.730756386805956E-2</v>
      </c>
    </row>
    <row r="612" spans="2:8" x14ac:dyDescent="0.3">
      <c r="B612" t="s">
        <v>990</v>
      </c>
      <c r="C612">
        <v>758.2</v>
      </c>
      <c r="D612">
        <f t="shared" si="26"/>
        <v>-0.45598302063189622</v>
      </c>
      <c r="E612">
        <v>-1.3857639667305292E-2</v>
      </c>
      <c r="G612">
        <v>605</v>
      </c>
      <c r="H612">
        <f t="shared" ca="1" si="27"/>
        <v>2.4160906091837193E-2</v>
      </c>
    </row>
    <row r="613" spans="2:8" x14ac:dyDescent="0.3">
      <c r="B613" t="s">
        <v>539</v>
      </c>
      <c r="C613" s="79">
        <v>1196.23</v>
      </c>
      <c r="D613">
        <f t="shared" si="26"/>
        <v>0.45974900572439692</v>
      </c>
      <c r="E613">
        <v>-1.4325560792283479E-2</v>
      </c>
      <c r="G613">
        <v>606</v>
      </c>
      <c r="H613">
        <f t="shared" ca="1" si="27"/>
        <v>7.1080988550780884E-3</v>
      </c>
    </row>
    <row r="614" spans="2:8" x14ac:dyDescent="0.3">
      <c r="B614" t="s">
        <v>1037</v>
      </c>
      <c r="C614">
        <v>755.35</v>
      </c>
      <c r="D614">
        <f t="shared" si="26"/>
        <v>-0.55523928061485428</v>
      </c>
      <c r="E614">
        <v>-1.4483863850664167E-2</v>
      </c>
      <c r="G614">
        <v>607</v>
      </c>
      <c r="H614">
        <f t="shared" ca="1" si="27"/>
        <v>-8.1599417999165353E-4</v>
      </c>
    </row>
    <row r="615" spans="2:8" x14ac:dyDescent="0.3">
      <c r="B615" t="s">
        <v>515</v>
      </c>
      <c r="C615" s="79">
        <v>1316.09</v>
      </c>
      <c r="D615">
        <f t="shared" si="26"/>
        <v>0.36467745833347814</v>
      </c>
      <c r="E615">
        <v>-1.4580629493011078E-2</v>
      </c>
      <c r="G615">
        <v>608</v>
      </c>
      <c r="H615">
        <f t="shared" ca="1" si="27"/>
        <v>-1.1357198320160159E-2</v>
      </c>
    </row>
    <row r="616" spans="2:8" x14ac:dyDescent="0.3">
      <c r="B616" t="s">
        <v>904</v>
      </c>
      <c r="C616">
        <v>913.92</v>
      </c>
      <c r="D616">
        <f t="shared" si="26"/>
        <v>1.501499915667902E-2</v>
      </c>
      <c r="E616">
        <v>-1.4598799421152749E-2</v>
      </c>
      <c r="G616">
        <v>609</v>
      </c>
      <c r="H616">
        <f t="shared" ca="1" si="27"/>
        <v>5.381236224572478E-3</v>
      </c>
    </row>
    <row r="617" spans="2:8" x14ac:dyDescent="0.3">
      <c r="B617" t="s">
        <v>812</v>
      </c>
      <c r="C617">
        <v>900.3</v>
      </c>
      <c r="D617">
        <f t="shared" si="26"/>
        <v>0.28387578194148011</v>
      </c>
      <c r="E617">
        <v>-1.4916517416755499E-2</v>
      </c>
      <c r="G617">
        <v>610</v>
      </c>
      <c r="H617">
        <f t="shared" ca="1" si="27"/>
        <v>7.7597368248028308E-3</v>
      </c>
    </row>
    <row r="618" spans="2:8" x14ac:dyDescent="0.3">
      <c r="B618" t="s">
        <v>1022</v>
      </c>
      <c r="C618">
        <v>677.8</v>
      </c>
      <c r="D618">
        <f t="shared" si="26"/>
        <v>-0.63388633772785163</v>
      </c>
      <c r="E618">
        <v>-1.4994716605239183E-2</v>
      </c>
      <c r="G618">
        <v>611</v>
      </c>
      <c r="H618">
        <f t="shared" ca="1" si="27"/>
        <v>-1.467567940127938E-2</v>
      </c>
    </row>
    <row r="619" spans="2:8" x14ac:dyDescent="0.3">
      <c r="B619" t="s">
        <v>398</v>
      </c>
      <c r="C619" s="79">
        <v>1277.5999999999999</v>
      </c>
      <c r="D619">
        <f t="shared" si="26"/>
        <v>0.4686520070936287</v>
      </c>
      <c r="E619">
        <v>-1.52633213470464E-2</v>
      </c>
      <c r="G619">
        <v>612</v>
      </c>
      <c r="H619">
        <f t="shared" ca="1" si="27"/>
        <v>8.8106719774322037E-3</v>
      </c>
    </row>
    <row r="620" spans="2:8" x14ac:dyDescent="0.3">
      <c r="B620" t="s">
        <v>1046</v>
      </c>
      <c r="C620">
        <v>799.58</v>
      </c>
      <c r="D620">
        <f t="shared" si="26"/>
        <v>-0.49750535480469099</v>
      </c>
      <c r="E620">
        <v>-1.5684649618575949E-2</v>
      </c>
      <c r="G620">
        <v>613</v>
      </c>
      <c r="H620">
        <f t="shared" ca="1" si="27"/>
        <v>-1.7766073813123462E-3</v>
      </c>
    </row>
    <row r="621" spans="2:8" x14ac:dyDescent="0.3">
      <c r="B621" t="s">
        <v>404</v>
      </c>
      <c r="C621" s="79">
        <v>1315</v>
      </c>
      <c r="D621">
        <f t="shared" si="26"/>
        <v>0.30641151156190649</v>
      </c>
      <c r="E621">
        <v>-1.5693697679670597E-2</v>
      </c>
      <c r="G621">
        <v>614</v>
      </c>
      <c r="H621">
        <f t="shared" ca="1" si="27"/>
        <v>-1.8034558058312891E-3</v>
      </c>
    </row>
    <row r="622" spans="2:8" x14ac:dyDescent="0.3">
      <c r="B622" t="s">
        <v>647</v>
      </c>
      <c r="C622">
        <v>967.95</v>
      </c>
      <c r="D622">
        <f t="shared" si="26"/>
        <v>0.28774061713430482</v>
      </c>
      <c r="E622">
        <v>-1.598804232777953E-2</v>
      </c>
      <c r="G622">
        <v>615</v>
      </c>
      <c r="H622">
        <f t="shared" ca="1" si="27"/>
        <v>5.7497695206762895E-3</v>
      </c>
    </row>
    <row r="623" spans="2:8" x14ac:dyDescent="0.3">
      <c r="B623" t="s">
        <v>968</v>
      </c>
      <c r="C623">
        <v>725.92</v>
      </c>
      <c r="D623">
        <f t="shared" si="26"/>
        <v>-0.48311435337157393</v>
      </c>
      <c r="E623">
        <v>-1.6138088085504966E-2</v>
      </c>
      <c r="G623">
        <v>616</v>
      </c>
      <c r="H623">
        <f t="shared" ca="1" si="27"/>
        <v>4.027579353066698E-2</v>
      </c>
    </row>
    <row r="624" spans="2:8" x14ac:dyDescent="0.3">
      <c r="B624" t="s">
        <v>538</v>
      </c>
      <c r="C624" s="79">
        <v>1176.8</v>
      </c>
      <c r="D624">
        <f t="shared" si="26"/>
        <v>0.3193591374761478</v>
      </c>
      <c r="E624">
        <v>-1.6376054426903083E-2</v>
      </c>
      <c r="G624">
        <v>617</v>
      </c>
      <c r="H624">
        <f t="shared" ca="1" si="27"/>
        <v>-1.0228692893572346E-2</v>
      </c>
    </row>
    <row r="625" spans="2:8" x14ac:dyDescent="0.3">
      <c r="B625" t="s">
        <v>938</v>
      </c>
      <c r="C625">
        <v>855.08</v>
      </c>
      <c r="D625">
        <f t="shared" si="26"/>
        <v>-6.407208173589489E-2</v>
      </c>
      <c r="E625">
        <v>-1.6435739076890742E-2</v>
      </c>
      <c r="G625">
        <v>618</v>
      </c>
      <c r="H625">
        <f t="shared" ca="1" si="27"/>
        <v>1.1059559681337408E-2</v>
      </c>
    </row>
    <row r="626" spans="2:8" x14ac:dyDescent="0.3">
      <c r="B626" t="s">
        <v>795</v>
      </c>
      <c r="C626">
        <v>911.66</v>
      </c>
      <c r="D626">
        <f t="shared" si="26"/>
        <v>-0.35595950917188474</v>
      </c>
      <c r="E626">
        <v>-1.6535415802266043E-2</v>
      </c>
      <c r="G626">
        <v>619</v>
      </c>
      <c r="H626">
        <f t="shared" ca="1" si="27"/>
        <v>2.7390805633691343E-2</v>
      </c>
    </row>
    <row r="627" spans="2:8" x14ac:dyDescent="0.3">
      <c r="B627" t="s">
        <v>512</v>
      </c>
      <c r="C627" s="79">
        <v>1301.44</v>
      </c>
      <c r="D627">
        <f t="shared" si="26"/>
        <v>0.25496760324550194</v>
      </c>
      <c r="E627">
        <v>-1.6664829897003169E-2</v>
      </c>
      <c r="G627">
        <v>620</v>
      </c>
      <c r="H627">
        <f t="shared" ca="1" si="27"/>
        <v>2.445942636568595E-2</v>
      </c>
    </row>
    <row r="628" spans="2:8" x14ac:dyDescent="0.3">
      <c r="B628" t="s">
        <v>690</v>
      </c>
      <c r="C628" s="79">
        <v>1008.54</v>
      </c>
      <c r="D628">
        <f t="shared" si="26"/>
        <v>0.17588151389957327</v>
      </c>
      <c r="E628">
        <v>-1.6686309332342837E-2</v>
      </c>
      <c r="G628">
        <v>621</v>
      </c>
      <c r="H628">
        <f t="shared" ca="1" si="27"/>
        <v>1.4658284590590135E-2</v>
      </c>
    </row>
    <row r="629" spans="2:8" x14ac:dyDescent="0.3">
      <c r="B629" t="s">
        <v>943</v>
      </c>
      <c r="C629">
        <v>845.88</v>
      </c>
      <c r="D629">
        <f t="shared" si="26"/>
        <v>-0.35294406036719622</v>
      </c>
      <c r="E629">
        <v>-1.6787414775851401E-2</v>
      </c>
      <c r="G629">
        <v>622</v>
      </c>
      <c r="H629">
        <f t="shared" ca="1" si="27"/>
        <v>2.0182120469734006E-3</v>
      </c>
    </row>
    <row r="630" spans="2:8" x14ac:dyDescent="0.3">
      <c r="B630" t="s">
        <v>574</v>
      </c>
      <c r="C630" s="79">
        <v>1203.9000000000001</v>
      </c>
      <c r="D630">
        <f t="shared" si="26"/>
        <v>0.14093714881563904</v>
      </c>
      <c r="E630">
        <v>-1.6860139033304172E-2</v>
      </c>
      <c r="G630">
        <v>623</v>
      </c>
      <c r="H630">
        <f t="shared" ca="1" si="27"/>
        <v>-1.6782988626925743E-2</v>
      </c>
    </row>
    <row r="631" spans="2:8" x14ac:dyDescent="0.3">
      <c r="B631" t="s">
        <v>709</v>
      </c>
      <c r="C631" s="79">
        <v>1045.6400000000001</v>
      </c>
      <c r="D631">
        <f t="shared" si="26"/>
        <v>0.18918103405119283</v>
      </c>
      <c r="E631">
        <v>-1.6889201835212211E-2</v>
      </c>
      <c r="G631">
        <v>624</v>
      </c>
      <c r="H631">
        <f t="shared" ca="1" si="27"/>
        <v>-6.3402691178818934E-3</v>
      </c>
    </row>
    <row r="632" spans="2:8" x14ac:dyDescent="0.3">
      <c r="B632" t="s">
        <v>1058</v>
      </c>
      <c r="C632">
        <v>865.41</v>
      </c>
      <c r="D632">
        <f t="shared" si="26"/>
        <v>0.25061145795492756</v>
      </c>
      <c r="E632">
        <v>-1.6968493153310605E-2</v>
      </c>
      <c r="G632">
        <v>625</v>
      </c>
      <c r="H632">
        <f t="shared" ca="1" si="27"/>
        <v>-2.1434998198255471E-2</v>
      </c>
    </row>
    <row r="633" spans="2:8" x14ac:dyDescent="0.3">
      <c r="B633" t="s">
        <v>1020</v>
      </c>
      <c r="C633">
        <v>673.57</v>
      </c>
      <c r="D633">
        <f t="shared" si="26"/>
        <v>-0.27864077349889732</v>
      </c>
      <c r="E633">
        <v>-1.7031271822390191E-2</v>
      </c>
      <c r="G633">
        <v>626</v>
      </c>
      <c r="H633">
        <f t="shared" ca="1" si="27"/>
        <v>6.0874810560907515E-3</v>
      </c>
    </row>
    <row r="634" spans="2:8" x14ac:dyDescent="0.3">
      <c r="B634" t="s">
        <v>783</v>
      </c>
      <c r="C634">
        <v>890.01</v>
      </c>
      <c r="D634">
        <f t="shared" si="26"/>
        <v>-2.1552342772791337E-2</v>
      </c>
      <c r="E634">
        <v>-1.7099956039567332E-2</v>
      </c>
      <c r="G634">
        <v>627</v>
      </c>
      <c r="H634">
        <f t="shared" ca="1" si="27"/>
        <v>1.8570042226817923E-3</v>
      </c>
    </row>
    <row r="635" spans="2:8" x14ac:dyDescent="0.3">
      <c r="B635" t="s">
        <v>800</v>
      </c>
      <c r="C635">
        <v>909.4</v>
      </c>
      <c r="D635">
        <f t="shared" si="26"/>
        <v>-0.20590319829752857</v>
      </c>
      <c r="E635">
        <v>-1.7268121927189989E-2</v>
      </c>
      <c r="G635">
        <v>628</v>
      </c>
      <c r="H635">
        <f t="shared" ca="1" si="27"/>
        <v>-5.1322886690112072E-3</v>
      </c>
    </row>
    <row r="636" spans="2:8" x14ac:dyDescent="0.3">
      <c r="B636" t="s">
        <v>585</v>
      </c>
      <c r="C636" s="79">
        <v>1117.32</v>
      </c>
      <c r="D636">
        <f t="shared" si="26"/>
        <v>-7.5123280131940931E-2</v>
      </c>
      <c r="E636">
        <v>-1.7328319237709038E-2</v>
      </c>
      <c r="G636">
        <v>629</v>
      </c>
      <c r="H636">
        <f t="shared" ca="1" si="27"/>
        <v>1.7374297656616269E-2</v>
      </c>
    </row>
    <row r="637" spans="2:8" x14ac:dyDescent="0.3">
      <c r="B637" t="s">
        <v>577</v>
      </c>
      <c r="C637" s="79">
        <v>1204.49</v>
      </c>
      <c r="D637">
        <f t="shared" si="26"/>
        <v>1.6220643555088367E-2</v>
      </c>
      <c r="E637">
        <v>-1.7333481989106204E-2</v>
      </c>
      <c r="G637">
        <v>630</v>
      </c>
      <c r="H637">
        <f t="shared" ca="1" si="27"/>
        <v>-8.2961544093400705E-3</v>
      </c>
    </row>
    <row r="638" spans="2:8" x14ac:dyDescent="0.3">
      <c r="B638" t="s">
        <v>572</v>
      </c>
      <c r="C638" s="79">
        <v>1185.1099999999999</v>
      </c>
      <c r="D638">
        <f t="shared" si="26"/>
        <v>-0.16487079543874025</v>
      </c>
      <c r="E638">
        <v>-1.7365700850084136E-2</v>
      </c>
      <c r="G638">
        <v>631</v>
      </c>
      <c r="H638">
        <f t="shared" ca="1" si="27"/>
        <v>4.5587558835559344E-3</v>
      </c>
    </row>
    <row r="639" spans="2:8" x14ac:dyDescent="0.3">
      <c r="B639" t="s">
        <v>496</v>
      </c>
      <c r="C639" s="79">
        <v>1397.53</v>
      </c>
      <c r="D639">
        <f t="shared" si="26"/>
        <v>0.30951634289833069</v>
      </c>
      <c r="E639">
        <v>-1.7456386696250936E-2</v>
      </c>
      <c r="G639">
        <v>632</v>
      </c>
      <c r="H639">
        <f t="shared" ca="1" si="27"/>
        <v>-5.9198079136496213E-3</v>
      </c>
    </row>
    <row r="640" spans="2:8" x14ac:dyDescent="0.3">
      <c r="B640" t="s">
        <v>705</v>
      </c>
      <c r="C640" s="79">
        <v>1025.51</v>
      </c>
      <c r="D640">
        <f t="shared" si="26"/>
        <v>9.9816617963403062E-2</v>
      </c>
      <c r="E640">
        <v>-1.7457477397455314E-2</v>
      </c>
      <c r="G640">
        <v>633</v>
      </c>
      <c r="H640">
        <f t="shared" ca="1" si="27"/>
        <v>3.5348164060612086E-2</v>
      </c>
    </row>
    <row r="641" spans="2:8" x14ac:dyDescent="0.3">
      <c r="B641" t="s">
        <v>775</v>
      </c>
      <c r="C641">
        <v>928.09</v>
      </c>
      <c r="D641">
        <f t="shared" si="26"/>
        <v>5.7214824767584299E-2</v>
      </c>
      <c r="E641">
        <v>-1.7717534966653143E-2</v>
      </c>
      <c r="G641">
        <v>634</v>
      </c>
      <c r="H641">
        <f t="shared" ca="1" si="27"/>
        <v>-6.9512585709905934E-3</v>
      </c>
    </row>
    <row r="642" spans="2:8" x14ac:dyDescent="0.3">
      <c r="B642" t="s">
        <v>897</v>
      </c>
      <c r="C642">
        <v>876.48</v>
      </c>
      <c r="D642">
        <f t="shared" si="26"/>
        <v>0.17233598207355477</v>
      </c>
      <c r="E642">
        <v>-1.7810060801966319E-2</v>
      </c>
      <c r="G642">
        <v>635</v>
      </c>
      <c r="H642">
        <f t="shared" ca="1" si="27"/>
        <v>-1.5434992699025324E-2</v>
      </c>
    </row>
    <row r="643" spans="2:8" x14ac:dyDescent="0.3">
      <c r="B643" t="s">
        <v>969</v>
      </c>
      <c r="C643">
        <v>737.73</v>
      </c>
      <c r="D643">
        <f t="shared" si="26"/>
        <v>-0.42571335950666911</v>
      </c>
      <c r="E643">
        <v>-1.7854378566828366E-2</v>
      </c>
      <c r="G643">
        <v>636</v>
      </c>
      <c r="H643">
        <f t="shared" ca="1" si="27"/>
        <v>-9.7202158292648954E-3</v>
      </c>
    </row>
    <row r="644" spans="2:8" x14ac:dyDescent="0.3">
      <c r="B644" t="s">
        <v>592</v>
      </c>
      <c r="C644" s="79">
        <v>1129.23</v>
      </c>
      <c r="D644">
        <f t="shared" si="26"/>
        <v>0.11303224403446985</v>
      </c>
      <c r="E644">
        <v>-1.8008542912205494E-2</v>
      </c>
      <c r="G644">
        <v>637</v>
      </c>
      <c r="H644">
        <f t="shared" ca="1" si="27"/>
        <v>1.20537305824923E-2</v>
      </c>
    </row>
    <row r="645" spans="2:8" x14ac:dyDescent="0.3">
      <c r="B645" t="s">
        <v>615</v>
      </c>
      <c r="C645" s="79">
        <v>1008.54</v>
      </c>
      <c r="D645">
        <f t="shared" si="26"/>
        <v>0.11380870213664437</v>
      </c>
      <c r="E645">
        <v>-1.8118716068886383E-2</v>
      </c>
      <c r="G645">
        <v>638</v>
      </c>
      <c r="H645">
        <f t="shared" ca="1" si="27"/>
        <v>1.2112063969611377E-2</v>
      </c>
    </row>
    <row r="646" spans="2:8" x14ac:dyDescent="0.3">
      <c r="B646" t="s">
        <v>1069</v>
      </c>
      <c r="C646">
        <v>900.05</v>
      </c>
      <c r="D646">
        <f t="shared" si="26"/>
        <v>4.4774018811781044E-2</v>
      </c>
      <c r="E646">
        <v>-1.8199034731545171E-2</v>
      </c>
      <c r="G646">
        <v>639</v>
      </c>
      <c r="H646">
        <f t="shared" ca="1" si="27"/>
        <v>-1.0101103991805685E-2</v>
      </c>
    </row>
    <row r="647" spans="2:8" x14ac:dyDescent="0.3">
      <c r="B647" t="s">
        <v>835</v>
      </c>
      <c r="C647">
        <v>860.64</v>
      </c>
      <c r="D647">
        <f t="shared" si="26"/>
        <v>-0.10825648560336591</v>
      </c>
      <c r="E647">
        <v>-1.8237587549780901E-2</v>
      </c>
      <c r="G647">
        <v>640</v>
      </c>
      <c r="H647">
        <f t="shared" ca="1" si="27"/>
        <v>-4.3447593051763799E-3</v>
      </c>
    </row>
    <row r="648" spans="2:8" x14ac:dyDescent="0.3">
      <c r="B648" t="s">
        <v>639</v>
      </c>
      <c r="C648">
        <v>959.04</v>
      </c>
      <c r="D648">
        <f t="shared" ref="D648:D711" si="28">LN(C648/C649)</f>
        <v>-3.7463006076385807E-2</v>
      </c>
      <c r="E648">
        <v>-1.8256996831130287E-2</v>
      </c>
      <c r="G648">
        <v>641</v>
      </c>
      <c r="H648">
        <f t="shared" ca="1" si="27"/>
        <v>7.621537738456469E-3</v>
      </c>
    </row>
    <row r="649" spans="2:8" x14ac:dyDescent="0.3">
      <c r="B649" t="s">
        <v>696</v>
      </c>
      <c r="C649">
        <v>995.65</v>
      </c>
      <c r="D649">
        <f t="shared" si="28"/>
        <v>-0.36419941885934171</v>
      </c>
      <c r="E649">
        <v>-1.8311702395457017E-2</v>
      </c>
      <c r="G649">
        <v>642</v>
      </c>
      <c r="H649">
        <f t="shared" ref="H649:H712" ca="1" si="29">_xlfn.NORM.INV(RAND(),$N$10,$N$11)</f>
        <v>4.3699322418230858E-3</v>
      </c>
    </row>
    <row r="650" spans="2:8" x14ac:dyDescent="0.3">
      <c r="B650" t="s">
        <v>426</v>
      </c>
      <c r="C650" s="79">
        <v>1433.1</v>
      </c>
      <c r="D650">
        <f t="shared" si="28"/>
        <v>0.20827831327335181</v>
      </c>
      <c r="E650">
        <v>-1.9041612043253563E-2</v>
      </c>
      <c r="G650">
        <v>643</v>
      </c>
      <c r="H650">
        <f t="shared" ca="1" si="29"/>
        <v>6.0281917616268523E-3</v>
      </c>
    </row>
    <row r="651" spans="2:8" x14ac:dyDescent="0.3">
      <c r="B651" t="s">
        <v>531</v>
      </c>
      <c r="C651" s="79">
        <v>1163.6500000000001</v>
      </c>
      <c r="D651">
        <f t="shared" si="28"/>
        <v>6.6164041296308457E-2</v>
      </c>
      <c r="E651">
        <v>-1.9184873296845793E-2</v>
      </c>
      <c r="G651">
        <v>644</v>
      </c>
      <c r="H651">
        <f t="shared" ca="1" si="29"/>
        <v>-1.473185464167894E-2</v>
      </c>
    </row>
    <row r="652" spans="2:8" x14ac:dyDescent="0.3">
      <c r="B652" t="s">
        <v>367</v>
      </c>
      <c r="C652" s="79">
        <v>1089.1500000000001</v>
      </c>
      <c r="D652">
        <f t="shared" si="28"/>
        <v>6.6507128832197879E-2</v>
      </c>
      <c r="E652">
        <v>-1.9457812590152345E-2</v>
      </c>
      <c r="G652">
        <v>645</v>
      </c>
      <c r="H652">
        <f t="shared" ca="1" si="29"/>
        <v>-1.3736567029002084E-2</v>
      </c>
    </row>
    <row r="653" spans="2:8" x14ac:dyDescent="0.3">
      <c r="B653" t="s">
        <v>702</v>
      </c>
      <c r="C653" s="79">
        <v>1019.07</v>
      </c>
      <c r="D653">
        <f t="shared" si="28"/>
        <v>-0.24704435888906345</v>
      </c>
      <c r="E653">
        <v>-1.9599230100493154E-2</v>
      </c>
      <c r="G653">
        <v>646</v>
      </c>
      <c r="H653">
        <f t="shared" ca="1" si="29"/>
        <v>-6.1744806491381178E-3</v>
      </c>
    </row>
    <row r="654" spans="2:8" x14ac:dyDescent="0.3">
      <c r="B654" t="s">
        <v>413</v>
      </c>
      <c r="C654" s="79">
        <v>1304.6500000000001</v>
      </c>
      <c r="D654">
        <f t="shared" si="28"/>
        <v>7.2434300044816644E-2</v>
      </c>
      <c r="E654">
        <v>-1.9620005866512885E-2</v>
      </c>
      <c r="G654">
        <v>647</v>
      </c>
      <c r="H654">
        <f t="shared" ca="1" si="29"/>
        <v>-8.7607630414082999E-3</v>
      </c>
    </row>
    <row r="655" spans="2:8" x14ac:dyDescent="0.3">
      <c r="B655" t="s">
        <v>540</v>
      </c>
      <c r="C655" s="79">
        <v>1213.49</v>
      </c>
      <c r="D655">
        <f t="shared" si="28"/>
        <v>-0.11787367918429158</v>
      </c>
      <c r="E655">
        <v>-1.9843183615784875E-2</v>
      </c>
      <c r="G655">
        <v>648</v>
      </c>
      <c r="H655">
        <f t="shared" ca="1" si="29"/>
        <v>1.0686264035203355E-5</v>
      </c>
    </row>
    <row r="656" spans="2:8" x14ac:dyDescent="0.3">
      <c r="B656" t="s">
        <v>479</v>
      </c>
      <c r="C656" s="79">
        <v>1365.3</v>
      </c>
      <c r="D656">
        <f t="shared" si="28"/>
        <v>0.61201992355220847</v>
      </c>
      <c r="E656">
        <v>-1.9977823027596063E-2</v>
      </c>
      <c r="G656">
        <v>649</v>
      </c>
      <c r="H656">
        <f t="shared" ca="1" si="29"/>
        <v>8.0955547246105552E-3</v>
      </c>
    </row>
    <row r="657" spans="2:8" x14ac:dyDescent="0.3">
      <c r="B657" t="s">
        <v>1036</v>
      </c>
      <c r="C657">
        <v>740.34</v>
      </c>
      <c r="D657">
        <f t="shared" si="28"/>
        <v>-0.15307337437650384</v>
      </c>
      <c r="E657">
        <v>-2.0071677851236546E-2</v>
      </c>
      <c r="G657">
        <v>650</v>
      </c>
      <c r="H657">
        <f t="shared" ca="1" si="29"/>
        <v>1.963990827224129E-2</v>
      </c>
    </row>
    <row r="658" spans="2:8" x14ac:dyDescent="0.3">
      <c r="B658" t="s">
        <v>843</v>
      </c>
      <c r="C658">
        <v>862.8</v>
      </c>
      <c r="D658">
        <f t="shared" si="28"/>
        <v>-0.23159176997071015</v>
      </c>
      <c r="E658">
        <v>-2.0159359136461451E-2</v>
      </c>
      <c r="G658">
        <v>651</v>
      </c>
      <c r="H658">
        <f t="shared" ca="1" si="29"/>
        <v>-1.1902056039850499E-2</v>
      </c>
    </row>
    <row r="659" spans="2:8" x14ac:dyDescent="0.3">
      <c r="B659" t="s">
        <v>587</v>
      </c>
      <c r="C659" s="79">
        <v>1087.6500000000001</v>
      </c>
      <c r="D659">
        <f t="shared" si="28"/>
        <v>0.19805073760903186</v>
      </c>
      <c r="E659">
        <v>-2.0385653851215713E-2</v>
      </c>
      <c r="G659">
        <v>652</v>
      </c>
      <c r="H659">
        <f t="shared" ca="1" si="29"/>
        <v>-5.7122281607721046E-3</v>
      </c>
    </row>
    <row r="660" spans="2:8" x14ac:dyDescent="0.3">
      <c r="B660" t="s">
        <v>898</v>
      </c>
      <c r="C660">
        <v>892.23</v>
      </c>
      <c r="D660">
        <f t="shared" si="28"/>
        <v>-0.28470194615855043</v>
      </c>
      <c r="E660">
        <v>-2.046762632714208E-2</v>
      </c>
      <c r="G660">
        <v>653</v>
      </c>
      <c r="H660">
        <f t="shared" ca="1" si="29"/>
        <v>4.8601841255085185E-3</v>
      </c>
    </row>
    <row r="661" spans="2:8" x14ac:dyDescent="0.3">
      <c r="B661" t="s">
        <v>543</v>
      </c>
      <c r="C661" s="79">
        <v>1186.0999999999999</v>
      </c>
      <c r="D661">
        <f t="shared" si="28"/>
        <v>5.7886719975029019E-2</v>
      </c>
      <c r="E661">
        <v>-2.0544609910981407E-2</v>
      </c>
      <c r="G661">
        <v>654</v>
      </c>
      <c r="H661">
        <f t="shared" ca="1" si="29"/>
        <v>-8.2577328442925164E-3</v>
      </c>
    </row>
    <row r="662" spans="2:8" x14ac:dyDescent="0.3">
      <c r="B662" t="s">
        <v>589</v>
      </c>
      <c r="C662" s="79">
        <v>1119.3900000000001</v>
      </c>
      <c r="D662">
        <f t="shared" si="28"/>
        <v>0.11694252922692287</v>
      </c>
      <c r="E662">
        <v>-2.0548728793060179E-2</v>
      </c>
      <c r="G662">
        <v>655</v>
      </c>
      <c r="H662">
        <f t="shared" ca="1" si="29"/>
        <v>2.7800934119413298E-2</v>
      </c>
    </row>
    <row r="663" spans="2:8" x14ac:dyDescent="0.3">
      <c r="B663" t="s">
        <v>672</v>
      </c>
      <c r="C663">
        <v>995.85</v>
      </c>
      <c r="D663">
        <f t="shared" si="28"/>
        <v>-2.8968314057433241E-2</v>
      </c>
      <c r="E663">
        <v>-2.0868248711806238E-2</v>
      </c>
      <c r="G663">
        <v>656</v>
      </c>
      <c r="H663">
        <f t="shared" ca="1" si="29"/>
        <v>-2.9788213821315912E-2</v>
      </c>
    </row>
    <row r="664" spans="2:8" x14ac:dyDescent="0.3">
      <c r="B664" t="s">
        <v>715</v>
      </c>
      <c r="C664" s="79">
        <v>1025.1199999999999</v>
      </c>
      <c r="D664">
        <f t="shared" si="28"/>
        <v>2.665137378794534E-2</v>
      </c>
      <c r="E664">
        <v>-2.0947318429154E-2</v>
      </c>
      <c r="G664">
        <v>657</v>
      </c>
      <c r="H664">
        <f t="shared" ca="1" si="29"/>
        <v>-1.6298840918530972E-2</v>
      </c>
    </row>
    <row r="665" spans="2:8" x14ac:dyDescent="0.3">
      <c r="B665" t="s">
        <v>699</v>
      </c>
      <c r="C665">
        <v>998.16</v>
      </c>
      <c r="D665">
        <f t="shared" si="28"/>
        <v>-0.23984233109674633</v>
      </c>
      <c r="E665">
        <v>-2.1212856558627594E-2</v>
      </c>
      <c r="G665">
        <v>658</v>
      </c>
      <c r="H665">
        <f t="shared" ca="1" si="29"/>
        <v>1.6560032981580111E-2</v>
      </c>
    </row>
    <row r="666" spans="2:8" x14ac:dyDescent="0.3">
      <c r="B666" t="s">
        <v>501</v>
      </c>
      <c r="C666" s="79">
        <v>1268.71</v>
      </c>
      <c r="D666">
        <f t="shared" si="28"/>
        <v>0.21920832303823787</v>
      </c>
      <c r="E666">
        <v>-2.1289677732321936E-2</v>
      </c>
      <c r="G666">
        <v>659</v>
      </c>
      <c r="H666">
        <f t="shared" ca="1" si="29"/>
        <v>-8.1582271243005842E-4</v>
      </c>
    </row>
    <row r="667" spans="2:8" x14ac:dyDescent="0.3">
      <c r="B667" t="s">
        <v>724</v>
      </c>
      <c r="C667" s="79">
        <v>1018.97</v>
      </c>
      <c r="D667">
        <f t="shared" si="28"/>
        <v>-0.1622450861040568</v>
      </c>
      <c r="E667">
        <v>-2.1351051123712387E-2</v>
      </c>
      <c r="G667">
        <v>660</v>
      </c>
      <c r="H667">
        <f t="shared" ca="1" si="29"/>
        <v>-8.8759153474757637E-4</v>
      </c>
    </row>
    <row r="668" spans="2:8" x14ac:dyDescent="0.3">
      <c r="B668" t="s">
        <v>552</v>
      </c>
      <c r="C668" s="79">
        <v>1198.46</v>
      </c>
      <c r="D668">
        <f t="shared" si="28"/>
        <v>0.34783606202386247</v>
      </c>
      <c r="E668">
        <v>-2.1625855168675202E-2</v>
      </c>
      <c r="G668">
        <v>661</v>
      </c>
      <c r="H668">
        <f t="shared" ca="1" si="29"/>
        <v>-8.3388198325906847E-3</v>
      </c>
    </row>
    <row r="669" spans="2:8" x14ac:dyDescent="0.3">
      <c r="B669" t="s">
        <v>1049</v>
      </c>
      <c r="C669">
        <v>846.37</v>
      </c>
      <c r="D669">
        <f t="shared" si="28"/>
        <v>-1.2994589505071472E-2</v>
      </c>
      <c r="E669">
        <v>-2.1680400864225478E-2</v>
      </c>
      <c r="G669">
        <v>662</v>
      </c>
      <c r="H669">
        <f t="shared" ca="1" si="29"/>
        <v>1.5440933538568869E-2</v>
      </c>
    </row>
    <row r="670" spans="2:8" x14ac:dyDescent="0.3">
      <c r="B670" t="s">
        <v>896</v>
      </c>
      <c r="C670">
        <v>857.44</v>
      </c>
      <c r="D670">
        <f t="shared" si="28"/>
        <v>0.10461697593422535</v>
      </c>
      <c r="E670">
        <v>-2.1962680328173178E-2</v>
      </c>
      <c r="G670">
        <v>663</v>
      </c>
      <c r="H670">
        <f t="shared" ca="1" si="29"/>
        <v>4.5935561316265928E-3</v>
      </c>
    </row>
    <row r="671" spans="2:8" x14ac:dyDescent="0.3">
      <c r="B671" t="s">
        <v>997</v>
      </c>
      <c r="C671">
        <v>772.27</v>
      </c>
      <c r="D671">
        <f t="shared" si="28"/>
        <v>-2.7837388757917903E-2</v>
      </c>
      <c r="E671">
        <v>-2.2052937558705875E-2</v>
      </c>
      <c r="G671">
        <v>664</v>
      </c>
      <c r="H671">
        <f t="shared" ca="1" si="29"/>
        <v>-3.6632562287143719E-2</v>
      </c>
    </row>
    <row r="672" spans="2:8" x14ac:dyDescent="0.3">
      <c r="B672" t="s">
        <v>1042</v>
      </c>
      <c r="C672">
        <v>794.07</v>
      </c>
      <c r="D672">
        <f t="shared" si="28"/>
        <v>-0.33494367573614697</v>
      </c>
      <c r="E672">
        <v>-2.2427238905942885E-2</v>
      </c>
      <c r="G672">
        <v>665</v>
      </c>
      <c r="H672">
        <f t="shared" ca="1" si="29"/>
        <v>2.5237440295431242E-2</v>
      </c>
    </row>
    <row r="673" spans="2:8" x14ac:dyDescent="0.3">
      <c r="B673" t="s">
        <v>370</v>
      </c>
      <c r="C673" s="79">
        <v>1110</v>
      </c>
      <c r="D673">
        <f t="shared" si="28"/>
        <v>0.44134438306221213</v>
      </c>
      <c r="E673">
        <v>-2.2448831539453113E-2</v>
      </c>
      <c r="G673">
        <v>666</v>
      </c>
      <c r="H673">
        <f t="shared" ca="1" si="29"/>
        <v>-2.4606538310095998E-3</v>
      </c>
    </row>
    <row r="674" spans="2:8" x14ac:dyDescent="0.3">
      <c r="B674" t="s">
        <v>964</v>
      </c>
      <c r="C674">
        <v>713.92</v>
      </c>
      <c r="D674">
        <f t="shared" si="28"/>
        <v>-0.20855991248159148</v>
      </c>
      <c r="E674">
        <v>-2.254755797736889E-2</v>
      </c>
      <c r="G674">
        <v>667</v>
      </c>
      <c r="H674">
        <f t="shared" ca="1" si="29"/>
        <v>2.5388327456742635E-2</v>
      </c>
    </row>
    <row r="675" spans="2:8" x14ac:dyDescent="0.3">
      <c r="B675" t="s">
        <v>911</v>
      </c>
      <c r="C675">
        <v>879.48</v>
      </c>
      <c r="D675">
        <f t="shared" si="28"/>
        <v>-0.43210782143509874</v>
      </c>
      <c r="E675">
        <v>-2.2741665451594714E-2</v>
      </c>
      <c r="G675">
        <v>668</v>
      </c>
      <c r="H675">
        <f t="shared" ca="1" si="29"/>
        <v>7.574648685710463E-3</v>
      </c>
    </row>
    <row r="676" spans="2:8" x14ac:dyDescent="0.3">
      <c r="B676" t="s">
        <v>487</v>
      </c>
      <c r="C676" s="79">
        <v>1354.84</v>
      </c>
      <c r="D676">
        <f t="shared" si="28"/>
        <v>4.4393052229023795E-2</v>
      </c>
      <c r="E676">
        <v>-2.2760179376385511E-2</v>
      </c>
      <c r="G676">
        <v>669</v>
      </c>
      <c r="H676">
        <f t="shared" ca="1" si="29"/>
        <v>-4.1221852876352508E-2</v>
      </c>
    </row>
    <row r="677" spans="2:8" x14ac:dyDescent="0.3">
      <c r="B677" t="s">
        <v>502</v>
      </c>
      <c r="C677" s="79">
        <v>1296.01</v>
      </c>
      <c r="D677">
        <f t="shared" si="28"/>
        <v>-0.11653998902877657</v>
      </c>
      <c r="E677">
        <v>-2.276344924323245E-2</v>
      </c>
      <c r="G677">
        <v>670</v>
      </c>
      <c r="H677">
        <f t="shared" ca="1" si="29"/>
        <v>-9.3628303947971628E-3</v>
      </c>
    </row>
    <row r="678" spans="2:8" x14ac:dyDescent="0.3">
      <c r="B678" t="s">
        <v>428</v>
      </c>
      <c r="C678" s="79">
        <v>1456.2</v>
      </c>
      <c r="D678">
        <f t="shared" si="28"/>
        <v>0.39950843033305078</v>
      </c>
      <c r="E678">
        <v>-2.2811579781565217E-2</v>
      </c>
      <c r="G678">
        <v>671</v>
      </c>
      <c r="H678">
        <f t="shared" ca="1" si="29"/>
        <v>-1.1223241424915039E-2</v>
      </c>
    </row>
    <row r="679" spans="2:8" x14ac:dyDescent="0.3">
      <c r="B679" t="s">
        <v>633</v>
      </c>
      <c r="C679">
        <v>976.6</v>
      </c>
      <c r="D679">
        <f t="shared" si="28"/>
        <v>0.11209577782272551</v>
      </c>
      <c r="E679">
        <v>-2.2817757342421651E-2</v>
      </c>
      <c r="G679">
        <v>672</v>
      </c>
      <c r="H679">
        <f t="shared" ca="1" si="29"/>
        <v>1.7832002225921795E-2</v>
      </c>
    </row>
    <row r="680" spans="2:8" x14ac:dyDescent="0.3">
      <c r="B680" t="s">
        <v>920</v>
      </c>
      <c r="C680">
        <v>873.04</v>
      </c>
      <c r="D680">
        <f t="shared" si="28"/>
        <v>-7.1747253012453605E-2</v>
      </c>
      <c r="E680">
        <v>-2.2840341799348012E-2</v>
      </c>
      <c r="G680">
        <v>673</v>
      </c>
      <c r="H680">
        <f t="shared" ca="1" si="29"/>
        <v>2.1678043556314544E-2</v>
      </c>
    </row>
    <row r="681" spans="2:8" x14ac:dyDescent="0.3">
      <c r="B681" t="s">
        <v>752</v>
      </c>
      <c r="C681">
        <v>937.98</v>
      </c>
      <c r="D681">
        <f t="shared" si="28"/>
        <v>-0.3919985775746756</v>
      </c>
      <c r="E681">
        <v>-2.3746177662825749E-2</v>
      </c>
      <c r="G681">
        <v>674</v>
      </c>
      <c r="H681">
        <f t="shared" ca="1" si="29"/>
        <v>2.4584368939824092E-2</v>
      </c>
    </row>
    <row r="682" spans="2:8" x14ac:dyDescent="0.3">
      <c r="B682" t="s">
        <v>419</v>
      </c>
      <c r="C682" s="79">
        <v>1388.15</v>
      </c>
      <c r="D682">
        <f t="shared" si="28"/>
        <v>0.12830173028125882</v>
      </c>
      <c r="E682">
        <v>-2.3986915175196698E-2</v>
      </c>
      <c r="G682">
        <v>675</v>
      </c>
      <c r="H682">
        <f t="shared" ca="1" si="29"/>
        <v>-1.0375959976698006E-2</v>
      </c>
    </row>
    <row r="683" spans="2:8" x14ac:dyDescent="0.3">
      <c r="B683" t="s">
        <v>391</v>
      </c>
      <c r="C683" s="79">
        <v>1221</v>
      </c>
      <c r="D683">
        <f t="shared" si="28"/>
        <v>0.45598280783429124</v>
      </c>
      <c r="E683">
        <v>-2.399322103249325E-2</v>
      </c>
      <c r="G683">
        <v>676</v>
      </c>
      <c r="H683">
        <f t="shared" ca="1" si="29"/>
        <v>-1.510208619476909E-2</v>
      </c>
    </row>
    <row r="684" spans="2:8" x14ac:dyDescent="0.3">
      <c r="B684" t="s">
        <v>1007</v>
      </c>
      <c r="C684">
        <v>773.9</v>
      </c>
      <c r="D684">
        <f t="shared" si="28"/>
        <v>-0.63383081876293756</v>
      </c>
      <c r="E684">
        <v>-2.4607515729606365E-2</v>
      </c>
      <c r="G684">
        <v>677</v>
      </c>
      <c r="H684">
        <f t="shared" ca="1" si="29"/>
        <v>-1.8031963131327138E-2</v>
      </c>
    </row>
    <row r="685" spans="2:8" x14ac:dyDescent="0.3">
      <c r="B685" t="s">
        <v>453</v>
      </c>
      <c r="C685" s="79">
        <v>1458.66</v>
      </c>
      <c r="D685">
        <f t="shared" si="28"/>
        <v>0.20677171595183108</v>
      </c>
      <c r="E685">
        <v>-2.5029316701693713E-2</v>
      </c>
      <c r="G685">
        <v>678</v>
      </c>
      <c r="H685">
        <f t="shared" ca="1" si="29"/>
        <v>9.4891612213401835E-3</v>
      </c>
    </row>
    <row r="686" spans="2:8" x14ac:dyDescent="0.3">
      <c r="B686" t="s">
        <v>532</v>
      </c>
      <c r="C686" s="79">
        <v>1186.19</v>
      </c>
      <c r="D686">
        <f t="shared" si="28"/>
        <v>0.47086558266084683</v>
      </c>
      <c r="E686">
        <v>-2.53135927990851E-2</v>
      </c>
      <c r="G686">
        <v>679</v>
      </c>
      <c r="H686">
        <f t="shared" ca="1" si="29"/>
        <v>-8.5135299780420021E-3</v>
      </c>
    </row>
    <row r="687" spans="2:8" x14ac:dyDescent="0.3">
      <c r="B687" t="s">
        <v>1012</v>
      </c>
      <c r="C687">
        <v>740.73</v>
      </c>
      <c r="D687">
        <f t="shared" si="28"/>
        <v>-0.16675911381017147</v>
      </c>
      <c r="E687">
        <v>-2.5326920574903305E-2</v>
      </c>
      <c r="G687">
        <v>680</v>
      </c>
      <c r="H687">
        <f t="shared" ca="1" si="29"/>
        <v>5.2429361652246475E-3</v>
      </c>
    </row>
    <row r="688" spans="2:8" x14ac:dyDescent="0.3">
      <c r="B688" t="s">
        <v>1051</v>
      </c>
      <c r="C688">
        <v>875.15</v>
      </c>
      <c r="D688">
        <f t="shared" si="28"/>
        <v>0.19320153176740598</v>
      </c>
      <c r="E688">
        <v>-2.5808175079717652E-2</v>
      </c>
      <c r="G688">
        <v>681</v>
      </c>
      <c r="H688">
        <f t="shared" ca="1" si="29"/>
        <v>-2.8303028104280452E-3</v>
      </c>
    </row>
    <row r="689" spans="2:8" x14ac:dyDescent="0.3">
      <c r="B689" t="s">
        <v>1035</v>
      </c>
      <c r="C689">
        <v>721.4</v>
      </c>
      <c r="D689">
        <f t="shared" si="28"/>
        <v>-0.68769151591166955</v>
      </c>
      <c r="E689">
        <v>-2.5915771669058903E-2</v>
      </c>
      <c r="G689">
        <v>682</v>
      </c>
      <c r="H689">
        <f t="shared" ca="1" si="29"/>
        <v>1.0861935126372735E-2</v>
      </c>
    </row>
    <row r="690" spans="2:8" x14ac:dyDescent="0.3">
      <c r="B690" t="s">
        <v>460</v>
      </c>
      <c r="C690" s="79">
        <v>1434.95</v>
      </c>
      <c r="D690">
        <f t="shared" si="28"/>
        <v>0.41429874153903701</v>
      </c>
      <c r="E690">
        <v>-2.6042135302868114E-2</v>
      </c>
      <c r="G690">
        <v>683</v>
      </c>
      <c r="H690">
        <f t="shared" ca="1" si="29"/>
        <v>1.0480643123602111E-2</v>
      </c>
    </row>
    <row r="691" spans="2:8" x14ac:dyDescent="0.3">
      <c r="B691" t="s">
        <v>754</v>
      </c>
      <c r="C691">
        <v>948.22</v>
      </c>
      <c r="D691">
        <f t="shared" si="28"/>
        <v>0.21768244050024266</v>
      </c>
      <c r="E691">
        <v>-2.6218827773467443E-2</v>
      </c>
      <c r="G691">
        <v>684</v>
      </c>
      <c r="H691">
        <f t="shared" ca="1" si="29"/>
        <v>-5.78927131176399E-3</v>
      </c>
    </row>
    <row r="692" spans="2:8" x14ac:dyDescent="0.3">
      <c r="B692" t="s">
        <v>1005</v>
      </c>
      <c r="C692">
        <v>762.73</v>
      </c>
      <c r="D692">
        <f t="shared" si="28"/>
        <v>-0.18374524972643039</v>
      </c>
      <c r="E692">
        <v>-2.728805776140197E-2</v>
      </c>
      <c r="G692">
        <v>685</v>
      </c>
      <c r="H692">
        <f t="shared" ca="1" si="29"/>
        <v>-5.2241426069028095E-3</v>
      </c>
    </row>
    <row r="693" spans="2:8" x14ac:dyDescent="0.3">
      <c r="B693" t="s">
        <v>1070</v>
      </c>
      <c r="C693">
        <v>916.58</v>
      </c>
      <c r="D693">
        <f t="shared" si="28"/>
        <v>-0.28479217333506973</v>
      </c>
      <c r="E693">
        <v>-2.763189291733684E-2</v>
      </c>
      <c r="G693">
        <v>686</v>
      </c>
      <c r="H693">
        <f t="shared" ca="1" si="29"/>
        <v>-1.9539940838162184E-3</v>
      </c>
    </row>
    <row r="694" spans="2:8" x14ac:dyDescent="0.3">
      <c r="B694" t="s">
        <v>560</v>
      </c>
      <c r="C694" s="79">
        <v>1218.58</v>
      </c>
      <c r="D694">
        <f t="shared" si="28"/>
        <v>0.37007727453823763</v>
      </c>
      <c r="E694">
        <v>-2.7814524466696744E-2</v>
      </c>
      <c r="G694">
        <v>687</v>
      </c>
      <c r="H694">
        <f t="shared" ca="1" si="29"/>
        <v>1.4288286869491641E-2</v>
      </c>
    </row>
    <row r="695" spans="2:8" x14ac:dyDescent="0.3">
      <c r="B695" t="s">
        <v>950</v>
      </c>
      <c r="C695">
        <v>841.65</v>
      </c>
      <c r="D695">
        <f t="shared" si="28"/>
        <v>3.0447571106818956E-2</v>
      </c>
      <c r="E695">
        <v>-2.830123408763862E-2</v>
      </c>
      <c r="G695">
        <v>688</v>
      </c>
      <c r="H695">
        <f t="shared" ca="1" si="29"/>
        <v>-2.9141514643331669E-2</v>
      </c>
    </row>
    <row r="696" spans="2:8" x14ac:dyDescent="0.3">
      <c r="B696" t="s">
        <v>888</v>
      </c>
      <c r="C696">
        <v>816.41</v>
      </c>
      <c r="D696">
        <f t="shared" si="28"/>
        <v>-1.7327962716506447E-2</v>
      </c>
      <c r="E696">
        <v>-2.8628059018834716E-2</v>
      </c>
      <c r="G696">
        <v>689</v>
      </c>
      <c r="H696">
        <f t="shared" ca="1" si="29"/>
        <v>7.0242655466335631E-3</v>
      </c>
    </row>
    <row r="697" spans="2:8" x14ac:dyDescent="0.3">
      <c r="B697" t="s">
        <v>937</v>
      </c>
      <c r="C697">
        <v>830.68</v>
      </c>
      <c r="D697">
        <f t="shared" si="28"/>
        <v>-0.48439225921273976</v>
      </c>
      <c r="E697">
        <v>-2.8950389336301771E-2</v>
      </c>
      <c r="G697">
        <v>690</v>
      </c>
      <c r="H697">
        <f t="shared" ca="1" si="29"/>
        <v>-1.1294018924065726E-2</v>
      </c>
    </row>
    <row r="698" spans="2:8" x14ac:dyDescent="0.3">
      <c r="B698" t="s">
        <v>416</v>
      </c>
      <c r="C698" s="79">
        <v>1348.35</v>
      </c>
      <c r="D698">
        <f t="shared" si="28"/>
        <v>0.43776445161404359</v>
      </c>
      <c r="E698">
        <v>-2.9162338434198683E-2</v>
      </c>
      <c r="G698">
        <v>691</v>
      </c>
      <c r="H698">
        <f t="shared" ca="1" si="29"/>
        <v>2.0817791532090676E-2</v>
      </c>
    </row>
    <row r="699" spans="2:8" x14ac:dyDescent="0.3">
      <c r="B699" t="s">
        <v>891</v>
      </c>
      <c r="C699">
        <v>870.33</v>
      </c>
      <c r="D699">
        <f t="shared" si="28"/>
        <v>-0.36561991573300279</v>
      </c>
      <c r="E699">
        <v>-2.9190723223242378E-2</v>
      </c>
      <c r="G699">
        <v>692</v>
      </c>
      <c r="H699">
        <f t="shared" ca="1" si="29"/>
        <v>-1.0666279745933576E-2</v>
      </c>
    </row>
    <row r="700" spans="2:8" x14ac:dyDescent="0.3">
      <c r="B700" t="s">
        <v>401</v>
      </c>
      <c r="C700" s="79">
        <v>1254.5</v>
      </c>
      <c r="D700">
        <f t="shared" si="28"/>
        <v>0.56759492615810614</v>
      </c>
      <c r="E700">
        <v>-2.949301747765895E-2</v>
      </c>
      <c r="G700">
        <v>693</v>
      </c>
      <c r="H700">
        <f t="shared" ca="1" si="29"/>
        <v>1.4781014295204346E-2</v>
      </c>
    </row>
    <row r="701" spans="2:8" x14ac:dyDescent="0.3">
      <c r="B701" t="s">
        <v>1024</v>
      </c>
      <c r="C701">
        <v>711.16</v>
      </c>
      <c r="D701">
        <f t="shared" si="28"/>
        <v>-0.21344483400309194</v>
      </c>
      <c r="E701">
        <v>-3.1270931493935401E-2</v>
      </c>
      <c r="G701">
        <v>694</v>
      </c>
      <c r="H701">
        <f t="shared" ca="1" si="29"/>
        <v>-2.0710070512917698E-2</v>
      </c>
    </row>
    <row r="702" spans="2:8" x14ac:dyDescent="0.3">
      <c r="B702" t="s">
        <v>844</v>
      </c>
      <c r="C702">
        <v>880.37</v>
      </c>
      <c r="D702">
        <f t="shared" si="28"/>
        <v>0.13509526950581224</v>
      </c>
      <c r="E702">
        <v>-3.140858459687295E-2</v>
      </c>
      <c r="G702">
        <v>695</v>
      </c>
      <c r="H702">
        <f t="shared" ca="1" si="29"/>
        <v>-3.080292265590907E-3</v>
      </c>
    </row>
    <row r="703" spans="2:8" x14ac:dyDescent="0.3">
      <c r="B703" t="s">
        <v>1041</v>
      </c>
      <c r="C703">
        <v>769.12</v>
      </c>
      <c r="D703">
        <f t="shared" si="28"/>
        <v>-0.43567135384552969</v>
      </c>
      <c r="E703">
        <v>-3.1924614424582221E-2</v>
      </c>
      <c r="G703">
        <v>696</v>
      </c>
      <c r="H703">
        <f t="shared" ca="1" si="29"/>
        <v>4.5731814065719193E-3</v>
      </c>
    </row>
    <row r="704" spans="2:8" x14ac:dyDescent="0.3">
      <c r="B704" t="s">
        <v>547</v>
      </c>
      <c r="C704" s="79">
        <v>1189.06</v>
      </c>
      <c r="D704">
        <f t="shared" si="28"/>
        <v>0.38114711856543027</v>
      </c>
      <c r="E704">
        <v>-3.2044581571612392E-2</v>
      </c>
      <c r="G704">
        <v>697</v>
      </c>
      <c r="H704">
        <f t="shared" ca="1" si="29"/>
        <v>-2.2858243517788972E-2</v>
      </c>
    </row>
    <row r="705" spans="2:8" x14ac:dyDescent="0.3">
      <c r="B705" t="s">
        <v>1047</v>
      </c>
      <c r="C705">
        <v>812.22</v>
      </c>
      <c r="D705">
        <f t="shared" si="28"/>
        <v>0.16592426364755986</v>
      </c>
      <c r="E705">
        <v>-3.301141310347068E-2</v>
      </c>
      <c r="G705">
        <v>698</v>
      </c>
      <c r="H705">
        <f t="shared" ca="1" si="29"/>
        <v>1.4355505997871128E-3</v>
      </c>
    </row>
    <row r="706" spans="2:8" x14ac:dyDescent="0.3">
      <c r="B706" t="s">
        <v>1023</v>
      </c>
      <c r="C706">
        <v>688.04</v>
      </c>
      <c r="D706">
        <f t="shared" si="28"/>
        <v>-0.20774745584916446</v>
      </c>
      <c r="E706">
        <v>-3.3050463870180742E-2</v>
      </c>
      <c r="G706">
        <v>699</v>
      </c>
      <c r="H706">
        <f t="shared" ca="1" si="29"/>
        <v>-1.5285415607512192E-2</v>
      </c>
    </row>
    <row r="707" spans="2:8" x14ac:dyDescent="0.3">
      <c r="B707" t="s">
        <v>1060</v>
      </c>
      <c r="C707">
        <v>846.91</v>
      </c>
      <c r="D707">
        <f t="shared" si="28"/>
        <v>0.11572472398318998</v>
      </c>
      <c r="E707">
        <v>-3.46616740872615E-2</v>
      </c>
      <c r="G707">
        <v>700</v>
      </c>
      <c r="H707">
        <f t="shared" ca="1" si="29"/>
        <v>-2.1764250959769485E-2</v>
      </c>
    </row>
    <row r="708" spans="2:8" x14ac:dyDescent="0.3">
      <c r="B708" t="s">
        <v>956</v>
      </c>
      <c r="C708">
        <v>754.36</v>
      </c>
      <c r="D708">
        <f t="shared" si="28"/>
        <v>-0.1641487846120909</v>
      </c>
      <c r="E708">
        <v>-3.4999893078761252E-2</v>
      </c>
      <c r="G708">
        <v>701</v>
      </c>
      <c r="H708">
        <f t="shared" ca="1" si="29"/>
        <v>-1.3422628361633319E-2</v>
      </c>
    </row>
    <row r="709" spans="2:8" x14ac:dyDescent="0.3">
      <c r="B709" t="s">
        <v>1062</v>
      </c>
      <c r="C709">
        <v>888.93</v>
      </c>
      <c r="D709">
        <f t="shared" si="28"/>
        <v>-0.44500248723859254</v>
      </c>
      <c r="E709">
        <v>-3.6570114307221527E-2</v>
      </c>
      <c r="G709">
        <v>702</v>
      </c>
      <c r="H709">
        <f t="shared" ca="1" si="29"/>
        <v>-1.365682641545818E-3</v>
      </c>
    </row>
    <row r="710" spans="2:8" x14ac:dyDescent="0.3">
      <c r="B710" t="s">
        <v>451</v>
      </c>
      <c r="C710" s="79">
        <v>1387.17</v>
      </c>
      <c r="D710">
        <f t="shared" si="28"/>
        <v>0.16493428859525838</v>
      </c>
      <c r="E710">
        <v>-3.7085703865537105E-2</v>
      </c>
      <c r="G710">
        <v>703</v>
      </c>
      <c r="H710">
        <f t="shared" ca="1" si="29"/>
        <v>5.1048881175669095E-3</v>
      </c>
    </row>
    <row r="711" spans="2:8" x14ac:dyDescent="0.3">
      <c r="B711" t="s">
        <v>390</v>
      </c>
      <c r="C711" s="79">
        <v>1176.25</v>
      </c>
      <c r="D711">
        <f t="shared" si="28"/>
        <v>1.2343670822431839E-2</v>
      </c>
      <c r="E711">
        <v>-3.7338783211115327E-2</v>
      </c>
      <c r="G711">
        <v>704</v>
      </c>
      <c r="H711">
        <f t="shared" ca="1" si="29"/>
        <v>1.4798703088189109E-2</v>
      </c>
    </row>
    <row r="712" spans="2:8" x14ac:dyDescent="0.3">
      <c r="B712" t="s">
        <v>594</v>
      </c>
      <c r="C712" s="79">
        <v>1161.82</v>
      </c>
      <c r="D712">
        <f t="shared" ref="D712:D725" si="30">LN(C712/C713)</f>
        <v>0.4459977278963444</v>
      </c>
      <c r="E712">
        <v>-3.7586661980382512E-2</v>
      </c>
      <c r="G712">
        <v>705</v>
      </c>
      <c r="H712">
        <f t="shared" ca="1" si="29"/>
        <v>-1.2743782518393783E-2</v>
      </c>
    </row>
    <row r="713" spans="2:8" x14ac:dyDescent="0.3">
      <c r="B713" t="s">
        <v>996</v>
      </c>
      <c r="C713">
        <v>743.78</v>
      </c>
      <c r="D713">
        <f t="shared" si="30"/>
        <v>-0.60149268387861132</v>
      </c>
      <c r="E713">
        <v>-3.7588937631501569E-2</v>
      </c>
      <c r="G713">
        <v>706</v>
      </c>
      <c r="H713">
        <f t="shared" ref="H713:H776" ca="1" si="31">_xlfn.NORM.INV(RAND(),$N$10,$N$11)</f>
        <v>-9.7475875015628193E-3</v>
      </c>
    </row>
    <row r="714" spans="2:8" x14ac:dyDescent="0.3">
      <c r="B714" t="s">
        <v>482</v>
      </c>
      <c r="C714" s="79">
        <v>1357.28</v>
      </c>
      <c r="D714">
        <f t="shared" si="30"/>
        <v>0.58645400383762647</v>
      </c>
      <c r="E714">
        <v>-3.7958060050483834E-2</v>
      </c>
      <c r="G714">
        <v>707</v>
      </c>
      <c r="H714">
        <f t="shared" ca="1" si="31"/>
        <v>-5.3237671689476884E-3</v>
      </c>
    </row>
    <row r="715" spans="2:8" x14ac:dyDescent="0.3">
      <c r="B715" t="s">
        <v>977</v>
      </c>
      <c r="C715">
        <v>755.05</v>
      </c>
      <c r="D715">
        <f t="shared" si="30"/>
        <v>-5.5207895724532757E-3</v>
      </c>
      <c r="E715">
        <v>-3.8861528269829512E-2</v>
      </c>
      <c r="G715">
        <v>708</v>
      </c>
      <c r="H715">
        <f t="shared" ca="1" si="31"/>
        <v>-1.0071715719083132E-2</v>
      </c>
    </row>
    <row r="716" spans="2:8" x14ac:dyDescent="0.3">
      <c r="B716" t="s">
        <v>1039</v>
      </c>
      <c r="C716">
        <v>759.23</v>
      </c>
      <c r="D716">
        <f t="shared" si="30"/>
        <v>-0.6486541073399088</v>
      </c>
      <c r="E716">
        <v>-4.0462091505752633E-2</v>
      </c>
      <c r="G716">
        <v>709</v>
      </c>
      <c r="H716">
        <f t="shared" ca="1" si="31"/>
        <v>-3.4627167906618801E-2</v>
      </c>
    </row>
    <row r="717" spans="2:8" x14ac:dyDescent="0.3">
      <c r="B717" t="s">
        <v>464</v>
      </c>
      <c r="C717" s="79">
        <v>1452.38</v>
      </c>
      <c r="D717">
        <f t="shared" si="30"/>
        <v>0.50464573819727288</v>
      </c>
      <c r="E717">
        <v>-4.0831358416980247E-2</v>
      </c>
      <c r="G717">
        <v>710</v>
      </c>
      <c r="H717">
        <f t="shared" ca="1" si="31"/>
        <v>-8.9891819489913115E-3</v>
      </c>
    </row>
    <row r="718" spans="2:8" x14ac:dyDescent="0.3">
      <c r="B718" t="s">
        <v>902</v>
      </c>
      <c r="C718">
        <v>876.83</v>
      </c>
      <c r="D718">
        <f t="shared" si="30"/>
        <v>0.11369142116057515</v>
      </c>
      <c r="E718">
        <v>-4.1331427594299329E-2</v>
      </c>
      <c r="G718">
        <v>711</v>
      </c>
      <c r="H718">
        <f t="shared" ca="1" si="31"/>
        <v>1.0245172762429125E-2</v>
      </c>
    </row>
    <row r="719" spans="2:8" x14ac:dyDescent="0.3">
      <c r="B719" t="s">
        <v>985</v>
      </c>
      <c r="C719">
        <v>782.6</v>
      </c>
      <c r="D719">
        <f t="shared" si="30"/>
        <v>4.3095319389323261E-2</v>
      </c>
      <c r="E719">
        <v>-4.2356211844466404E-2</v>
      </c>
      <c r="G719">
        <v>712</v>
      </c>
      <c r="H719">
        <f t="shared" ca="1" si="31"/>
        <v>-3.664766333560425E-2</v>
      </c>
    </row>
    <row r="720" spans="2:8" x14ac:dyDescent="0.3">
      <c r="B720" t="s">
        <v>1001</v>
      </c>
      <c r="C720">
        <v>749.59</v>
      </c>
      <c r="D720">
        <f t="shared" si="30"/>
        <v>4.3451299370606189E-3</v>
      </c>
      <c r="E720">
        <v>-4.5112195447981285E-2</v>
      </c>
      <c r="G720">
        <v>713</v>
      </c>
      <c r="H720">
        <f t="shared" ca="1" si="31"/>
        <v>-6.1972687710632867E-4</v>
      </c>
    </row>
    <row r="721" spans="2:8" x14ac:dyDescent="0.3">
      <c r="B721" t="s">
        <v>984</v>
      </c>
      <c r="C721">
        <v>746.34</v>
      </c>
      <c r="D721">
        <f t="shared" si="30"/>
        <v>-0.11836347832717825</v>
      </c>
      <c r="E721">
        <v>-4.7440449326383777E-2</v>
      </c>
      <c r="G721">
        <v>714</v>
      </c>
      <c r="H721">
        <f t="shared" ca="1" si="31"/>
        <v>-1.975289850036532E-2</v>
      </c>
    </row>
    <row r="722" spans="2:8" x14ac:dyDescent="0.3">
      <c r="B722" t="s">
        <v>889</v>
      </c>
      <c r="C722">
        <v>840.12</v>
      </c>
      <c r="D722">
        <f t="shared" si="30"/>
        <v>-5.9674726611752035E-2</v>
      </c>
      <c r="E722">
        <v>-4.8635979296929921E-2</v>
      </c>
      <c r="G722">
        <v>715</v>
      </c>
      <c r="H722">
        <f t="shared" ca="1" si="31"/>
        <v>5.749257538672746E-3</v>
      </c>
    </row>
    <row r="723" spans="2:8" x14ac:dyDescent="0.3">
      <c r="B723" t="s">
        <v>751</v>
      </c>
      <c r="C723">
        <v>891.78</v>
      </c>
      <c r="D723">
        <f t="shared" si="30"/>
        <v>0.31043326641302915</v>
      </c>
      <c r="E723">
        <v>-5.05091614284294E-2</v>
      </c>
      <c r="G723">
        <v>716</v>
      </c>
      <c r="H723">
        <f t="shared" ca="1" si="31"/>
        <v>1.1836464343498452E-2</v>
      </c>
    </row>
    <row r="724" spans="2:8" x14ac:dyDescent="0.3">
      <c r="B724" t="s">
        <v>1033</v>
      </c>
      <c r="C724">
        <v>653.79</v>
      </c>
      <c r="D724">
        <f t="shared" si="30"/>
        <v>-0.54532657667004181</v>
      </c>
      <c r="E724">
        <v>-8.7704529587398591E-2</v>
      </c>
      <c r="G724">
        <v>717</v>
      </c>
      <c r="H724">
        <f t="shared" ca="1" si="31"/>
        <v>-4.225230294347895E-3</v>
      </c>
    </row>
    <row r="725" spans="2:8" x14ac:dyDescent="0.3">
      <c r="B725" t="s">
        <v>373</v>
      </c>
      <c r="C725" s="79">
        <v>1127.9000000000001</v>
      </c>
      <c r="D725" t="e">
        <f t="shared" si="30"/>
        <v>#DIV/0!</v>
      </c>
      <c r="E725">
        <v>-9.119918539855533E-2</v>
      </c>
      <c r="G725">
        <v>718</v>
      </c>
      <c r="H725">
        <f t="shared" ca="1" si="31"/>
        <v>8.3197577021113939E-3</v>
      </c>
    </row>
    <row r="726" spans="2:8" x14ac:dyDescent="0.3">
      <c r="G726">
        <v>719</v>
      </c>
      <c r="H726">
        <f t="shared" ca="1" si="31"/>
        <v>-1.27851677219302E-2</v>
      </c>
    </row>
    <row r="727" spans="2:8" x14ac:dyDescent="0.3">
      <c r="G727">
        <v>720</v>
      </c>
      <c r="H727">
        <f t="shared" ca="1" si="31"/>
        <v>-2.2428424814952535E-2</v>
      </c>
    </row>
    <row r="728" spans="2:8" x14ac:dyDescent="0.3">
      <c r="G728">
        <v>721</v>
      </c>
      <c r="H728">
        <f t="shared" ca="1" si="31"/>
        <v>1.0280123432066855E-2</v>
      </c>
    </row>
    <row r="729" spans="2:8" x14ac:dyDescent="0.3">
      <c r="G729">
        <v>722</v>
      </c>
      <c r="H729">
        <f t="shared" ca="1" si="31"/>
        <v>-1.3431686976889257E-2</v>
      </c>
    </row>
    <row r="730" spans="2:8" x14ac:dyDescent="0.3">
      <c r="G730">
        <v>723</v>
      </c>
      <c r="H730">
        <f t="shared" ca="1" si="31"/>
        <v>-2.5274497809236818E-3</v>
      </c>
    </row>
    <row r="731" spans="2:8" x14ac:dyDescent="0.3">
      <c r="G731">
        <v>724</v>
      </c>
      <c r="H731">
        <f t="shared" ca="1" si="31"/>
        <v>1.4223439179831656E-3</v>
      </c>
    </row>
    <row r="732" spans="2:8" x14ac:dyDescent="0.3">
      <c r="G732">
        <v>725</v>
      </c>
      <c r="H732">
        <f t="shared" ca="1" si="31"/>
        <v>-1.1787668653675275E-2</v>
      </c>
    </row>
    <row r="733" spans="2:8" x14ac:dyDescent="0.3">
      <c r="G733">
        <v>726</v>
      </c>
      <c r="H733">
        <f t="shared" ca="1" si="31"/>
        <v>6.3198280853687706E-3</v>
      </c>
    </row>
    <row r="734" spans="2:8" x14ac:dyDescent="0.3">
      <c r="G734">
        <v>727</v>
      </c>
      <c r="H734">
        <f t="shared" ca="1" si="31"/>
        <v>-5.1032532841654536E-2</v>
      </c>
    </row>
    <row r="735" spans="2:8" x14ac:dyDescent="0.3">
      <c r="G735">
        <v>728</v>
      </c>
      <c r="H735">
        <f t="shared" ca="1" si="31"/>
        <v>1.7000066092015376E-2</v>
      </c>
    </row>
    <row r="736" spans="2:8" x14ac:dyDescent="0.3">
      <c r="G736">
        <v>729</v>
      </c>
      <c r="H736">
        <f t="shared" ca="1" si="31"/>
        <v>2.8297527491997935E-2</v>
      </c>
    </row>
    <row r="737" spans="7:8" x14ac:dyDescent="0.3">
      <c r="G737">
        <v>730</v>
      </c>
      <c r="H737">
        <f t="shared" ca="1" si="31"/>
        <v>1.9849413563462577E-3</v>
      </c>
    </row>
    <row r="738" spans="7:8" x14ac:dyDescent="0.3">
      <c r="G738">
        <v>731</v>
      </c>
      <c r="H738">
        <f t="shared" ca="1" si="31"/>
        <v>2.4259821558446019E-2</v>
      </c>
    </row>
    <row r="739" spans="7:8" x14ac:dyDescent="0.3">
      <c r="G739">
        <v>732</v>
      </c>
      <c r="H739">
        <f t="shared" ca="1" si="31"/>
        <v>-2.7827414617885914E-2</v>
      </c>
    </row>
    <row r="740" spans="7:8" x14ac:dyDescent="0.3">
      <c r="G740">
        <v>733</v>
      </c>
      <c r="H740">
        <f t="shared" ca="1" si="31"/>
        <v>-8.0657746797396807E-3</v>
      </c>
    </row>
    <row r="741" spans="7:8" x14ac:dyDescent="0.3">
      <c r="G741">
        <v>734</v>
      </c>
      <c r="H741">
        <f t="shared" ca="1" si="31"/>
        <v>9.6076125846670767E-3</v>
      </c>
    </row>
    <row r="742" spans="7:8" x14ac:dyDescent="0.3">
      <c r="G742">
        <v>735</v>
      </c>
      <c r="H742">
        <f t="shared" ca="1" si="31"/>
        <v>1.2646915767503845E-3</v>
      </c>
    </row>
    <row r="743" spans="7:8" x14ac:dyDescent="0.3">
      <c r="G743">
        <v>736</v>
      </c>
      <c r="H743">
        <f t="shared" ca="1" si="31"/>
        <v>-2.7680442414927585E-2</v>
      </c>
    </row>
    <row r="744" spans="7:8" x14ac:dyDescent="0.3">
      <c r="G744">
        <v>737</v>
      </c>
      <c r="H744">
        <f t="shared" ca="1" si="31"/>
        <v>1.5302422279931852E-2</v>
      </c>
    </row>
    <row r="745" spans="7:8" x14ac:dyDescent="0.3">
      <c r="G745">
        <v>738</v>
      </c>
      <c r="H745">
        <f t="shared" ca="1" si="31"/>
        <v>1.0128401169012705E-2</v>
      </c>
    </row>
    <row r="746" spans="7:8" x14ac:dyDescent="0.3">
      <c r="G746">
        <v>739</v>
      </c>
      <c r="H746">
        <f t="shared" ca="1" si="31"/>
        <v>-1.6571098508257744E-2</v>
      </c>
    </row>
    <row r="747" spans="7:8" x14ac:dyDescent="0.3">
      <c r="G747">
        <v>740</v>
      </c>
      <c r="H747">
        <f t="shared" ca="1" si="31"/>
        <v>3.2076361679603857E-2</v>
      </c>
    </row>
    <row r="748" spans="7:8" x14ac:dyDescent="0.3">
      <c r="G748">
        <v>741</v>
      </c>
      <c r="H748">
        <f t="shared" ca="1" si="31"/>
        <v>-1.7225149086403792E-3</v>
      </c>
    </row>
    <row r="749" spans="7:8" x14ac:dyDescent="0.3">
      <c r="G749">
        <v>742</v>
      </c>
      <c r="H749">
        <f t="shared" ca="1" si="31"/>
        <v>-5.3193743355616223E-4</v>
      </c>
    </row>
    <row r="750" spans="7:8" x14ac:dyDescent="0.3">
      <c r="G750">
        <v>743</v>
      </c>
      <c r="H750">
        <f t="shared" ca="1" si="31"/>
        <v>-9.8617306021869817E-3</v>
      </c>
    </row>
    <row r="751" spans="7:8" x14ac:dyDescent="0.3">
      <c r="G751">
        <v>744</v>
      </c>
      <c r="H751">
        <f t="shared" ca="1" si="31"/>
        <v>-3.4428599392096041E-3</v>
      </c>
    </row>
    <row r="752" spans="7:8" x14ac:dyDescent="0.3">
      <c r="G752">
        <v>745</v>
      </c>
      <c r="H752">
        <f t="shared" ca="1" si="31"/>
        <v>1.7354137019279594E-2</v>
      </c>
    </row>
    <row r="753" spans="7:8" x14ac:dyDescent="0.3">
      <c r="G753">
        <v>746</v>
      </c>
      <c r="H753">
        <f t="shared" ca="1" si="31"/>
        <v>1.7764035930068786E-3</v>
      </c>
    </row>
    <row r="754" spans="7:8" x14ac:dyDescent="0.3">
      <c r="G754">
        <v>747</v>
      </c>
      <c r="H754">
        <f t="shared" ca="1" si="31"/>
        <v>1.5756172620295026E-2</v>
      </c>
    </row>
    <row r="755" spans="7:8" x14ac:dyDescent="0.3">
      <c r="G755">
        <v>748</v>
      </c>
      <c r="H755">
        <f t="shared" ca="1" si="31"/>
        <v>-5.3832050571668462E-3</v>
      </c>
    </row>
    <row r="756" spans="7:8" x14ac:dyDescent="0.3">
      <c r="G756">
        <v>749</v>
      </c>
      <c r="H756">
        <f t="shared" ca="1" si="31"/>
        <v>3.2733229046469171E-2</v>
      </c>
    </row>
    <row r="757" spans="7:8" x14ac:dyDescent="0.3">
      <c r="G757">
        <v>750</v>
      </c>
      <c r="H757">
        <f t="shared" ca="1" si="31"/>
        <v>-2.4962963774398442E-2</v>
      </c>
    </row>
    <row r="758" spans="7:8" x14ac:dyDescent="0.3">
      <c r="G758">
        <v>751</v>
      </c>
      <c r="H758">
        <f t="shared" ca="1" si="31"/>
        <v>1.5130850944220392E-2</v>
      </c>
    </row>
    <row r="759" spans="7:8" x14ac:dyDescent="0.3">
      <c r="G759">
        <v>752</v>
      </c>
      <c r="H759">
        <f t="shared" ca="1" si="31"/>
        <v>-1.9450855287928594E-2</v>
      </c>
    </row>
    <row r="760" spans="7:8" x14ac:dyDescent="0.3">
      <c r="G760">
        <v>753</v>
      </c>
      <c r="H760">
        <f t="shared" ca="1" si="31"/>
        <v>-1.1996725757364868E-3</v>
      </c>
    </row>
    <row r="761" spans="7:8" x14ac:dyDescent="0.3">
      <c r="G761">
        <v>754</v>
      </c>
      <c r="H761">
        <f t="shared" ca="1" si="31"/>
        <v>-7.1307640154541531E-3</v>
      </c>
    </row>
    <row r="762" spans="7:8" x14ac:dyDescent="0.3">
      <c r="G762">
        <v>755</v>
      </c>
      <c r="H762">
        <f t="shared" ca="1" si="31"/>
        <v>8.9069749799010334E-3</v>
      </c>
    </row>
    <row r="763" spans="7:8" x14ac:dyDescent="0.3">
      <c r="G763">
        <v>756</v>
      </c>
      <c r="H763">
        <f t="shared" ca="1" si="31"/>
        <v>-1.2323072752180756E-2</v>
      </c>
    </row>
    <row r="764" spans="7:8" x14ac:dyDescent="0.3">
      <c r="G764">
        <v>757</v>
      </c>
      <c r="H764">
        <f t="shared" ca="1" si="31"/>
        <v>-2.3427194918082477E-2</v>
      </c>
    </row>
    <row r="765" spans="7:8" x14ac:dyDescent="0.3">
      <c r="G765">
        <v>758</v>
      </c>
      <c r="H765">
        <f t="shared" ca="1" si="31"/>
        <v>9.7097635389238536E-4</v>
      </c>
    </row>
    <row r="766" spans="7:8" x14ac:dyDescent="0.3">
      <c r="G766">
        <v>759</v>
      </c>
      <c r="H766">
        <f t="shared" ca="1" si="31"/>
        <v>-7.9311204591656151E-3</v>
      </c>
    </row>
    <row r="767" spans="7:8" x14ac:dyDescent="0.3">
      <c r="G767">
        <v>760</v>
      </c>
      <c r="H767">
        <f t="shared" ca="1" si="31"/>
        <v>8.91981130134341E-3</v>
      </c>
    </row>
    <row r="768" spans="7:8" x14ac:dyDescent="0.3">
      <c r="G768">
        <v>761</v>
      </c>
      <c r="H768">
        <f t="shared" ca="1" si="31"/>
        <v>2.5850562088075378E-4</v>
      </c>
    </row>
    <row r="769" spans="7:8" x14ac:dyDescent="0.3">
      <c r="G769">
        <v>762</v>
      </c>
      <c r="H769">
        <f t="shared" ca="1" si="31"/>
        <v>2.7744205406898235E-2</v>
      </c>
    </row>
    <row r="770" spans="7:8" x14ac:dyDescent="0.3">
      <c r="G770">
        <v>763</v>
      </c>
      <c r="H770">
        <f t="shared" ca="1" si="31"/>
        <v>-1.386112436460891E-2</v>
      </c>
    </row>
    <row r="771" spans="7:8" x14ac:dyDescent="0.3">
      <c r="G771">
        <v>764</v>
      </c>
      <c r="H771">
        <f t="shared" ca="1" si="31"/>
        <v>2.443547610133711E-2</v>
      </c>
    </row>
    <row r="772" spans="7:8" x14ac:dyDescent="0.3">
      <c r="G772">
        <v>765</v>
      </c>
      <c r="H772">
        <f t="shared" ca="1" si="31"/>
        <v>1.698611998573446E-2</v>
      </c>
    </row>
    <row r="773" spans="7:8" x14ac:dyDescent="0.3">
      <c r="G773">
        <v>766</v>
      </c>
      <c r="H773">
        <f t="shared" ca="1" si="31"/>
        <v>1.0984473004550254E-2</v>
      </c>
    </row>
    <row r="774" spans="7:8" x14ac:dyDescent="0.3">
      <c r="G774">
        <v>767</v>
      </c>
      <c r="H774">
        <f t="shared" ca="1" si="31"/>
        <v>-5.1734061090811315E-3</v>
      </c>
    </row>
    <row r="775" spans="7:8" x14ac:dyDescent="0.3">
      <c r="G775">
        <v>768</v>
      </c>
      <c r="H775">
        <f t="shared" ca="1" si="31"/>
        <v>5.9702551999046209E-4</v>
      </c>
    </row>
    <row r="776" spans="7:8" x14ac:dyDescent="0.3">
      <c r="G776">
        <v>769</v>
      </c>
      <c r="H776">
        <f t="shared" ca="1" si="31"/>
        <v>-2.7400315270690936E-2</v>
      </c>
    </row>
    <row r="777" spans="7:8" x14ac:dyDescent="0.3">
      <c r="G777">
        <v>770</v>
      </c>
      <c r="H777">
        <f t="shared" ref="H777:H840" ca="1" si="32">_xlfn.NORM.INV(RAND(),$N$10,$N$11)</f>
        <v>-1.993137638424226E-2</v>
      </c>
    </row>
    <row r="778" spans="7:8" x14ac:dyDescent="0.3">
      <c r="G778">
        <v>771</v>
      </c>
      <c r="H778">
        <f t="shared" ca="1" si="32"/>
        <v>2.3378744117102331E-2</v>
      </c>
    </row>
    <row r="779" spans="7:8" x14ac:dyDescent="0.3">
      <c r="G779">
        <v>772</v>
      </c>
      <c r="H779">
        <f t="shared" ca="1" si="32"/>
        <v>3.6173853440763992E-3</v>
      </c>
    </row>
    <row r="780" spans="7:8" x14ac:dyDescent="0.3">
      <c r="G780">
        <v>773</v>
      </c>
      <c r="H780">
        <f t="shared" ca="1" si="32"/>
        <v>2.6824070954683761E-2</v>
      </c>
    </row>
    <row r="781" spans="7:8" x14ac:dyDescent="0.3">
      <c r="G781">
        <v>774</v>
      </c>
      <c r="H781">
        <f t="shared" ca="1" si="32"/>
        <v>-1.0470606787955772E-2</v>
      </c>
    </row>
    <row r="782" spans="7:8" x14ac:dyDescent="0.3">
      <c r="G782">
        <v>775</v>
      </c>
      <c r="H782">
        <f t="shared" ca="1" si="32"/>
        <v>6.6753235051852304E-4</v>
      </c>
    </row>
    <row r="783" spans="7:8" x14ac:dyDescent="0.3">
      <c r="G783">
        <v>776</v>
      </c>
      <c r="H783">
        <f t="shared" ca="1" si="32"/>
        <v>4.7684640094932248E-3</v>
      </c>
    </row>
    <row r="784" spans="7:8" x14ac:dyDescent="0.3">
      <c r="G784">
        <v>777</v>
      </c>
      <c r="H784">
        <f t="shared" ca="1" si="32"/>
        <v>9.7592939090048198E-3</v>
      </c>
    </row>
    <row r="785" spans="7:8" x14ac:dyDescent="0.3">
      <c r="G785">
        <v>778</v>
      </c>
      <c r="H785">
        <f t="shared" ca="1" si="32"/>
        <v>-4.065202342523401E-2</v>
      </c>
    </row>
    <row r="786" spans="7:8" x14ac:dyDescent="0.3">
      <c r="G786">
        <v>779</v>
      </c>
      <c r="H786">
        <f t="shared" ca="1" si="32"/>
        <v>-2.9441969572877293E-2</v>
      </c>
    </row>
    <row r="787" spans="7:8" x14ac:dyDescent="0.3">
      <c r="G787">
        <v>780</v>
      </c>
      <c r="H787">
        <f t="shared" ca="1" si="32"/>
        <v>2.6929847836285568E-2</v>
      </c>
    </row>
    <row r="788" spans="7:8" x14ac:dyDescent="0.3">
      <c r="G788">
        <v>781</v>
      </c>
      <c r="H788">
        <f t="shared" ca="1" si="32"/>
        <v>-1.8517652416594331E-2</v>
      </c>
    </row>
    <row r="789" spans="7:8" x14ac:dyDescent="0.3">
      <c r="G789">
        <v>782</v>
      </c>
      <c r="H789">
        <f t="shared" ca="1" si="32"/>
        <v>1.6074441076823324E-2</v>
      </c>
    </row>
    <row r="790" spans="7:8" x14ac:dyDescent="0.3">
      <c r="G790">
        <v>783</v>
      </c>
      <c r="H790">
        <f t="shared" ca="1" si="32"/>
        <v>1.4784736458030252E-2</v>
      </c>
    </row>
    <row r="791" spans="7:8" x14ac:dyDescent="0.3">
      <c r="G791">
        <v>784</v>
      </c>
      <c r="H791">
        <f t="shared" ca="1" si="32"/>
        <v>1.6130815801628506E-2</v>
      </c>
    </row>
    <row r="792" spans="7:8" x14ac:dyDescent="0.3">
      <c r="G792">
        <v>785</v>
      </c>
      <c r="H792">
        <f t="shared" ca="1" si="32"/>
        <v>7.0799181017867953E-3</v>
      </c>
    </row>
    <row r="793" spans="7:8" x14ac:dyDescent="0.3">
      <c r="G793">
        <v>786</v>
      </c>
      <c r="H793">
        <f t="shared" ca="1" si="32"/>
        <v>3.0140823493434294E-2</v>
      </c>
    </row>
    <row r="794" spans="7:8" x14ac:dyDescent="0.3">
      <c r="G794">
        <v>787</v>
      </c>
      <c r="H794">
        <f t="shared" ca="1" si="32"/>
        <v>1.8624037249325182E-2</v>
      </c>
    </row>
    <row r="795" spans="7:8" x14ac:dyDescent="0.3">
      <c r="G795">
        <v>788</v>
      </c>
      <c r="H795">
        <f t="shared" ca="1" si="32"/>
        <v>-9.6146867812844754E-3</v>
      </c>
    </row>
    <row r="796" spans="7:8" x14ac:dyDescent="0.3">
      <c r="G796">
        <v>789</v>
      </c>
      <c r="H796">
        <f t="shared" ca="1" si="32"/>
        <v>2.6433404215995181E-2</v>
      </c>
    </row>
    <row r="797" spans="7:8" x14ac:dyDescent="0.3">
      <c r="G797">
        <v>790</v>
      </c>
      <c r="H797">
        <f t="shared" ca="1" si="32"/>
        <v>8.7423104430828895E-3</v>
      </c>
    </row>
    <row r="798" spans="7:8" x14ac:dyDescent="0.3">
      <c r="G798">
        <v>791</v>
      </c>
      <c r="H798">
        <f t="shared" ca="1" si="32"/>
        <v>-7.1400468646098929E-3</v>
      </c>
    </row>
    <row r="799" spans="7:8" x14ac:dyDescent="0.3">
      <c r="G799">
        <v>792</v>
      </c>
      <c r="H799">
        <f t="shared" ca="1" si="32"/>
        <v>-4.6750898646417596E-3</v>
      </c>
    </row>
    <row r="800" spans="7:8" x14ac:dyDescent="0.3">
      <c r="G800">
        <v>793</v>
      </c>
      <c r="H800">
        <f t="shared" ca="1" si="32"/>
        <v>1.2449202716490221E-2</v>
      </c>
    </row>
    <row r="801" spans="7:8" x14ac:dyDescent="0.3">
      <c r="G801">
        <v>794</v>
      </c>
      <c r="H801">
        <f t="shared" ca="1" si="32"/>
        <v>6.9009887390914905E-3</v>
      </c>
    </row>
    <row r="802" spans="7:8" x14ac:dyDescent="0.3">
      <c r="G802">
        <v>795</v>
      </c>
      <c r="H802">
        <f t="shared" ca="1" si="32"/>
        <v>3.0245658190211455E-3</v>
      </c>
    </row>
    <row r="803" spans="7:8" x14ac:dyDescent="0.3">
      <c r="G803">
        <v>796</v>
      </c>
      <c r="H803">
        <f t="shared" ca="1" si="32"/>
        <v>-2.643026123508738E-2</v>
      </c>
    </row>
    <row r="804" spans="7:8" x14ac:dyDescent="0.3">
      <c r="G804">
        <v>797</v>
      </c>
      <c r="H804">
        <f t="shared" ca="1" si="32"/>
        <v>-2.0912631814396072E-2</v>
      </c>
    </row>
    <row r="805" spans="7:8" x14ac:dyDescent="0.3">
      <c r="G805">
        <v>798</v>
      </c>
      <c r="H805">
        <f t="shared" ca="1" si="32"/>
        <v>-2.4733255031946427E-2</v>
      </c>
    </row>
    <row r="806" spans="7:8" x14ac:dyDescent="0.3">
      <c r="G806">
        <v>799</v>
      </c>
      <c r="H806">
        <f t="shared" ca="1" si="32"/>
        <v>1.7167299420553284E-2</v>
      </c>
    </row>
    <row r="807" spans="7:8" x14ac:dyDescent="0.3">
      <c r="G807">
        <v>800</v>
      </c>
      <c r="H807">
        <f t="shared" ca="1" si="32"/>
        <v>1.4644741094866262E-2</v>
      </c>
    </row>
    <row r="808" spans="7:8" x14ac:dyDescent="0.3">
      <c r="G808">
        <v>801</v>
      </c>
      <c r="H808">
        <f t="shared" ca="1" si="32"/>
        <v>-2.450428334868936E-2</v>
      </c>
    </row>
    <row r="809" spans="7:8" x14ac:dyDescent="0.3">
      <c r="G809">
        <v>802</v>
      </c>
      <c r="H809">
        <f t="shared" ca="1" si="32"/>
        <v>-3.5820536857331317E-2</v>
      </c>
    </row>
    <row r="810" spans="7:8" x14ac:dyDescent="0.3">
      <c r="G810">
        <v>803</v>
      </c>
      <c r="H810">
        <f t="shared" ca="1" si="32"/>
        <v>-1.6295396669624623E-2</v>
      </c>
    </row>
    <row r="811" spans="7:8" x14ac:dyDescent="0.3">
      <c r="G811">
        <v>804</v>
      </c>
      <c r="H811">
        <f t="shared" ca="1" si="32"/>
        <v>2.061692059178236E-2</v>
      </c>
    </row>
    <row r="812" spans="7:8" x14ac:dyDescent="0.3">
      <c r="G812">
        <v>805</v>
      </c>
      <c r="H812">
        <f t="shared" ca="1" si="32"/>
        <v>2.5642982823757287E-3</v>
      </c>
    </row>
    <row r="813" spans="7:8" x14ac:dyDescent="0.3">
      <c r="G813">
        <v>806</v>
      </c>
      <c r="H813">
        <f t="shared" ca="1" si="32"/>
        <v>-1.2157059210346337E-2</v>
      </c>
    </row>
    <row r="814" spans="7:8" x14ac:dyDescent="0.3">
      <c r="G814">
        <v>807</v>
      </c>
      <c r="H814">
        <f t="shared" ca="1" si="32"/>
        <v>1.7749159441905433E-2</v>
      </c>
    </row>
    <row r="815" spans="7:8" x14ac:dyDescent="0.3">
      <c r="G815">
        <v>808</v>
      </c>
      <c r="H815">
        <f t="shared" ca="1" si="32"/>
        <v>2.6378525430449364E-2</v>
      </c>
    </row>
    <row r="816" spans="7:8" x14ac:dyDescent="0.3">
      <c r="G816">
        <v>809</v>
      </c>
      <c r="H816">
        <f t="shared" ca="1" si="32"/>
        <v>1.0218927168493187E-2</v>
      </c>
    </row>
    <row r="817" spans="7:8" x14ac:dyDescent="0.3">
      <c r="G817">
        <v>810</v>
      </c>
      <c r="H817">
        <f t="shared" ca="1" si="32"/>
        <v>3.2323924088545164E-3</v>
      </c>
    </row>
    <row r="818" spans="7:8" x14ac:dyDescent="0.3">
      <c r="G818">
        <v>811</v>
      </c>
      <c r="H818">
        <f t="shared" ca="1" si="32"/>
        <v>-1.6446843950715061E-2</v>
      </c>
    </row>
    <row r="819" spans="7:8" x14ac:dyDescent="0.3">
      <c r="G819">
        <v>812</v>
      </c>
      <c r="H819">
        <f t="shared" ca="1" si="32"/>
        <v>3.6974477220125105E-4</v>
      </c>
    </row>
    <row r="820" spans="7:8" x14ac:dyDescent="0.3">
      <c r="G820">
        <v>813</v>
      </c>
      <c r="H820">
        <f t="shared" ca="1" si="32"/>
        <v>-3.1611500186741934E-3</v>
      </c>
    </row>
    <row r="821" spans="7:8" x14ac:dyDescent="0.3">
      <c r="G821">
        <v>814</v>
      </c>
      <c r="H821">
        <f t="shared" ca="1" si="32"/>
        <v>-1.0780985995752205E-2</v>
      </c>
    </row>
    <row r="822" spans="7:8" x14ac:dyDescent="0.3">
      <c r="G822">
        <v>815</v>
      </c>
      <c r="H822">
        <f t="shared" ca="1" si="32"/>
        <v>1.696042489715829E-2</v>
      </c>
    </row>
    <row r="823" spans="7:8" x14ac:dyDescent="0.3">
      <c r="G823">
        <v>816</v>
      </c>
      <c r="H823">
        <f t="shared" ca="1" si="32"/>
        <v>-1.0339542085594107E-2</v>
      </c>
    </row>
    <row r="824" spans="7:8" x14ac:dyDescent="0.3">
      <c r="G824">
        <v>817</v>
      </c>
      <c r="H824">
        <f t="shared" ca="1" si="32"/>
        <v>-3.5791872597468045E-3</v>
      </c>
    </row>
    <row r="825" spans="7:8" x14ac:dyDescent="0.3">
      <c r="G825">
        <v>818</v>
      </c>
      <c r="H825">
        <f t="shared" ca="1" si="32"/>
        <v>-1.2538552844277007E-2</v>
      </c>
    </row>
    <row r="826" spans="7:8" x14ac:dyDescent="0.3">
      <c r="G826">
        <v>819</v>
      </c>
      <c r="H826">
        <f t="shared" ca="1" si="32"/>
        <v>-1.4589741889053197E-2</v>
      </c>
    </row>
    <row r="827" spans="7:8" x14ac:dyDescent="0.3">
      <c r="G827">
        <v>820</v>
      </c>
      <c r="H827">
        <f t="shared" ca="1" si="32"/>
        <v>2.0602461412935133E-2</v>
      </c>
    </row>
    <row r="828" spans="7:8" x14ac:dyDescent="0.3">
      <c r="G828">
        <v>821</v>
      </c>
      <c r="H828">
        <f t="shared" ca="1" si="32"/>
        <v>2.3581638161785309E-2</v>
      </c>
    </row>
    <row r="829" spans="7:8" x14ac:dyDescent="0.3">
      <c r="G829">
        <v>822</v>
      </c>
      <c r="H829">
        <f t="shared" ca="1" si="32"/>
        <v>2.7059580496666839E-2</v>
      </c>
    </row>
    <row r="830" spans="7:8" x14ac:dyDescent="0.3">
      <c r="G830">
        <v>823</v>
      </c>
      <c r="H830">
        <f t="shared" ca="1" si="32"/>
        <v>-3.2865230297676913E-3</v>
      </c>
    </row>
    <row r="831" spans="7:8" x14ac:dyDescent="0.3">
      <c r="G831">
        <v>824</v>
      </c>
      <c r="H831">
        <f t="shared" ca="1" si="32"/>
        <v>-1.5183248869539112E-2</v>
      </c>
    </row>
    <row r="832" spans="7:8" x14ac:dyDescent="0.3">
      <c r="G832">
        <v>825</v>
      </c>
      <c r="H832">
        <f t="shared" ca="1" si="32"/>
        <v>-1.845015972860178E-2</v>
      </c>
    </row>
    <row r="833" spans="7:8" x14ac:dyDescent="0.3">
      <c r="G833">
        <v>826</v>
      </c>
      <c r="H833">
        <f t="shared" ca="1" si="32"/>
        <v>2.5029148844488352E-2</v>
      </c>
    </row>
    <row r="834" spans="7:8" x14ac:dyDescent="0.3">
      <c r="G834">
        <v>827</v>
      </c>
      <c r="H834">
        <f t="shared" ca="1" si="32"/>
        <v>-1.3532353504624414E-2</v>
      </c>
    </row>
    <row r="835" spans="7:8" x14ac:dyDescent="0.3">
      <c r="G835">
        <v>828</v>
      </c>
      <c r="H835">
        <f t="shared" ca="1" si="32"/>
        <v>3.4362695561277776E-3</v>
      </c>
    </row>
    <row r="836" spans="7:8" x14ac:dyDescent="0.3">
      <c r="G836">
        <v>829</v>
      </c>
      <c r="H836">
        <f t="shared" ca="1" si="32"/>
        <v>1.4429237428354816E-2</v>
      </c>
    </row>
    <row r="837" spans="7:8" x14ac:dyDescent="0.3">
      <c r="G837">
        <v>830</v>
      </c>
      <c r="H837">
        <f t="shared" ca="1" si="32"/>
        <v>3.1421598173754679E-2</v>
      </c>
    </row>
    <row r="838" spans="7:8" x14ac:dyDescent="0.3">
      <c r="G838">
        <v>831</v>
      </c>
      <c r="H838">
        <f t="shared" ca="1" si="32"/>
        <v>1.271256598575928E-2</v>
      </c>
    </row>
    <row r="839" spans="7:8" x14ac:dyDescent="0.3">
      <c r="G839">
        <v>832</v>
      </c>
      <c r="H839">
        <f t="shared" ca="1" si="32"/>
        <v>6.8741037121387042E-3</v>
      </c>
    </row>
    <row r="840" spans="7:8" x14ac:dyDescent="0.3">
      <c r="G840">
        <v>833</v>
      </c>
      <c r="H840">
        <f t="shared" ca="1" si="32"/>
        <v>2.3461608112708306E-2</v>
      </c>
    </row>
    <row r="841" spans="7:8" x14ac:dyDescent="0.3">
      <c r="G841">
        <v>834</v>
      </c>
      <c r="H841">
        <f t="shared" ref="H841:H904" ca="1" si="33">_xlfn.NORM.INV(RAND(),$N$10,$N$11)</f>
        <v>1.2026637424185183E-2</v>
      </c>
    </row>
    <row r="842" spans="7:8" x14ac:dyDescent="0.3">
      <c r="G842">
        <v>835</v>
      </c>
      <c r="H842">
        <f t="shared" ca="1" si="33"/>
        <v>2.3704463043210691E-2</v>
      </c>
    </row>
    <row r="843" spans="7:8" x14ac:dyDescent="0.3">
      <c r="G843">
        <v>836</v>
      </c>
      <c r="H843">
        <f t="shared" ca="1" si="33"/>
        <v>-1.0894224583286555E-2</v>
      </c>
    </row>
    <row r="844" spans="7:8" x14ac:dyDescent="0.3">
      <c r="G844">
        <v>837</v>
      </c>
      <c r="H844">
        <f t="shared" ca="1" si="33"/>
        <v>1.1336131542016521E-2</v>
      </c>
    </row>
    <row r="845" spans="7:8" x14ac:dyDescent="0.3">
      <c r="G845">
        <v>838</v>
      </c>
      <c r="H845">
        <f t="shared" ca="1" si="33"/>
        <v>1.8673764734973269E-2</v>
      </c>
    </row>
    <row r="846" spans="7:8" x14ac:dyDescent="0.3">
      <c r="G846">
        <v>839</v>
      </c>
      <c r="H846">
        <f t="shared" ca="1" si="33"/>
        <v>1.2439870644237684E-2</v>
      </c>
    </row>
    <row r="847" spans="7:8" x14ac:dyDescent="0.3">
      <c r="G847">
        <v>840</v>
      </c>
      <c r="H847">
        <f t="shared" ca="1" si="33"/>
        <v>3.5156790496329374E-3</v>
      </c>
    </row>
    <row r="848" spans="7:8" x14ac:dyDescent="0.3">
      <c r="G848">
        <v>841</v>
      </c>
      <c r="H848">
        <f t="shared" ca="1" si="33"/>
        <v>1.6139160189475279E-2</v>
      </c>
    </row>
    <row r="849" spans="7:8" x14ac:dyDescent="0.3">
      <c r="G849">
        <v>842</v>
      </c>
      <c r="H849">
        <f t="shared" ca="1" si="33"/>
        <v>2.1082151977541746E-2</v>
      </c>
    </row>
    <row r="850" spans="7:8" x14ac:dyDescent="0.3">
      <c r="G850">
        <v>843</v>
      </c>
      <c r="H850">
        <f t="shared" ca="1" si="33"/>
        <v>-5.0480693932873893E-3</v>
      </c>
    </row>
    <row r="851" spans="7:8" x14ac:dyDescent="0.3">
      <c r="G851">
        <v>844</v>
      </c>
      <c r="H851">
        <f t="shared" ca="1" si="33"/>
        <v>-2.6478528463866894E-2</v>
      </c>
    </row>
    <row r="852" spans="7:8" x14ac:dyDescent="0.3">
      <c r="G852">
        <v>845</v>
      </c>
      <c r="H852">
        <f t="shared" ca="1" si="33"/>
        <v>9.3018203013642067E-3</v>
      </c>
    </row>
    <row r="853" spans="7:8" x14ac:dyDescent="0.3">
      <c r="G853">
        <v>846</v>
      </c>
      <c r="H853">
        <f t="shared" ca="1" si="33"/>
        <v>-2.3375163311646102E-2</v>
      </c>
    </row>
    <row r="854" spans="7:8" x14ac:dyDescent="0.3">
      <c r="G854">
        <v>847</v>
      </c>
      <c r="H854">
        <f t="shared" ca="1" si="33"/>
        <v>-6.4407684062545599E-3</v>
      </c>
    </row>
    <row r="855" spans="7:8" x14ac:dyDescent="0.3">
      <c r="G855">
        <v>848</v>
      </c>
      <c r="H855">
        <f t="shared" ca="1" si="33"/>
        <v>-1.6131184716629703E-2</v>
      </c>
    </row>
    <row r="856" spans="7:8" x14ac:dyDescent="0.3">
      <c r="G856">
        <v>849</v>
      </c>
      <c r="H856">
        <f t="shared" ca="1" si="33"/>
        <v>1.9977637853933597E-2</v>
      </c>
    </row>
    <row r="857" spans="7:8" x14ac:dyDescent="0.3">
      <c r="G857">
        <v>850</v>
      </c>
      <c r="H857">
        <f t="shared" ca="1" si="33"/>
        <v>-1.6160021036053161E-2</v>
      </c>
    </row>
    <row r="858" spans="7:8" x14ac:dyDescent="0.3">
      <c r="G858">
        <v>851</v>
      </c>
      <c r="H858">
        <f t="shared" ca="1" si="33"/>
        <v>-5.8129801636301239E-3</v>
      </c>
    </row>
    <row r="859" spans="7:8" x14ac:dyDescent="0.3">
      <c r="G859">
        <v>852</v>
      </c>
      <c r="H859">
        <f t="shared" ca="1" si="33"/>
        <v>6.4688417340378413E-3</v>
      </c>
    </row>
    <row r="860" spans="7:8" x14ac:dyDescent="0.3">
      <c r="G860">
        <v>853</v>
      </c>
      <c r="H860">
        <f t="shared" ca="1" si="33"/>
        <v>-1.0208949957516424E-2</v>
      </c>
    </row>
    <row r="861" spans="7:8" x14ac:dyDescent="0.3">
      <c r="G861">
        <v>854</v>
      </c>
      <c r="H861">
        <f t="shared" ca="1" si="33"/>
        <v>2.9606092321474205E-3</v>
      </c>
    </row>
    <row r="862" spans="7:8" x14ac:dyDescent="0.3">
      <c r="G862">
        <v>855</v>
      </c>
      <c r="H862">
        <f t="shared" ca="1" si="33"/>
        <v>1.2414262428783256E-2</v>
      </c>
    </row>
    <row r="863" spans="7:8" x14ac:dyDescent="0.3">
      <c r="G863">
        <v>856</v>
      </c>
      <c r="H863">
        <f t="shared" ca="1" si="33"/>
        <v>-4.0479052885059206E-3</v>
      </c>
    </row>
    <row r="864" spans="7:8" x14ac:dyDescent="0.3">
      <c r="G864">
        <v>857</v>
      </c>
      <c r="H864">
        <f t="shared" ca="1" si="33"/>
        <v>-1.6347936402244974E-2</v>
      </c>
    </row>
    <row r="865" spans="7:8" x14ac:dyDescent="0.3">
      <c r="G865">
        <v>858</v>
      </c>
      <c r="H865">
        <f t="shared" ca="1" si="33"/>
        <v>-8.7231251039424258E-3</v>
      </c>
    </row>
    <row r="866" spans="7:8" x14ac:dyDescent="0.3">
      <c r="G866">
        <v>859</v>
      </c>
      <c r="H866">
        <f t="shared" ca="1" si="33"/>
        <v>1.6106986582705558E-2</v>
      </c>
    </row>
    <row r="867" spans="7:8" x14ac:dyDescent="0.3">
      <c r="G867">
        <v>860</v>
      </c>
      <c r="H867">
        <f t="shared" ca="1" si="33"/>
        <v>1.6167790262546812E-2</v>
      </c>
    </row>
    <row r="868" spans="7:8" x14ac:dyDescent="0.3">
      <c r="G868">
        <v>861</v>
      </c>
      <c r="H868">
        <f t="shared" ca="1" si="33"/>
        <v>1.5289982882537273E-2</v>
      </c>
    </row>
    <row r="869" spans="7:8" x14ac:dyDescent="0.3">
      <c r="G869">
        <v>862</v>
      </c>
      <c r="H869">
        <f t="shared" ca="1" si="33"/>
        <v>1.3240827590262225E-2</v>
      </c>
    </row>
    <row r="870" spans="7:8" x14ac:dyDescent="0.3">
      <c r="G870">
        <v>863</v>
      </c>
      <c r="H870">
        <f t="shared" ca="1" si="33"/>
        <v>2.3736988922465289E-2</v>
      </c>
    </row>
    <row r="871" spans="7:8" x14ac:dyDescent="0.3">
      <c r="G871">
        <v>864</v>
      </c>
      <c r="H871">
        <f t="shared" ca="1" si="33"/>
        <v>2.1574196258291106E-3</v>
      </c>
    </row>
    <row r="872" spans="7:8" x14ac:dyDescent="0.3">
      <c r="G872">
        <v>865</v>
      </c>
      <c r="H872">
        <f t="shared" ca="1" si="33"/>
        <v>-3.4845790630014951E-2</v>
      </c>
    </row>
    <row r="873" spans="7:8" x14ac:dyDescent="0.3">
      <c r="G873">
        <v>866</v>
      </c>
      <c r="H873">
        <f t="shared" ca="1" si="33"/>
        <v>-1.4222517609447717E-2</v>
      </c>
    </row>
    <row r="874" spans="7:8" x14ac:dyDescent="0.3">
      <c r="G874">
        <v>867</v>
      </c>
      <c r="H874">
        <f t="shared" ca="1" si="33"/>
        <v>1.7667852707326199E-2</v>
      </c>
    </row>
    <row r="875" spans="7:8" x14ac:dyDescent="0.3">
      <c r="G875">
        <v>868</v>
      </c>
      <c r="H875">
        <f t="shared" ca="1" si="33"/>
        <v>5.3608358363931912E-3</v>
      </c>
    </row>
    <row r="876" spans="7:8" x14ac:dyDescent="0.3">
      <c r="G876">
        <v>869</v>
      </c>
      <c r="H876">
        <f t="shared" ca="1" si="33"/>
        <v>2.8752730184712635E-2</v>
      </c>
    </row>
    <row r="877" spans="7:8" x14ac:dyDescent="0.3">
      <c r="G877">
        <v>870</v>
      </c>
      <c r="H877">
        <f t="shared" ca="1" si="33"/>
        <v>-1.1403178697427926E-2</v>
      </c>
    </row>
    <row r="878" spans="7:8" x14ac:dyDescent="0.3">
      <c r="G878">
        <v>871</v>
      </c>
      <c r="H878">
        <f t="shared" ca="1" si="33"/>
        <v>1.4697507675941537E-2</v>
      </c>
    </row>
    <row r="879" spans="7:8" x14ac:dyDescent="0.3">
      <c r="G879">
        <v>872</v>
      </c>
      <c r="H879">
        <f t="shared" ca="1" si="33"/>
        <v>-1.5524617815120307E-2</v>
      </c>
    </row>
    <row r="880" spans="7:8" x14ac:dyDescent="0.3">
      <c r="G880">
        <v>873</v>
      </c>
      <c r="H880">
        <f t="shared" ca="1" si="33"/>
        <v>2.1987163841326655E-2</v>
      </c>
    </row>
    <row r="881" spans="7:8" x14ac:dyDescent="0.3">
      <c r="G881">
        <v>874</v>
      </c>
      <c r="H881">
        <f t="shared" ca="1" si="33"/>
        <v>2.3076354420241984E-2</v>
      </c>
    </row>
    <row r="882" spans="7:8" x14ac:dyDescent="0.3">
      <c r="G882">
        <v>875</v>
      </c>
      <c r="H882">
        <f t="shared" ca="1" si="33"/>
        <v>2.8207588200261321E-3</v>
      </c>
    </row>
    <row r="883" spans="7:8" x14ac:dyDescent="0.3">
      <c r="G883">
        <v>876</v>
      </c>
      <c r="H883">
        <f t="shared" ca="1" si="33"/>
        <v>4.0499396611012185E-2</v>
      </c>
    </row>
    <row r="884" spans="7:8" x14ac:dyDescent="0.3">
      <c r="G884">
        <v>877</v>
      </c>
      <c r="H884">
        <f t="shared" ca="1" si="33"/>
        <v>-5.3816942895278342E-3</v>
      </c>
    </row>
    <row r="885" spans="7:8" x14ac:dyDescent="0.3">
      <c r="G885">
        <v>878</v>
      </c>
      <c r="H885">
        <f t="shared" ca="1" si="33"/>
        <v>3.9419290614071609E-2</v>
      </c>
    </row>
    <row r="886" spans="7:8" x14ac:dyDescent="0.3">
      <c r="G886">
        <v>879</v>
      </c>
      <c r="H886">
        <f t="shared" ca="1" si="33"/>
        <v>7.8888126841615194E-3</v>
      </c>
    </row>
    <row r="887" spans="7:8" x14ac:dyDescent="0.3">
      <c r="G887">
        <v>880</v>
      </c>
      <c r="H887">
        <f t="shared" ca="1" si="33"/>
        <v>4.1771813994857403E-2</v>
      </c>
    </row>
    <row r="888" spans="7:8" x14ac:dyDescent="0.3">
      <c r="G888">
        <v>881</v>
      </c>
      <c r="H888">
        <f t="shared" ca="1" si="33"/>
        <v>-5.2973937497211212E-3</v>
      </c>
    </row>
    <row r="889" spans="7:8" x14ac:dyDescent="0.3">
      <c r="G889">
        <v>882</v>
      </c>
      <c r="H889">
        <f t="shared" ca="1" si="33"/>
        <v>-2.7674674640065299E-2</v>
      </c>
    </row>
    <row r="890" spans="7:8" x14ac:dyDescent="0.3">
      <c r="G890">
        <v>883</v>
      </c>
      <c r="H890">
        <f t="shared" ca="1" si="33"/>
        <v>1.7269019168007604E-2</v>
      </c>
    </row>
    <row r="891" spans="7:8" x14ac:dyDescent="0.3">
      <c r="G891">
        <v>884</v>
      </c>
      <c r="H891">
        <f t="shared" ca="1" si="33"/>
        <v>1.066681043797981E-3</v>
      </c>
    </row>
    <row r="892" spans="7:8" x14ac:dyDescent="0.3">
      <c r="G892">
        <v>885</v>
      </c>
      <c r="H892">
        <f t="shared" ca="1" si="33"/>
        <v>1.8302391420404365E-2</v>
      </c>
    </row>
    <row r="893" spans="7:8" x14ac:dyDescent="0.3">
      <c r="G893">
        <v>886</v>
      </c>
      <c r="H893">
        <f t="shared" ca="1" si="33"/>
        <v>-9.2971436435380483E-3</v>
      </c>
    </row>
    <row r="894" spans="7:8" x14ac:dyDescent="0.3">
      <c r="G894">
        <v>887</v>
      </c>
      <c r="H894">
        <f t="shared" ca="1" si="33"/>
        <v>1.9103658663532214E-2</v>
      </c>
    </row>
    <row r="895" spans="7:8" x14ac:dyDescent="0.3">
      <c r="G895">
        <v>888</v>
      </c>
      <c r="H895">
        <f t="shared" ca="1" si="33"/>
        <v>6.4121239866295624E-3</v>
      </c>
    </row>
    <row r="896" spans="7:8" x14ac:dyDescent="0.3">
      <c r="G896">
        <v>889</v>
      </c>
      <c r="H896">
        <f t="shared" ca="1" si="33"/>
        <v>1.5315581689908321E-2</v>
      </c>
    </row>
    <row r="897" spans="7:8" x14ac:dyDescent="0.3">
      <c r="G897">
        <v>890</v>
      </c>
      <c r="H897">
        <f t="shared" ca="1" si="33"/>
        <v>-7.964651047400852E-3</v>
      </c>
    </row>
    <row r="898" spans="7:8" x14ac:dyDescent="0.3">
      <c r="G898">
        <v>891</v>
      </c>
      <c r="H898">
        <f t="shared" ca="1" si="33"/>
        <v>-1.7125443966934644E-2</v>
      </c>
    </row>
    <row r="899" spans="7:8" x14ac:dyDescent="0.3">
      <c r="G899">
        <v>892</v>
      </c>
      <c r="H899">
        <f t="shared" ca="1" si="33"/>
        <v>-1.328063237673974E-4</v>
      </c>
    </row>
    <row r="900" spans="7:8" x14ac:dyDescent="0.3">
      <c r="G900">
        <v>893</v>
      </c>
      <c r="H900">
        <f t="shared" ca="1" si="33"/>
        <v>-2.1187673617725261E-3</v>
      </c>
    </row>
    <row r="901" spans="7:8" x14ac:dyDescent="0.3">
      <c r="G901">
        <v>894</v>
      </c>
      <c r="H901">
        <f t="shared" ca="1" si="33"/>
        <v>1.0987414319953585E-2</v>
      </c>
    </row>
    <row r="902" spans="7:8" x14ac:dyDescent="0.3">
      <c r="G902">
        <v>895</v>
      </c>
      <c r="H902">
        <f t="shared" ca="1" si="33"/>
        <v>1.133115760249509E-2</v>
      </c>
    </row>
    <row r="903" spans="7:8" x14ac:dyDescent="0.3">
      <c r="G903">
        <v>896</v>
      </c>
      <c r="H903">
        <f t="shared" ca="1" si="33"/>
        <v>-2.2550806294797726E-3</v>
      </c>
    </row>
    <row r="904" spans="7:8" x14ac:dyDescent="0.3">
      <c r="G904">
        <v>897</v>
      </c>
      <c r="H904">
        <f t="shared" ca="1" si="33"/>
        <v>2.7399910019566789E-2</v>
      </c>
    </row>
    <row r="905" spans="7:8" x14ac:dyDescent="0.3">
      <c r="G905">
        <v>898</v>
      </c>
      <c r="H905">
        <f t="shared" ref="H905:H968" ca="1" si="34">_xlfn.NORM.INV(RAND(),$N$10,$N$11)</f>
        <v>3.4208943929271159E-2</v>
      </c>
    </row>
    <row r="906" spans="7:8" x14ac:dyDescent="0.3">
      <c r="G906">
        <v>899</v>
      </c>
      <c r="H906">
        <f t="shared" ca="1" si="34"/>
        <v>-2.9044603086767753E-4</v>
      </c>
    </row>
    <row r="907" spans="7:8" x14ac:dyDescent="0.3">
      <c r="G907">
        <v>900</v>
      </c>
      <c r="H907">
        <f t="shared" ca="1" si="34"/>
        <v>-5.4191074261546787E-3</v>
      </c>
    </row>
    <row r="908" spans="7:8" x14ac:dyDescent="0.3">
      <c r="G908">
        <v>901</v>
      </c>
      <c r="H908">
        <f t="shared" ca="1" si="34"/>
        <v>-1.6588354356547651E-3</v>
      </c>
    </row>
    <row r="909" spans="7:8" x14ac:dyDescent="0.3">
      <c r="G909">
        <v>902</v>
      </c>
      <c r="H909">
        <f t="shared" ca="1" si="34"/>
        <v>-1.4875715307117883E-2</v>
      </c>
    </row>
    <row r="910" spans="7:8" x14ac:dyDescent="0.3">
      <c r="G910">
        <v>903</v>
      </c>
      <c r="H910">
        <f t="shared" ca="1" si="34"/>
        <v>5.4956968865604479E-3</v>
      </c>
    </row>
    <row r="911" spans="7:8" x14ac:dyDescent="0.3">
      <c r="G911">
        <v>904</v>
      </c>
      <c r="H911">
        <f t="shared" ca="1" si="34"/>
        <v>9.2702112382276203E-3</v>
      </c>
    </row>
    <row r="912" spans="7:8" x14ac:dyDescent="0.3">
      <c r="G912">
        <v>905</v>
      </c>
      <c r="H912">
        <f t="shared" ca="1" si="34"/>
        <v>-1.7046940629670687E-2</v>
      </c>
    </row>
    <row r="913" spans="7:8" x14ac:dyDescent="0.3">
      <c r="G913">
        <v>906</v>
      </c>
      <c r="H913">
        <f t="shared" ca="1" si="34"/>
        <v>-1.1605408606960226E-2</v>
      </c>
    </row>
    <row r="914" spans="7:8" x14ac:dyDescent="0.3">
      <c r="G914">
        <v>907</v>
      </c>
      <c r="H914">
        <f t="shared" ca="1" si="34"/>
        <v>-1.6422108373606106E-2</v>
      </c>
    </row>
    <row r="915" spans="7:8" x14ac:dyDescent="0.3">
      <c r="G915">
        <v>908</v>
      </c>
      <c r="H915">
        <f t="shared" ca="1" si="34"/>
        <v>-9.846797679068868E-3</v>
      </c>
    </row>
    <row r="916" spans="7:8" x14ac:dyDescent="0.3">
      <c r="G916">
        <v>909</v>
      </c>
      <c r="H916">
        <f t="shared" ca="1" si="34"/>
        <v>-2.3023746326749012E-4</v>
      </c>
    </row>
    <row r="917" spans="7:8" x14ac:dyDescent="0.3">
      <c r="G917">
        <v>910</v>
      </c>
      <c r="H917">
        <f t="shared" ca="1" si="34"/>
        <v>4.2797246329921408E-3</v>
      </c>
    </row>
    <row r="918" spans="7:8" x14ac:dyDescent="0.3">
      <c r="G918">
        <v>911</v>
      </c>
      <c r="H918">
        <f t="shared" ca="1" si="34"/>
        <v>-8.7253139101302118E-4</v>
      </c>
    </row>
    <row r="919" spans="7:8" x14ac:dyDescent="0.3">
      <c r="G919">
        <v>912</v>
      </c>
      <c r="H919">
        <f t="shared" ca="1" si="34"/>
        <v>3.4504722669516639E-3</v>
      </c>
    </row>
    <row r="920" spans="7:8" x14ac:dyDescent="0.3">
      <c r="G920">
        <v>913</v>
      </c>
      <c r="H920">
        <f t="shared" ca="1" si="34"/>
        <v>-1.7160801342636287E-2</v>
      </c>
    </row>
    <row r="921" spans="7:8" x14ac:dyDescent="0.3">
      <c r="G921">
        <v>914</v>
      </c>
      <c r="H921">
        <f t="shared" ca="1" si="34"/>
        <v>3.706216355273851E-2</v>
      </c>
    </row>
    <row r="922" spans="7:8" x14ac:dyDescent="0.3">
      <c r="G922">
        <v>915</v>
      </c>
      <c r="H922">
        <f t="shared" ca="1" si="34"/>
        <v>1.1217632169143918E-2</v>
      </c>
    </row>
    <row r="923" spans="7:8" x14ac:dyDescent="0.3">
      <c r="G923">
        <v>916</v>
      </c>
      <c r="H923">
        <f t="shared" ca="1" si="34"/>
        <v>7.626863083649296E-3</v>
      </c>
    </row>
    <row r="924" spans="7:8" x14ac:dyDescent="0.3">
      <c r="G924">
        <v>917</v>
      </c>
      <c r="H924">
        <f t="shared" ca="1" si="34"/>
        <v>3.2083757346733466E-2</v>
      </c>
    </row>
    <row r="925" spans="7:8" x14ac:dyDescent="0.3">
      <c r="G925">
        <v>918</v>
      </c>
      <c r="H925">
        <f t="shared" ca="1" si="34"/>
        <v>1.1559301653497285E-2</v>
      </c>
    </row>
    <row r="926" spans="7:8" x14ac:dyDescent="0.3">
      <c r="G926">
        <v>919</v>
      </c>
      <c r="H926">
        <f t="shared" ca="1" si="34"/>
        <v>-1.2988493340811477E-2</v>
      </c>
    </row>
    <row r="927" spans="7:8" x14ac:dyDescent="0.3">
      <c r="G927">
        <v>920</v>
      </c>
      <c r="H927">
        <f t="shared" ca="1" si="34"/>
        <v>-1.5275178844361638E-2</v>
      </c>
    </row>
    <row r="928" spans="7:8" x14ac:dyDescent="0.3">
      <c r="G928">
        <v>921</v>
      </c>
      <c r="H928">
        <f t="shared" ca="1" si="34"/>
        <v>1.239351008163613E-2</v>
      </c>
    </row>
    <row r="929" spans="7:8" x14ac:dyDescent="0.3">
      <c r="G929">
        <v>922</v>
      </c>
      <c r="H929">
        <f t="shared" ca="1" si="34"/>
        <v>-1.3589384659354374E-2</v>
      </c>
    </row>
    <row r="930" spans="7:8" x14ac:dyDescent="0.3">
      <c r="G930">
        <v>923</v>
      </c>
      <c r="H930">
        <f t="shared" ca="1" si="34"/>
        <v>2.0088785656013755E-2</v>
      </c>
    </row>
    <row r="931" spans="7:8" x14ac:dyDescent="0.3">
      <c r="G931">
        <v>924</v>
      </c>
      <c r="H931">
        <f t="shared" ca="1" si="34"/>
        <v>-5.5730180384082947E-3</v>
      </c>
    </row>
    <row r="932" spans="7:8" x14ac:dyDescent="0.3">
      <c r="G932">
        <v>925</v>
      </c>
      <c r="H932">
        <f t="shared" ca="1" si="34"/>
        <v>2.1821280114633919E-2</v>
      </c>
    </row>
    <row r="933" spans="7:8" x14ac:dyDescent="0.3">
      <c r="G933">
        <v>926</v>
      </c>
      <c r="H933">
        <f t="shared" ca="1" si="34"/>
        <v>2.4241553148696977E-2</v>
      </c>
    </row>
    <row r="934" spans="7:8" x14ac:dyDescent="0.3">
      <c r="G934">
        <v>927</v>
      </c>
      <c r="H934">
        <f t="shared" ca="1" si="34"/>
        <v>2.8729028296811993E-3</v>
      </c>
    </row>
    <row r="935" spans="7:8" x14ac:dyDescent="0.3">
      <c r="G935">
        <v>928</v>
      </c>
      <c r="H935">
        <f t="shared" ca="1" si="34"/>
        <v>-2.8218644002483469E-3</v>
      </c>
    </row>
    <row r="936" spans="7:8" x14ac:dyDescent="0.3">
      <c r="G936">
        <v>929</v>
      </c>
      <c r="H936">
        <f t="shared" ca="1" si="34"/>
        <v>-1.4717068320977123E-2</v>
      </c>
    </row>
    <row r="937" spans="7:8" x14ac:dyDescent="0.3">
      <c r="G937">
        <v>930</v>
      </c>
      <c r="H937">
        <f t="shared" ca="1" si="34"/>
        <v>4.4908265963277362E-3</v>
      </c>
    </row>
    <row r="938" spans="7:8" x14ac:dyDescent="0.3">
      <c r="G938">
        <v>931</v>
      </c>
      <c r="H938">
        <f t="shared" ca="1" si="34"/>
        <v>-1.3384936862512752E-2</v>
      </c>
    </row>
    <row r="939" spans="7:8" x14ac:dyDescent="0.3">
      <c r="G939">
        <v>932</v>
      </c>
      <c r="H939">
        <f t="shared" ca="1" si="34"/>
        <v>1.8736863226474533E-2</v>
      </c>
    </row>
    <row r="940" spans="7:8" x14ac:dyDescent="0.3">
      <c r="G940">
        <v>933</v>
      </c>
      <c r="H940">
        <f t="shared" ca="1" si="34"/>
        <v>-1.0489121263928987E-3</v>
      </c>
    </row>
    <row r="941" spans="7:8" x14ac:dyDescent="0.3">
      <c r="G941">
        <v>934</v>
      </c>
      <c r="H941">
        <f t="shared" ca="1" si="34"/>
        <v>3.2149112482569964E-2</v>
      </c>
    </row>
    <row r="942" spans="7:8" x14ac:dyDescent="0.3">
      <c r="G942">
        <v>935</v>
      </c>
      <c r="H942">
        <f t="shared" ca="1" si="34"/>
        <v>5.1818531315216011E-3</v>
      </c>
    </row>
    <row r="943" spans="7:8" x14ac:dyDescent="0.3">
      <c r="G943">
        <v>936</v>
      </c>
      <c r="H943">
        <f t="shared" ca="1" si="34"/>
        <v>-5.4733805882073083E-3</v>
      </c>
    </row>
    <row r="944" spans="7:8" x14ac:dyDescent="0.3">
      <c r="G944">
        <v>937</v>
      </c>
      <c r="H944">
        <f t="shared" ca="1" si="34"/>
        <v>8.2620159063420272E-4</v>
      </c>
    </row>
    <row r="945" spans="7:8" x14ac:dyDescent="0.3">
      <c r="G945">
        <v>938</v>
      </c>
      <c r="H945">
        <f t="shared" ca="1" si="34"/>
        <v>1.3050438969323284E-2</v>
      </c>
    </row>
    <row r="946" spans="7:8" x14ac:dyDescent="0.3">
      <c r="G946">
        <v>939</v>
      </c>
      <c r="H946">
        <f t="shared" ca="1" si="34"/>
        <v>1.6704892840119237E-2</v>
      </c>
    </row>
    <row r="947" spans="7:8" x14ac:dyDescent="0.3">
      <c r="G947">
        <v>940</v>
      </c>
      <c r="H947">
        <f t="shared" ca="1" si="34"/>
        <v>-6.5181686603817974E-3</v>
      </c>
    </row>
    <row r="948" spans="7:8" x14ac:dyDescent="0.3">
      <c r="G948">
        <v>941</v>
      </c>
      <c r="H948">
        <f t="shared" ca="1" si="34"/>
        <v>2.7094351654211063E-2</v>
      </c>
    </row>
    <row r="949" spans="7:8" x14ac:dyDescent="0.3">
      <c r="G949">
        <v>942</v>
      </c>
      <c r="H949">
        <f t="shared" ca="1" si="34"/>
        <v>-1.2283497395916759E-2</v>
      </c>
    </row>
    <row r="950" spans="7:8" x14ac:dyDescent="0.3">
      <c r="G950">
        <v>943</v>
      </c>
      <c r="H950">
        <f t="shared" ca="1" si="34"/>
        <v>1.3114313633361361E-2</v>
      </c>
    </row>
    <row r="951" spans="7:8" x14ac:dyDescent="0.3">
      <c r="G951">
        <v>944</v>
      </c>
      <c r="H951">
        <f t="shared" ca="1" si="34"/>
        <v>-6.2941429251777252E-3</v>
      </c>
    </row>
    <row r="952" spans="7:8" x14ac:dyDescent="0.3">
      <c r="G952">
        <v>945</v>
      </c>
      <c r="H952">
        <f t="shared" ca="1" si="34"/>
        <v>-2.4374645498906845E-3</v>
      </c>
    </row>
    <row r="953" spans="7:8" x14ac:dyDescent="0.3">
      <c r="G953">
        <v>946</v>
      </c>
      <c r="H953">
        <f t="shared" ca="1" si="34"/>
        <v>1.6613359012479713E-2</v>
      </c>
    </row>
    <row r="954" spans="7:8" x14ac:dyDescent="0.3">
      <c r="G954">
        <v>947</v>
      </c>
      <c r="H954">
        <f t="shared" ca="1" si="34"/>
        <v>1.2838869316789544E-2</v>
      </c>
    </row>
    <row r="955" spans="7:8" x14ac:dyDescent="0.3">
      <c r="G955">
        <v>948</v>
      </c>
      <c r="H955">
        <f t="shared" ca="1" si="34"/>
        <v>1.8565233317428795E-2</v>
      </c>
    </row>
    <row r="956" spans="7:8" x14ac:dyDescent="0.3">
      <c r="G956">
        <v>949</v>
      </c>
      <c r="H956">
        <f t="shared" ca="1" si="34"/>
        <v>-2.4252110626458986E-2</v>
      </c>
    </row>
    <row r="957" spans="7:8" x14ac:dyDescent="0.3">
      <c r="G957">
        <v>950</v>
      </c>
      <c r="H957">
        <f t="shared" ca="1" si="34"/>
        <v>3.0844210709796756E-2</v>
      </c>
    </row>
    <row r="958" spans="7:8" x14ac:dyDescent="0.3">
      <c r="G958">
        <v>951</v>
      </c>
      <c r="H958">
        <f t="shared" ca="1" si="34"/>
        <v>2.2450733514794308E-2</v>
      </c>
    </row>
    <row r="959" spans="7:8" x14ac:dyDescent="0.3">
      <c r="G959">
        <v>952</v>
      </c>
      <c r="H959">
        <f t="shared" ca="1" si="34"/>
        <v>-2.979142495100838E-2</v>
      </c>
    </row>
    <row r="960" spans="7:8" x14ac:dyDescent="0.3">
      <c r="G960">
        <v>953</v>
      </c>
      <c r="H960">
        <f t="shared" ca="1" si="34"/>
        <v>2.2580203274550584E-2</v>
      </c>
    </row>
    <row r="961" spans="7:8" x14ac:dyDescent="0.3">
      <c r="G961">
        <v>954</v>
      </c>
      <c r="H961">
        <f t="shared" ca="1" si="34"/>
        <v>-1.0714003816406227E-2</v>
      </c>
    </row>
    <row r="962" spans="7:8" x14ac:dyDescent="0.3">
      <c r="G962">
        <v>955</v>
      </c>
      <c r="H962">
        <f t="shared" ca="1" si="34"/>
        <v>1.595436864776234E-2</v>
      </c>
    </row>
    <row r="963" spans="7:8" x14ac:dyDescent="0.3">
      <c r="G963">
        <v>956</v>
      </c>
      <c r="H963">
        <f t="shared" ca="1" si="34"/>
        <v>-2.6033449343433893E-2</v>
      </c>
    </row>
    <row r="964" spans="7:8" x14ac:dyDescent="0.3">
      <c r="G964">
        <v>957</v>
      </c>
      <c r="H964">
        <f t="shared" ca="1" si="34"/>
        <v>-1.2070619656546874E-2</v>
      </c>
    </row>
    <row r="965" spans="7:8" x14ac:dyDescent="0.3">
      <c r="G965">
        <v>958</v>
      </c>
      <c r="H965">
        <f t="shared" ca="1" si="34"/>
        <v>-2.097425643134533E-3</v>
      </c>
    </row>
    <row r="966" spans="7:8" x14ac:dyDescent="0.3">
      <c r="G966">
        <v>959</v>
      </c>
      <c r="H966">
        <f t="shared" ca="1" si="34"/>
        <v>-8.0426358941483658E-3</v>
      </c>
    </row>
    <row r="967" spans="7:8" x14ac:dyDescent="0.3">
      <c r="G967">
        <v>960</v>
      </c>
      <c r="H967">
        <f t="shared" ca="1" si="34"/>
        <v>-9.8732007077313826E-3</v>
      </c>
    </row>
    <row r="968" spans="7:8" x14ac:dyDescent="0.3">
      <c r="G968">
        <v>961</v>
      </c>
      <c r="H968">
        <f t="shared" ca="1" si="34"/>
        <v>6.0488571434337253E-4</v>
      </c>
    </row>
    <row r="969" spans="7:8" x14ac:dyDescent="0.3">
      <c r="G969">
        <v>962</v>
      </c>
      <c r="H969">
        <f t="shared" ref="H969:H1032" ca="1" si="35">_xlfn.NORM.INV(RAND(),$N$10,$N$11)</f>
        <v>-1.5571974503060049E-2</v>
      </c>
    </row>
    <row r="970" spans="7:8" x14ac:dyDescent="0.3">
      <c r="G970">
        <v>963</v>
      </c>
      <c r="H970">
        <f t="shared" ca="1" si="35"/>
        <v>1.0157159463994812E-2</v>
      </c>
    </row>
    <row r="971" spans="7:8" x14ac:dyDescent="0.3">
      <c r="G971">
        <v>964</v>
      </c>
      <c r="H971">
        <f t="shared" ca="1" si="35"/>
        <v>-4.9326575016630202E-3</v>
      </c>
    </row>
    <row r="972" spans="7:8" x14ac:dyDescent="0.3">
      <c r="G972">
        <v>965</v>
      </c>
      <c r="H972">
        <f t="shared" ca="1" si="35"/>
        <v>-3.699319457416297E-4</v>
      </c>
    </row>
    <row r="973" spans="7:8" x14ac:dyDescent="0.3">
      <c r="G973">
        <v>966</v>
      </c>
      <c r="H973">
        <f t="shared" ca="1" si="35"/>
        <v>1.7648305278671263E-2</v>
      </c>
    </row>
    <row r="974" spans="7:8" x14ac:dyDescent="0.3">
      <c r="G974">
        <v>967</v>
      </c>
      <c r="H974">
        <f t="shared" ca="1" si="35"/>
        <v>1.0366943688812484E-2</v>
      </c>
    </row>
    <row r="975" spans="7:8" x14ac:dyDescent="0.3">
      <c r="G975">
        <v>968</v>
      </c>
      <c r="H975">
        <f t="shared" ca="1" si="35"/>
        <v>8.8787936138860924E-3</v>
      </c>
    </row>
    <row r="976" spans="7:8" x14ac:dyDescent="0.3">
      <c r="G976">
        <v>969</v>
      </c>
      <c r="H976">
        <f t="shared" ca="1" si="35"/>
        <v>1.8561423325633382E-2</v>
      </c>
    </row>
    <row r="977" spans="7:8" x14ac:dyDescent="0.3">
      <c r="G977">
        <v>970</v>
      </c>
      <c r="H977">
        <f t="shared" ca="1" si="35"/>
        <v>-8.8975215816594795E-3</v>
      </c>
    </row>
    <row r="978" spans="7:8" x14ac:dyDescent="0.3">
      <c r="G978">
        <v>971</v>
      </c>
      <c r="H978">
        <f t="shared" ca="1" si="35"/>
        <v>1.1568237609185492E-2</v>
      </c>
    </row>
    <row r="979" spans="7:8" x14ac:dyDescent="0.3">
      <c r="G979">
        <v>972</v>
      </c>
      <c r="H979">
        <f t="shared" ca="1" si="35"/>
        <v>1.5645668919512492E-2</v>
      </c>
    </row>
    <row r="980" spans="7:8" x14ac:dyDescent="0.3">
      <c r="G980">
        <v>973</v>
      </c>
      <c r="H980">
        <f t="shared" ca="1" si="35"/>
        <v>2.1613637699965788E-2</v>
      </c>
    </row>
    <row r="981" spans="7:8" x14ac:dyDescent="0.3">
      <c r="G981">
        <v>974</v>
      </c>
      <c r="H981">
        <f t="shared" ca="1" si="35"/>
        <v>-1.612975035913335E-2</v>
      </c>
    </row>
    <row r="982" spans="7:8" x14ac:dyDescent="0.3">
      <c r="G982">
        <v>975</v>
      </c>
      <c r="H982">
        <f t="shared" ca="1" si="35"/>
        <v>-2.4010682862399533E-3</v>
      </c>
    </row>
    <row r="983" spans="7:8" x14ac:dyDescent="0.3">
      <c r="G983">
        <v>976</v>
      </c>
      <c r="H983">
        <f t="shared" ca="1" si="35"/>
        <v>2.6936763747409825E-3</v>
      </c>
    </row>
    <row r="984" spans="7:8" x14ac:dyDescent="0.3">
      <c r="G984">
        <v>977</v>
      </c>
      <c r="H984">
        <f t="shared" ca="1" si="35"/>
        <v>-1.506126892828724E-2</v>
      </c>
    </row>
    <row r="985" spans="7:8" x14ac:dyDescent="0.3">
      <c r="G985">
        <v>978</v>
      </c>
      <c r="H985">
        <f t="shared" ca="1" si="35"/>
        <v>1.4356273991563648E-2</v>
      </c>
    </row>
    <row r="986" spans="7:8" x14ac:dyDescent="0.3">
      <c r="G986">
        <v>979</v>
      </c>
      <c r="H986">
        <f t="shared" ca="1" si="35"/>
        <v>1.8926830885047893E-3</v>
      </c>
    </row>
    <row r="987" spans="7:8" x14ac:dyDescent="0.3">
      <c r="G987">
        <v>980</v>
      </c>
      <c r="H987">
        <f t="shared" ca="1" si="35"/>
        <v>-1.4881320562993445E-2</v>
      </c>
    </row>
    <row r="988" spans="7:8" x14ac:dyDescent="0.3">
      <c r="G988">
        <v>981</v>
      </c>
      <c r="H988">
        <f t="shared" ca="1" si="35"/>
        <v>1.209456431595682E-2</v>
      </c>
    </row>
    <row r="989" spans="7:8" x14ac:dyDescent="0.3">
      <c r="G989">
        <v>982</v>
      </c>
      <c r="H989">
        <f t="shared" ca="1" si="35"/>
        <v>4.7244634236160172E-3</v>
      </c>
    </row>
    <row r="990" spans="7:8" x14ac:dyDescent="0.3">
      <c r="G990">
        <v>983</v>
      </c>
      <c r="H990">
        <f t="shared" ca="1" si="35"/>
        <v>1.6837953407482113E-2</v>
      </c>
    </row>
    <row r="991" spans="7:8" x14ac:dyDescent="0.3">
      <c r="G991">
        <v>984</v>
      </c>
      <c r="H991">
        <f t="shared" ca="1" si="35"/>
        <v>1.1263151345020993E-2</v>
      </c>
    </row>
    <row r="992" spans="7:8" x14ac:dyDescent="0.3">
      <c r="G992">
        <v>985</v>
      </c>
      <c r="H992">
        <f t="shared" ca="1" si="35"/>
        <v>-7.5366637795586632E-5</v>
      </c>
    </row>
    <row r="993" spans="7:8" x14ac:dyDescent="0.3">
      <c r="G993">
        <v>986</v>
      </c>
      <c r="H993">
        <f t="shared" ca="1" si="35"/>
        <v>-1.0222813406140986E-2</v>
      </c>
    </row>
    <row r="994" spans="7:8" x14ac:dyDescent="0.3">
      <c r="G994">
        <v>987</v>
      </c>
      <c r="H994">
        <f t="shared" ca="1" si="35"/>
        <v>-4.0973771833276233E-4</v>
      </c>
    </row>
    <row r="995" spans="7:8" x14ac:dyDescent="0.3">
      <c r="G995">
        <v>988</v>
      </c>
      <c r="H995">
        <f t="shared" ca="1" si="35"/>
        <v>-2.1658647096841873E-3</v>
      </c>
    </row>
    <row r="996" spans="7:8" x14ac:dyDescent="0.3">
      <c r="G996">
        <v>989</v>
      </c>
      <c r="H996">
        <f t="shared" ca="1" si="35"/>
        <v>5.0072895589490709E-3</v>
      </c>
    </row>
    <row r="997" spans="7:8" x14ac:dyDescent="0.3">
      <c r="G997">
        <v>990</v>
      </c>
      <c r="H997">
        <f t="shared" ca="1" si="35"/>
        <v>1.4058366257936361E-2</v>
      </c>
    </row>
    <row r="998" spans="7:8" x14ac:dyDescent="0.3">
      <c r="G998">
        <v>991</v>
      </c>
      <c r="H998">
        <f t="shared" ca="1" si="35"/>
        <v>-2.6653894757421512E-2</v>
      </c>
    </row>
    <row r="999" spans="7:8" x14ac:dyDescent="0.3">
      <c r="G999">
        <v>992</v>
      </c>
      <c r="H999">
        <f t="shared" ca="1" si="35"/>
        <v>1.1324051018459173E-2</v>
      </c>
    </row>
    <row r="1000" spans="7:8" x14ac:dyDescent="0.3">
      <c r="G1000">
        <v>993</v>
      </c>
      <c r="H1000">
        <f t="shared" ca="1" si="35"/>
        <v>7.3610557210462904E-3</v>
      </c>
    </row>
    <row r="1001" spans="7:8" x14ac:dyDescent="0.3">
      <c r="G1001">
        <v>994</v>
      </c>
      <c r="H1001">
        <f t="shared" ca="1" si="35"/>
        <v>2.7680361829658721E-2</v>
      </c>
    </row>
    <row r="1002" spans="7:8" x14ac:dyDescent="0.3">
      <c r="G1002">
        <v>995</v>
      </c>
      <c r="H1002">
        <f t="shared" ca="1" si="35"/>
        <v>-4.4714009590913968E-4</v>
      </c>
    </row>
    <row r="1003" spans="7:8" x14ac:dyDescent="0.3">
      <c r="G1003">
        <v>996</v>
      </c>
      <c r="H1003">
        <f t="shared" ca="1" si="35"/>
        <v>2.0710320295061068E-3</v>
      </c>
    </row>
    <row r="1004" spans="7:8" x14ac:dyDescent="0.3">
      <c r="G1004">
        <v>997</v>
      </c>
      <c r="H1004">
        <f t="shared" ca="1" si="35"/>
        <v>3.6972272248596166E-3</v>
      </c>
    </row>
    <row r="1005" spans="7:8" x14ac:dyDescent="0.3">
      <c r="G1005">
        <v>998</v>
      </c>
      <c r="H1005">
        <f t="shared" ca="1" si="35"/>
        <v>-1.4863638909285366E-2</v>
      </c>
    </row>
    <row r="1006" spans="7:8" x14ac:dyDescent="0.3">
      <c r="G1006">
        <v>999</v>
      </c>
      <c r="H1006">
        <f t="shared" ca="1" si="35"/>
        <v>-9.6202261599881034E-3</v>
      </c>
    </row>
    <row r="1007" spans="7:8" x14ac:dyDescent="0.3">
      <c r="G1007">
        <v>1000</v>
      </c>
      <c r="H1007">
        <f t="shared" ca="1" si="35"/>
        <v>8.6291038387661945E-3</v>
      </c>
    </row>
    <row r="1008" spans="7:8" x14ac:dyDescent="0.3">
      <c r="G1008">
        <v>1001</v>
      </c>
      <c r="H1008">
        <f t="shared" ca="1" si="35"/>
        <v>6.8379516301239106E-3</v>
      </c>
    </row>
    <row r="1009" spans="7:8" x14ac:dyDescent="0.3">
      <c r="G1009">
        <v>1002</v>
      </c>
      <c r="H1009">
        <f t="shared" ca="1" si="35"/>
        <v>-6.2519632775131151E-3</v>
      </c>
    </row>
    <row r="1010" spans="7:8" x14ac:dyDescent="0.3">
      <c r="G1010">
        <v>1003</v>
      </c>
      <c r="H1010">
        <f t="shared" ca="1" si="35"/>
        <v>1.2736743233766074E-2</v>
      </c>
    </row>
    <row r="1011" spans="7:8" x14ac:dyDescent="0.3">
      <c r="G1011">
        <v>1004</v>
      </c>
      <c r="H1011">
        <f t="shared" ca="1" si="35"/>
        <v>-8.4673624640873111E-3</v>
      </c>
    </row>
    <row r="1012" spans="7:8" x14ac:dyDescent="0.3">
      <c r="G1012">
        <v>1005</v>
      </c>
      <c r="H1012">
        <f t="shared" ca="1" si="35"/>
        <v>-1.6954711936953061E-3</v>
      </c>
    </row>
    <row r="1013" spans="7:8" x14ac:dyDescent="0.3">
      <c r="G1013">
        <v>1006</v>
      </c>
      <c r="H1013">
        <f t="shared" ca="1" si="35"/>
        <v>-1.7976878223086787E-3</v>
      </c>
    </row>
    <row r="1014" spans="7:8" x14ac:dyDescent="0.3">
      <c r="G1014">
        <v>1007</v>
      </c>
      <c r="H1014">
        <f t="shared" ca="1" si="35"/>
        <v>1.0816476316036433E-2</v>
      </c>
    </row>
    <row r="1015" spans="7:8" x14ac:dyDescent="0.3">
      <c r="G1015">
        <v>1008</v>
      </c>
      <c r="H1015">
        <f t="shared" ca="1" si="35"/>
        <v>1.5568284009585624E-2</v>
      </c>
    </row>
    <row r="1016" spans="7:8" x14ac:dyDescent="0.3">
      <c r="G1016">
        <v>1009</v>
      </c>
      <c r="H1016">
        <f t="shared" ca="1" si="35"/>
        <v>-1.823467351552192E-2</v>
      </c>
    </row>
    <row r="1017" spans="7:8" x14ac:dyDescent="0.3">
      <c r="G1017">
        <v>1010</v>
      </c>
      <c r="H1017">
        <f t="shared" ca="1" si="35"/>
        <v>-1.6050898201505813E-2</v>
      </c>
    </row>
    <row r="1018" spans="7:8" x14ac:dyDescent="0.3">
      <c r="G1018">
        <v>1011</v>
      </c>
      <c r="H1018">
        <f t="shared" ca="1" si="35"/>
        <v>8.8786030767444776E-3</v>
      </c>
    </row>
    <row r="1019" spans="7:8" x14ac:dyDescent="0.3">
      <c r="G1019">
        <v>1012</v>
      </c>
      <c r="H1019">
        <f t="shared" ca="1" si="35"/>
        <v>-1.1811508029847531E-2</v>
      </c>
    </row>
    <row r="1020" spans="7:8" x14ac:dyDescent="0.3">
      <c r="G1020">
        <v>1013</v>
      </c>
      <c r="H1020">
        <f t="shared" ca="1" si="35"/>
        <v>-7.1916960610954274E-3</v>
      </c>
    </row>
    <row r="1021" spans="7:8" x14ac:dyDescent="0.3">
      <c r="G1021">
        <v>1014</v>
      </c>
      <c r="H1021">
        <f t="shared" ca="1" si="35"/>
        <v>1.1074936314770051E-2</v>
      </c>
    </row>
    <row r="1022" spans="7:8" x14ac:dyDescent="0.3">
      <c r="G1022">
        <v>1015</v>
      </c>
      <c r="H1022">
        <f t="shared" ca="1" si="35"/>
        <v>-6.4290727292791901E-3</v>
      </c>
    </row>
    <row r="1023" spans="7:8" x14ac:dyDescent="0.3">
      <c r="G1023">
        <v>1016</v>
      </c>
      <c r="H1023">
        <f t="shared" ca="1" si="35"/>
        <v>1.0533997711959047E-2</v>
      </c>
    </row>
    <row r="1024" spans="7:8" x14ac:dyDescent="0.3">
      <c r="G1024">
        <v>1017</v>
      </c>
      <c r="H1024">
        <f t="shared" ca="1" si="35"/>
        <v>-2.1109067357485316E-3</v>
      </c>
    </row>
    <row r="1025" spans="7:8" x14ac:dyDescent="0.3">
      <c r="G1025">
        <v>1018</v>
      </c>
      <c r="H1025">
        <f t="shared" ca="1" si="35"/>
        <v>2.6730272009667265E-3</v>
      </c>
    </row>
    <row r="1026" spans="7:8" x14ac:dyDescent="0.3">
      <c r="G1026">
        <v>1019</v>
      </c>
      <c r="H1026">
        <f t="shared" ca="1" si="35"/>
        <v>-2.7993381694681194E-3</v>
      </c>
    </row>
    <row r="1027" spans="7:8" x14ac:dyDescent="0.3">
      <c r="G1027">
        <v>1020</v>
      </c>
      <c r="H1027">
        <f t="shared" ca="1" si="35"/>
        <v>3.6877018215728972E-3</v>
      </c>
    </row>
    <row r="1028" spans="7:8" x14ac:dyDescent="0.3">
      <c r="G1028">
        <v>1021</v>
      </c>
      <c r="H1028">
        <f t="shared" ca="1" si="35"/>
        <v>1.4189402196241522E-2</v>
      </c>
    </row>
    <row r="1029" spans="7:8" x14ac:dyDescent="0.3">
      <c r="G1029">
        <v>1022</v>
      </c>
      <c r="H1029">
        <f t="shared" ca="1" si="35"/>
        <v>1.3591987577357053E-2</v>
      </c>
    </row>
    <row r="1030" spans="7:8" x14ac:dyDescent="0.3">
      <c r="G1030">
        <v>1023</v>
      </c>
      <c r="H1030">
        <f t="shared" ca="1" si="35"/>
        <v>9.9129160859780449E-3</v>
      </c>
    </row>
    <row r="1031" spans="7:8" x14ac:dyDescent="0.3">
      <c r="G1031">
        <v>1024</v>
      </c>
      <c r="H1031">
        <f t="shared" ca="1" si="35"/>
        <v>-4.8448880896162817E-3</v>
      </c>
    </row>
    <row r="1032" spans="7:8" x14ac:dyDescent="0.3">
      <c r="G1032">
        <v>1025</v>
      </c>
      <c r="H1032">
        <f t="shared" ca="1" si="35"/>
        <v>1.8454400220221701E-2</v>
      </c>
    </row>
    <row r="1033" spans="7:8" x14ac:dyDescent="0.3">
      <c r="G1033">
        <v>1026</v>
      </c>
      <c r="H1033">
        <f t="shared" ref="H1033:H1096" ca="1" si="36">_xlfn.NORM.INV(RAND(),$N$10,$N$11)</f>
        <v>-1.7409302617037017E-2</v>
      </c>
    </row>
    <row r="1034" spans="7:8" x14ac:dyDescent="0.3">
      <c r="G1034">
        <v>1027</v>
      </c>
      <c r="H1034">
        <f t="shared" ca="1" si="36"/>
        <v>2.6648671299962265E-3</v>
      </c>
    </row>
    <row r="1035" spans="7:8" x14ac:dyDescent="0.3">
      <c r="G1035">
        <v>1028</v>
      </c>
      <c r="H1035">
        <f t="shared" ca="1" si="36"/>
        <v>-4.3847005386896468E-3</v>
      </c>
    </row>
    <row r="1036" spans="7:8" x14ac:dyDescent="0.3">
      <c r="G1036">
        <v>1029</v>
      </c>
      <c r="H1036">
        <f t="shared" ca="1" si="36"/>
        <v>-3.4100885268777664E-2</v>
      </c>
    </row>
    <row r="1037" spans="7:8" x14ac:dyDescent="0.3">
      <c r="G1037">
        <v>1030</v>
      </c>
      <c r="H1037">
        <f t="shared" ca="1" si="36"/>
        <v>-1.8343985343904221E-2</v>
      </c>
    </row>
    <row r="1038" spans="7:8" x14ac:dyDescent="0.3">
      <c r="G1038">
        <v>1031</v>
      </c>
      <c r="H1038">
        <f t="shared" ca="1" si="36"/>
        <v>1.0408037823390243E-2</v>
      </c>
    </row>
    <row r="1039" spans="7:8" x14ac:dyDescent="0.3">
      <c r="G1039">
        <v>1032</v>
      </c>
      <c r="H1039">
        <f t="shared" ca="1" si="36"/>
        <v>-3.3944199570835901E-2</v>
      </c>
    </row>
    <row r="1040" spans="7:8" x14ac:dyDescent="0.3">
      <c r="G1040">
        <v>1033</v>
      </c>
      <c r="H1040">
        <f t="shared" ca="1" si="36"/>
        <v>-2.6900565702379265E-3</v>
      </c>
    </row>
    <row r="1041" spans="7:8" x14ac:dyDescent="0.3">
      <c r="G1041">
        <v>1034</v>
      </c>
      <c r="H1041">
        <f t="shared" ca="1" si="36"/>
        <v>-1.7908598740155421E-2</v>
      </c>
    </row>
    <row r="1042" spans="7:8" x14ac:dyDescent="0.3">
      <c r="G1042">
        <v>1035</v>
      </c>
      <c r="H1042">
        <f t="shared" ca="1" si="36"/>
        <v>9.3302709314327338E-4</v>
      </c>
    </row>
    <row r="1043" spans="7:8" x14ac:dyDescent="0.3">
      <c r="G1043">
        <v>1036</v>
      </c>
      <c r="H1043">
        <f t="shared" ca="1" si="36"/>
        <v>7.3025989388332138E-3</v>
      </c>
    </row>
    <row r="1044" spans="7:8" x14ac:dyDescent="0.3">
      <c r="G1044">
        <v>1037</v>
      </c>
      <c r="H1044">
        <f t="shared" ca="1" si="36"/>
        <v>4.3485645708575549E-3</v>
      </c>
    </row>
    <row r="1045" spans="7:8" x14ac:dyDescent="0.3">
      <c r="G1045">
        <v>1038</v>
      </c>
      <c r="H1045">
        <f t="shared" ca="1" si="36"/>
        <v>-3.0501189643767566E-4</v>
      </c>
    </row>
    <row r="1046" spans="7:8" x14ac:dyDescent="0.3">
      <c r="G1046">
        <v>1039</v>
      </c>
      <c r="H1046">
        <f t="shared" ca="1" si="36"/>
        <v>1.9848413168718809E-2</v>
      </c>
    </row>
    <row r="1047" spans="7:8" x14ac:dyDescent="0.3">
      <c r="G1047">
        <v>1040</v>
      </c>
      <c r="H1047">
        <f t="shared" ca="1" si="36"/>
        <v>1.8480397810881736E-2</v>
      </c>
    </row>
    <row r="1048" spans="7:8" x14ac:dyDescent="0.3">
      <c r="G1048">
        <v>1041</v>
      </c>
      <c r="H1048">
        <f t="shared" ca="1" si="36"/>
        <v>-5.7789138984621824E-3</v>
      </c>
    </row>
    <row r="1049" spans="7:8" x14ac:dyDescent="0.3">
      <c r="G1049">
        <v>1042</v>
      </c>
      <c r="H1049">
        <f t="shared" ca="1" si="36"/>
        <v>-1.4596549798255445E-2</v>
      </c>
    </row>
    <row r="1050" spans="7:8" x14ac:dyDescent="0.3">
      <c r="G1050">
        <v>1043</v>
      </c>
      <c r="H1050">
        <f t="shared" ca="1" si="36"/>
        <v>2.4415958192439378E-3</v>
      </c>
    </row>
    <row r="1051" spans="7:8" x14ac:dyDescent="0.3">
      <c r="G1051">
        <v>1044</v>
      </c>
      <c r="H1051">
        <f t="shared" ca="1" si="36"/>
        <v>-2.1498155865980946E-3</v>
      </c>
    </row>
    <row r="1052" spans="7:8" x14ac:dyDescent="0.3">
      <c r="G1052">
        <v>1045</v>
      </c>
      <c r="H1052">
        <f t="shared" ca="1" si="36"/>
        <v>-1.1921538661358031E-2</v>
      </c>
    </row>
    <row r="1053" spans="7:8" x14ac:dyDescent="0.3">
      <c r="G1053">
        <v>1046</v>
      </c>
      <c r="H1053">
        <f t="shared" ca="1" si="36"/>
        <v>-2.3462218012154136E-4</v>
      </c>
    </row>
    <row r="1054" spans="7:8" x14ac:dyDescent="0.3">
      <c r="G1054">
        <v>1047</v>
      </c>
      <c r="H1054">
        <f t="shared" ca="1" si="36"/>
        <v>1.3144286249147827E-2</v>
      </c>
    </row>
    <row r="1055" spans="7:8" x14ac:dyDescent="0.3">
      <c r="G1055">
        <v>1048</v>
      </c>
      <c r="H1055">
        <f t="shared" ca="1" si="36"/>
        <v>2.5554963552469761E-2</v>
      </c>
    </row>
    <row r="1056" spans="7:8" x14ac:dyDescent="0.3">
      <c r="G1056">
        <v>1049</v>
      </c>
      <c r="H1056">
        <f t="shared" ca="1" si="36"/>
        <v>1.24398440345774E-2</v>
      </c>
    </row>
    <row r="1057" spans="7:8" x14ac:dyDescent="0.3">
      <c r="G1057">
        <v>1050</v>
      </c>
      <c r="H1057">
        <f t="shared" ca="1" si="36"/>
        <v>1.0600451047116965E-3</v>
      </c>
    </row>
    <row r="1058" spans="7:8" x14ac:dyDescent="0.3">
      <c r="G1058">
        <v>1051</v>
      </c>
      <c r="H1058">
        <f t="shared" ca="1" si="36"/>
        <v>-8.7000464717171024E-3</v>
      </c>
    </row>
    <row r="1059" spans="7:8" x14ac:dyDescent="0.3">
      <c r="G1059">
        <v>1052</v>
      </c>
      <c r="H1059">
        <f t="shared" ca="1" si="36"/>
        <v>-8.0170194529159602E-3</v>
      </c>
    </row>
    <row r="1060" spans="7:8" x14ac:dyDescent="0.3">
      <c r="G1060">
        <v>1053</v>
      </c>
      <c r="H1060">
        <f t="shared" ca="1" si="36"/>
        <v>-4.0448923090854391E-2</v>
      </c>
    </row>
    <row r="1061" spans="7:8" x14ac:dyDescent="0.3">
      <c r="G1061">
        <v>1054</v>
      </c>
      <c r="H1061">
        <f t="shared" ca="1" si="36"/>
        <v>-1.5638232657099387E-2</v>
      </c>
    </row>
    <row r="1062" spans="7:8" x14ac:dyDescent="0.3">
      <c r="G1062">
        <v>1055</v>
      </c>
      <c r="H1062">
        <f t="shared" ca="1" si="36"/>
        <v>-4.9219281750504983E-3</v>
      </c>
    </row>
    <row r="1063" spans="7:8" x14ac:dyDescent="0.3">
      <c r="G1063">
        <v>1056</v>
      </c>
      <c r="H1063">
        <f t="shared" ca="1" si="36"/>
        <v>-1.7871206133310339E-2</v>
      </c>
    </row>
    <row r="1064" spans="7:8" x14ac:dyDescent="0.3">
      <c r="G1064">
        <v>1057</v>
      </c>
      <c r="H1064">
        <f t="shared" ca="1" si="36"/>
        <v>9.5260415391166635E-3</v>
      </c>
    </row>
    <row r="1065" spans="7:8" x14ac:dyDescent="0.3">
      <c r="G1065">
        <v>1058</v>
      </c>
      <c r="H1065">
        <f t="shared" ca="1" si="36"/>
        <v>1.5498769055824103E-2</v>
      </c>
    </row>
    <row r="1066" spans="7:8" x14ac:dyDescent="0.3">
      <c r="G1066">
        <v>1059</v>
      </c>
      <c r="H1066">
        <f t="shared" ca="1" si="36"/>
        <v>-1.4678231265852349E-2</v>
      </c>
    </row>
    <row r="1067" spans="7:8" x14ac:dyDescent="0.3">
      <c r="G1067">
        <v>1060</v>
      </c>
      <c r="H1067">
        <f t="shared" ca="1" si="36"/>
        <v>-1.481929946908753E-2</v>
      </c>
    </row>
    <row r="1068" spans="7:8" x14ac:dyDescent="0.3">
      <c r="G1068">
        <v>1061</v>
      </c>
      <c r="H1068">
        <f t="shared" ca="1" si="36"/>
        <v>-1.8295932971092205E-3</v>
      </c>
    </row>
    <row r="1069" spans="7:8" x14ac:dyDescent="0.3">
      <c r="G1069">
        <v>1062</v>
      </c>
      <c r="H1069">
        <f t="shared" ca="1" si="36"/>
        <v>1.8824783643382765E-2</v>
      </c>
    </row>
    <row r="1070" spans="7:8" x14ac:dyDescent="0.3">
      <c r="G1070">
        <v>1063</v>
      </c>
      <c r="H1070">
        <f t="shared" ca="1" si="36"/>
        <v>1.7913094269740935E-3</v>
      </c>
    </row>
    <row r="1071" spans="7:8" x14ac:dyDescent="0.3">
      <c r="G1071">
        <v>1064</v>
      </c>
      <c r="H1071">
        <f t="shared" ca="1" si="36"/>
        <v>9.5158246324010751E-3</v>
      </c>
    </row>
    <row r="1072" spans="7:8" x14ac:dyDescent="0.3">
      <c r="G1072">
        <v>1065</v>
      </c>
      <c r="H1072">
        <f t="shared" ca="1" si="36"/>
        <v>1.3291729578582742E-3</v>
      </c>
    </row>
    <row r="1073" spans="7:8" x14ac:dyDescent="0.3">
      <c r="G1073">
        <v>1066</v>
      </c>
      <c r="H1073">
        <f t="shared" ca="1" si="36"/>
        <v>-9.8286675372015343E-3</v>
      </c>
    </row>
    <row r="1074" spans="7:8" x14ac:dyDescent="0.3">
      <c r="G1074">
        <v>1067</v>
      </c>
      <c r="H1074">
        <f t="shared" ca="1" si="36"/>
        <v>7.6376809640602071E-4</v>
      </c>
    </row>
    <row r="1075" spans="7:8" x14ac:dyDescent="0.3">
      <c r="G1075">
        <v>1068</v>
      </c>
      <c r="H1075">
        <f t="shared" ca="1" si="36"/>
        <v>-6.8932361076869458E-3</v>
      </c>
    </row>
    <row r="1076" spans="7:8" x14ac:dyDescent="0.3">
      <c r="G1076">
        <v>1069</v>
      </c>
      <c r="H1076">
        <f t="shared" ca="1" si="36"/>
        <v>2.381514675444929E-2</v>
      </c>
    </row>
    <row r="1077" spans="7:8" x14ac:dyDescent="0.3">
      <c r="G1077">
        <v>1070</v>
      </c>
      <c r="H1077">
        <f t="shared" ca="1" si="36"/>
        <v>-8.2787553194565468E-3</v>
      </c>
    </row>
    <row r="1078" spans="7:8" x14ac:dyDescent="0.3">
      <c r="G1078">
        <v>1071</v>
      </c>
      <c r="H1078">
        <f t="shared" ca="1" si="36"/>
        <v>-6.3453716197633351E-4</v>
      </c>
    </row>
    <row r="1079" spans="7:8" x14ac:dyDescent="0.3">
      <c r="G1079">
        <v>1072</v>
      </c>
      <c r="H1079">
        <f t="shared" ca="1" si="36"/>
        <v>-3.9794802468012758E-2</v>
      </c>
    </row>
    <row r="1080" spans="7:8" x14ac:dyDescent="0.3">
      <c r="G1080">
        <v>1073</v>
      </c>
      <c r="H1080">
        <f t="shared" ca="1" si="36"/>
        <v>-2.1102626574247614E-2</v>
      </c>
    </row>
    <row r="1081" spans="7:8" x14ac:dyDescent="0.3">
      <c r="G1081">
        <v>1074</v>
      </c>
      <c r="H1081">
        <f t="shared" ca="1" si="36"/>
        <v>1.6890604367399836E-2</v>
      </c>
    </row>
    <row r="1082" spans="7:8" x14ac:dyDescent="0.3">
      <c r="G1082">
        <v>1075</v>
      </c>
      <c r="H1082">
        <f t="shared" ca="1" si="36"/>
        <v>-4.9432754186112373E-3</v>
      </c>
    </row>
    <row r="1083" spans="7:8" x14ac:dyDescent="0.3">
      <c r="G1083">
        <v>1076</v>
      </c>
      <c r="H1083">
        <f t="shared" ca="1" si="36"/>
        <v>4.9730784450577542E-3</v>
      </c>
    </row>
    <row r="1084" spans="7:8" x14ac:dyDescent="0.3">
      <c r="G1084">
        <v>1077</v>
      </c>
      <c r="H1084">
        <f t="shared" ca="1" si="36"/>
        <v>-8.3688127619590495E-3</v>
      </c>
    </row>
    <row r="1085" spans="7:8" x14ac:dyDescent="0.3">
      <c r="G1085">
        <v>1078</v>
      </c>
      <c r="H1085">
        <f t="shared" ca="1" si="36"/>
        <v>7.9577288465511927E-3</v>
      </c>
    </row>
    <row r="1086" spans="7:8" x14ac:dyDescent="0.3">
      <c r="G1086">
        <v>1079</v>
      </c>
      <c r="H1086">
        <f t="shared" ca="1" si="36"/>
        <v>-1.6534508040579699E-2</v>
      </c>
    </row>
    <row r="1087" spans="7:8" x14ac:dyDescent="0.3">
      <c r="G1087">
        <v>1080</v>
      </c>
      <c r="H1087">
        <f t="shared" ca="1" si="36"/>
        <v>-1.8461200007418637E-3</v>
      </c>
    </row>
    <row r="1088" spans="7:8" x14ac:dyDescent="0.3">
      <c r="G1088">
        <v>1081</v>
      </c>
      <c r="H1088">
        <f t="shared" ca="1" si="36"/>
        <v>6.7358229199072795E-3</v>
      </c>
    </row>
    <row r="1089" spans="7:8" x14ac:dyDescent="0.3">
      <c r="G1089">
        <v>1082</v>
      </c>
      <c r="H1089">
        <f t="shared" ca="1" si="36"/>
        <v>1.6983645092014759E-2</v>
      </c>
    </row>
    <row r="1090" spans="7:8" x14ac:dyDescent="0.3">
      <c r="G1090">
        <v>1083</v>
      </c>
      <c r="H1090">
        <f t="shared" ca="1" si="36"/>
        <v>1.3325750335105304E-2</v>
      </c>
    </row>
    <row r="1091" spans="7:8" x14ac:dyDescent="0.3">
      <c r="G1091">
        <v>1084</v>
      </c>
      <c r="H1091">
        <f t="shared" ca="1" si="36"/>
        <v>2.0401541826364826E-2</v>
      </c>
    </row>
    <row r="1092" spans="7:8" x14ac:dyDescent="0.3">
      <c r="G1092">
        <v>1085</v>
      </c>
      <c r="H1092">
        <f t="shared" ca="1" si="36"/>
        <v>-9.5279533561974106E-3</v>
      </c>
    </row>
    <row r="1093" spans="7:8" x14ac:dyDescent="0.3">
      <c r="G1093">
        <v>1086</v>
      </c>
      <c r="H1093">
        <f t="shared" ca="1" si="36"/>
        <v>4.7182071345222417E-3</v>
      </c>
    </row>
    <row r="1094" spans="7:8" x14ac:dyDescent="0.3">
      <c r="G1094">
        <v>1087</v>
      </c>
      <c r="H1094">
        <f t="shared" ca="1" si="36"/>
        <v>2.1902386906971872E-2</v>
      </c>
    </row>
    <row r="1095" spans="7:8" x14ac:dyDescent="0.3">
      <c r="G1095">
        <v>1088</v>
      </c>
      <c r="H1095">
        <f t="shared" ca="1" si="36"/>
        <v>6.7328143609024877E-3</v>
      </c>
    </row>
    <row r="1096" spans="7:8" x14ac:dyDescent="0.3">
      <c r="G1096">
        <v>1089</v>
      </c>
      <c r="H1096">
        <f t="shared" ca="1" si="36"/>
        <v>-2.4028972584578655E-2</v>
      </c>
    </row>
    <row r="1097" spans="7:8" x14ac:dyDescent="0.3">
      <c r="G1097">
        <v>1090</v>
      </c>
      <c r="H1097">
        <f t="shared" ref="H1097:H1160" ca="1" si="37">_xlfn.NORM.INV(RAND(),$N$10,$N$11)</f>
        <v>-2.0322090434362883E-2</v>
      </c>
    </row>
    <row r="1098" spans="7:8" x14ac:dyDescent="0.3">
      <c r="G1098">
        <v>1091</v>
      </c>
      <c r="H1098">
        <f t="shared" ca="1" si="37"/>
        <v>6.8404565479756258E-3</v>
      </c>
    </row>
    <row r="1099" spans="7:8" x14ac:dyDescent="0.3">
      <c r="G1099">
        <v>1092</v>
      </c>
      <c r="H1099">
        <f t="shared" ca="1" si="37"/>
        <v>2.2196951230662658E-3</v>
      </c>
    </row>
    <row r="1100" spans="7:8" x14ac:dyDescent="0.3">
      <c r="G1100">
        <v>1093</v>
      </c>
      <c r="H1100">
        <f t="shared" ca="1" si="37"/>
        <v>1.9042156008305628E-2</v>
      </c>
    </row>
    <row r="1101" spans="7:8" x14ac:dyDescent="0.3">
      <c r="G1101">
        <v>1094</v>
      </c>
      <c r="H1101">
        <f t="shared" ca="1" si="37"/>
        <v>1.2685297394590287E-2</v>
      </c>
    </row>
    <row r="1102" spans="7:8" x14ac:dyDescent="0.3">
      <c r="G1102">
        <v>1095</v>
      </c>
      <c r="H1102">
        <f t="shared" ca="1" si="37"/>
        <v>6.129172583351836E-3</v>
      </c>
    </row>
    <row r="1103" spans="7:8" x14ac:dyDescent="0.3">
      <c r="G1103">
        <v>1096</v>
      </c>
      <c r="H1103">
        <f t="shared" ca="1" si="37"/>
        <v>-1.9112030443357085E-3</v>
      </c>
    </row>
    <row r="1104" spans="7:8" x14ac:dyDescent="0.3">
      <c r="G1104">
        <v>1097</v>
      </c>
      <c r="H1104">
        <f t="shared" ca="1" si="37"/>
        <v>-9.8472461147825329E-3</v>
      </c>
    </row>
    <row r="1105" spans="7:8" x14ac:dyDescent="0.3">
      <c r="G1105">
        <v>1098</v>
      </c>
      <c r="H1105">
        <f t="shared" ca="1" si="37"/>
        <v>2.3615288718969986E-2</v>
      </c>
    </row>
    <row r="1106" spans="7:8" x14ac:dyDescent="0.3">
      <c r="G1106">
        <v>1099</v>
      </c>
      <c r="H1106">
        <f t="shared" ca="1" si="37"/>
        <v>2.2671598286656172E-2</v>
      </c>
    </row>
    <row r="1107" spans="7:8" x14ac:dyDescent="0.3">
      <c r="G1107">
        <v>1100</v>
      </c>
      <c r="H1107">
        <f t="shared" ca="1" si="37"/>
        <v>-2.3106625906757657E-2</v>
      </c>
    </row>
    <row r="1108" spans="7:8" x14ac:dyDescent="0.3">
      <c r="G1108">
        <v>1101</v>
      </c>
      <c r="H1108">
        <f t="shared" ca="1" si="37"/>
        <v>-5.6299799356025462E-3</v>
      </c>
    </row>
    <row r="1109" spans="7:8" x14ac:dyDescent="0.3">
      <c r="G1109">
        <v>1102</v>
      </c>
      <c r="H1109">
        <f t="shared" ca="1" si="37"/>
        <v>1.7502052744010049E-3</v>
      </c>
    </row>
    <row r="1110" spans="7:8" x14ac:dyDescent="0.3">
      <c r="G1110">
        <v>1103</v>
      </c>
      <c r="H1110">
        <f t="shared" ca="1" si="37"/>
        <v>-3.9358751023836278E-2</v>
      </c>
    </row>
    <row r="1111" spans="7:8" x14ac:dyDescent="0.3">
      <c r="G1111">
        <v>1104</v>
      </c>
      <c r="H1111">
        <f t="shared" ca="1" si="37"/>
        <v>-1.3664106202293242E-2</v>
      </c>
    </row>
    <row r="1112" spans="7:8" x14ac:dyDescent="0.3">
      <c r="G1112">
        <v>1105</v>
      </c>
      <c r="H1112">
        <f t="shared" ca="1" si="37"/>
        <v>8.1562518116086967E-3</v>
      </c>
    </row>
    <row r="1113" spans="7:8" x14ac:dyDescent="0.3">
      <c r="G1113">
        <v>1106</v>
      </c>
      <c r="H1113">
        <f t="shared" ca="1" si="37"/>
        <v>2.5342431485137876E-2</v>
      </c>
    </row>
    <row r="1114" spans="7:8" x14ac:dyDescent="0.3">
      <c r="G1114">
        <v>1107</v>
      </c>
      <c r="H1114">
        <f t="shared" ca="1" si="37"/>
        <v>3.2404983651898887E-4</v>
      </c>
    </row>
    <row r="1115" spans="7:8" x14ac:dyDescent="0.3">
      <c r="G1115">
        <v>1108</v>
      </c>
      <c r="H1115">
        <f t="shared" ca="1" si="37"/>
        <v>1.5966047594582384E-2</v>
      </c>
    </row>
    <row r="1116" spans="7:8" x14ac:dyDescent="0.3">
      <c r="G1116">
        <v>1109</v>
      </c>
      <c r="H1116">
        <f t="shared" ca="1" si="37"/>
        <v>-1.0479726254996663E-2</v>
      </c>
    </row>
    <row r="1117" spans="7:8" x14ac:dyDescent="0.3">
      <c r="G1117">
        <v>1110</v>
      </c>
      <c r="H1117">
        <f t="shared" ca="1" si="37"/>
        <v>9.422564870910451E-3</v>
      </c>
    </row>
    <row r="1118" spans="7:8" x14ac:dyDescent="0.3">
      <c r="G1118">
        <v>1111</v>
      </c>
      <c r="H1118">
        <f t="shared" ca="1" si="37"/>
        <v>9.0212091256478399E-3</v>
      </c>
    </row>
    <row r="1119" spans="7:8" x14ac:dyDescent="0.3">
      <c r="G1119">
        <v>1112</v>
      </c>
      <c r="H1119">
        <f t="shared" ca="1" si="37"/>
        <v>-6.596754276076742E-3</v>
      </c>
    </row>
    <row r="1120" spans="7:8" x14ac:dyDescent="0.3">
      <c r="G1120">
        <v>1113</v>
      </c>
      <c r="H1120">
        <f t="shared" ca="1" si="37"/>
        <v>-4.3015455041512714E-3</v>
      </c>
    </row>
    <row r="1121" spans="7:8" x14ac:dyDescent="0.3">
      <c r="G1121">
        <v>1114</v>
      </c>
      <c r="H1121">
        <f t="shared" ca="1" si="37"/>
        <v>3.3086072273713435E-2</v>
      </c>
    </row>
    <row r="1122" spans="7:8" x14ac:dyDescent="0.3">
      <c r="G1122">
        <v>1115</v>
      </c>
      <c r="H1122">
        <f t="shared" ca="1" si="37"/>
        <v>-1.0164599988211835E-2</v>
      </c>
    </row>
    <row r="1123" spans="7:8" x14ac:dyDescent="0.3">
      <c r="G1123">
        <v>1116</v>
      </c>
      <c r="H1123">
        <f t="shared" ca="1" si="37"/>
        <v>-8.0882502492569362E-3</v>
      </c>
    </row>
    <row r="1124" spans="7:8" x14ac:dyDescent="0.3">
      <c r="G1124">
        <v>1117</v>
      </c>
      <c r="H1124">
        <f t="shared" ca="1" si="37"/>
        <v>2.8496246855936017E-3</v>
      </c>
    </row>
    <row r="1125" spans="7:8" x14ac:dyDescent="0.3">
      <c r="G1125">
        <v>1118</v>
      </c>
      <c r="H1125">
        <f t="shared" ca="1" si="37"/>
        <v>5.4728448060011401E-3</v>
      </c>
    </row>
    <row r="1126" spans="7:8" x14ac:dyDescent="0.3">
      <c r="G1126">
        <v>1119</v>
      </c>
      <c r="H1126">
        <f t="shared" ca="1" si="37"/>
        <v>1.7179673708955977E-2</v>
      </c>
    </row>
    <row r="1127" spans="7:8" x14ac:dyDescent="0.3">
      <c r="G1127">
        <v>1120</v>
      </c>
      <c r="H1127">
        <f t="shared" ca="1" si="37"/>
        <v>-2.692243949007395E-2</v>
      </c>
    </row>
    <row r="1128" spans="7:8" x14ac:dyDescent="0.3">
      <c r="G1128">
        <v>1121</v>
      </c>
      <c r="H1128">
        <f t="shared" ca="1" si="37"/>
        <v>-3.8691377252915674E-2</v>
      </c>
    </row>
    <row r="1129" spans="7:8" x14ac:dyDescent="0.3">
      <c r="G1129">
        <v>1122</v>
      </c>
      <c r="H1129">
        <f t="shared" ca="1" si="37"/>
        <v>-1.2772305552308686E-2</v>
      </c>
    </row>
    <row r="1130" spans="7:8" x14ac:dyDescent="0.3">
      <c r="G1130">
        <v>1123</v>
      </c>
      <c r="H1130">
        <f t="shared" ca="1" si="37"/>
        <v>1.3477622362182782E-2</v>
      </c>
    </row>
    <row r="1131" spans="7:8" x14ac:dyDescent="0.3">
      <c r="G1131">
        <v>1124</v>
      </c>
      <c r="H1131">
        <f t="shared" ca="1" si="37"/>
        <v>-3.1152585938739714E-2</v>
      </c>
    </row>
    <row r="1132" spans="7:8" x14ac:dyDescent="0.3">
      <c r="G1132">
        <v>1125</v>
      </c>
      <c r="H1132">
        <f t="shared" ca="1" si="37"/>
        <v>7.7914315044147519E-4</v>
      </c>
    </row>
    <row r="1133" spans="7:8" x14ac:dyDescent="0.3">
      <c r="G1133">
        <v>1126</v>
      </c>
      <c r="H1133">
        <f t="shared" ca="1" si="37"/>
        <v>-2.2288468662806787E-2</v>
      </c>
    </row>
    <row r="1134" spans="7:8" x14ac:dyDescent="0.3">
      <c r="G1134">
        <v>1127</v>
      </c>
      <c r="H1134">
        <f t="shared" ca="1" si="37"/>
        <v>2.7901971843287309E-2</v>
      </c>
    </row>
    <row r="1135" spans="7:8" x14ac:dyDescent="0.3">
      <c r="G1135">
        <v>1128</v>
      </c>
      <c r="H1135">
        <f t="shared" ca="1" si="37"/>
        <v>1.4218998196987999E-2</v>
      </c>
    </row>
    <row r="1136" spans="7:8" x14ac:dyDescent="0.3">
      <c r="G1136">
        <v>1129</v>
      </c>
      <c r="H1136">
        <f t="shared" ca="1" si="37"/>
        <v>1.6760459202806496E-3</v>
      </c>
    </row>
    <row r="1137" spans="7:8" x14ac:dyDescent="0.3">
      <c r="G1137">
        <v>1130</v>
      </c>
      <c r="H1137">
        <f t="shared" ca="1" si="37"/>
        <v>-5.5508518761929262E-3</v>
      </c>
    </row>
    <row r="1138" spans="7:8" x14ac:dyDescent="0.3">
      <c r="G1138">
        <v>1131</v>
      </c>
      <c r="H1138">
        <f t="shared" ca="1" si="37"/>
        <v>-3.010749831598547E-3</v>
      </c>
    </row>
    <row r="1139" spans="7:8" x14ac:dyDescent="0.3">
      <c r="G1139">
        <v>1132</v>
      </c>
      <c r="H1139">
        <f t="shared" ca="1" si="37"/>
        <v>6.6984112959428905E-3</v>
      </c>
    </row>
    <row r="1140" spans="7:8" x14ac:dyDescent="0.3">
      <c r="G1140">
        <v>1133</v>
      </c>
      <c r="H1140">
        <f t="shared" ca="1" si="37"/>
        <v>-2.2523656591591099E-2</v>
      </c>
    </row>
    <row r="1141" spans="7:8" x14ac:dyDescent="0.3">
      <c r="G1141">
        <v>1134</v>
      </c>
      <c r="H1141">
        <f t="shared" ca="1" si="37"/>
        <v>1.5876248187005049E-3</v>
      </c>
    </row>
    <row r="1142" spans="7:8" x14ac:dyDescent="0.3">
      <c r="G1142">
        <v>1135</v>
      </c>
      <c r="H1142">
        <f t="shared" ca="1" si="37"/>
        <v>3.094121417233241E-3</v>
      </c>
    </row>
    <row r="1143" spans="7:8" x14ac:dyDescent="0.3">
      <c r="G1143">
        <v>1136</v>
      </c>
      <c r="H1143">
        <f t="shared" ca="1" si="37"/>
        <v>9.0891043304274621E-3</v>
      </c>
    </row>
    <row r="1144" spans="7:8" x14ac:dyDescent="0.3">
      <c r="G1144">
        <v>1137</v>
      </c>
      <c r="H1144">
        <f t="shared" ca="1" si="37"/>
        <v>-7.2378048827293918E-3</v>
      </c>
    </row>
    <row r="1145" spans="7:8" x14ac:dyDescent="0.3">
      <c r="G1145">
        <v>1138</v>
      </c>
      <c r="H1145">
        <f t="shared" ca="1" si="37"/>
        <v>3.3802506294766423E-2</v>
      </c>
    </row>
    <row r="1146" spans="7:8" x14ac:dyDescent="0.3">
      <c r="G1146">
        <v>1139</v>
      </c>
      <c r="H1146">
        <f t="shared" ca="1" si="37"/>
        <v>-3.7220287052754618E-2</v>
      </c>
    </row>
    <row r="1147" spans="7:8" x14ac:dyDescent="0.3">
      <c r="G1147">
        <v>1140</v>
      </c>
      <c r="H1147">
        <f t="shared" ca="1" si="37"/>
        <v>2.9308977916415544E-3</v>
      </c>
    </row>
    <row r="1148" spans="7:8" x14ac:dyDescent="0.3">
      <c r="G1148">
        <v>1141</v>
      </c>
      <c r="H1148">
        <f t="shared" ca="1" si="37"/>
        <v>6.6324195139518425E-3</v>
      </c>
    </row>
    <row r="1149" spans="7:8" x14ac:dyDescent="0.3">
      <c r="G1149">
        <v>1142</v>
      </c>
      <c r="H1149">
        <f t="shared" ca="1" si="37"/>
        <v>1.8193895328557409E-3</v>
      </c>
    </row>
    <row r="1150" spans="7:8" x14ac:dyDescent="0.3">
      <c r="G1150">
        <v>1143</v>
      </c>
      <c r="H1150">
        <f t="shared" ca="1" si="37"/>
        <v>-1.2943032583471662E-2</v>
      </c>
    </row>
    <row r="1151" spans="7:8" x14ac:dyDescent="0.3">
      <c r="G1151">
        <v>1144</v>
      </c>
      <c r="H1151">
        <f t="shared" ca="1" si="37"/>
        <v>3.8535919410203442E-2</v>
      </c>
    </row>
    <row r="1152" spans="7:8" x14ac:dyDescent="0.3">
      <c r="G1152">
        <v>1145</v>
      </c>
      <c r="H1152">
        <f t="shared" ca="1" si="37"/>
        <v>1.7437614819682881E-2</v>
      </c>
    </row>
    <row r="1153" spans="7:8" x14ac:dyDescent="0.3">
      <c r="G1153">
        <v>1146</v>
      </c>
      <c r="H1153">
        <f t="shared" ca="1" si="37"/>
        <v>1.3880289868473426E-2</v>
      </c>
    </row>
    <row r="1154" spans="7:8" x14ac:dyDescent="0.3">
      <c r="G1154">
        <v>1147</v>
      </c>
      <c r="H1154">
        <f t="shared" ca="1" si="37"/>
        <v>-2.398403015584465E-3</v>
      </c>
    </row>
    <row r="1155" spans="7:8" x14ac:dyDescent="0.3">
      <c r="G1155">
        <v>1148</v>
      </c>
      <c r="H1155">
        <f t="shared" ca="1" si="37"/>
        <v>1.1388581856685695E-2</v>
      </c>
    </row>
    <row r="1156" spans="7:8" x14ac:dyDescent="0.3">
      <c r="G1156">
        <v>1149</v>
      </c>
      <c r="H1156">
        <f t="shared" ca="1" si="37"/>
        <v>2.3627448305997111E-5</v>
      </c>
    </row>
    <row r="1157" spans="7:8" x14ac:dyDescent="0.3">
      <c r="G1157">
        <v>1150</v>
      </c>
      <c r="H1157">
        <f t="shared" ca="1" si="37"/>
        <v>-1.5526706965817134E-2</v>
      </c>
    </row>
    <row r="1158" spans="7:8" x14ac:dyDescent="0.3">
      <c r="G1158">
        <v>1151</v>
      </c>
      <c r="H1158">
        <f t="shared" ca="1" si="37"/>
        <v>-3.6969840762024107E-2</v>
      </c>
    </row>
    <row r="1159" spans="7:8" x14ac:dyDescent="0.3">
      <c r="G1159">
        <v>1152</v>
      </c>
      <c r="H1159">
        <f t="shared" ca="1" si="37"/>
        <v>-2.9123677382180781E-2</v>
      </c>
    </row>
    <row r="1160" spans="7:8" x14ac:dyDescent="0.3">
      <c r="G1160">
        <v>1153</v>
      </c>
      <c r="H1160">
        <f t="shared" ca="1" si="37"/>
        <v>-6.3381882178965704E-3</v>
      </c>
    </row>
    <row r="1161" spans="7:8" x14ac:dyDescent="0.3">
      <c r="G1161">
        <v>1154</v>
      </c>
      <c r="H1161">
        <f t="shared" ref="H1161:H1224" ca="1" si="38">_xlfn.NORM.INV(RAND(),$N$10,$N$11)</f>
        <v>8.6170205414305579E-3</v>
      </c>
    </row>
    <row r="1162" spans="7:8" x14ac:dyDescent="0.3">
      <c r="G1162">
        <v>1155</v>
      </c>
      <c r="H1162">
        <f t="shared" ca="1" si="38"/>
        <v>5.3366832651061393E-3</v>
      </c>
    </row>
    <row r="1163" spans="7:8" x14ac:dyDescent="0.3">
      <c r="G1163">
        <v>1156</v>
      </c>
      <c r="H1163">
        <f t="shared" ca="1" si="38"/>
        <v>1.8785307214827185E-2</v>
      </c>
    </row>
    <row r="1164" spans="7:8" x14ac:dyDescent="0.3">
      <c r="G1164">
        <v>1157</v>
      </c>
      <c r="H1164">
        <f t="shared" ca="1" si="38"/>
        <v>3.1990566856252628E-3</v>
      </c>
    </row>
    <row r="1165" spans="7:8" x14ac:dyDescent="0.3">
      <c r="G1165">
        <v>1158</v>
      </c>
      <c r="H1165">
        <f t="shared" ca="1" si="38"/>
        <v>-7.16965558499842E-3</v>
      </c>
    </row>
    <row r="1166" spans="7:8" x14ac:dyDescent="0.3">
      <c r="G1166">
        <v>1159</v>
      </c>
      <c r="H1166">
        <f t="shared" ca="1" si="38"/>
        <v>-2.9002467035314224E-2</v>
      </c>
    </row>
    <row r="1167" spans="7:8" x14ac:dyDescent="0.3">
      <c r="G1167">
        <v>1160</v>
      </c>
      <c r="H1167">
        <f t="shared" ca="1" si="38"/>
        <v>-8.871657532530974E-3</v>
      </c>
    </row>
    <row r="1168" spans="7:8" x14ac:dyDescent="0.3">
      <c r="G1168">
        <v>1161</v>
      </c>
      <c r="H1168">
        <f t="shared" ca="1" si="38"/>
        <v>-4.0057806455304962E-2</v>
      </c>
    </row>
    <row r="1169" spans="7:8" x14ac:dyDescent="0.3">
      <c r="G1169">
        <v>1162</v>
      </c>
      <c r="H1169">
        <f t="shared" ca="1" si="38"/>
        <v>3.2851673935260597E-3</v>
      </c>
    </row>
    <row r="1170" spans="7:8" x14ac:dyDescent="0.3">
      <c r="G1170">
        <v>1163</v>
      </c>
      <c r="H1170">
        <f t="shared" ca="1" si="38"/>
        <v>-2.0948068596790296E-3</v>
      </c>
    </row>
    <row r="1171" spans="7:8" x14ac:dyDescent="0.3">
      <c r="G1171">
        <v>1164</v>
      </c>
      <c r="H1171">
        <f t="shared" ca="1" si="38"/>
        <v>9.0828140717259323E-3</v>
      </c>
    </row>
    <row r="1172" spans="7:8" x14ac:dyDescent="0.3">
      <c r="G1172">
        <v>1165</v>
      </c>
      <c r="H1172">
        <f t="shared" ca="1" si="38"/>
        <v>9.8269365656694762E-3</v>
      </c>
    </row>
    <row r="1173" spans="7:8" x14ac:dyDescent="0.3">
      <c r="G1173">
        <v>1166</v>
      </c>
      <c r="H1173">
        <f t="shared" ca="1" si="38"/>
        <v>1.3419564827709802E-2</v>
      </c>
    </row>
    <row r="1174" spans="7:8" x14ac:dyDescent="0.3">
      <c r="G1174">
        <v>1167</v>
      </c>
      <c r="H1174">
        <f t="shared" ca="1" si="38"/>
        <v>-4.4428652574014004E-3</v>
      </c>
    </row>
    <row r="1175" spans="7:8" x14ac:dyDescent="0.3">
      <c r="G1175">
        <v>1168</v>
      </c>
      <c r="H1175">
        <f t="shared" ca="1" si="38"/>
        <v>-1.6537097559514755E-2</v>
      </c>
    </row>
    <row r="1176" spans="7:8" x14ac:dyDescent="0.3">
      <c r="G1176">
        <v>1169</v>
      </c>
      <c r="H1176">
        <f t="shared" ca="1" si="38"/>
        <v>7.9730601962444657E-3</v>
      </c>
    </row>
    <row r="1177" spans="7:8" x14ac:dyDescent="0.3">
      <c r="G1177">
        <v>1170</v>
      </c>
      <c r="H1177">
        <f t="shared" ca="1" si="38"/>
        <v>2.7193247588261971E-2</v>
      </c>
    </row>
    <row r="1178" spans="7:8" x14ac:dyDescent="0.3">
      <c r="G1178">
        <v>1171</v>
      </c>
      <c r="H1178">
        <f t="shared" ca="1" si="38"/>
        <v>-2.2919852225506201E-2</v>
      </c>
    </row>
    <row r="1179" spans="7:8" x14ac:dyDescent="0.3">
      <c r="G1179">
        <v>1172</v>
      </c>
      <c r="H1179">
        <f t="shared" ca="1" si="38"/>
        <v>-5.2148436754285148E-2</v>
      </c>
    </row>
    <row r="1180" spans="7:8" x14ac:dyDescent="0.3">
      <c r="G1180">
        <v>1173</v>
      </c>
      <c r="H1180">
        <f t="shared" ca="1" si="38"/>
        <v>2.0866466697119879E-2</v>
      </c>
    </row>
    <row r="1181" spans="7:8" x14ac:dyDescent="0.3">
      <c r="G1181">
        <v>1174</v>
      </c>
      <c r="H1181">
        <f t="shared" ca="1" si="38"/>
        <v>1.0715631387751758E-2</v>
      </c>
    </row>
    <row r="1182" spans="7:8" x14ac:dyDescent="0.3">
      <c r="G1182">
        <v>1175</v>
      </c>
      <c r="H1182">
        <f t="shared" ca="1" si="38"/>
        <v>-6.8631595086162626E-3</v>
      </c>
    </row>
    <row r="1183" spans="7:8" x14ac:dyDescent="0.3">
      <c r="G1183">
        <v>1176</v>
      </c>
      <c r="H1183">
        <f t="shared" ca="1" si="38"/>
        <v>-1.6522320788992243E-2</v>
      </c>
    </row>
    <row r="1184" spans="7:8" x14ac:dyDescent="0.3">
      <c r="G1184">
        <v>1177</v>
      </c>
      <c r="H1184">
        <f t="shared" ca="1" si="38"/>
        <v>-1.2568255341171397E-2</v>
      </c>
    </row>
    <row r="1185" spans="7:8" x14ac:dyDescent="0.3">
      <c r="G1185">
        <v>1178</v>
      </c>
      <c r="H1185">
        <f t="shared" ca="1" si="38"/>
        <v>3.8287216991608744E-3</v>
      </c>
    </row>
    <row r="1186" spans="7:8" x14ac:dyDescent="0.3">
      <c r="G1186">
        <v>1179</v>
      </c>
      <c r="H1186">
        <f t="shared" ca="1" si="38"/>
        <v>3.4107941833165747E-2</v>
      </c>
    </row>
    <row r="1187" spans="7:8" x14ac:dyDescent="0.3">
      <c r="G1187">
        <v>1180</v>
      </c>
      <c r="H1187">
        <f t="shared" ca="1" si="38"/>
        <v>-2.6490801849501189E-2</v>
      </c>
    </row>
    <row r="1188" spans="7:8" x14ac:dyDescent="0.3">
      <c r="G1188">
        <v>1181</v>
      </c>
      <c r="H1188">
        <f t="shared" ca="1" si="38"/>
        <v>2.2497683029684985E-4</v>
      </c>
    </row>
    <row r="1189" spans="7:8" x14ac:dyDescent="0.3">
      <c r="G1189">
        <v>1182</v>
      </c>
      <c r="H1189">
        <f t="shared" ca="1" si="38"/>
        <v>-1.6678798243984331E-2</v>
      </c>
    </row>
    <row r="1190" spans="7:8" x14ac:dyDescent="0.3">
      <c r="G1190">
        <v>1183</v>
      </c>
      <c r="H1190">
        <f t="shared" ca="1" si="38"/>
        <v>6.0821472149826271E-2</v>
      </c>
    </row>
    <row r="1191" spans="7:8" x14ac:dyDescent="0.3">
      <c r="G1191">
        <v>1184</v>
      </c>
      <c r="H1191">
        <f t="shared" ca="1" si="38"/>
        <v>1.5786974427472192E-2</v>
      </c>
    </row>
    <row r="1192" spans="7:8" x14ac:dyDescent="0.3">
      <c r="G1192">
        <v>1185</v>
      </c>
      <c r="H1192">
        <f t="shared" ca="1" si="38"/>
        <v>1.9305407213078805E-2</v>
      </c>
    </row>
    <row r="1193" spans="7:8" x14ac:dyDescent="0.3">
      <c r="G1193">
        <v>1186</v>
      </c>
      <c r="H1193">
        <f t="shared" ca="1" si="38"/>
        <v>3.1487681063674028E-2</v>
      </c>
    </row>
    <row r="1194" spans="7:8" x14ac:dyDescent="0.3">
      <c r="G1194">
        <v>1187</v>
      </c>
      <c r="H1194">
        <f t="shared" ca="1" si="38"/>
        <v>1.5034397599643467E-2</v>
      </c>
    </row>
    <row r="1195" spans="7:8" x14ac:dyDescent="0.3">
      <c r="G1195">
        <v>1188</v>
      </c>
      <c r="H1195">
        <f t="shared" ca="1" si="38"/>
        <v>4.7994931979642467E-3</v>
      </c>
    </row>
    <row r="1196" spans="7:8" x14ac:dyDescent="0.3">
      <c r="G1196">
        <v>1189</v>
      </c>
      <c r="H1196">
        <f t="shared" ca="1" si="38"/>
        <v>-1.4281161909555355E-2</v>
      </c>
    </row>
    <row r="1197" spans="7:8" x14ac:dyDescent="0.3">
      <c r="G1197">
        <v>1190</v>
      </c>
      <c r="H1197">
        <f t="shared" ca="1" si="38"/>
        <v>2.1367672254557685E-2</v>
      </c>
    </row>
    <row r="1198" spans="7:8" x14ac:dyDescent="0.3">
      <c r="G1198">
        <v>1191</v>
      </c>
      <c r="H1198">
        <f t="shared" ca="1" si="38"/>
        <v>-6.6250175318276067E-3</v>
      </c>
    </row>
    <row r="1199" spans="7:8" x14ac:dyDescent="0.3">
      <c r="G1199">
        <v>1192</v>
      </c>
      <c r="H1199">
        <f t="shared" ca="1" si="38"/>
        <v>-1.4858219984292792E-2</v>
      </c>
    </row>
    <row r="1200" spans="7:8" x14ac:dyDescent="0.3">
      <c r="G1200">
        <v>1193</v>
      </c>
      <c r="H1200">
        <f t="shared" ca="1" si="38"/>
        <v>-4.9655106670560105E-3</v>
      </c>
    </row>
    <row r="1201" spans="7:8" x14ac:dyDescent="0.3">
      <c r="G1201">
        <v>1194</v>
      </c>
      <c r="H1201">
        <f t="shared" ca="1" si="38"/>
        <v>-1.3437059439338758E-2</v>
      </c>
    </row>
    <row r="1202" spans="7:8" x14ac:dyDescent="0.3">
      <c r="G1202">
        <v>1195</v>
      </c>
      <c r="H1202">
        <f t="shared" ca="1" si="38"/>
        <v>-2.3455827928077731E-2</v>
      </c>
    </row>
    <row r="1203" spans="7:8" x14ac:dyDescent="0.3">
      <c r="G1203">
        <v>1196</v>
      </c>
      <c r="H1203">
        <f t="shared" ca="1" si="38"/>
        <v>2.2332799398440017E-2</v>
      </c>
    </row>
    <row r="1204" spans="7:8" x14ac:dyDescent="0.3">
      <c r="G1204">
        <v>1197</v>
      </c>
      <c r="H1204">
        <f t="shared" ca="1" si="38"/>
        <v>3.5846416548994245E-2</v>
      </c>
    </row>
    <row r="1205" spans="7:8" x14ac:dyDescent="0.3">
      <c r="G1205">
        <v>1198</v>
      </c>
      <c r="H1205">
        <f t="shared" ca="1" si="38"/>
        <v>1.2407512655220934E-2</v>
      </c>
    </row>
    <row r="1206" spans="7:8" x14ac:dyDescent="0.3">
      <c r="G1206">
        <v>1199</v>
      </c>
      <c r="H1206">
        <f t="shared" ca="1" si="38"/>
        <v>7.1721909450038375E-3</v>
      </c>
    </row>
    <row r="1207" spans="7:8" x14ac:dyDescent="0.3">
      <c r="G1207">
        <v>1200</v>
      </c>
      <c r="H1207">
        <f t="shared" ca="1" si="38"/>
        <v>-2.1817508507517232E-2</v>
      </c>
    </row>
    <row r="1208" spans="7:8" x14ac:dyDescent="0.3">
      <c r="G1208">
        <v>1201</v>
      </c>
      <c r="H1208">
        <f t="shared" ca="1" si="38"/>
        <v>7.7152971062774932E-4</v>
      </c>
    </row>
    <row r="1209" spans="7:8" x14ac:dyDescent="0.3">
      <c r="G1209">
        <v>1202</v>
      </c>
      <c r="H1209">
        <f t="shared" ca="1" si="38"/>
        <v>-1.5287173615934331E-3</v>
      </c>
    </row>
    <row r="1210" spans="7:8" x14ac:dyDescent="0.3">
      <c r="G1210">
        <v>1203</v>
      </c>
      <c r="H1210">
        <f t="shared" ca="1" si="38"/>
        <v>2.0129955581791984E-2</v>
      </c>
    </row>
    <row r="1211" spans="7:8" x14ac:dyDescent="0.3">
      <c r="G1211">
        <v>1204</v>
      </c>
      <c r="H1211">
        <f t="shared" ca="1" si="38"/>
        <v>-3.1178156074594447E-2</v>
      </c>
    </row>
    <row r="1212" spans="7:8" x14ac:dyDescent="0.3">
      <c r="G1212">
        <v>1205</v>
      </c>
      <c r="H1212">
        <f t="shared" ca="1" si="38"/>
        <v>-6.2343089597682033E-3</v>
      </c>
    </row>
    <row r="1213" spans="7:8" x14ac:dyDescent="0.3">
      <c r="G1213">
        <v>1206</v>
      </c>
      <c r="H1213">
        <f t="shared" ca="1" si="38"/>
        <v>-8.7148860311909004E-3</v>
      </c>
    </row>
    <row r="1214" spans="7:8" x14ac:dyDescent="0.3">
      <c r="G1214">
        <v>1207</v>
      </c>
      <c r="H1214">
        <f t="shared" ca="1" si="38"/>
        <v>-1.0548870150845066E-3</v>
      </c>
    </row>
    <row r="1215" spans="7:8" x14ac:dyDescent="0.3">
      <c r="G1215">
        <v>1208</v>
      </c>
      <c r="H1215">
        <f t="shared" ca="1" si="38"/>
        <v>-2.4470346203055611E-2</v>
      </c>
    </row>
    <row r="1216" spans="7:8" x14ac:dyDescent="0.3">
      <c r="G1216">
        <v>1209</v>
      </c>
      <c r="H1216">
        <f t="shared" ca="1" si="38"/>
        <v>-2.0137238907891801E-3</v>
      </c>
    </row>
    <row r="1217" spans="7:8" x14ac:dyDescent="0.3">
      <c r="G1217">
        <v>1210</v>
      </c>
      <c r="H1217">
        <f t="shared" ca="1" si="38"/>
        <v>-2.5285298991593968E-2</v>
      </c>
    </row>
    <row r="1218" spans="7:8" x14ac:dyDescent="0.3">
      <c r="G1218">
        <v>1211</v>
      </c>
      <c r="H1218">
        <f t="shared" ca="1" si="38"/>
        <v>-2.062185705674989E-2</v>
      </c>
    </row>
    <row r="1219" spans="7:8" x14ac:dyDescent="0.3">
      <c r="G1219">
        <v>1212</v>
      </c>
      <c r="H1219">
        <f t="shared" ca="1" si="38"/>
        <v>-4.3818048812572256E-3</v>
      </c>
    </row>
    <row r="1220" spans="7:8" x14ac:dyDescent="0.3">
      <c r="G1220">
        <v>1213</v>
      </c>
      <c r="H1220">
        <f t="shared" ca="1" si="38"/>
        <v>9.9622324749756384E-3</v>
      </c>
    </row>
    <row r="1221" spans="7:8" x14ac:dyDescent="0.3">
      <c r="G1221">
        <v>1214</v>
      </c>
      <c r="H1221">
        <f t="shared" ca="1" si="38"/>
        <v>-2.7219738656278423E-4</v>
      </c>
    </row>
    <row r="1222" spans="7:8" x14ac:dyDescent="0.3">
      <c r="G1222">
        <v>1215</v>
      </c>
      <c r="H1222">
        <f t="shared" ca="1" si="38"/>
        <v>-7.8514785745188789E-3</v>
      </c>
    </row>
    <row r="1223" spans="7:8" x14ac:dyDescent="0.3">
      <c r="G1223">
        <v>1216</v>
      </c>
      <c r="H1223">
        <f t="shared" ca="1" si="38"/>
        <v>1.9953425186885122E-2</v>
      </c>
    </row>
    <row r="1224" spans="7:8" x14ac:dyDescent="0.3">
      <c r="G1224">
        <v>1217</v>
      </c>
      <c r="H1224">
        <f t="shared" ca="1" si="38"/>
        <v>-8.2584428177758448E-3</v>
      </c>
    </row>
    <row r="1225" spans="7:8" x14ac:dyDescent="0.3">
      <c r="G1225">
        <v>1218</v>
      </c>
      <c r="H1225">
        <f t="shared" ref="H1225:H1288" ca="1" si="39">_xlfn.NORM.INV(RAND(),$N$10,$N$11)</f>
        <v>8.1256698064865896E-3</v>
      </c>
    </row>
    <row r="1226" spans="7:8" x14ac:dyDescent="0.3">
      <c r="G1226">
        <v>1219</v>
      </c>
      <c r="H1226">
        <f t="shared" ca="1" si="39"/>
        <v>-6.7652581848690616E-3</v>
      </c>
    </row>
    <row r="1227" spans="7:8" x14ac:dyDescent="0.3">
      <c r="G1227">
        <v>1220</v>
      </c>
      <c r="H1227">
        <f t="shared" ca="1" si="39"/>
        <v>2.6459173099610046E-4</v>
      </c>
    </row>
    <row r="1228" spans="7:8" x14ac:dyDescent="0.3">
      <c r="G1228">
        <v>1221</v>
      </c>
      <c r="H1228">
        <f t="shared" ca="1" si="39"/>
        <v>-7.0179130277820204E-3</v>
      </c>
    </row>
    <row r="1229" spans="7:8" x14ac:dyDescent="0.3">
      <c r="G1229">
        <v>1222</v>
      </c>
      <c r="H1229">
        <f t="shared" ca="1" si="39"/>
        <v>-1.8896779283591419E-3</v>
      </c>
    </row>
    <row r="1230" spans="7:8" x14ac:dyDescent="0.3">
      <c r="G1230">
        <v>1223</v>
      </c>
      <c r="H1230">
        <f t="shared" ca="1" si="39"/>
        <v>8.4204126526486456E-3</v>
      </c>
    </row>
    <row r="1231" spans="7:8" x14ac:dyDescent="0.3">
      <c r="G1231">
        <v>1224</v>
      </c>
      <c r="H1231">
        <f t="shared" ca="1" si="39"/>
        <v>1.0389579882126103E-3</v>
      </c>
    </row>
    <row r="1232" spans="7:8" x14ac:dyDescent="0.3">
      <c r="G1232">
        <v>1225</v>
      </c>
      <c r="H1232">
        <f t="shared" ca="1" si="39"/>
        <v>-1.6136995990343669E-2</v>
      </c>
    </row>
    <row r="1233" spans="7:8" x14ac:dyDescent="0.3">
      <c r="G1233">
        <v>1226</v>
      </c>
      <c r="H1233">
        <f t="shared" ca="1" si="39"/>
        <v>-2.8305693167343104E-2</v>
      </c>
    </row>
    <row r="1234" spans="7:8" x14ac:dyDescent="0.3">
      <c r="G1234">
        <v>1227</v>
      </c>
      <c r="H1234">
        <f t="shared" ca="1" si="39"/>
        <v>-2.3727881277225041E-2</v>
      </c>
    </row>
    <row r="1235" spans="7:8" x14ac:dyDescent="0.3">
      <c r="G1235">
        <v>1228</v>
      </c>
      <c r="H1235">
        <f t="shared" ca="1" si="39"/>
        <v>6.1403610070098862E-3</v>
      </c>
    </row>
    <row r="1236" spans="7:8" x14ac:dyDescent="0.3">
      <c r="G1236">
        <v>1229</v>
      </c>
      <c r="H1236">
        <f t="shared" ca="1" si="39"/>
        <v>-1.5244936169688562E-2</v>
      </c>
    </row>
    <row r="1237" spans="7:8" x14ac:dyDescent="0.3">
      <c r="G1237">
        <v>1230</v>
      </c>
      <c r="H1237">
        <f t="shared" ca="1" si="39"/>
        <v>-1.1868239978407519E-2</v>
      </c>
    </row>
    <row r="1238" spans="7:8" x14ac:dyDescent="0.3">
      <c r="G1238">
        <v>1231</v>
      </c>
      <c r="H1238">
        <f t="shared" ca="1" si="39"/>
        <v>-1.3014158122824823E-2</v>
      </c>
    </row>
    <row r="1239" spans="7:8" x14ac:dyDescent="0.3">
      <c r="G1239">
        <v>1232</v>
      </c>
      <c r="H1239">
        <f t="shared" ca="1" si="39"/>
        <v>2.0498682826518264E-2</v>
      </c>
    </row>
    <row r="1240" spans="7:8" x14ac:dyDescent="0.3">
      <c r="G1240">
        <v>1233</v>
      </c>
      <c r="H1240">
        <f t="shared" ca="1" si="39"/>
        <v>1.6201894566233897E-3</v>
      </c>
    </row>
    <row r="1241" spans="7:8" x14ac:dyDescent="0.3">
      <c r="G1241">
        <v>1234</v>
      </c>
      <c r="H1241">
        <f t="shared" ca="1" si="39"/>
        <v>6.1180001249366098E-3</v>
      </c>
    </row>
    <row r="1242" spans="7:8" x14ac:dyDescent="0.3">
      <c r="G1242">
        <v>1235</v>
      </c>
      <c r="H1242">
        <f t="shared" ca="1" si="39"/>
        <v>-1.9728136207084093E-2</v>
      </c>
    </row>
    <row r="1243" spans="7:8" x14ac:dyDescent="0.3">
      <c r="G1243">
        <v>1236</v>
      </c>
      <c r="H1243">
        <f t="shared" ca="1" si="39"/>
        <v>-1.5528159116145355E-2</v>
      </c>
    </row>
    <row r="1244" spans="7:8" x14ac:dyDescent="0.3">
      <c r="G1244">
        <v>1237</v>
      </c>
      <c r="H1244">
        <f t="shared" ca="1" si="39"/>
        <v>2.0571967701526039E-2</v>
      </c>
    </row>
    <row r="1245" spans="7:8" x14ac:dyDescent="0.3">
      <c r="G1245">
        <v>1238</v>
      </c>
      <c r="H1245">
        <f t="shared" ca="1" si="39"/>
        <v>-5.1008967708113398E-3</v>
      </c>
    </row>
    <row r="1246" spans="7:8" x14ac:dyDescent="0.3">
      <c r="G1246">
        <v>1239</v>
      </c>
      <c r="H1246">
        <f t="shared" ca="1" si="39"/>
        <v>-2.2368340985396747E-2</v>
      </c>
    </row>
    <row r="1247" spans="7:8" x14ac:dyDescent="0.3">
      <c r="G1247">
        <v>1240</v>
      </c>
      <c r="H1247">
        <f t="shared" ca="1" si="39"/>
        <v>1.295522945741516E-3</v>
      </c>
    </row>
    <row r="1248" spans="7:8" x14ac:dyDescent="0.3">
      <c r="G1248">
        <v>1241</v>
      </c>
      <c r="H1248">
        <f t="shared" ca="1" si="39"/>
        <v>1.1859413581691404E-3</v>
      </c>
    </row>
    <row r="1249" spans="7:8" x14ac:dyDescent="0.3">
      <c r="G1249">
        <v>1242</v>
      </c>
      <c r="H1249">
        <f t="shared" ca="1" si="39"/>
        <v>-2.0039985757525993E-2</v>
      </c>
    </row>
    <row r="1250" spans="7:8" x14ac:dyDescent="0.3">
      <c r="G1250">
        <v>1243</v>
      </c>
      <c r="H1250">
        <f t="shared" ca="1" si="39"/>
        <v>-6.6445875454138881E-3</v>
      </c>
    </row>
    <row r="1251" spans="7:8" x14ac:dyDescent="0.3">
      <c r="G1251">
        <v>1244</v>
      </c>
      <c r="H1251">
        <f t="shared" ca="1" si="39"/>
        <v>-2.2186708376461133E-2</v>
      </c>
    </row>
    <row r="1252" spans="7:8" x14ac:dyDescent="0.3">
      <c r="G1252">
        <v>1245</v>
      </c>
      <c r="H1252">
        <f t="shared" ca="1" si="39"/>
        <v>-4.0102533577938814E-3</v>
      </c>
    </row>
    <row r="1253" spans="7:8" x14ac:dyDescent="0.3">
      <c r="G1253">
        <v>1246</v>
      </c>
      <c r="H1253">
        <f t="shared" ca="1" si="39"/>
        <v>9.792117937603078E-3</v>
      </c>
    </row>
    <row r="1254" spans="7:8" x14ac:dyDescent="0.3">
      <c r="G1254">
        <v>1247</v>
      </c>
      <c r="H1254">
        <f t="shared" ca="1" si="39"/>
        <v>-2.0690747109675209E-2</v>
      </c>
    </row>
    <row r="1255" spans="7:8" x14ac:dyDescent="0.3">
      <c r="G1255">
        <v>1248</v>
      </c>
      <c r="H1255">
        <f t="shared" ca="1" si="39"/>
        <v>-1.086255841690615E-2</v>
      </c>
    </row>
    <row r="1256" spans="7:8" x14ac:dyDescent="0.3">
      <c r="G1256">
        <v>1249</v>
      </c>
      <c r="H1256">
        <f t="shared" ca="1" si="39"/>
        <v>-5.2368237807969642E-3</v>
      </c>
    </row>
    <row r="1257" spans="7:8" x14ac:dyDescent="0.3">
      <c r="G1257">
        <v>1250</v>
      </c>
      <c r="H1257">
        <f t="shared" ca="1" si="39"/>
        <v>1.7506059331753896E-2</v>
      </c>
    </row>
    <row r="1258" spans="7:8" x14ac:dyDescent="0.3">
      <c r="G1258">
        <v>1251</v>
      </c>
      <c r="H1258">
        <f t="shared" ca="1" si="39"/>
        <v>-1.1723214810235135E-2</v>
      </c>
    </row>
    <row r="1259" spans="7:8" x14ac:dyDescent="0.3">
      <c r="G1259">
        <v>1252</v>
      </c>
      <c r="H1259">
        <f t="shared" ca="1" si="39"/>
        <v>-1.5606235267469482E-2</v>
      </c>
    </row>
    <row r="1260" spans="7:8" x14ac:dyDescent="0.3">
      <c r="G1260">
        <v>1253</v>
      </c>
      <c r="H1260">
        <f t="shared" ca="1" si="39"/>
        <v>2.3777086895036475E-2</v>
      </c>
    </row>
    <row r="1261" spans="7:8" x14ac:dyDescent="0.3">
      <c r="G1261">
        <v>1254</v>
      </c>
      <c r="H1261">
        <f t="shared" ca="1" si="39"/>
        <v>1.5526163551211306E-3</v>
      </c>
    </row>
    <row r="1262" spans="7:8" x14ac:dyDescent="0.3">
      <c r="G1262">
        <v>1255</v>
      </c>
      <c r="H1262">
        <f t="shared" ca="1" si="39"/>
        <v>7.3238058853008344E-3</v>
      </c>
    </row>
    <row r="1263" spans="7:8" x14ac:dyDescent="0.3">
      <c r="G1263">
        <v>1256</v>
      </c>
      <c r="H1263">
        <f t="shared" ca="1" si="39"/>
        <v>-2.4208829367037329E-2</v>
      </c>
    </row>
    <row r="1264" spans="7:8" x14ac:dyDescent="0.3">
      <c r="G1264">
        <v>1257</v>
      </c>
      <c r="H1264">
        <f t="shared" ca="1" si="39"/>
        <v>3.1138966471467987E-2</v>
      </c>
    </row>
    <row r="1265" spans="7:8" x14ac:dyDescent="0.3">
      <c r="G1265">
        <v>1258</v>
      </c>
      <c r="H1265">
        <f t="shared" ca="1" si="39"/>
        <v>-1.9175055224142191E-2</v>
      </c>
    </row>
    <row r="1266" spans="7:8" x14ac:dyDescent="0.3">
      <c r="G1266">
        <v>1259</v>
      </c>
      <c r="H1266">
        <f t="shared" ca="1" si="39"/>
        <v>-1.0664507536524029E-3</v>
      </c>
    </row>
    <row r="1267" spans="7:8" x14ac:dyDescent="0.3">
      <c r="G1267">
        <v>1260</v>
      </c>
      <c r="H1267">
        <f t="shared" ca="1" si="39"/>
        <v>-4.4107268699994616E-3</v>
      </c>
    </row>
    <row r="1268" spans="7:8" x14ac:dyDescent="0.3">
      <c r="G1268">
        <v>1261</v>
      </c>
      <c r="H1268">
        <f t="shared" ca="1" si="39"/>
        <v>1.8049750215590566E-2</v>
      </c>
    </row>
    <row r="1269" spans="7:8" x14ac:dyDescent="0.3">
      <c r="G1269">
        <v>1262</v>
      </c>
      <c r="H1269">
        <f t="shared" ca="1" si="39"/>
        <v>-1.795590020493364E-2</v>
      </c>
    </row>
    <row r="1270" spans="7:8" x14ac:dyDescent="0.3">
      <c r="G1270">
        <v>1263</v>
      </c>
      <c r="H1270">
        <f t="shared" ca="1" si="39"/>
        <v>8.2359744989473401E-3</v>
      </c>
    </row>
    <row r="1271" spans="7:8" x14ac:dyDescent="0.3">
      <c r="G1271">
        <v>1264</v>
      </c>
      <c r="H1271">
        <f t="shared" ca="1" si="39"/>
        <v>1.2730865680778865E-3</v>
      </c>
    </row>
    <row r="1272" spans="7:8" x14ac:dyDescent="0.3">
      <c r="G1272">
        <v>1265</v>
      </c>
      <c r="H1272">
        <f t="shared" ca="1" si="39"/>
        <v>6.3401808816089334E-3</v>
      </c>
    </row>
    <row r="1273" spans="7:8" x14ac:dyDescent="0.3">
      <c r="G1273">
        <v>1266</v>
      </c>
      <c r="H1273">
        <f t="shared" ca="1" si="39"/>
        <v>5.5320369505929577E-2</v>
      </c>
    </row>
    <row r="1274" spans="7:8" x14ac:dyDescent="0.3">
      <c r="G1274">
        <v>1267</v>
      </c>
      <c r="H1274">
        <f t="shared" ca="1" si="39"/>
        <v>-3.7840850522302223E-3</v>
      </c>
    </row>
    <row r="1275" spans="7:8" x14ac:dyDescent="0.3">
      <c r="G1275">
        <v>1268</v>
      </c>
      <c r="H1275">
        <f t="shared" ca="1" si="39"/>
        <v>2.0532160063745078E-4</v>
      </c>
    </row>
    <row r="1276" spans="7:8" x14ac:dyDescent="0.3">
      <c r="G1276">
        <v>1269</v>
      </c>
      <c r="H1276">
        <f t="shared" ca="1" si="39"/>
        <v>1.1501000661092805E-2</v>
      </c>
    </row>
    <row r="1277" spans="7:8" x14ac:dyDescent="0.3">
      <c r="G1277">
        <v>1270</v>
      </c>
      <c r="H1277">
        <f t="shared" ca="1" si="39"/>
        <v>-3.6817412447449842E-2</v>
      </c>
    </row>
    <row r="1278" spans="7:8" x14ac:dyDescent="0.3">
      <c r="G1278">
        <v>1271</v>
      </c>
      <c r="H1278">
        <f t="shared" ca="1" si="39"/>
        <v>7.6903427319760932E-4</v>
      </c>
    </row>
    <row r="1279" spans="7:8" x14ac:dyDescent="0.3">
      <c r="G1279">
        <v>1272</v>
      </c>
      <c r="H1279">
        <f t="shared" ca="1" si="39"/>
        <v>4.0349893240889242E-3</v>
      </c>
    </row>
    <row r="1280" spans="7:8" x14ac:dyDescent="0.3">
      <c r="G1280">
        <v>1273</v>
      </c>
      <c r="H1280">
        <f t="shared" ca="1" si="39"/>
        <v>5.7114022699935397E-3</v>
      </c>
    </row>
    <row r="1281" spans="7:8" x14ac:dyDescent="0.3">
      <c r="G1281">
        <v>1274</v>
      </c>
      <c r="H1281">
        <f t="shared" ca="1" si="39"/>
        <v>1.6266515000104918E-2</v>
      </c>
    </row>
    <row r="1282" spans="7:8" x14ac:dyDescent="0.3">
      <c r="G1282">
        <v>1275</v>
      </c>
      <c r="H1282">
        <f t="shared" ca="1" si="39"/>
        <v>2.0553034114581158E-2</v>
      </c>
    </row>
    <row r="1283" spans="7:8" x14ac:dyDescent="0.3">
      <c r="G1283">
        <v>1276</v>
      </c>
      <c r="H1283">
        <f t="shared" ca="1" si="39"/>
        <v>-1.3587939163783605E-2</v>
      </c>
    </row>
    <row r="1284" spans="7:8" x14ac:dyDescent="0.3">
      <c r="G1284">
        <v>1277</v>
      </c>
      <c r="H1284">
        <f t="shared" ca="1" si="39"/>
        <v>1.2818236821251987E-2</v>
      </c>
    </row>
    <row r="1285" spans="7:8" x14ac:dyDescent="0.3">
      <c r="G1285">
        <v>1278</v>
      </c>
      <c r="H1285">
        <f t="shared" ca="1" si="39"/>
        <v>-1.9854175042189099E-3</v>
      </c>
    </row>
    <row r="1286" spans="7:8" x14ac:dyDescent="0.3">
      <c r="G1286">
        <v>1279</v>
      </c>
      <c r="H1286">
        <f t="shared" ca="1" si="39"/>
        <v>-2.0485677169783403E-2</v>
      </c>
    </row>
    <row r="1287" spans="7:8" x14ac:dyDescent="0.3">
      <c r="G1287">
        <v>1280</v>
      </c>
      <c r="H1287">
        <f t="shared" ca="1" si="39"/>
        <v>-8.7629701917556918E-4</v>
      </c>
    </row>
    <row r="1288" spans="7:8" x14ac:dyDescent="0.3">
      <c r="G1288">
        <v>1281</v>
      </c>
      <c r="H1288">
        <f t="shared" ca="1" si="39"/>
        <v>-6.0490042521867743E-3</v>
      </c>
    </row>
    <row r="1289" spans="7:8" x14ac:dyDescent="0.3">
      <c r="G1289">
        <v>1282</v>
      </c>
      <c r="H1289">
        <f t="shared" ref="H1289:H1352" ca="1" si="40">_xlfn.NORM.INV(RAND(),$N$10,$N$11)</f>
        <v>2.4408272045691559E-3</v>
      </c>
    </row>
    <row r="1290" spans="7:8" x14ac:dyDescent="0.3">
      <c r="G1290">
        <v>1283</v>
      </c>
      <c r="H1290">
        <f t="shared" ca="1" si="40"/>
        <v>5.443907475625437E-3</v>
      </c>
    </row>
    <row r="1291" spans="7:8" x14ac:dyDescent="0.3">
      <c r="G1291">
        <v>1284</v>
      </c>
      <c r="H1291">
        <f t="shared" ca="1" si="40"/>
        <v>3.5345170869093205E-3</v>
      </c>
    </row>
    <row r="1292" spans="7:8" x14ac:dyDescent="0.3">
      <c r="G1292">
        <v>1285</v>
      </c>
      <c r="H1292">
        <f t="shared" ca="1" si="40"/>
        <v>-9.8923872462424161E-3</v>
      </c>
    </row>
    <row r="1293" spans="7:8" x14ac:dyDescent="0.3">
      <c r="G1293">
        <v>1286</v>
      </c>
      <c r="H1293">
        <f t="shared" ca="1" si="40"/>
        <v>1.0015574044544806E-2</v>
      </c>
    </row>
    <row r="1294" spans="7:8" x14ac:dyDescent="0.3">
      <c r="G1294">
        <v>1287</v>
      </c>
      <c r="H1294">
        <f t="shared" ca="1" si="40"/>
        <v>2.409955274211432E-4</v>
      </c>
    </row>
    <row r="1295" spans="7:8" x14ac:dyDescent="0.3">
      <c r="G1295">
        <v>1288</v>
      </c>
      <c r="H1295">
        <f t="shared" ca="1" si="40"/>
        <v>1.8289117166743876E-2</v>
      </c>
    </row>
    <row r="1296" spans="7:8" x14ac:dyDescent="0.3">
      <c r="G1296">
        <v>1289</v>
      </c>
      <c r="H1296">
        <f t="shared" ca="1" si="40"/>
        <v>-8.9727927714158499E-3</v>
      </c>
    </row>
    <row r="1297" spans="7:8" x14ac:dyDescent="0.3">
      <c r="G1297">
        <v>1290</v>
      </c>
      <c r="H1297">
        <f t="shared" ca="1" si="40"/>
        <v>-3.0304578946481319E-2</v>
      </c>
    </row>
    <row r="1298" spans="7:8" x14ac:dyDescent="0.3">
      <c r="G1298">
        <v>1291</v>
      </c>
      <c r="H1298">
        <f t="shared" ca="1" si="40"/>
        <v>-2.4857263269185307E-2</v>
      </c>
    </row>
    <row r="1299" spans="7:8" x14ac:dyDescent="0.3">
      <c r="G1299">
        <v>1292</v>
      </c>
      <c r="H1299">
        <f t="shared" ca="1" si="40"/>
        <v>-1.5527131787022972E-2</v>
      </c>
    </row>
    <row r="1300" spans="7:8" x14ac:dyDescent="0.3">
      <c r="G1300">
        <v>1293</v>
      </c>
      <c r="H1300">
        <f t="shared" ca="1" si="40"/>
        <v>-2.0355325155958625E-2</v>
      </c>
    </row>
    <row r="1301" spans="7:8" x14ac:dyDescent="0.3">
      <c r="G1301">
        <v>1294</v>
      </c>
      <c r="H1301">
        <f t="shared" ca="1" si="40"/>
        <v>1.5965451544984462E-2</v>
      </c>
    </row>
    <row r="1302" spans="7:8" x14ac:dyDescent="0.3">
      <c r="G1302">
        <v>1295</v>
      </c>
      <c r="H1302">
        <f t="shared" ca="1" si="40"/>
        <v>1.3819503612934755E-2</v>
      </c>
    </row>
    <row r="1303" spans="7:8" x14ac:dyDescent="0.3">
      <c r="G1303">
        <v>1296</v>
      </c>
      <c r="H1303">
        <f t="shared" ca="1" si="40"/>
        <v>-2.6742538688871831E-2</v>
      </c>
    </row>
    <row r="1304" spans="7:8" x14ac:dyDescent="0.3">
      <c r="G1304">
        <v>1297</v>
      </c>
      <c r="H1304">
        <f t="shared" ca="1" si="40"/>
        <v>-3.4593474244636609E-2</v>
      </c>
    </row>
    <row r="1305" spans="7:8" x14ac:dyDescent="0.3">
      <c r="G1305">
        <v>1298</v>
      </c>
      <c r="H1305">
        <f t="shared" ca="1" si="40"/>
        <v>-8.7907935235164696E-3</v>
      </c>
    </row>
    <row r="1306" spans="7:8" x14ac:dyDescent="0.3">
      <c r="G1306">
        <v>1299</v>
      </c>
      <c r="H1306">
        <f t="shared" ca="1" si="40"/>
        <v>-2.0430294896416627E-2</v>
      </c>
    </row>
    <row r="1307" spans="7:8" x14ac:dyDescent="0.3">
      <c r="G1307">
        <v>1300</v>
      </c>
      <c r="H1307">
        <f t="shared" ca="1" si="40"/>
        <v>4.066965376455749E-3</v>
      </c>
    </row>
    <row r="1308" spans="7:8" x14ac:dyDescent="0.3">
      <c r="G1308">
        <v>1301</v>
      </c>
      <c r="H1308">
        <f t="shared" ca="1" si="40"/>
        <v>-2.0701232106094654E-2</v>
      </c>
    </row>
    <row r="1309" spans="7:8" x14ac:dyDescent="0.3">
      <c r="G1309">
        <v>1302</v>
      </c>
      <c r="H1309">
        <f t="shared" ca="1" si="40"/>
        <v>-1.6037093324500144E-2</v>
      </c>
    </row>
    <row r="1310" spans="7:8" x14ac:dyDescent="0.3">
      <c r="G1310">
        <v>1303</v>
      </c>
      <c r="H1310">
        <f t="shared" ca="1" si="40"/>
        <v>1.2741603206732996E-2</v>
      </c>
    </row>
    <row r="1311" spans="7:8" x14ac:dyDescent="0.3">
      <c r="G1311">
        <v>1304</v>
      </c>
      <c r="H1311">
        <f t="shared" ca="1" si="40"/>
        <v>1.2319329242002965E-2</v>
      </c>
    </row>
    <row r="1312" spans="7:8" x14ac:dyDescent="0.3">
      <c r="G1312">
        <v>1305</v>
      </c>
      <c r="H1312">
        <f t="shared" ca="1" si="40"/>
        <v>5.2763388005783339E-3</v>
      </c>
    </row>
    <row r="1313" spans="7:8" x14ac:dyDescent="0.3">
      <c r="G1313">
        <v>1306</v>
      </c>
      <c r="H1313">
        <f t="shared" ca="1" si="40"/>
        <v>-1.0387450926708347E-2</v>
      </c>
    </row>
    <row r="1314" spans="7:8" x14ac:dyDescent="0.3">
      <c r="G1314">
        <v>1307</v>
      </c>
      <c r="H1314">
        <f t="shared" ca="1" si="40"/>
        <v>2.8895399229153611E-2</v>
      </c>
    </row>
    <row r="1315" spans="7:8" x14ac:dyDescent="0.3">
      <c r="G1315">
        <v>1308</v>
      </c>
      <c r="H1315">
        <f t="shared" ca="1" si="40"/>
        <v>2.3279452838131268E-2</v>
      </c>
    </row>
    <row r="1316" spans="7:8" x14ac:dyDescent="0.3">
      <c r="G1316">
        <v>1309</v>
      </c>
      <c r="H1316">
        <f t="shared" ca="1" si="40"/>
        <v>-5.6618493627555881E-2</v>
      </c>
    </row>
    <row r="1317" spans="7:8" x14ac:dyDescent="0.3">
      <c r="G1317">
        <v>1310</v>
      </c>
      <c r="H1317">
        <f t="shared" ca="1" si="40"/>
        <v>3.4563697644084306E-3</v>
      </c>
    </row>
    <row r="1318" spans="7:8" x14ac:dyDescent="0.3">
      <c r="G1318">
        <v>1311</v>
      </c>
      <c r="H1318">
        <f t="shared" ca="1" si="40"/>
        <v>-1.1122467474323144E-2</v>
      </c>
    </row>
    <row r="1319" spans="7:8" x14ac:dyDescent="0.3">
      <c r="G1319">
        <v>1312</v>
      </c>
      <c r="H1319">
        <f t="shared" ca="1" si="40"/>
        <v>-2.7045889125434298E-2</v>
      </c>
    </row>
    <row r="1320" spans="7:8" x14ac:dyDescent="0.3">
      <c r="G1320">
        <v>1313</v>
      </c>
      <c r="H1320">
        <f t="shared" ca="1" si="40"/>
        <v>1.7658767595926481E-2</v>
      </c>
    </row>
    <row r="1321" spans="7:8" x14ac:dyDescent="0.3">
      <c r="G1321">
        <v>1314</v>
      </c>
      <c r="H1321">
        <f t="shared" ca="1" si="40"/>
        <v>3.3050205521401093E-3</v>
      </c>
    </row>
    <row r="1322" spans="7:8" x14ac:dyDescent="0.3">
      <c r="G1322">
        <v>1315</v>
      </c>
      <c r="H1322">
        <f t="shared" ca="1" si="40"/>
        <v>-1.5671948166973888E-2</v>
      </c>
    </row>
    <row r="1323" spans="7:8" x14ac:dyDescent="0.3">
      <c r="G1323">
        <v>1316</v>
      </c>
      <c r="H1323">
        <f t="shared" ca="1" si="40"/>
        <v>1.9009659721666291E-2</v>
      </c>
    </row>
    <row r="1324" spans="7:8" x14ac:dyDescent="0.3">
      <c r="G1324">
        <v>1317</v>
      </c>
      <c r="H1324">
        <f t="shared" ca="1" si="40"/>
        <v>1.4646104199848624E-2</v>
      </c>
    </row>
    <row r="1325" spans="7:8" x14ac:dyDescent="0.3">
      <c r="G1325">
        <v>1318</v>
      </c>
      <c r="H1325">
        <f t="shared" ca="1" si="40"/>
        <v>-8.5448590905544061E-3</v>
      </c>
    </row>
    <row r="1326" spans="7:8" x14ac:dyDescent="0.3">
      <c r="G1326">
        <v>1319</v>
      </c>
      <c r="H1326">
        <f t="shared" ca="1" si="40"/>
        <v>-1.7055019173803595E-3</v>
      </c>
    </row>
    <row r="1327" spans="7:8" x14ac:dyDescent="0.3">
      <c r="G1327">
        <v>1320</v>
      </c>
      <c r="H1327">
        <f t="shared" ca="1" si="40"/>
        <v>6.4345118812816548E-3</v>
      </c>
    </row>
    <row r="1328" spans="7:8" x14ac:dyDescent="0.3">
      <c r="G1328">
        <v>1321</v>
      </c>
      <c r="H1328">
        <f t="shared" ca="1" si="40"/>
        <v>-6.3975800208178378E-3</v>
      </c>
    </row>
    <row r="1329" spans="7:8" x14ac:dyDescent="0.3">
      <c r="G1329">
        <v>1322</v>
      </c>
      <c r="H1329">
        <f t="shared" ca="1" si="40"/>
        <v>7.93262410375924E-3</v>
      </c>
    </row>
    <row r="1330" spans="7:8" x14ac:dyDescent="0.3">
      <c r="G1330">
        <v>1323</v>
      </c>
      <c r="H1330">
        <f t="shared" ca="1" si="40"/>
        <v>5.9582114399470533E-3</v>
      </c>
    </row>
    <row r="1331" spans="7:8" x14ac:dyDescent="0.3">
      <c r="G1331">
        <v>1324</v>
      </c>
      <c r="H1331">
        <f t="shared" ca="1" si="40"/>
        <v>1.0210892869700483E-2</v>
      </c>
    </row>
    <row r="1332" spans="7:8" x14ac:dyDescent="0.3">
      <c r="G1332">
        <v>1325</v>
      </c>
      <c r="H1332">
        <f t="shared" ca="1" si="40"/>
        <v>-8.8298105008716727E-3</v>
      </c>
    </row>
    <row r="1333" spans="7:8" x14ac:dyDescent="0.3">
      <c r="G1333">
        <v>1326</v>
      </c>
      <c r="H1333">
        <f t="shared" ca="1" si="40"/>
        <v>1.073018833111569E-2</v>
      </c>
    </row>
    <row r="1334" spans="7:8" x14ac:dyDescent="0.3">
      <c r="G1334">
        <v>1327</v>
      </c>
      <c r="H1334">
        <f t="shared" ca="1" si="40"/>
        <v>5.1072473291399667E-3</v>
      </c>
    </row>
    <row r="1335" spans="7:8" x14ac:dyDescent="0.3">
      <c r="G1335">
        <v>1328</v>
      </c>
      <c r="H1335">
        <f t="shared" ca="1" si="40"/>
        <v>-5.0811073272691888E-3</v>
      </c>
    </row>
    <row r="1336" spans="7:8" x14ac:dyDescent="0.3">
      <c r="G1336">
        <v>1329</v>
      </c>
      <c r="H1336">
        <f t="shared" ca="1" si="40"/>
        <v>-4.7760277420542067E-3</v>
      </c>
    </row>
    <row r="1337" spans="7:8" x14ac:dyDescent="0.3">
      <c r="G1337">
        <v>1330</v>
      </c>
      <c r="H1337">
        <f t="shared" ca="1" si="40"/>
        <v>-1.4514095705319659E-3</v>
      </c>
    </row>
    <row r="1338" spans="7:8" x14ac:dyDescent="0.3">
      <c r="G1338">
        <v>1331</v>
      </c>
      <c r="H1338">
        <f t="shared" ca="1" si="40"/>
        <v>-1.7528367247755559E-2</v>
      </c>
    </row>
    <row r="1339" spans="7:8" x14ac:dyDescent="0.3">
      <c r="G1339">
        <v>1332</v>
      </c>
      <c r="H1339">
        <f t="shared" ca="1" si="40"/>
        <v>4.5898482586082994E-3</v>
      </c>
    </row>
    <row r="1340" spans="7:8" x14ac:dyDescent="0.3">
      <c r="G1340">
        <v>1333</v>
      </c>
      <c r="H1340">
        <f t="shared" ca="1" si="40"/>
        <v>-6.2024581885014654E-3</v>
      </c>
    </row>
    <row r="1341" spans="7:8" x14ac:dyDescent="0.3">
      <c r="G1341">
        <v>1334</v>
      </c>
      <c r="H1341">
        <f t="shared" ca="1" si="40"/>
        <v>9.7802317976830653E-4</v>
      </c>
    </row>
    <row r="1342" spans="7:8" x14ac:dyDescent="0.3">
      <c r="G1342">
        <v>1335</v>
      </c>
      <c r="H1342">
        <f t="shared" ca="1" si="40"/>
        <v>2.4139553504927188E-2</v>
      </c>
    </row>
    <row r="1343" spans="7:8" x14ac:dyDescent="0.3">
      <c r="G1343">
        <v>1336</v>
      </c>
      <c r="H1343">
        <f t="shared" ca="1" si="40"/>
        <v>-1.6824140046340374E-3</v>
      </c>
    </row>
    <row r="1344" spans="7:8" x14ac:dyDescent="0.3">
      <c r="G1344">
        <v>1337</v>
      </c>
      <c r="H1344">
        <f t="shared" ca="1" si="40"/>
        <v>-1.7678031618939905E-3</v>
      </c>
    </row>
    <row r="1345" spans="7:8" x14ac:dyDescent="0.3">
      <c r="G1345">
        <v>1338</v>
      </c>
      <c r="H1345">
        <f t="shared" ca="1" si="40"/>
        <v>-5.9810189572688651E-3</v>
      </c>
    </row>
    <row r="1346" spans="7:8" x14ac:dyDescent="0.3">
      <c r="G1346">
        <v>1339</v>
      </c>
      <c r="H1346">
        <f t="shared" ca="1" si="40"/>
        <v>-3.4340360801950877E-3</v>
      </c>
    </row>
    <row r="1347" spans="7:8" x14ac:dyDescent="0.3">
      <c r="G1347">
        <v>1340</v>
      </c>
      <c r="H1347">
        <f t="shared" ca="1" si="40"/>
        <v>-2.5522951071220483E-2</v>
      </c>
    </row>
    <row r="1348" spans="7:8" x14ac:dyDescent="0.3">
      <c r="G1348">
        <v>1341</v>
      </c>
      <c r="H1348">
        <f t="shared" ca="1" si="40"/>
        <v>9.4342223414336183E-3</v>
      </c>
    </row>
    <row r="1349" spans="7:8" x14ac:dyDescent="0.3">
      <c r="G1349">
        <v>1342</v>
      </c>
      <c r="H1349">
        <f t="shared" ca="1" si="40"/>
        <v>-2.6950210548371228E-3</v>
      </c>
    </row>
    <row r="1350" spans="7:8" x14ac:dyDescent="0.3">
      <c r="G1350">
        <v>1343</v>
      </c>
      <c r="H1350">
        <f t="shared" ca="1" si="40"/>
        <v>-1.4656767434422267E-2</v>
      </c>
    </row>
    <row r="1351" spans="7:8" x14ac:dyDescent="0.3">
      <c r="G1351">
        <v>1344</v>
      </c>
      <c r="H1351">
        <f t="shared" ca="1" si="40"/>
        <v>-1.9280281309738391E-2</v>
      </c>
    </row>
    <row r="1352" spans="7:8" x14ac:dyDescent="0.3">
      <c r="G1352">
        <v>1345</v>
      </c>
      <c r="H1352">
        <f t="shared" ca="1" si="40"/>
        <v>3.8141855225693961E-3</v>
      </c>
    </row>
    <row r="1353" spans="7:8" x14ac:dyDescent="0.3">
      <c r="G1353">
        <v>1346</v>
      </c>
      <c r="H1353">
        <f t="shared" ref="H1353:H1416" ca="1" si="41">_xlfn.NORM.INV(RAND(),$N$10,$N$11)</f>
        <v>-2.6364175020100113E-2</v>
      </c>
    </row>
    <row r="1354" spans="7:8" x14ac:dyDescent="0.3">
      <c r="G1354">
        <v>1347</v>
      </c>
      <c r="H1354">
        <f t="shared" ca="1" si="41"/>
        <v>1.0601281324723879E-2</v>
      </c>
    </row>
    <row r="1355" spans="7:8" x14ac:dyDescent="0.3">
      <c r="G1355">
        <v>1348</v>
      </c>
      <c r="H1355">
        <f t="shared" ca="1" si="41"/>
        <v>-9.3036087902342371E-3</v>
      </c>
    </row>
    <row r="1356" spans="7:8" x14ac:dyDescent="0.3">
      <c r="G1356">
        <v>1349</v>
      </c>
      <c r="H1356">
        <f t="shared" ca="1" si="41"/>
        <v>1.2846277822367448E-2</v>
      </c>
    </row>
    <row r="1357" spans="7:8" x14ac:dyDescent="0.3">
      <c r="G1357">
        <v>1350</v>
      </c>
      <c r="H1357">
        <f t="shared" ca="1" si="41"/>
        <v>-3.8147309093863331E-2</v>
      </c>
    </row>
    <row r="1358" spans="7:8" x14ac:dyDescent="0.3">
      <c r="G1358">
        <v>1351</v>
      </c>
      <c r="H1358">
        <f t="shared" ca="1" si="41"/>
        <v>2.0779847785394948E-2</v>
      </c>
    </row>
    <row r="1359" spans="7:8" x14ac:dyDescent="0.3">
      <c r="G1359">
        <v>1352</v>
      </c>
      <c r="H1359">
        <f t="shared" ca="1" si="41"/>
        <v>8.6791763059829059E-3</v>
      </c>
    </row>
    <row r="1360" spans="7:8" x14ac:dyDescent="0.3">
      <c r="G1360">
        <v>1353</v>
      </c>
      <c r="H1360">
        <f t="shared" ca="1" si="41"/>
        <v>-4.2951363848637139E-2</v>
      </c>
    </row>
    <row r="1361" spans="7:8" x14ac:dyDescent="0.3">
      <c r="G1361">
        <v>1354</v>
      </c>
      <c r="H1361">
        <f t="shared" ca="1" si="41"/>
        <v>9.2510825102708281E-3</v>
      </c>
    </row>
    <row r="1362" spans="7:8" x14ac:dyDescent="0.3">
      <c r="G1362">
        <v>1355</v>
      </c>
      <c r="H1362">
        <f t="shared" ca="1" si="41"/>
        <v>-6.8988478998164883E-3</v>
      </c>
    </row>
    <row r="1363" spans="7:8" x14ac:dyDescent="0.3">
      <c r="G1363">
        <v>1356</v>
      </c>
      <c r="H1363">
        <f t="shared" ca="1" si="41"/>
        <v>-1.2445838188836097E-2</v>
      </c>
    </row>
    <row r="1364" spans="7:8" x14ac:dyDescent="0.3">
      <c r="G1364">
        <v>1357</v>
      </c>
      <c r="H1364">
        <f t="shared" ca="1" si="41"/>
        <v>-7.4476501186157475E-4</v>
      </c>
    </row>
    <row r="1365" spans="7:8" x14ac:dyDescent="0.3">
      <c r="G1365">
        <v>1358</v>
      </c>
      <c r="H1365">
        <f t="shared" ca="1" si="41"/>
        <v>1.2503934634132965E-3</v>
      </c>
    </row>
    <row r="1366" spans="7:8" x14ac:dyDescent="0.3">
      <c r="G1366">
        <v>1359</v>
      </c>
      <c r="H1366">
        <f t="shared" ca="1" si="41"/>
        <v>-1.3779943350948504E-2</v>
      </c>
    </row>
    <row r="1367" spans="7:8" x14ac:dyDescent="0.3">
      <c r="G1367">
        <v>1360</v>
      </c>
      <c r="H1367">
        <f t="shared" ca="1" si="41"/>
        <v>-1.7752145766272105E-2</v>
      </c>
    </row>
    <row r="1368" spans="7:8" x14ac:dyDescent="0.3">
      <c r="G1368">
        <v>1361</v>
      </c>
      <c r="H1368">
        <f t="shared" ca="1" si="41"/>
        <v>-2.5781853842576401E-2</v>
      </c>
    </row>
    <row r="1369" spans="7:8" x14ac:dyDescent="0.3">
      <c r="G1369">
        <v>1362</v>
      </c>
      <c r="H1369">
        <f t="shared" ca="1" si="41"/>
        <v>-1.6418842189987324E-2</v>
      </c>
    </row>
    <row r="1370" spans="7:8" x14ac:dyDescent="0.3">
      <c r="G1370">
        <v>1363</v>
      </c>
      <c r="H1370">
        <f t="shared" ca="1" si="41"/>
        <v>1.2480694663070644E-2</v>
      </c>
    </row>
    <row r="1371" spans="7:8" x14ac:dyDescent="0.3">
      <c r="G1371">
        <v>1364</v>
      </c>
      <c r="H1371">
        <f t="shared" ca="1" si="41"/>
        <v>4.0984689701806715E-2</v>
      </c>
    </row>
    <row r="1372" spans="7:8" x14ac:dyDescent="0.3">
      <c r="G1372">
        <v>1365</v>
      </c>
      <c r="H1372">
        <f t="shared" ca="1" si="41"/>
        <v>-1.7431386382017085E-2</v>
      </c>
    </row>
    <row r="1373" spans="7:8" x14ac:dyDescent="0.3">
      <c r="G1373">
        <v>1366</v>
      </c>
      <c r="H1373">
        <f t="shared" ca="1" si="41"/>
        <v>-5.7331976357946667E-3</v>
      </c>
    </row>
    <row r="1374" spans="7:8" x14ac:dyDescent="0.3">
      <c r="G1374">
        <v>1367</v>
      </c>
      <c r="H1374">
        <f t="shared" ca="1" si="41"/>
        <v>-1.8198885342607957E-2</v>
      </c>
    </row>
    <row r="1375" spans="7:8" x14ac:dyDescent="0.3">
      <c r="G1375">
        <v>1368</v>
      </c>
      <c r="H1375">
        <f t="shared" ca="1" si="41"/>
        <v>-3.2010298434332507E-2</v>
      </c>
    </row>
    <row r="1376" spans="7:8" x14ac:dyDescent="0.3">
      <c r="G1376">
        <v>1369</v>
      </c>
      <c r="H1376">
        <f t="shared" ca="1" si="41"/>
        <v>1.9485999973977885E-2</v>
      </c>
    </row>
    <row r="1377" spans="7:8" x14ac:dyDescent="0.3">
      <c r="G1377">
        <v>1370</v>
      </c>
      <c r="H1377">
        <f t="shared" ca="1" si="41"/>
        <v>5.8837598043929695E-3</v>
      </c>
    </row>
    <row r="1378" spans="7:8" x14ac:dyDescent="0.3">
      <c r="G1378">
        <v>1371</v>
      </c>
      <c r="H1378">
        <f t="shared" ca="1" si="41"/>
        <v>-1.1517849799206963E-2</v>
      </c>
    </row>
    <row r="1379" spans="7:8" x14ac:dyDescent="0.3">
      <c r="G1379">
        <v>1372</v>
      </c>
      <c r="H1379">
        <f t="shared" ca="1" si="41"/>
        <v>3.614268313567294E-2</v>
      </c>
    </row>
    <row r="1380" spans="7:8" x14ac:dyDescent="0.3">
      <c r="G1380">
        <v>1373</v>
      </c>
      <c r="H1380">
        <f t="shared" ca="1" si="41"/>
        <v>3.7224742397048316E-2</v>
      </c>
    </row>
    <row r="1381" spans="7:8" x14ac:dyDescent="0.3">
      <c r="G1381">
        <v>1374</v>
      </c>
      <c r="H1381">
        <f t="shared" ca="1" si="41"/>
        <v>-8.007510056629849E-3</v>
      </c>
    </row>
    <row r="1382" spans="7:8" x14ac:dyDescent="0.3">
      <c r="G1382">
        <v>1375</v>
      </c>
      <c r="H1382">
        <f t="shared" ca="1" si="41"/>
        <v>-5.4382958279128703E-3</v>
      </c>
    </row>
    <row r="1383" spans="7:8" x14ac:dyDescent="0.3">
      <c r="G1383">
        <v>1376</v>
      </c>
      <c r="H1383">
        <f t="shared" ca="1" si="41"/>
        <v>-3.1401499405248702E-2</v>
      </c>
    </row>
    <row r="1384" spans="7:8" x14ac:dyDescent="0.3">
      <c r="G1384">
        <v>1377</v>
      </c>
      <c r="H1384">
        <f t="shared" ca="1" si="41"/>
        <v>3.2386147810635188E-2</v>
      </c>
    </row>
    <row r="1385" spans="7:8" x14ac:dyDescent="0.3">
      <c r="G1385">
        <v>1378</v>
      </c>
      <c r="H1385">
        <f t="shared" ca="1" si="41"/>
        <v>-2.9493088060572298E-2</v>
      </c>
    </row>
    <row r="1386" spans="7:8" x14ac:dyDescent="0.3">
      <c r="G1386">
        <v>1379</v>
      </c>
      <c r="H1386">
        <f t="shared" ca="1" si="41"/>
        <v>-1.1876813863606697E-2</v>
      </c>
    </row>
    <row r="1387" spans="7:8" x14ac:dyDescent="0.3">
      <c r="G1387">
        <v>1380</v>
      </c>
      <c r="H1387">
        <f t="shared" ca="1" si="41"/>
        <v>-5.9416644555870535E-3</v>
      </c>
    </row>
    <row r="1388" spans="7:8" x14ac:dyDescent="0.3">
      <c r="G1388">
        <v>1381</v>
      </c>
      <c r="H1388">
        <f t="shared" ca="1" si="41"/>
        <v>-5.3191685924841069E-3</v>
      </c>
    </row>
    <row r="1389" spans="7:8" x14ac:dyDescent="0.3">
      <c r="G1389">
        <v>1382</v>
      </c>
      <c r="H1389">
        <f t="shared" ca="1" si="41"/>
        <v>-2.1935968445313395E-4</v>
      </c>
    </row>
    <row r="1390" spans="7:8" x14ac:dyDescent="0.3">
      <c r="G1390">
        <v>1383</v>
      </c>
      <c r="H1390">
        <f t="shared" ca="1" si="41"/>
        <v>-2.5223511398428356E-3</v>
      </c>
    </row>
    <row r="1391" spans="7:8" x14ac:dyDescent="0.3">
      <c r="G1391">
        <v>1384</v>
      </c>
      <c r="H1391">
        <f t="shared" ca="1" si="41"/>
        <v>-1.1967862861278296E-2</v>
      </c>
    </row>
    <row r="1392" spans="7:8" x14ac:dyDescent="0.3">
      <c r="G1392">
        <v>1385</v>
      </c>
      <c r="H1392">
        <f t="shared" ca="1" si="41"/>
        <v>-2.3878754138888609E-3</v>
      </c>
    </row>
    <row r="1393" spans="7:8" x14ac:dyDescent="0.3">
      <c r="G1393">
        <v>1386</v>
      </c>
      <c r="H1393">
        <f t="shared" ca="1" si="41"/>
        <v>-3.2071467149949434E-2</v>
      </c>
    </row>
    <row r="1394" spans="7:8" x14ac:dyDescent="0.3">
      <c r="G1394">
        <v>1387</v>
      </c>
      <c r="H1394">
        <f t="shared" ca="1" si="41"/>
        <v>3.1142215494439091E-2</v>
      </c>
    </row>
    <row r="1395" spans="7:8" x14ac:dyDescent="0.3">
      <c r="G1395">
        <v>1388</v>
      </c>
      <c r="H1395">
        <f t="shared" ca="1" si="41"/>
        <v>5.2444648376676964E-3</v>
      </c>
    </row>
    <row r="1396" spans="7:8" x14ac:dyDescent="0.3">
      <c r="G1396">
        <v>1389</v>
      </c>
      <c r="H1396">
        <f t="shared" ca="1" si="41"/>
        <v>-5.4727538637424503E-3</v>
      </c>
    </row>
    <row r="1397" spans="7:8" x14ac:dyDescent="0.3">
      <c r="G1397">
        <v>1390</v>
      </c>
      <c r="H1397">
        <f t="shared" ca="1" si="41"/>
        <v>-1.1591920843065495E-3</v>
      </c>
    </row>
    <row r="1398" spans="7:8" x14ac:dyDescent="0.3">
      <c r="G1398">
        <v>1391</v>
      </c>
      <c r="H1398">
        <f t="shared" ca="1" si="41"/>
        <v>-1.7843041558338435E-2</v>
      </c>
    </row>
    <row r="1399" spans="7:8" x14ac:dyDescent="0.3">
      <c r="G1399">
        <v>1392</v>
      </c>
      <c r="H1399">
        <f t="shared" ca="1" si="41"/>
        <v>7.5337613906733989E-3</v>
      </c>
    </row>
    <row r="1400" spans="7:8" x14ac:dyDescent="0.3">
      <c r="G1400">
        <v>1393</v>
      </c>
      <c r="H1400">
        <f t="shared" ca="1" si="41"/>
        <v>9.9090773324678853E-3</v>
      </c>
    </row>
    <row r="1401" spans="7:8" x14ac:dyDescent="0.3">
      <c r="G1401">
        <v>1394</v>
      </c>
      <c r="H1401">
        <f t="shared" ca="1" si="41"/>
        <v>-1.8572960081585318E-2</v>
      </c>
    </row>
    <row r="1402" spans="7:8" x14ac:dyDescent="0.3">
      <c r="G1402">
        <v>1395</v>
      </c>
      <c r="H1402">
        <f t="shared" ca="1" si="41"/>
        <v>-3.59305141496627E-3</v>
      </c>
    </row>
    <row r="1403" spans="7:8" x14ac:dyDescent="0.3">
      <c r="G1403">
        <v>1396</v>
      </c>
      <c r="H1403">
        <f t="shared" ca="1" si="41"/>
        <v>2.5557288775895335E-2</v>
      </c>
    </row>
    <row r="1404" spans="7:8" x14ac:dyDescent="0.3">
      <c r="G1404">
        <v>1397</v>
      </c>
      <c r="H1404">
        <f t="shared" ca="1" si="41"/>
        <v>9.8685873818656431E-3</v>
      </c>
    </row>
    <row r="1405" spans="7:8" x14ac:dyDescent="0.3">
      <c r="G1405">
        <v>1398</v>
      </c>
      <c r="H1405">
        <f t="shared" ca="1" si="41"/>
        <v>1.1751682522858457E-2</v>
      </c>
    </row>
    <row r="1406" spans="7:8" x14ac:dyDescent="0.3">
      <c r="G1406">
        <v>1399</v>
      </c>
      <c r="H1406">
        <f t="shared" ca="1" si="41"/>
        <v>3.5538179954078468E-3</v>
      </c>
    </row>
    <row r="1407" spans="7:8" x14ac:dyDescent="0.3">
      <c r="G1407">
        <v>1400</v>
      </c>
      <c r="H1407">
        <f t="shared" ca="1" si="41"/>
        <v>-4.4394959538011577E-3</v>
      </c>
    </row>
    <row r="1408" spans="7:8" x14ac:dyDescent="0.3">
      <c r="G1408">
        <v>1401</v>
      </c>
      <c r="H1408">
        <f t="shared" ca="1" si="41"/>
        <v>-1.5668104900953179E-3</v>
      </c>
    </row>
    <row r="1409" spans="7:8" x14ac:dyDescent="0.3">
      <c r="G1409">
        <v>1402</v>
      </c>
      <c r="H1409">
        <f t="shared" ca="1" si="41"/>
        <v>-2.053923059623327E-2</v>
      </c>
    </row>
    <row r="1410" spans="7:8" x14ac:dyDescent="0.3">
      <c r="G1410">
        <v>1403</v>
      </c>
      <c r="H1410">
        <f t="shared" ca="1" si="41"/>
        <v>3.3341924789263164E-2</v>
      </c>
    </row>
    <row r="1411" spans="7:8" x14ac:dyDescent="0.3">
      <c r="G1411">
        <v>1404</v>
      </c>
      <c r="H1411">
        <f t="shared" ca="1" si="41"/>
        <v>-2.8902613430020342E-3</v>
      </c>
    </row>
    <row r="1412" spans="7:8" x14ac:dyDescent="0.3">
      <c r="G1412">
        <v>1405</v>
      </c>
      <c r="H1412">
        <f t="shared" ca="1" si="41"/>
        <v>5.2551226078701978E-3</v>
      </c>
    </row>
    <row r="1413" spans="7:8" x14ac:dyDescent="0.3">
      <c r="G1413">
        <v>1406</v>
      </c>
      <c r="H1413">
        <f t="shared" ca="1" si="41"/>
        <v>7.0173739753376513E-3</v>
      </c>
    </row>
    <row r="1414" spans="7:8" x14ac:dyDescent="0.3">
      <c r="G1414">
        <v>1407</v>
      </c>
      <c r="H1414">
        <f t="shared" ca="1" si="41"/>
        <v>1.8451071819972992E-2</v>
      </c>
    </row>
    <row r="1415" spans="7:8" x14ac:dyDescent="0.3">
      <c r="G1415">
        <v>1408</v>
      </c>
      <c r="H1415">
        <f t="shared" ca="1" si="41"/>
        <v>1.2573496136753286E-2</v>
      </c>
    </row>
    <row r="1416" spans="7:8" x14ac:dyDescent="0.3">
      <c r="G1416">
        <v>1409</v>
      </c>
      <c r="H1416">
        <f t="shared" ca="1" si="41"/>
        <v>-5.6267591852640448E-3</v>
      </c>
    </row>
    <row r="1417" spans="7:8" x14ac:dyDescent="0.3">
      <c r="G1417">
        <v>1410</v>
      </c>
      <c r="H1417">
        <f t="shared" ref="H1417:H1480" ca="1" si="42">_xlfn.NORM.INV(RAND(),$N$10,$N$11)</f>
        <v>-7.7651095442755266E-3</v>
      </c>
    </row>
    <row r="1418" spans="7:8" x14ac:dyDescent="0.3">
      <c r="G1418">
        <v>1411</v>
      </c>
      <c r="H1418">
        <f t="shared" ca="1" si="42"/>
        <v>-1.0644007766235298E-2</v>
      </c>
    </row>
    <row r="1419" spans="7:8" x14ac:dyDescent="0.3">
      <c r="G1419">
        <v>1412</v>
      </c>
      <c r="H1419">
        <f t="shared" ca="1" si="42"/>
        <v>9.1577971937289709E-3</v>
      </c>
    </row>
    <row r="1420" spans="7:8" x14ac:dyDescent="0.3">
      <c r="G1420">
        <v>1413</v>
      </c>
      <c r="H1420">
        <f t="shared" ca="1" si="42"/>
        <v>-1.2390468329367636E-2</v>
      </c>
    </row>
    <row r="1421" spans="7:8" x14ac:dyDescent="0.3">
      <c r="G1421">
        <v>1414</v>
      </c>
      <c r="H1421">
        <f t="shared" ca="1" si="42"/>
        <v>5.8719761507483229E-5</v>
      </c>
    </row>
    <row r="1422" spans="7:8" x14ac:dyDescent="0.3">
      <c r="G1422">
        <v>1415</v>
      </c>
      <c r="H1422">
        <f t="shared" ca="1" si="42"/>
        <v>-2.3378898753309757E-2</v>
      </c>
    </row>
    <row r="1423" spans="7:8" x14ac:dyDescent="0.3">
      <c r="G1423">
        <v>1416</v>
      </c>
      <c r="H1423">
        <f t="shared" ca="1" si="42"/>
        <v>-2.5641536310587607E-2</v>
      </c>
    </row>
    <row r="1424" spans="7:8" x14ac:dyDescent="0.3">
      <c r="G1424">
        <v>1417</v>
      </c>
      <c r="H1424">
        <f t="shared" ca="1" si="42"/>
        <v>-1.8831185722100373E-2</v>
      </c>
    </row>
    <row r="1425" spans="7:8" x14ac:dyDescent="0.3">
      <c r="G1425">
        <v>1418</v>
      </c>
      <c r="H1425">
        <f t="shared" ca="1" si="42"/>
        <v>9.5969688433734813E-3</v>
      </c>
    </row>
    <row r="1426" spans="7:8" x14ac:dyDescent="0.3">
      <c r="G1426">
        <v>1419</v>
      </c>
      <c r="H1426">
        <f t="shared" ca="1" si="42"/>
        <v>1.2370373574779417E-2</v>
      </c>
    </row>
    <row r="1427" spans="7:8" x14ac:dyDescent="0.3">
      <c r="G1427">
        <v>1420</v>
      </c>
      <c r="H1427">
        <f t="shared" ca="1" si="42"/>
        <v>-1.382789838985473E-2</v>
      </c>
    </row>
    <row r="1428" spans="7:8" x14ac:dyDescent="0.3">
      <c r="G1428">
        <v>1421</v>
      </c>
      <c r="H1428">
        <f t="shared" ca="1" si="42"/>
        <v>-2.9976322673006309E-3</v>
      </c>
    </row>
    <row r="1429" spans="7:8" x14ac:dyDescent="0.3">
      <c r="G1429">
        <v>1422</v>
      </c>
      <c r="H1429">
        <f t="shared" ca="1" si="42"/>
        <v>3.0612057110648533E-3</v>
      </c>
    </row>
    <row r="1430" spans="7:8" x14ac:dyDescent="0.3">
      <c r="G1430">
        <v>1423</v>
      </c>
      <c r="H1430">
        <f t="shared" ca="1" si="42"/>
        <v>6.757715825651836E-3</v>
      </c>
    </row>
    <row r="1431" spans="7:8" x14ac:dyDescent="0.3">
      <c r="G1431">
        <v>1424</v>
      </c>
      <c r="H1431">
        <f t="shared" ca="1" si="42"/>
        <v>5.7006403143099911E-3</v>
      </c>
    </row>
    <row r="1432" spans="7:8" x14ac:dyDescent="0.3">
      <c r="G1432">
        <v>1425</v>
      </c>
      <c r="H1432">
        <f t="shared" ca="1" si="42"/>
        <v>-1.0370750083606932E-2</v>
      </c>
    </row>
    <row r="1433" spans="7:8" x14ac:dyDescent="0.3">
      <c r="G1433">
        <v>1426</v>
      </c>
      <c r="H1433">
        <f t="shared" ca="1" si="42"/>
        <v>-2.5853682043491952E-2</v>
      </c>
    </row>
    <row r="1434" spans="7:8" x14ac:dyDescent="0.3">
      <c r="G1434">
        <v>1427</v>
      </c>
      <c r="H1434">
        <f t="shared" ca="1" si="42"/>
        <v>-2.6602674632368241E-2</v>
      </c>
    </row>
    <row r="1435" spans="7:8" x14ac:dyDescent="0.3">
      <c r="G1435">
        <v>1428</v>
      </c>
      <c r="H1435">
        <f t="shared" ca="1" si="42"/>
        <v>-1.6296132947978357E-2</v>
      </c>
    </row>
    <row r="1436" spans="7:8" x14ac:dyDescent="0.3">
      <c r="G1436">
        <v>1429</v>
      </c>
      <c r="H1436">
        <f t="shared" ca="1" si="42"/>
        <v>1.790223588946923E-2</v>
      </c>
    </row>
    <row r="1437" spans="7:8" x14ac:dyDescent="0.3">
      <c r="G1437">
        <v>1430</v>
      </c>
      <c r="H1437">
        <f t="shared" ca="1" si="42"/>
        <v>4.9267451599288088E-2</v>
      </c>
    </row>
    <row r="1438" spans="7:8" x14ac:dyDescent="0.3">
      <c r="G1438">
        <v>1431</v>
      </c>
      <c r="H1438">
        <f t="shared" ca="1" si="42"/>
        <v>9.9991167037908283E-3</v>
      </c>
    </row>
    <row r="1439" spans="7:8" x14ac:dyDescent="0.3">
      <c r="G1439">
        <v>1432</v>
      </c>
      <c r="H1439">
        <f t="shared" ca="1" si="42"/>
        <v>9.728566092699337E-3</v>
      </c>
    </row>
    <row r="1440" spans="7:8" x14ac:dyDescent="0.3">
      <c r="G1440">
        <v>1433</v>
      </c>
      <c r="H1440">
        <f t="shared" ca="1" si="42"/>
        <v>6.174528468946441E-3</v>
      </c>
    </row>
    <row r="1441" spans="7:8" x14ac:dyDescent="0.3">
      <c r="G1441">
        <v>1434</v>
      </c>
      <c r="H1441">
        <f t="shared" ca="1" si="42"/>
        <v>1.0915970799443829E-2</v>
      </c>
    </row>
    <row r="1442" spans="7:8" x14ac:dyDescent="0.3">
      <c r="G1442">
        <v>1435</v>
      </c>
      <c r="H1442">
        <f t="shared" ca="1" si="42"/>
        <v>2.2515118799690311E-2</v>
      </c>
    </row>
    <row r="1443" spans="7:8" x14ac:dyDescent="0.3">
      <c r="G1443">
        <v>1436</v>
      </c>
      <c r="H1443">
        <f t="shared" ca="1" si="42"/>
        <v>-1.7441625287972804E-2</v>
      </c>
    </row>
    <row r="1444" spans="7:8" x14ac:dyDescent="0.3">
      <c r="G1444">
        <v>1437</v>
      </c>
      <c r="H1444">
        <f t="shared" ca="1" si="42"/>
        <v>6.8971919113053749E-4</v>
      </c>
    </row>
    <row r="1445" spans="7:8" x14ac:dyDescent="0.3">
      <c r="G1445">
        <v>1438</v>
      </c>
      <c r="H1445">
        <f t="shared" ca="1" si="42"/>
        <v>-1.1187749378531875E-2</v>
      </c>
    </row>
    <row r="1446" spans="7:8" x14ac:dyDescent="0.3">
      <c r="G1446">
        <v>1439</v>
      </c>
      <c r="H1446">
        <f t="shared" ca="1" si="42"/>
        <v>9.1350594997976109E-4</v>
      </c>
    </row>
    <row r="1447" spans="7:8" x14ac:dyDescent="0.3">
      <c r="G1447">
        <v>1440</v>
      </c>
      <c r="H1447">
        <f t="shared" ca="1" si="42"/>
        <v>-1.5935215786641647E-2</v>
      </c>
    </row>
    <row r="1448" spans="7:8" x14ac:dyDescent="0.3">
      <c r="G1448">
        <v>1441</v>
      </c>
      <c r="H1448">
        <f t="shared" ca="1" si="42"/>
        <v>2.1401103851965697E-2</v>
      </c>
    </row>
    <row r="1449" spans="7:8" x14ac:dyDescent="0.3">
      <c r="G1449">
        <v>1442</v>
      </c>
      <c r="H1449">
        <f t="shared" ca="1" si="42"/>
        <v>-8.5086053048026491E-3</v>
      </c>
    </row>
    <row r="1450" spans="7:8" x14ac:dyDescent="0.3">
      <c r="G1450">
        <v>1443</v>
      </c>
      <c r="H1450">
        <f t="shared" ca="1" si="42"/>
        <v>-1.8830361255786129E-2</v>
      </c>
    </row>
    <row r="1451" spans="7:8" x14ac:dyDescent="0.3">
      <c r="G1451">
        <v>1444</v>
      </c>
      <c r="H1451">
        <f t="shared" ca="1" si="42"/>
        <v>-3.586223012763886E-2</v>
      </c>
    </row>
    <row r="1452" spans="7:8" x14ac:dyDescent="0.3">
      <c r="G1452">
        <v>1445</v>
      </c>
      <c r="H1452">
        <f t="shared" ca="1" si="42"/>
        <v>2.0781576316711604E-2</v>
      </c>
    </row>
    <row r="1453" spans="7:8" x14ac:dyDescent="0.3">
      <c r="G1453">
        <v>1446</v>
      </c>
      <c r="H1453">
        <f t="shared" ca="1" si="42"/>
        <v>-9.4063633420072932E-3</v>
      </c>
    </row>
    <row r="1454" spans="7:8" x14ac:dyDescent="0.3">
      <c r="G1454">
        <v>1447</v>
      </c>
      <c r="H1454">
        <f t="shared" ca="1" si="42"/>
        <v>-9.3100480365689905E-3</v>
      </c>
    </row>
    <row r="1455" spans="7:8" x14ac:dyDescent="0.3">
      <c r="G1455">
        <v>1448</v>
      </c>
      <c r="H1455">
        <f t="shared" ca="1" si="42"/>
        <v>6.4401406224162414E-3</v>
      </c>
    </row>
    <row r="1456" spans="7:8" x14ac:dyDescent="0.3">
      <c r="G1456">
        <v>1449</v>
      </c>
      <c r="H1456">
        <f t="shared" ca="1" si="42"/>
        <v>-3.5551535115082443E-3</v>
      </c>
    </row>
    <row r="1457" spans="7:8" x14ac:dyDescent="0.3">
      <c r="G1457">
        <v>1450</v>
      </c>
      <c r="H1457">
        <f t="shared" ca="1" si="42"/>
        <v>3.4928705978862639E-3</v>
      </c>
    </row>
    <row r="1458" spans="7:8" x14ac:dyDescent="0.3">
      <c r="G1458">
        <v>1451</v>
      </c>
      <c r="H1458">
        <f t="shared" ca="1" si="42"/>
        <v>7.1170272465167902E-3</v>
      </c>
    </row>
    <row r="1459" spans="7:8" x14ac:dyDescent="0.3">
      <c r="G1459">
        <v>1452</v>
      </c>
      <c r="H1459">
        <f t="shared" ca="1" si="42"/>
        <v>1.0412064244169216E-2</v>
      </c>
    </row>
    <row r="1460" spans="7:8" x14ac:dyDescent="0.3">
      <c r="G1460">
        <v>1453</v>
      </c>
      <c r="H1460">
        <f t="shared" ca="1" si="42"/>
        <v>1.2464389594791894E-2</v>
      </c>
    </row>
    <row r="1461" spans="7:8" x14ac:dyDescent="0.3">
      <c r="G1461">
        <v>1454</v>
      </c>
      <c r="H1461">
        <f t="shared" ca="1" si="42"/>
        <v>-1.8674527972951129E-2</v>
      </c>
    </row>
    <row r="1462" spans="7:8" x14ac:dyDescent="0.3">
      <c r="G1462">
        <v>1455</v>
      </c>
      <c r="H1462">
        <f t="shared" ca="1" si="42"/>
        <v>5.7296175420242018E-3</v>
      </c>
    </row>
    <row r="1463" spans="7:8" x14ac:dyDescent="0.3">
      <c r="G1463">
        <v>1456</v>
      </c>
      <c r="H1463">
        <f t="shared" ca="1" si="42"/>
        <v>-8.558776327967638E-3</v>
      </c>
    </row>
    <row r="1464" spans="7:8" x14ac:dyDescent="0.3">
      <c r="G1464">
        <v>1457</v>
      </c>
      <c r="H1464">
        <f t="shared" ca="1" si="42"/>
        <v>-1.1502954737717123E-2</v>
      </c>
    </row>
    <row r="1465" spans="7:8" x14ac:dyDescent="0.3">
      <c r="G1465">
        <v>1458</v>
      </c>
      <c r="H1465">
        <f t="shared" ca="1" si="42"/>
        <v>-1.0376731517543857E-2</v>
      </c>
    </row>
    <row r="1466" spans="7:8" x14ac:dyDescent="0.3">
      <c r="G1466">
        <v>1459</v>
      </c>
      <c r="H1466">
        <f t="shared" ca="1" si="42"/>
        <v>-2.0934801635468257E-2</v>
      </c>
    </row>
    <row r="1467" spans="7:8" x14ac:dyDescent="0.3">
      <c r="G1467">
        <v>1460</v>
      </c>
      <c r="H1467">
        <f t="shared" ca="1" si="42"/>
        <v>7.8271955067573916E-3</v>
      </c>
    </row>
    <row r="1468" spans="7:8" x14ac:dyDescent="0.3">
      <c r="G1468">
        <v>1461</v>
      </c>
      <c r="H1468">
        <f t="shared" ca="1" si="42"/>
        <v>-2.989410552999296E-2</v>
      </c>
    </row>
    <row r="1469" spans="7:8" x14ac:dyDescent="0.3">
      <c r="G1469">
        <v>1462</v>
      </c>
      <c r="H1469">
        <f t="shared" ca="1" si="42"/>
        <v>-1.2884677272780493E-2</v>
      </c>
    </row>
    <row r="1470" spans="7:8" x14ac:dyDescent="0.3">
      <c r="G1470">
        <v>1463</v>
      </c>
      <c r="H1470">
        <f t="shared" ca="1" si="42"/>
        <v>5.0999196757902021E-3</v>
      </c>
    </row>
    <row r="1471" spans="7:8" x14ac:dyDescent="0.3">
      <c r="G1471">
        <v>1464</v>
      </c>
      <c r="H1471">
        <f t="shared" ca="1" si="42"/>
        <v>-1.0612065482263444E-3</v>
      </c>
    </row>
    <row r="1472" spans="7:8" x14ac:dyDescent="0.3">
      <c r="G1472">
        <v>1465</v>
      </c>
      <c r="H1472">
        <f t="shared" ca="1" si="42"/>
        <v>8.0590818894257198E-3</v>
      </c>
    </row>
    <row r="1473" spans="7:8" x14ac:dyDescent="0.3">
      <c r="G1473">
        <v>1466</v>
      </c>
      <c r="H1473">
        <f t="shared" ca="1" si="42"/>
        <v>1.0269435864442745E-2</v>
      </c>
    </row>
    <row r="1474" spans="7:8" x14ac:dyDescent="0.3">
      <c r="G1474">
        <v>1467</v>
      </c>
      <c r="H1474">
        <f t="shared" ca="1" si="42"/>
        <v>-6.2894964809994481E-3</v>
      </c>
    </row>
    <row r="1475" spans="7:8" x14ac:dyDescent="0.3">
      <c r="G1475">
        <v>1468</v>
      </c>
      <c r="H1475">
        <f t="shared" ca="1" si="42"/>
        <v>1.8716189959787646E-2</v>
      </c>
    </row>
    <row r="1476" spans="7:8" x14ac:dyDescent="0.3">
      <c r="G1476">
        <v>1469</v>
      </c>
      <c r="H1476">
        <f t="shared" ca="1" si="42"/>
        <v>8.261990714492492E-4</v>
      </c>
    </row>
    <row r="1477" spans="7:8" x14ac:dyDescent="0.3">
      <c r="G1477">
        <v>1470</v>
      </c>
      <c r="H1477">
        <f t="shared" ca="1" si="42"/>
        <v>2.5865624353370101E-2</v>
      </c>
    </row>
    <row r="1478" spans="7:8" x14ac:dyDescent="0.3">
      <c r="G1478">
        <v>1471</v>
      </c>
      <c r="H1478">
        <f t="shared" ca="1" si="42"/>
        <v>8.5060166715908003E-3</v>
      </c>
    </row>
    <row r="1479" spans="7:8" x14ac:dyDescent="0.3">
      <c r="G1479">
        <v>1472</v>
      </c>
      <c r="H1479">
        <f t="shared" ca="1" si="42"/>
        <v>2.5832355775296637E-2</v>
      </c>
    </row>
    <row r="1480" spans="7:8" x14ac:dyDescent="0.3">
      <c r="G1480">
        <v>1473</v>
      </c>
      <c r="H1480">
        <f t="shared" ca="1" si="42"/>
        <v>6.1274569447985379E-3</v>
      </c>
    </row>
    <row r="1481" spans="7:8" x14ac:dyDescent="0.3">
      <c r="G1481">
        <v>1474</v>
      </c>
      <c r="H1481">
        <f t="shared" ref="H1481:H1544" ca="1" si="43">_xlfn.NORM.INV(RAND(),$N$10,$N$11)</f>
        <v>6.8153403013025077E-3</v>
      </c>
    </row>
    <row r="1482" spans="7:8" x14ac:dyDescent="0.3">
      <c r="G1482">
        <v>1475</v>
      </c>
      <c r="H1482">
        <f t="shared" ca="1" si="43"/>
        <v>-3.7533312525899719E-3</v>
      </c>
    </row>
    <row r="1483" spans="7:8" x14ac:dyDescent="0.3">
      <c r="G1483">
        <v>1476</v>
      </c>
      <c r="H1483">
        <f t="shared" ca="1" si="43"/>
        <v>1.0893850458625887E-2</v>
      </c>
    </row>
    <row r="1484" spans="7:8" x14ac:dyDescent="0.3">
      <c r="G1484">
        <v>1477</v>
      </c>
      <c r="H1484">
        <f t="shared" ca="1" si="43"/>
        <v>-8.0532952762895314E-3</v>
      </c>
    </row>
    <row r="1485" spans="7:8" x14ac:dyDescent="0.3">
      <c r="G1485">
        <v>1478</v>
      </c>
      <c r="H1485">
        <f t="shared" ca="1" si="43"/>
        <v>-6.2488175280872348E-3</v>
      </c>
    </row>
    <row r="1486" spans="7:8" x14ac:dyDescent="0.3">
      <c r="G1486">
        <v>1479</v>
      </c>
      <c r="H1486">
        <f t="shared" ca="1" si="43"/>
        <v>-2.6427076645798675E-3</v>
      </c>
    </row>
    <row r="1487" spans="7:8" x14ac:dyDescent="0.3">
      <c r="G1487">
        <v>1480</v>
      </c>
      <c r="H1487">
        <f t="shared" ca="1" si="43"/>
        <v>-1.5589698132907984E-2</v>
      </c>
    </row>
    <row r="1488" spans="7:8" x14ac:dyDescent="0.3">
      <c r="G1488">
        <v>1481</v>
      </c>
      <c r="H1488">
        <f t="shared" ca="1" si="43"/>
        <v>-2.7160501498910035E-3</v>
      </c>
    </row>
    <row r="1489" spans="7:8" x14ac:dyDescent="0.3">
      <c r="G1489">
        <v>1482</v>
      </c>
      <c r="H1489">
        <f t="shared" ca="1" si="43"/>
        <v>-6.0851788663691481E-2</v>
      </c>
    </row>
    <row r="1490" spans="7:8" x14ac:dyDescent="0.3">
      <c r="G1490">
        <v>1483</v>
      </c>
      <c r="H1490">
        <f t="shared" ca="1" si="43"/>
        <v>-7.649076162907914E-4</v>
      </c>
    </row>
    <row r="1491" spans="7:8" x14ac:dyDescent="0.3">
      <c r="G1491">
        <v>1484</v>
      </c>
      <c r="H1491">
        <f t="shared" ca="1" si="43"/>
        <v>1.4360693016541427E-2</v>
      </c>
    </row>
    <row r="1492" spans="7:8" x14ac:dyDescent="0.3">
      <c r="G1492">
        <v>1485</v>
      </c>
      <c r="H1492">
        <f t="shared" ca="1" si="43"/>
        <v>-5.4603808692869731E-3</v>
      </c>
    </row>
    <row r="1493" spans="7:8" x14ac:dyDescent="0.3">
      <c r="G1493">
        <v>1486</v>
      </c>
      <c r="H1493">
        <f t="shared" ca="1" si="43"/>
        <v>-1.6926590013332351E-2</v>
      </c>
    </row>
    <row r="1494" spans="7:8" x14ac:dyDescent="0.3">
      <c r="G1494">
        <v>1487</v>
      </c>
      <c r="H1494">
        <f t="shared" ca="1" si="43"/>
        <v>-2.8164986319179335E-3</v>
      </c>
    </row>
    <row r="1495" spans="7:8" x14ac:dyDescent="0.3">
      <c r="G1495">
        <v>1488</v>
      </c>
      <c r="H1495">
        <f t="shared" ca="1" si="43"/>
        <v>1.1584971898489683E-2</v>
      </c>
    </row>
    <row r="1496" spans="7:8" x14ac:dyDescent="0.3">
      <c r="G1496">
        <v>1489</v>
      </c>
      <c r="H1496">
        <f t="shared" ca="1" si="43"/>
        <v>8.6132255202323992E-3</v>
      </c>
    </row>
    <row r="1497" spans="7:8" x14ac:dyDescent="0.3">
      <c r="G1497">
        <v>1490</v>
      </c>
      <c r="H1497">
        <f t="shared" ca="1" si="43"/>
        <v>-4.9934335053567211E-3</v>
      </c>
    </row>
    <row r="1498" spans="7:8" x14ac:dyDescent="0.3">
      <c r="G1498">
        <v>1491</v>
      </c>
      <c r="H1498">
        <f t="shared" ca="1" si="43"/>
        <v>-3.1627013158247379E-3</v>
      </c>
    </row>
    <row r="1499" spans="7:8" x14ac:dyDescent="0.3">
      <c r="G1499">
        <v>1492</v>
      </c>
      <c r="H1499">
        <f t="shared" ca="1" si="43"/>
        <v>-1.8091585743153168E-2</v>
      </c>
    </row>
    <row r="1500" spans="7:8" x14ac:dyDescent="0.3">
      <c r="G1500">
        <v>1493</v>
      </c>
      <c r="H1500">
        <f t="shared" ca="1" si="43"/>
        <v>2.0893203985369977E-3</v>
      </c>
    </row>
    <row r="1501" spans="7:8" x14ac:dyDescent="0.3">
      <c r="G1501">
        <v>1494</v>
      </c>
      <c r="H1501">
        <f t="shared" ca="1" si="43"/>
        <v>1.0953944360136315E-2</v>
      </c>
    </row>
    <row r="1502" spans="7:8" x14ac:dyDescent="0.3">
      <c r="G1502">
        <v>1495</v>
      </c>
      <c r="H1502">
        <f t="shared" ca="1" si="43"/>
        <v>5.3895666832479323E-3</v>
      </c>
    </row>
    <row r="1503" spans="7:8" x14ac:dyDescent="0.3">
      <c r="G1503">
        <v>1496</v>
      </c>
      <c r="H1503">
        <f t="shared" ca="1" si="43"/>
        <v>1.7823346852424937E-2</v>
      </c>
    </row>
    <row r="1504" spans="7:8" x14ac:dyDescent="0.3">
      <c r="G1504">
        <v>1497</v>
      </c>
      <c r="H1504">
        <f t="shared" ca="1" si="43"/>
        <v>-1.2253642341469386E-2</v>
      </c>
    </row>
    <row r="1505" spans="7:8" x14ac:dyDescent="0.3">
      <c r="G1505">
        <v>1498</v>
      </c>
      <c r="H1505">
        <f t="shared" ca="1" si="43"/>
        <v>2.2732082129258455E-2</v>
      </c>
    </row>
    <row r="1506" spans="7:8" x14ac:dyDescent="0.3">
      <c r="G1506">
        <v>1499</v>
      </c>
      <c r="H1506">
        <f t="shared" ca="1" si="43"/>
        <v>2.5353004342023418E-2</v>
      </c>
    </row>
    <row r="1507" spans="7:8" x14ac:dyDescent="0.3">
      <c r="G1507">
        <v>1500</v>
      </c>
      <c r="H1507">
        <f t="shared" ca="1" si="43"/>
        <v>-2.1162123154797929E-2</v>
      </c>
    </row>
    <row r="1508" spans="7:8" x14ac:dyDescent="0.3">
      <c r="G1508">
        <v>1501</v>
      </c>
      <c r="H1508">
        <f t="shared" ca="1" si="43"/>
        <v>-7.5985851967253666E-3</v>
      </c>
    </row>
    <row r="1509" spans="7:8" x14ac:dyDescent="0.3">
      <c r="G1509">
        <v>1502</v>
      </c>
      <c r="H1509">
        <f t="shared" ca="1" si="43"/>
        <v>-6.4675225305003007E-3</v>
      </c>
    </row>
    <row r="1510" spans="7:8" x14ac:dyDescent="0.3">
      <c r="G1510">
        <v>1503</v>
      </c>
      <c r="H1510">
        <f t="shared" ca="1" si="43"/>
        <v>-1.6157575494443056E-2</v>
      </c>
    </row>
    <row r="1511" spans="7:8" x14ac:dyDescent="0.3">
      <c r="G1511">
        <v>1504</v>
      </c>
      <c r="H1511">
        <f t="shared" ca="1" si="43"/>
        <v>-1.6259657484689782E-2</v>
      </c>
    </row>
    <row r="1512" spans="7:8" x14ac:dyDescent="0.3">
      <c r="G1512">
        <v>1505</v>
      </c>
      <c r="H1512">
        <f t="shared" ca="1" si="43"/>
        <v>4.818365396963213E-3</v>
      </c>
    </row>
    <row r="1513" spans="7:8" x14ac:dyDescent="0.3">
      <c r="G1513">
        <v>1506</v>
      </c>
      <c r="H1513">
        <f t="shared" ca="1" si="43"/>
        <v>-2.5260721641729371E-2</v>
      </c>
    </row>
    <row r="1514" spans="7:8" x14ac:dyDescent="0.3">
      <c r="G1514">
        <v>1507</v>
      </c>
      <c r="H1514">
        <f t="shared" ca="1" si="43"/>
        <v>-6.0681571357370364E-3</v>
      </c>
    </row>
    <row r="1515" spans="7:8" x14ac:dyDescent="0.3">
      <c r="G1515">
        <v>1508</v>
      </c>
      <c r="H1515">
        <f t="shared" ca="1" si="43"/>
        <v>1.3268303176486151E-2</v>
      </c>
    </row>
    <row r="1516" spans="7:8" x14ac:dyDescent="0.3">
      <c r="G1516">
        <v>1509</v>
      </c>
      <c r="H1516">
        <f t="shared" ca="1" si="43"/>
        <v>-8.3150009121604647E-3</v>
      </c>
    </row>
    <row r="1517" spans="7:8" x14ac:dyDescent="0.3">
      <c r="G1517">
        <v>1510</v>
      </c>
      <c r="H1517">
        <f t="shared" ca="1" si="43"/>
        <v>1.1203417151097255E-2</v>
      </c>
    </row>
    <row r="1518" spans="7:8" x14ac:dyDescent="0.3">
      <c r="G1518">
        <v>1511</v>
      </c>
      <c r="H1518">
        <f t="shared" ca="1" si="43"/>
        <v>-7.1823966948902718E-3</v>
      </c>
    </row>
    <row r="1519" spans="7:8" x14ac:dyDescent="0.3">
      <c r="G1519">
        <v>1512</v>
      </c>
      <c r="H1519">
        <f t="shared" ca="1" si="43"/>
        <v>-3.5047454762697586E-4</v>
      </c>
    </row>
    <row r="1520" spans="7:8" x14ac:dyDescent="0.3">
      <c r="G1520">
        <v>1513</v>
      </c>
      <c r="H1520">
        <f t="shared" ca="1" si="43"/>
        <v>2.3359714685302926E-2</v>
      </c>
    </row>
    <row r="1521" spans="7:8" x14ac:dyDescent="0.3">
      <c r="G1521">
        <v>1514</v>
      </c>
      <c r="H1521">
        <f t="shared" ca="1" si="43"/>
        <v>-2.3091979437821455E-2</v>
      </c>
    </row>
    <row r="1522" spans="7:8" x14ac:dyDescent="0.3">
      <c r="G1522">
        <v>1515</v>
      </c>
      <c r="H1522">
        <f t="shared" ca="1" si="43"/>
        <v>-4.4307436293292103E-3</v>
      </c>
    </row>
    <row r="1523" spans="7:8" x14ac:dyDescent="0.3">
      <c r="G1523">
        <v>1516</v>
      </c>
      <c r="H1523">
        <f t="shared" ca="1" si="43"/>
        <v>-2.62185929045729E-3</v>
      </c>
    </row>
    <row r="1524" spans="7:8" x14ac:dyDescent="0.3">
      <c r="G1524">
        <v>1517</v>
      </c>
      <c r="H1524">
        <f t="shared" ca="1" si="43"/>
        <v>-1.8565098895581094E-2</v>
      </c>
    </row>
    <row r="1525" spans="7:8" x14ac:dyDescent="0.3">
      <c r="G1525">
        <v>1518</v>
      </c>
      <c r="H1525">
        <f t="shared" ca="1" si="43"/>
        <v>-2.2910820272645767E-3</v>
      </c>
    </row>
    <row r="1526" spans="7:8" x14ac:dyDescent="0.3">
      <c r="G1526">
        <v>1519</v>
      </c>
      <c r="H1526">
        <f t="shared" ca="1" si="43"/>
        <v>1.5266525293094548E-2</v>
      </c>
    </row>
    <row r="1527" spans="7:8" x14ac:dyDescent="0.3">
      <c r="G1527">
        <v>1520</v>
      </c>
      <c r="H1527">
        <f t="shared" ca="1" si="43"/>
        <v>-1.2298691004445219E-2</v>
      </c>
    </row>
    <row r="1528" spans="7:8" x14ac:dyDescent="0.3">
      <c r="G1528">
        <v>1521</v>
      </c>
      <c r="H1528">
        <f t="shared" ca="1" si="43"/>
        <v>-2.0423038392392121E-3</v>
      </c>
    </row>
    <row r="1529" spans="7:8" x14ac:dyDescent="0.3">
      <c r="G1529">
        <v>1522</v>
      </c>
      <c r="H1529">
        <f t="shared" ca="1" si="43"/>
        <v>4.4181487595715396E-3</v>
      </c>
    </row>
    <row r="1530" spans="7:8" x14ac:dyDescent="0.3">
      <c r="G1530">
        <v>1523</v>
      </c>
      <c r="H1530">
        <f t="shared" ca="1" si="43"/>
        <v>-1.0885582191094131E-4</v>
      </c>
    </row>
    <row r="1531" spans="7:8" x14ac:dyDescent="0.3">
      <c r="G1531">
        <v>1524</v>
      </c>
      <c r="H1531">
        <f t="shared" ca="1" si="43"/>
        <v>2.0653617239877575E-2</v>
      </c>
    </row>
    <row r="1532" spans="7:8" x14ac:dyDescent="0.3">
      <c r="G1532">
        <v>1525</v>
      </c>
      <c r="H1532">
        <f t="shared" ca="1" si="43"/>
        <v>-9.5596101467595573E-3</v>
      </c>
    </row>
    <row r="1533" spans="7:8" x14ac:dyDescent="0.3">
      <c r="G1533">
        <v>1526</v>
      </c>
      <c r="H1533">
        <f t="shared" ca="1" si="43"/>
        <v>7.7171055602340988E-3</v>
      </c>
    </row>
    <row r="1534" spans="7:8" x14ac:dyDescent="0.3">
      <c r="G1534">
        <v>1527</v>
      </c>
      <c r="H1534">
        <f t="shared" ca="1" si="43"/>
        <v>-2.6924794084671683E-3</v>
      </c>
    </row>
    <row r="1535" spans="7:8" x14ac:dyDescent="0.3">
      <c r="G1535">
        <v>1528</v>
      </c>
      <c r="H1535">
        <f t="shared" ca="1" si="43"/>
        <v>-2.1293759729763804E-2</v>
      </c>
    </row>
    <row r="1536" spans="7:8" x14ac:dyDescent="0.3">
      <c r="G1536">
        <v>1529</v>
      </c>
      <c r="H1536">
        <f t="shared" ca="1" si="43"/>
        <v>-8.6645752903452486E-3</v>
      </c>
    </row>
    <row r="1537" spans="7:8" x14ac:dyDescent="0.3">
      <c r="G1537">
        <v>1530</v>
      </c>
      <c r="H1537">
        <f t="shared" ca="1" si="43"/>
        <v>-1.9411438691164951E-2</v>
      </c>
    </row>
    <row r="1538" spans="7:8" x14ac:dyDescent="0.3">
      <c r="G1538">
        <v>1531</v>
      </c>
      <c r="H1538">
        <f t="shared" ca="1" si="43"/>
        <v>1.6597524045144133E-3</v>
      </c>
    </row>
    <row r="1539" spans="7:8" x14ac:dyDescent="0.3">
      <c r="G1539">
        <v>1532</v>
      </c>
      <c r="H1539">
        <f t="shared" ca="1" si="43"/>
        <v>4.9321945181587667E-3</v>
      </c>
    </row>
    <row r="1540" spans="7:8" x14ac:dyDescent="0.3">
      <c r="G1540">
        <v>1533</v>
      </c>
      <c r="H1540">
        <f t="shared" ca="1" si="43"/>
        <v>-3.8759836914414786E-2</v>
      </c>
    </row>
    <row r="1541" spans="7:8" x14ac:dyDescent="0.3">
      <c r="G1541">
        <v>1534</v>
      </c>
      <c r="H1541">
        <f t="shared" ca="1" si="43"/>
        <v>-5.4094626366457104E-3</v>
      </c>
    </row>
    <row r="1542" spans="7:8" x14ac:dyDescent="0.3">
      <c r="G1542">
        <v>1535</v>
      </c>
      <c r="H1542">
        <f t="shared" ca="1" si="43"/>
        <v>2.8844522292283181E-2</v>
      </c>
    </row>
    <row r="1543" spans="7:8" x14ac:dyDescent="0.3">
      <c r="G1543">
        <v>1536</v>
      </c>
      <c r="H1543">
        <f t="shared" ca="1" si="43"/>
        <v>-6.1178190747532713E-3</v>
      </c>
    </row>
    <row r="1544" spans="7:8" x14ac:dyDescent="0.3">
      <c r="G1544">
        <v>1537</v>
      </c>
      <c r="H1544">
        <f t="shared" ca="1" si="43"/>
        <v>2.6963834916955365E-2</v>
      </c>
    </row>
    <row r="1545" spans="7:8" x14ac:dyDescent="0.3">
      <c r="G1545">
        <v>1538</v>
      </c>
      <c r="H1545">
        <f t="shared" ref="H1545:H1608" ca="1" si="44">_xlfn.NORM.INV(RAND(),$N$10,$N$11)</f>
        <v>-2.0989856116117225E-2</v>
      </c>
    </row>
    <row r="1546" spans="7:8" x14ac:dyDescent="0.3">
      <c r="G1546">
        <v>1539</v>
      </c>
      <c r="H1546">
        <f t="shared" ca="1" si="44"/>
        <v>-4.4765728899684417E-3</v>
      </c>
    </row>
    <row r="1547" spans="7:8" x14ac:dyDescent="0.3">
      <c r="G1547">
        <v>1540</v>
      </c>
      <c r="H1547">
        <f t="shared" ca="1" si="44"/>
        <v>-1.4249389896090724E-2</v>
      </c>
    </row>
    <row r="1548" spans="7:8" x14ac:dyDescent="0.3">
      <c r="G1548">
        <v>1541</v>
      </c>
      <c r="H1548">
        <f t="shared" ca="1" si="44"/>
        <v>1.6678675645839473E-2</v>
      </c>
    </row>
    <row r="1549" spans="7:8" x14ac:dyDescent="0.3">
      <c r="G1549">
        <v>1542</v>
      </c>
      <c r="H1549">
        <f t="shared" ca="1" si="44"/>
        <v>1.4701379989203063E-3</v>
      </c>
    </row>
    <row r="1550" spans="7:8" x14ac:dyDescent="0.3">
      <c r="G1550">
        <v>1543</v>
      </c>
      <c r="H1550">
        <f t="shared" ca="1" si="44"/>
        <v>-4.8229192594714853E-3</v>
      </c>
    </row>
    <row r="1551" spans="7:8" x14ac:dyDescent="0.3">
      <c r="G1551">
        <v>1544</v>
      </c>
      <c r="H1551">
        <f t="shared" ca="1" si="44"/>
        <v>5.1893092170581375E-3</v>
      </c>
    </row>
    <row r="1552" spans="7:8" x14ac:dyDescent="0.3">
      <c r="G1552">
        <v>1545</v>
      </c>
      <c r="H1552">
        <f t="shared" ca="1" si="44"/>
        <v>-1.226501836784465E-4</v>
      </c>
    </row>
    <row r="1553" spans="7:8" x14ac:dyDescent="0.3">
      <c r="G1553">
        <v>1546</v>
      </c>
      <c r="H1553">
        <f t="shared" ca="1" si="44"/>
        <v>5.3654384549197366E-3</v>
      </c>
    </row>
    <row r="1554" spans="7:8" x14ac:dyDescent="0.3">
      <c r="G1554">
        <v>1547</v>
      </c>
      <c r="H1554">
        <f t="shared" ca="1" si="44"/>
        <v>-1.1405261834446947E-2</v>
      </c>
    </row>
    <row r="1555" spans="7:8" x14ac:dyDescent="0.3">
      <c r="G1555">
        <v>1548</v>
      </c>
      <c r="H1555">
        <f t="shared" ca="1" si="44"/>
        <v>1.2783351246929628E-2</v>
      </c>
    </row>
    <row r="1556" spans="7:8" x14ac:dyDescent="0.3">
      <c r="G1556">
        <v>1549</v>
      </c>
      <c r="H1556">
        <f t="shared" ca="1" si="44"/>
        <v>-9.3532300692983784E-4</v>
      </c>
    </row>
    <row r="1557" spans="7:8" x14ac:dyDescent="0.3">
      <c r="G1557">
        <v>1550</v>
      </c>
      <c r="H1557">
        <f t="shared" ca="1" si="44"/>
        <v>-7.0100187597921327E-3</v>
      </c>
    </row>
    <row r="1558" spans="7:8" x14ac:dyDescent="0.3">
      <c r="G1558">
        <v>1551</v>
      </c>
      <c r="H1558">
        <f t="shared" ca="1" si="44"/>
        <v>-1.1710034463580095E-3</v>
      </c>
    </row>
    <row r="1559" spans="7:8" x14ac:dyDescent="0.3">
      <c r="G1559">
        <v>1552</v>
      </c>
      <c r="H1559">
        <f t="shared" ca="1" si="44"/>
        <v>3.2021790580747124E-3</v>
      </c>
    </row>
    <row r="1560" spans="7:8" x14ac:dyDescent="0.3">
      <c r="G1560">
        <v>1553</v>
      </c>
      <c r="H1560">
        <f t="shared" ca="1" si="44"/>
        <v>3.6850517604728361E-3</v>
      </c>
    </row>
    <row r="1561" spans="7:8" x14ac:dyDescent="0.3">
      <c r="G1561">
        <v>1554</v>
      </c>
      <c r="H1561">
        <f t="shared" ca="1" si="44"/>
        <v>8.2159617019595906E-4</v>
      </c>
    </row>
    <row r="1562" spans="7:8" x14ac:dyDescent="0.3">
      <c r="G1562">
        <v>1555</v>
      </c>
      <c r="H1562">
        <f t="shared" ca="1" si="44"/>
        <v>-4.2011088999329748E-3</v>
      </c>
    </row>
    <row r="1563" spans="7:8" x14ac:dyDescent="0.3">
      <c r="G1563">
        <v>1556</v>
      </c>
      <c r="H1563">
        <f t="shared" ca="1" si="44"/>
        <v>-1.7608060301043036E-2</v>
      </c>
    </row>
    <row r="1564" spans="7:8" x14ac:dyDescent="0.3">
      <c r="G1564">
        <v>1557</v>
      </c>
      <c r="H1564">
        <f t="shared" ca="1" si="44"/>
        <v>2.9826456562760382E-3</v>
      </c>
    </row>
    <row r="1565" spans="7:8" x14ac:dyDescent="0.3">
      <c r="G1565">
        <v>1558</v>
      </c>
      <c r="H1565">
        <f t="shared" ca="1" si="44"/>
        <v>8.3150761717667131E-3</v>
      </c>
    </row>
    <row r="1566" spans="7:8" x14ac:dyDescent="0.3">
      <c r="G1566">
        <v>1559</v>
      </c>
      <c r="H1566">
        <f t="shared" ca="1" si="44"/>
        <v>-1.2646458790087571E-2</v>
      </c>
    </row>
    <row r="1567" spans="7:8" x14ac:dyDescent="0.3">
      <c r="G1567">
        <v>1560</v>
      </c>
      <c r="H1567">
        <f t="shared" ca="1" si="44"/>
        <v>1.9902448160878116E-2</v>
      </c>
    </row>
    <row r="1568" spans="7:8" x14ac:dyDescent="0.3">
      <c r="G1568">
        <v>1561</v>
      </c>
      <c r="H1568">
        <f t="shared" ca="1" si="44"/>
        <v>-2.090146941838654E-2</v>
      </c>
    </row>
    <row r="1569" spans="7:8" x14ac:dyDescent="0.3">
      <c r="G1569">
        <v>1562</v>
      </c>
      <c r="H1569">
        <f t="shared" ca="1" si="44"/>
        <v>2.8646637333250347E-2</v>
      </c>
    </row>
    <row r="1570" spans="7:8" x14ac:dyDescent="0.3">
      <c r="G1570">
        <v>1563</v>
      </c>
      <c r="H1570">
        <f t="shared" ca="1" si="44"/>
        <v>2.1461434589177941E-2</v>
      </c>
    </row>
    <row r="1571" spans="7:8" x14ac:dyDescent="0.3">
      <c r="G1571">
        <v>1564</v>
      </c>
      <c r="H1571">
        <f t="shared" ca="1" si="44"/>
        <v>-1.027040549293756E-2</v>
      </c>
    </row>
    <row r="1572" spans="7:8" x14ac:dyDescent="0.3">
      <c r="G1572">
        <v>1565</v>
      </c>
      <c r="H1572">
        <f t="shared" ca="1" si="44"/>
        <v>6.8298318247850091E-3</v>
      </c>
    </row>
    <row r="1573" spans="7:8" x14ac:dyDescent="0.3">
      <c r="G1573">
        <v>1566</v>
      </c>
      <c r="H1573">
        <f t="shared" ca="1" si="44"/>
        <v>7.4227317494338346E-3</v>
      </c>
    </row>
    <row r="1574" spans="7:8" x14ac:dyDescent="0.3">
      <c r="G1574">
        <v>1567</v>
      </c>
      <c r="H1574">
        <f t="shared" ca="1" si="44"/>
        <v>-1.3399815864955648E-2</v>
      </c>
    </row>
    <row r="1575" spans="7:8" x14ac:dyDescent="0.3">
      <c r="G1575">
        <v>1568</v>
      </c>
      <c r="H1575">
        <f t="shared" ca="1" si="44"/>
        <v>1.1099367132351054E-2</v>
      </c>
    </row>
    <row r="1576" spans="7:8" x14ac:dyDescent="0.3">
      <c r="G1576">
        <v>1569</v>
      </c>
      <c r="H1576">
        <f t="shared" ca="1" si="44"/>
        <v>2.3751190362625036E-2</v>
      </c>
    </row>
    <row r="1577" spans="7:8" x14ac:dyDescent="0.3">
      <c r="G1577">
        <v>1570</v>
      </c>
      <c r="H1577">
        <f t="shared" ca="1" si="44"/>
        <v>-5.8175880304035463E-3</v>
      </c>
    </row>
    <row r="1578" spans="7:8" x14ac:dyDescent="0.3">
      <c r="G1578">
        <v>1571</v>
      </c>
      <c r="H1578">
        <f t="shared" ca="1" si="44"/>
        <v>-9.3802712094232105E-3</v>
      </c>
    </row>
    <row r="1579" spans="7:8" x14ac:dyDescent="0.3">
      <c r="G1579">
        <v>1572</v>
      </c>
      <c r="H1579">
        <f t="shared" ca="1" si="44"/>
        <v>-2.2487008508017745E-2</v>
      </c>
    </row>
    <row r="1580" spans="7:8" x14ac:dyDescent="0.3">
      <c r="G1580">
        <v>1573</v>
      </c>
      <c r="H1580">
        <f t="shared" ca="1" si="44"/>
        <v>2.8741746912073897E-3</v>
      </c>
    </row>
    <row r="1581" spans="7:8" x14ac:dyDescent="0.3">
      <c r="G1581">
        <v>1574</v>
      </c>
      <c r="H1581">
        <f t="shared" ca="1" si="44"/>
        <v>1.4160629209011288E-2</v>
      </c>
    </row>
    <row r="1582" spans="7:8" x14ac:dyDescent="0.3">
      <c r="G1582">
        <v>1575</v>
      </c>
      <c r="H1582">
        <f t="shared" ca="1" si="44"/>
        <v>-4.5114920721337874E-3</v>
      </c>
    </row>
    <row r="1583" spans="7:8" x14ac:dyDescent="0.3">
      <c r="G1583">
        <v>1576</v>
      </c>
      <c r="H1583">
        <f t="shared" ca="1" si="44"/>
        <v>1.8293739413975382E-2</v>
      </c>
    </row>
    <row r="1584" spans="7:8" x14ac:dyDescent="0.3">
      <c r="G1584">
        <v>1577</v>
      </c>
      <c r="H1584">
        <f t="shared" ca="1" si="44"/>
        <v>-4.3324115869328626E-2</v>
      </c>
    </row>
    <row r="1585" spans="7:8" x14ac:dyDescent="0.3">
      <c r="G1585">
        <v>1578</v>
      </c>
      <c r="H1585">
        <f t="shared" ca="1" si="44"/>
        <v>-1.5469218606364328E-2</v>
      </c>
    </row>
    <row r="1586" spans="7:8" x14ac:dyDescent="0.3">
      <c r="G1586">
        <v>1579</v>
      </c>
      <c r="H1586">
        <f t="shared" ca="1" si="44"/>
        <v>-7.4549005986823645E-3</v>
      </c>
    </row>
    <row r="1587" spans="7:8" x14ac:dyDescent="0.3">
      <c r="G1587">
        <v>1580</v>
      </c>
      <c r="H1587">
        <f t="shared" ca="1" si="44"/>
        <v>-4.4177054564852759E-3</v>
      </c>
    </row>
    <row r="1588" spans="7:8" x14ac:dyDescent="0.3">
      <c r="G1588">
        <v>1581</v>
      </c>
      <c r="H1588">
        <f t="shared" ca="1" si="44"/>
        <v>2.5771986236243865E-2</v>
      </c>
    </row>
    <row r="1589" spans="7:8" x14ac:dyDescent="0.3">
      <c r="G1589">
        <v>1582</v>
      </c>
      <c r="H1589">
        <f t="shared" ca="1" si="44"/>
        <v>1.0629616288346341E-2</v>
      </c>
    </row>
    <row r="1590" spans="7:8" x14ac:dyDescent="0.3">
      <c r="G1590">
        <v>1583</v>
      </c>
      <c r="H1590">
        <f t="shared" ca="1" si="44"/>
        <v>-1.4494412511410818E-3</v>
      </c>
    </row>
    <row r="1591" spans="7:8" x14ac:dyDescent="0.3">
      <c r="G1591">
        <v>1584</v>
      </c>
      <c r="H1591">
        <f t="shared" ca="1" si="44"/>
        <v>-1.8505771994685644E-3</v>
      </c>
    </row>
    <row r="1592" spans="7:8" x14ac:dyDescent="0.3">
      <c r="G1592">
        <v>1585</v>
      </c>
      <c r="H1592">
        <f t="shared" ca="1" si="44"/>
        <v>6.6107715235810775E-3</v>
      </c>
    </row>
    <row r="1593" spans="7:8" x14ac:dyDescent="0.3">
      <c r="G1593">
        <v>1586</v>
      </c>
      <c r="H1593">
        <f t="shared" ca="1" si="44"/>
        <v>-1.2325673303034832E-2</v>
      </c>
    </row>
    <row r="1594" spans="7:8" x14ac:dyDescent="0.3">
      <c r="G1594">
        <v>1587</v>
      </c>
      <c r="H1594">
        <f t="shared" ca="1" si="44"/>
        <v>-2.8708717061463151E-3</v>
      </c>
    </row>
    <row r="1595" spans="7:8" x14ac:dyDescent="0.3">
      <c r="G1595">
        <v>1588</v>
      </c>
      <c r="H1595">
        <f t="shared" ca="1" si="44"/>
        <v>1.4589950597046692E-2</v>
      </c>
    </row>
    <row r="1596" spans="7:8" x14ac:dyDescent="0.3">
      <c r="G1596">
        <v>1589</v>
      </c>
      <c r="H1596">
        <f t="shared" ca="1" si="44"/>
        <v>-7.5891267746100097E-3</v>
      </c>
    </row>
    <row r="1597" spans="7:8" x14ac:dyDescent="0.3">
      <c r="G1597">
        <v>1590</v>
      </c>
      <c r="H1597">
        <f t="shared" ca="1" si="44"/>
        <v>-2.3726695666438775E-2</v>
      </c>
    </row>
    <row r="1598" spans="7:8" x14ac:dyDescent="0.3">
      <c r="G1598">
        <v>1591</v>
      </c>
      <c r="H1598">
        <f t="shared" ca="1" si="44"/>
        <v>-9.6635118069961431E-3</v>
      </c>
    </row>
    <row r="1599" spans="7:8" x14ac:dyDescent="0.3">
      <c r="G1599">
        <v>1592</v>
      </c>
      <c r="H1599">
        <f t="shared" ca="1" si="44"/>
        <v>4.2676770219111058E-3</v>
      </c>
    </row>
    <row r="1600" spans="7:8" x14ac:dyDescent="0.3">
      <c r="G1600">
        <v>1593</v>
      </c>
      <c r="H1600">
        <f t="shared" ca="1" si="44"/>
        <v>-1.1114968423767217E-2</v>
      </c>
    </row>
    <row r="1601" spans="7:8" x14ac:dyDescent="0.3">
      <c r="G1601">
        <v>1594</v>
      </c>
      <c r="H1601">
        <f t="shared" ca="1" si="44"/>
        <v>-6.8671166741373045E-3</v>
      </c>
    </row>
    <row r="1602" spans="7:8" x14ac:dyDescent="0.3">
      <c r="G1602">
        <v>1595</v>
      </c>
      <c r="H1602">
        <f t="shared" ca="1" si="44"/>
        <v>-9.4993330916383466E-3</v>
      </c>
    </row>
    <row r="1603" spans="7:8" x14ac:dyDescent="0.3">
      <c r="G1603">
        <v>1596</v>
      </c>
      <c r="H1603">
        <f t="shared" ca="1" si="44"/>
        <v>-1.3953152775071439E-2</v>
      </c>
    </row>
    <row r="1604" spans="7:8" x14ac:dyDescent="0.3">
      <c r="G1604">
        <v>1597</v>
      </c>
      <c r="H1604">
        <f t="shared" ca="1" si="44"/>
        <v>1.2748037921569066E-3</v>
      </c>
    </row>
    <row r="1605" spans="7:8" x14ac:dyDescent="0.3">
      <c r="G1605">
        <v>1598</v>
      </c>
      <c r="H1605">
        <f t="shared" ca="1" si="44"/>
        <v>2.358909902826806E-2</v>
      </c>
    </row>
    <row r="1606" spans="7:8" x14ac:dyDescent="0.3">
      <c r="G1606">
        <v>1599</v>
      </c>
      <c r="H1606">
        <f t="shared" ca="1" si="44"/>
        <v>1.1974571456004342E-2</v>
      </c>
    </row>
    <row r="1607" spans="7:8" x14ac:dyDescent="0.3">
      <c r="G1607">
        <v>1600</v>
      </c>
      <c r="H1607">
        <f t="shared" ca="1" si="44"/>
        <v>2.5437295235724001E-2</v>
      </c>
    </row>
    <row r="1608" spans="7:8" x14ac:dyDescent="0.3">
      <c r="G1608">
        <v>1601</v>
      </c>
      <c r="H1608">
        <f t="shared" ca="1" si="44"/>
        <v>-1.6384444142727207E-3</v>
      </c>
    </row>
    <row r="1609" spans="7:8" x14ac:dyDescent="0.3">
      <c r="G1609">
        <v>1602</v>
      </c>
      <c r="H1609">
        <f t="shared" ref="H1609:H1672" ca="1" si="45">_xlfn.NORM.INV(RAND(),$N$10,$N$11)</f>
        <v>4.4695193251810197E-4</v>
      </c>
    </row>
    <row r="1610" spans="7:8" x14ac:dyDescent="0.3">
      <c r="G1610">
        <v>1603</v>
      </c>
      <c r="H1610">
        <f t="shared" ca="1" si="45"/>
        <v>3.4109111307102438E-2</v>
      </c>
    </row>
    <row r="1611" spans="7:8" x14ac:dyDescent="0.3">
      <c r="G1611">
        <v>1604</v>
      </c>
      <c r="H1611">
        <f t="shared" ca="1" si="45"/>
        <v>-1.3155756926580464E-2</v>
      </c>
    </row>
    <row r="1612" spans="7:8" x14ac:dyDescent="0.3">
      <c r="G1612">
        <v>1605</v>
      </c>
      <c r="H1612">
        <f t="shared" ca="1" si="45"/>
        <v>-6.991418642058404E-3</v>
      </c>
    </row>
    <row r="1613" spans="7:8" x14ac:dyDescent="0.3">
      <c r="G1613">
        <v>1606</v>
      </c>
      <c r="H1613">
        <f t="shared" ca="1" si="45"/>
        <v>-2.6530224336822644E-2</v>
      </c>
    </row>
    <row r="1614" spans="7:8" x14ac:dyDescent="0.3">
      <c r="G1614">
        <v>1607</v>
      </c>
      <c r="H1614">
        <f t="shared" ca="1" si="45"/>
        <v>-2.2750469381580353E-2</v>
      </c>
    </row>
    <row r="1615" spans="7:8" x14ac:dyDescent="0.3">
      <c r="G1615">
        <v>1608</v>
      </c>
      <c r="H1615">
        <f t="shared" ca="1" si="45"/>
        <v>1.0475705890544834E-2</v>
      </c>
    </row>
    <row r="1616" spans="7:8" x14ac:dyDescent="0.3">
      <c r="G1616">
        <v>1609</v>
      </c>
      <c r="H1616">
        <f t="shared" ca="1" si="45"/>
        <v>-2.2167935739930474E-2</v>
      </c>
    </row>
    <row r="1617" spans="7:8" x14ac:dyDescent="0.3">
      <c r="G1617">
        <v>1610</v>
      </c>
      <c r="H1617">
        <f t="shared" ca="1" si="45"/>
        <v>-7.563487426699796E-3</v>
      </c>
    </row>
    <row r="1618" spans="7:8" x14ac:dyDescent="0.3">
      <c r="G1618">
        <v>1611</v>
      </c>
      <c r="H1618">
        <f t="shared" ca="1" si="45"/>
        <v>-5.7112104781327213E-3</v>
      </c>
    </row>
    <row r="1619" spans="7:8" x14ac:dyDescent="0.3">
      <c r="G1619">
        <v>1612</v>
      </c>
      <c r="H1619">
        <f t="shared" ca="1" si="45"/>
        <v>-3.1439287149707409E-2</v>
      </c>
    </row>
    <row r="1620" spans="7:8" x14ac:dyDescent="0.3">
      <c r="G1620">
        <v>1613</v>
      </c>
      <c r="H1620">
        <f t="shared" ca="1" si="45"/>
        <v>3.4387623829624987E-3</v>
      </c>
    </row>
    <row r="1621" spans="7:8" x14ac:dyDescent="0.3">
      <c r="G1621">
        <v>1614</v>
      </c>
      <c r="H1621">
        <f t="shared" ca="1" si="45"/>
        <v>3.5222888915090803E-2</v>
      </c>
    </row>
    <row r="1622" spans="7:8" x14ac:dyDescent="0.3">
      <c r="G1622">
        <v>1615</v>
      </c>
      <c r="H1622">
        <f t="shared" ca="1" si="45"/>
        <v>-2.5244251385215938E-2</v>
      </c>
    </row>
    <row r="1623" spans="7:8" x14ac:dyDescent="0.3">
      <c r="G1623">
        <v>1616</v>
      </c>
      <c r="H1623">
        <f t="shared" ca="1" si="45"/>
        <v>2.5022218339865732E-2</v>
      </c>
    </row>
    <row r="1624" spans="7:8" x14ac:dyDescent="0.3">
      <c r="G1624">
        <v>1617</v>
      </c>
      <c r="H1624">
        <f t="shared" ca="1" si="45"/>
        <v>3.5175690704512097E-2</v>
      </c>
    </row>
    <row r="1625" spans="7:8" x14ac:dyDescent="0.3">
      <c r="G1625">
        <v>1618</v>
      </c>
      <c r="H1625">
        <f t="shared" ca="1" si="45"/>
        <v>3.5136755265480962E-2</v>
      </c>
    </row>
    <row r="1626" spans="7:8" x14ac:dyDescent="0.3">
      <c r="G1626">
        <v>1619</v>
      </c>
      <c r="H1626">
        <f t="shared" ca="1" si="45"/>
        <v>-3.3912674471342608E-2</v>
      </c>
    </row>
    <row r="1627" spans="7:8" x14ac:dyDescent="0.3">
      <c r="G1627">
        <v>1620</v>
      </c>
      <c r="H1627">
        <f t="shared" ca="1" si="45"/>
        <v>-2.433236671068496E-3</v>
      </c>
    </row>
    <row r="1628" spans="7:8" x14ac:dyDescent="0.3">
      <c r="G1628">
        <v>1621</v>
      </c>
      <c r="H1628">
        <f t="shared" ca="1" si="45"/>
        <v>6.1543900572510069E-3</v>
      </c>
    </row>
    <row r="1629" spans="7:8" x14ac:dyDescent="0.3">
      <c r="G1629">
        <v>1622</v>
      </c>
      <c r="H1629">
        <f t="shared" ca="1" si="45"/>
        <v>-1.5151149074687564E-2</v>
      </c>
    </row>
    <row r="1630" spans="7:8" x14ac:dyDescent="0.3">
      <c r="G1630">
        <v>1623</v>
      </c>
      <c r="H1630">
        <f t="shared" ca="1" si="45"/>
        <v>1.8366302614464515E-2</v>
      </c>
    </row>
    <row r="1631" spans="7:8" x14ac:dyDescent="0.3">
      <c r="G1631">
        <v>1624</v>
      </c>
      <c r="H1631">
        <f t="shared" ca="1" si="45"/>
        <v>-1.6148972054922005E-2</v>
      </c>
    </row>
    <row r="1632" spans="7:8" x14ac:dyDescent="0.3">
      <c r="G1632">
        <v>1625</v>
      </c>
      <c r="H1632">
        <f t="shared" ca="1" si="45"/>
        <v>3.2547423086459479E-3</v>
      </c>
    </row>
    <row r="1633" spans="7:8" x14ac:dyDescent="0.3">
      <c r="G1633">
        <v>1626</v>
      </c>
      <c r="H1633">
        <f t="shared" ca="1" si="45"/>
        <v>-2.2571685859134092E-4</v>
      </c>
    </row>
    <row r="1634" spans="7:8" x14ac:dyDescent="0.3">
      <c r="G1634">
        <v>1627</v>
      </c>
      <c r="H1634">
        <f t="shared" ca="1" si="45"/>
        <v>-1.4894221224356846E-2</v>
      </c>
    </row>
    <row r="1635" spans="7:8" x14ac:dyDescent="0.3">
      <c r="G1635">
        <v>1628</v>
      </c>
      <c r="H1635">
        <f t="shared" ca="1" si="45"/>
        <v>-7.8042548654441574E-3</v>
      </c>
    </row>
    <row r="1636" spans="7:8" x14ac:dyDescent="0.3">
      <c r="G1636">
        <v>1629</v>
      </c>
      <c r="H1636">
        <f t="shared" ca="1" si="45"/>
        <v>-1.5858563864056426E-2</v>
      </c>
    </row>
    <row r="1637" spans="7:8" x14ac:dyDescent="0.3">
      <c r="G1637">
        <v>1630</v>
      </c>
      <c r="H1637">
        <f t="shared" ca="1" si="45"/>
        <v>3.9026464203617307E-2</v>
      </c>
    </row>
    <row r="1638" spans="7:8" x14ac:dyDescent="0.3">
      <c r="G1638">
        <v>1631</v>
      </c>
      <c r="H1638">
        <f t="shared" ca="1" si="45"/>
        <v>-1.5283422181748725E-2</v>
      </c>
    </row>
    <row r="1639" spans="7:8" x14ac:dyDescent="0.3">
      <c r="G1639">
        <v>1632</v>
      </c>
      <c r="H1639">
        <f t="shared" ca="1" si="45"/>
        <v>2.100822798753155E-2</v>
      </c>
    </row>
    <row r="1640" spans="7:8" x14ac:dyDescent="0.3">
      <c r="G1640">
        <v>1633</v>
      </c>
      <c r="H1640">
        <f t="shared" ca="1" si="45"/>
        <v>4.0317862071039051E-3</v>
      </c>
    </row>
    <row r="1641" spans="7:8" x14ac:dyDescent="0.3">
      <c r="G1641">
        <v>1634</v>
      </c>
      <c r="H1641">
        <f t="shared" ca="1" si="45"/>
        <v>-1.5496849834283221E-2</v>
      </c>
    </row>
    <row r="1642" spans="7:8" x14ac:dyDescent="0.3">
      <c r="G1642">
        <v>1635</v>
      </c>
      <c r="H1642">
        <f t="shared" ca="1" si="45"/>
        <v>1.0221830983144064E-2</v>
      </c>
    </row>
    <row r="1643" spans="7:8" x14ac:dyDescent="0.3">
      <c r="G1643">
        <v>1636</v>
      </c>
      <c r="H1643">
        <f t="shared" ca="1" si="45"/>
        <v>4.2324674364564371E-3</v>
      </c>
    </row>
    <row r="1644" spans="7:8" x14ac:dyDescent="0.3">
      <c r="G1644">
        <v>1637</v>
      </c>
      <c r="H1644">
        <f t="shared" ca="1" si="45"/>
        <v>-2.1873412361224872E-3</v>
      </c>
    </row>
    <row r="1645" spans="7:8" x14ac:dyDescent="0.3">
      <c r="G1645">
        <v>1638</v>
      </c>
      <c r="H1645">
        <f t="shared" ca="1" si="45"/>
        <v>2.1502445366678308E-3</v>
      </c>
    </row>
    <row r="1646" spans="7:8" x14ac:dyDescent="0.3">
      <c r="G1646">
        <v>1639</v>
      </c>
      <c r="H1646">
        <f t="shared" ca="1" si="45"/>
        <v>-1.0507490371592628E-2</v>
      </c>
    </row>
    <row r="1647" spans="7:8" x14ac:dyDescent="0.3">
      <c r="G1647">
        <v>1640</v>
      </c>
      <c r="H1647">
        <f t="shared" ca="1" si="45"/>
        <v>2.0338368800119966E-2</v>
      </c>
    </row>
    <row r="1648" spans="7:8" x14ac:dyDescent="0.3">
      <c r="G1648">
        <v>1641</v>
      </c>
      <c r="H1648">
        <f t="shared" ca="1" si="45"/>
        <v>-1.0837227196673214E-2</v>
      </c>
    </row>
    <row r="1649" spans="7:8" x14ac:dyDescent="0.3">
      <c r="G1649">
        <v>1642</v>
      </c>
      <c r="H1649">
        <f t="shared" ca="1" si="45"/>
        <v>-2.0185620670114982E-2</v>
      </c>
    </row>
    <row r="1650" spans="7:8" x14ac:dyDescent="0.3">
      <c r="G1650">
        <v>1643</v>
      </c>
      <c r="H1650">
        <f t="shared" ca="1" si="45"/>
        <v>-4.5509545323381591E-3</v>
      </c>
    </row>
    <row r="1651" spans="7:8" x14ac:dyDescent="0.3">
      <c r="G1651">
        <v>1644</v>
      </c>
      <c r="H1651">
        <f t="shared" ca="1" si="45"/>
        <v>2.42033628112273E-2</v>
      </c>
    </row>
    <row r="1652" spans="7:8" x14ac:dyDescent="0.3">
      <c r="G1652">
        <v>1645</v>
      </c>
      <c r="H1652">
        <f t="shared" ca="1" si="45"/>
        <v>1.179230086539956E-2</v>
      </c>
    </row>
    <row r="1653" spans="7:8" x14ac:dyDescent="0.3">
      <c r="G1653">
        <v>1646</v>
      </c>
      <c r="H1653">
        <f t="shared" ca="1" si="45"/>
        <v>4.7791581857057367E-3</v>
      </c>
    </row>
    <row r="1654" spans="7:8" x14ac:dyDescent="0.3">
      <c r="G1654">
        <v>1647</v>
      </c>
      <c r="H1654">
        <f t="shared" ca="1" si="45"/>
        <v>4.2663380838077455E-2</v>
      </c>
    </row>
    <row r="1655" spans="7:8" x14ac:dyDescent="0.3">
      <c r="G1655">
        <v>1648</v>
      </c>
      <c r="H1655">
        <f t="shared" ca="1" si="45"/>
        <v>-8.9791203193635982E-3</v>
      </c>
    </row>
    <row r="1656" spans="7:8" x14ac:dyDescent="0.3">
      <c r="G1656">
        <v>1649</v>
      </c>
      <c r="H1656">
        <f t="shared" ca="1" si="45"/>
        <v>-1.4537215765615803E-2</v>
      </c>
    </row>
    <row r="1657" spans="7:8" x14ac:dyDescent="0.3">
      <c r="G1657">
        <v>1650</v>
      </c>
      <c r="H1657">
        <f t="shared" ca="1" si="45"/>
        <v>9.8323290743378092E-3</v>
      </c>
    </row>
    <row r="1658" spans="7:8" x14ac:dyDescent="0.3">
      <c r="G1658">
        <v>1651</v>
      </c>
      <c r="H1658">
        <f t="shared" ca="1" si="45"/>
        <v>1.4840697974362771E-2</v>
      </c>
    </row>
    <row r="1659" spans="7:8" x14ac:dyDescent="0.3">
      <c r="G1659">
        <v>1652</v>
      </c>
      <c r="H1659">
        <f t="shared" ca="1" si="45"/>
        <v>6.8446228337426451E-3</v>
      </c>
    </row>
    <row r="1660" spans="7:8" x14ac:dyDescent="0.3">
      <c r="G1660">
        <v>1653</v>
      </c>
      <c r="H1660">
        <f t="shared" ca="1" si="45"/>
        <v>2.0488477685551416E-2</v>
      </c>
    </row>
    <row r="1661" spans="7:8" x14ac:dyDescent="0.3">
      <c r="G1661">
        <v>1654</v>
      </c>
      <c r="H1661">
        <f t="shared" ca="1" si="45"/>
        <v>1.2088322836857264E-2</v>
      </c>
    </row>
    <row r="1662" spans="7:8" x14ac:dyDescent="0.3">
      <c r="G1662">
        <v>1655</v>
      </c>
      <c r="H1662">
        <f t="shared" ca="1" si="45"/>
        <v>1.4055523805824765E-2</v>
      </c>
    </row>
    <row r="1663" spans="7:8" x14ac:dyDescent="0.3">
      <c r="G1663">
        <v>1656</v>
      </c>
      <c r="H1663">
        <f t="shared" ca="1" si="45"/>
        <v>-2.2648137094579121E-2</v>
      </c>
    </row>
    <row r="1664" spans="7:8" x14ac:dyDescent="0.3">
      <c r="G1664">
        <v>1657</v>
      </c>
      <c r="H1664">
        <f t="shared" ca="1" si="45"/>
        <v>1.3797756230674602E-2</v>
      </c>
    </row>
    <row r="1665" spans="7:8" x14ac:dyDescent="0.3">
      <c r="G1665">
        <v>1658</v>
      </c>
      <c r="H1665">
        <f t="shared" ca="1" si="45"/>
        <v>-3.9076864166913174E-2</v>
      </c>
    </row>
    <row r="1666" spans="7:8" x14ac:dyDescent="0.3">
      <c r="G1666">
        <v>1659</v>
      </c>
      <c r="H1666">
        <f t="shared" ca="1" si="45"/>
        <v>1.8531165332150139E-2</v>
      </c>
    </row>
    <row r="1667" spans="7:8" x14ac:dyDescent="0.3">
      <c r="G1667">
        <v>1660</v>
      </c>
      <c r="H1667">
        <f t="shared" ca="1" si="45"/>
        <v>-2.7467008942607996E-2</v>
      </c>
    </row>
    <row r="1668" spans="7:8" x14ac:dyDescent="0.3">
      <c r="G1668">
        <v>1661</v>
      </c>
      <c r="H1668">
        <f t="shared" ca="1" si="45"/>
        <v>-3.365064698351284E-3</v>
      </c>
    </row>
    <row r="1669" spans="7:8" x14ac:dyDescent="0.3">
      <c r="G1669">
        <v>1662</v>
      </c>
      <c r="H1669">
        <f t="shared" ca="1" si="45"/>
        <v>-7.3040378139170165E-3</v>
      </c>
    </row>
    <row r="1670" spans="7:8" x14ac:dyDescent="0.3">
      <c r="G1670">
        <v>1663</v>
      </c>
      <c r="H1670">
        <f t="shared" ca="1" si="45"/>
        <v>-2.1760723476035509E-2</v>
      </c>
    </row>
    <row r="1671" spans="7:8" x14ac:dyDescent="0.3">
      <c r="G1671">
        <v>1664</v>
      </c>
      <c r="H1671">
        <f t="shared" ca="1" si="45"/>
        <v>2.9846738782124831E-2</v>
      </c>
    </row>
    <row r="1672" spans="7:8" x14ac:dyDescent="0.3">
      <c r="G1672">
        <v>1665</v>
      </c>
      <c r="H1672">
        <f t="shared" ca="1" si="45"/>
        <v>2.8121184508407244E-2</v>
      </c>
    </row>
    <row r="1673" spans="7:8" x14ac:dyDescent="0.3">
      <c r="G1673">
        <v>1666</v>
      </c>
      <c r="H1673">
        <f t="shared" ref="H1673:H1736" ca="1" si="46">_xlfn.NORM.INV(RAND(),$N$10,$N$11)</f>
        <v>-2.2957030843344765E-3</v>
      </c>
    </row>
    <row r="1674" spans="7:8" x14ac:dyDescent="0.3">
      <c r="G1674">
        <v>1667</v>
      </c>
      <c r="H1674">
        <f t="shared" ca="1" si="46"/>
        <v>-9.6006188029004952E-4</v>
      </c>
    </row>
    <row r="1675" spans="7:8" x14ac:dyDescent="0.3">
      <c r="G1675">
        <v>1668</v>
      </c>
      <c r="H1675">
        <f t="shared" ca="1" si="46"/>
        <v>-1.0137346748512086E-2</v>
      </c>
    </row>
    <row r="1676" spans="7:8" x14ac:dyDescent="0.3">
      <c r="G1676">
        <v>1669</v>
      </c>
      <c r="H1676">
        <f t="shared" ca="1" si="46"/>
        <v>2.2717155143154307E-2</v>
      </c>
    </row>
    <row r="1677" spans="7:8" x14ac:dyDescent="0.3">
      <c r="G1677">
        <v>1670</v>
      </c>
      <c r="H1677">
        <f t="shared" ca="1" si="46"/>
        <v>-4.656879466514348E-3</v>
      </c>
    </row>
    <row r="1678" spans="7:8" x14ac:dyDescent="0.3">
      <c r="G1678">
        <v>1671</v>
      </c>
      <c r="H1678">
        <f t="shared" ca="1" si="46"/>
        <v>-2.3162732230764325E-3</v>
      </c>
    </row>
    <row r="1679" spans="7:8" x14ac:dyDescent="0.3">
      <c r="G1679">
        <v>1672</v>
      </c>
      <c r="H1679">
        <f t="shared" ca="1" si="46"/>
        <v>-6.0045624708994693E-3</v>
      </c>
    </row>
    <row r="1680" spans="7:8" x14ac:dyDescent="0.3">
      <c r="G1680">
        <v>1673</v>
      </c>
      <c r="H1680">
        <f t="shared" ca="1" si="46"/>
        <v>9.2753060101308307E-3</v>
      </c>
    </row>
    <row r="1681" spans="7:8" x14ac:dyDescent="0.3">
      <c r="G1681">
        <v>1674</v>
      </c>
      <c r="H1681">
        <f t="shared" ca="1" si="46"/>
        <v>-1.3155850074155363E-2</v>
      </c>
    </row>
    <row r="1682" spans="7:8" x14ac:dyDescent="0.3">
      <c r="G1682">
        <v>1675</v>
      </c>
      <c r="H1682">
        <f t="shared" ca="1" si="46"/>
        <v>2.516563818325717E-2</v>
      </c>
    </row>
    <row r="1683" spans="7:8" x14ac:dyDescent="0.3">
      <c r="G1683">
        <v>1676</v>
      </c>
      <c r="H1683">
        <f t="shared" ca="1" si="46"/>
        <v>-1.320712492572146E-2</v>
      </c>
    </row>
    <row r="1684" spans="7:8" x14ac:dyDescent="0.3">
      <c r="G1684">
        <v>1677</v>
      </c>
      <c r="H1684">
        <f t="shared" ca="1" si="46"/>
        <v>-4.9562437497413956E-3</v>
      </c>
    </row>
    <row r="1685" spans="7:8" x14ac:dyDescent="0.3">
      <c r="G1685">
        <v>1678</v>
      </c>
      <c r="H1685">
        <f t="shared" ca="1" si="46"/>
        <v>-4.7298475207439242E-3</v>
      </c>
    </row>
    <row r="1686" spans="7:8" x14ac:dyDescent="0.3">
      <c r="G1686">
        <v>1679</v>
      </c>
      <c r="H1686">
        <f t="shared" ca="1" si="46"/>
        <v>2.0509276075038635E-2</v>
      </c>
    </row>
    <row r="1687" spans="7:8" x14ac:dyDescent="0.3">
      <c r="G1687">
        <v>1680</v>
      </c>
      <c r="H1687">
        <f t="shared" ca="1" si="46"/>
        <v>1.9300921358159188E-2</v>
      </c>
    </row>
    <row r="1688" spans="7:8" x14ac:dyDescent="0.3">
      <c r="G1688">
        <v>1681</v>
      </c>
      <c r="H1688">
        <f t="shared" ca="1" si="46"/>
        <v>5.8182968840957041E-4</v>
      </c>
    </row>
    <row r="1689" spans="7:8" x14ac:dyDescent="0.3">
      <c r="G1689">
        <v>1682</v>
      </c>
      <c r="H1689">
        <f t="shared" ca="1" si="46"/>
        <v>-7.8663384259491983E-3</v>
      </c>
    </row>
    <row r="1690" spans="7:8" x14ac:dyDescent="0.3">
      <c r="G1690">
        <v>1683</v>
      </c>
      <c r="H1690">
        <f t="shared" ca="1" si="46"/>
        <v>-7.6290728819158101E-3</v>
      </c>
    </row>
    <row r="1691" spans="7:8" x14ac:dyDescent="0.3">
      <c r="G1691">
        <v>1684</v>
      </c>
      <c r="H1691">
        <f t="shared" ca="1" si="46"/>
        <v>-6.1284878581775327E-3</v>
      </c>
    </row>
    <row r="1692" spans="7:8" x14ac:dyDescent="0.3">
      <c r="G1692">
        <v>1685</v>
      </c>
      <c r="H1692">
        <f t="shared" ca="1" si="46"/>
        <v>9.5816797621977381E-3</v>
      </c>
    </row>
    <row r="1693" spans="7:8" x14ac:dyDescent="0.3">
      <c r="G1693">
        <v>1686</v>
      </c>
      <c r="H1693">
        <f t="shared" ca="1" si="46"/>
        <v>-1.0977138366152436E-2</v>
      </c>
    </row>
    <row r="1694" spans="7:8" x14ac:dyDescent="0.3">
      <c r="G1694">
        <v>1687</v>
      </c>
      <c r="H1694">
        <f t="shared" ca="1" si="46"/>
        <v>-6.8869713728818434E-4</v>
      </c>
    </row>
    <row r="1695" spans="7:8" x14ac:dyDescent="0.3">
      <c r="G1695">
        <v>1688</v>
      </c>
      <c r="H1695">
        <f t="shared" ca="1" si="46"/>
        <v>2.0230912301375518E-2</v>
      </c>
    </row>
    <row r="1696" spans="7:8" x14ac:dyDescent="0.3">
      <c r="G1696">
        <v>1689</v>
      </c>
      <c r="H1696">
        <f t="shared" ca="1" si="46"/>
        <v>3.3593336236648133E-3</v>
      </c>
    </row>
    <row r="1697" spans="7:8" x14ac:dyDescent="0.3">
      <c r="G1697">
        <v>1690</v>
      </c>
      <c r="H1697">
        <f t="shared" ca="1" si="46"/>
        <v>-7.3051054858647721E-3</v>
      </c>
    </row>
    <row r="1698" spans="7:8" x14ac:dyDescent="0.3">
      <c r="G1698">
        <v>1691</v>
      </c>
      <c r="H1698">
        <f t="shared" ca="1" si="46"/>
        <v>1.7542389057263299E-3</v>
      </c>
    </row>
    <row r="1699" spans="7:8" x14ac:dyDescent="0.3">
      <c r="G1699">
        <v>1692</v>
      </c>
      <c r="H1699">
        <f t="shared" ca="1" si="46"/>
        <v>3.6764543469808696E-2</v>
      </c>
    </row>
    <row r="1700" spans="7:8" x14ac:dyDescent="0.3">
      <c r="G1700">
        <v>1693</v>
      </c>
      <c r="H1700">
        <f t="shared" ca="1" si="46"/>
        <v>1.421133834445731E-3</v>
      </c>
    </row>
    <row r="1701" spans="7:8" x14ac:dyDescent="0.3">
      <c r="G1701">
        <v>1694</v>
      </c>
      <c r="H1701">
        <f t="shared" ca="1" si="46"/>
        <v>1.6929416833813871E-2</v>
      </c>
    </row>
    <row r="1702" spans="7:8" x14ac:dyDescent="0.3">
      <c r="G1702">
        <v>1695</v>
      </c>
      <c r="H1702">
        <f t="shared" ca="1" si="46"/>
        <v>1.4543380449726069E-2</v>
      </c>
    </row>
    <row r="1703" spans="7:8" x14ac:dyDescent="0.3">
      <c r="G1703">
        <v>1696</v>
      </c>
      <c r="H1703">
        <f t="shared" ca="1" si="46"/>
        <v>3.0275879210472129E-3</v>
      </c>
    </row>
    <row r="1704" spans="7:8" x14ac:dyDescent="0.3">
      <c r="G1704">
        <v>1697</v>
      </c>
      <c r="H1704">
        <f t="shared" ca="1" si="46"/>
        <v>-2.3990941059910842E-2</v>
      </c>
    </row>
    <row r="1705" spans="7:8" x14ac:dyDescent="0.3">
      <c r="G1705">
        <v>1698</v>
      </c>
      <c r="H1705">
        <f t="shared" ca="1" si="46"/>
        <v>1.919238099641583E-2</v>
      </c>
    </row>
    <row r="1706" spans="7:8" x14ac:dyDescent="0.3">
      <c r="G1706">
        <v>1699</v>
      </c>
      <c r="H1706">
        <f t="shared" ca="1" si="46"/>
        <v>-1.3037709600527026E-3</v>
      </c>
    </row>
    <row r="1707" spans="7:8" x14ac:dyDescent="0.3">
      <c r="G1707">
        <v>1700</v>
      </c>
      <c r="H1707">
        <f t="shared" ca="1" si="46"/>
        <v>6.2996381452825635E-3</v>
      </c>
    </row>
    <row r="1708" spans="7:8" x14ac:dyDescent="0.3">
      <c r="G1708">
        <v>1701</v>
      </c>
      <c r="H1708">
        <f t="shared" ca="1" si="46"/>
        <v>-8.7169098232884202E-4</v>
      </c>
    </row>
    <row r="1709" spans="7:8" x14ac:dyDescent="0.3">
      <c r="G1709">
        <v>1702</v>
      </c>
      <c r="H1709">
        <f t="shared" ca="1" si="46"/>
        <v>3.0364907866106357E-2</v>
      </c>
    </row>
    <row r="1710" spans="7:8" x14ac:dyDescent="0.3">
      <c r="G1710">
        <v>1703</v>
      </c>
      <c r="H1710">
        <f t="shared" ca="1" si="46"/>
        <v>-7.0163572371473087E-3</v>
      </c>
    </row>
    <row r="1711" spans="7:8" x14ac:dyDescent="0.3">
      <c r="G1711">
        <v>1704</v>
      </c>
      <c r="H1711">
        <f t="shared" ca="1" si="46"/>
        <v>-2.003496281252885E-2</v>
      </c>
    </row>
    <row r="1712" spans="7:8" x14ac:dyDescent="0.3">
      <c r="G1712">
        <v>1705</v>
      </c>
      <c r="H1712">
        <f t="shared" ca="1" si="46"/>
        <v>-1.6209514009640685E-2</v>
      </c>
    </row>
    <row r="1713" spans="7:8" x14ac:dyDescent="0.3">
      <c r="G1713">
        <v>1706</v>
      </c>
      <c r="H1713">
        <f t="shared" ca="1" si="46"/>
        <v>3.2535475963370031E-2</v>
      </c>
    </row>
    <row r="1714" spans="7:8" x14ac:dyDescent="0.3">
      <c r="G1714">
        <v>1707</v>
      </c>
      <c r="H1714">
        <f t="shared" ca="1" si="46"/>
        <v>2.5958232026763901E-2</v>
      </c>
    </row>
    <row r="1715" spans="7:8" x14ac:dyDescent="0.3">
      <c r="G1715">
        <v>1708</v>
      </c>
      <c r="H1715">
        <f t="shared" ca="1" si="46"/>
        <v>1.4898825975457948E-2</v>
      </c>
    </row>
    <row r="1716" spans="7:8" x14ac:dyDescent="0.3">
      <c r="G1716">
        <v>1709</v>
      </c>
      <c r="H1716">
        <f t="shared" ca="1" si="46"/>
        <v>9.8965834631574972E-3</v>
      </c>
    </row>
    <row r="1717" spans="7:8" x14ac:dyDescent="0.3">
      <c r="G1717">
        <v>1710</v>
      </c>
      <c r="H1717">
        <f t="shared" ca="1" si="46"/>
        <v>-1.0865172964375178E-2</v>
      </c>
    </row>
    <row r="1718" spans="7:8" x14ac:dyDescent="0.3">
      <c r="G1718">
        <v>1711</v>
      </c>
      <c r="H1718">
        <f t="shared" ca="1" si="46"/>
        <v>9.2277621637673396E-5</v>
      </c>
    </row>
    <row r="1719" spans="7:8" x14ac:dyDescent="0.3">
      <c r="G1719">
        <v>1712</v>
      </c>
      <c r="H1719">
        <f t="shared" ca="1" si="46"/>
        <v>-7.2123643389509877E-3</v>
      </c>
    </row>
    <row r="1720" spans="7:8" x14ac:dyDescent="0.3">
      <c r="G1720">
        <v>1713</v>
      </c>
      <c r="H1720">
        <f t="shared" ca="1" si="46"/>
        <v>-5.1517060311169569E-3</v>
      </c>
    </row>
    <row r="1721" spans="7:8" x14ac:dyDescent="0.3">
      <c r="G1721">
        <v>1714</v>
      </c>
      <c r="H1721">
        <f t="shared" ca="1" si="46"/>
        <v>-7.0323877754303876E-5</v>
      </c>
    </row>
    <row r="1722" spans="7:8" x14ac:dyDescent="0.3">
      <c r="G1722">
        <v>1715</v>
      </c>
      <c r="H1722">
        <f t="shared" ca="1" si="46"/>
        <v>-3.5764756292983061E-3</v>
      </c>
    </row>
    <row r="1723" spans="7:8" x14ac:dyDescent="0.3">
      <c r="G1723">
        <v>1716</v>
      </c>
      <c r="H1723">
        <f t="shared" ca="1" si="46"/>
        <v>-2.0623191475885219E-2</v>
      </c>
    </row>
    <row r="1724" spans="7:8" x14ac:dyDescent="0.3">
      <c r="G1724">
        <v>1717</v>
      </c>
      <c r="H1724">
        <f t="shared" ca="1" si="46"/>
        <v>1.2716572900300904E-2</v>
      </c>
    </row>
    <row r="1725" spans="7:8" x14ac:dyDescent="0.3">
      <c r="G1725">
        <v>1718</v>
      </c>
      <c r="H1725">
        <f t="shared" ca="1" si="46"/>
        <v>-8.6171207497789479E-3</v>
      </c>
    </row>
    <row r="1726" spans="7:8" x14ac:dyDescent="0.3">
      <c r="G1726">
        <v>1719</v>
      </c>
      <c r="H1726">
        <f t="shared" ca="1" si="46"/>
        <v>1.2394520937904384E-3</v>
      </c>
    </row>
    <row r="1727" spans="7:8" x14ac:dyDescent="0.3">
      <c r="G1727">
        <v>1720</v>
      </c>
      <c r="H1727">
        <f t="shared" ca="1" si="46"/>
        <v>1.2974383630972964E-2</v>
      </c>
    </row>
    <row r="1728" spans="7:8" x14ac:dyDescent="0.3">
      <c r="G1728">
        <v>1721</v>
      </c>
      <c r="H1728">
        <f t="shared" ca="1" si="46"/>
        <v>9.491480077389652E-3</v>
      </c>
    </row>
    <row r="1729" spans="7:8" x14ac:dyDescent="0.3">
      <c r="G1729">
        <v>1722</v>
      </c>
      <c r="H1729">
        <f t="shared" ca="1" si="46"/>
        <v>2.0726475645491252E-2</v>
      </c>
    </row>
    <row r="1730" spans="7:8" x14ac:dyDescent="0.3">
      <c r="G1730">
        <v>1723</v>
      </c>
      <c r="H1730">
        <f t="shared" ca="1" si="46"/>
        <v>-1.4346971825870622E-2</v>
      </c>
    </row>
    <row r="1731" spans="7:8" x14ac:dyDescent="0.3">
      <c r="G1731">
        <v>1724</v>
      </c>
      <c r="H1731">
        <f t="shared" ca="1" si="46"/>
        <v>-2.9539637080743735E-2</v>
      </c>
    </row>
    <row r="1732" spans="7:8" x14ac:dyDescent="0.3">
      <c r="G1732">
        <v>1725</v>
      </c>
      <c r="H1732">
        <f t="shared" ca="1" si="46"/>
        <v>-1.7135195259736322E-3</v>
      </c>
    </row>
    <row r="1733" spans="7:8" x14ac:dyDescent="0.3">
      <c r="G1733">
        <v>1726</v>
      </c>
      <c r="H1733">
        <f t="shared" ca="1" si="46"/>
        <v>2.0360019387748847E-2</v>
      </c>
    </row>
    <row r="1734" spans="7:8" x14ac:dyDescent="0.3">
      <c r="G1734">
        <v>1727</v>
      </c>
      <c r="H1734">
        <f t="shared" ca="1" si="46"/>
        <v>-2.8819003153769829E-3</v>
      </c>
    </row>
    <row r="1735" spans="7:8" x14ac:dyDescent="0.3">
      <c r="G1735">
        <v>1728</v>
      </c>
      <c r="H1735">
        <f t="shared" ca="1" si="46"/>
        <v>1.0809285189352145E-2</v>
      </c>
    </row>
    <row r="1736" spans="7:8" x14ac:dyDescent="0.3">
      <c r="G1736">
        <v>1729</v>
      </c>
      <c r="H1736">
        <f t="shared" ca="1" si="46"/>
        <v>1.3939957310412169E-2</v>
      </c>
    </row>
    <row r="1737" spans="7:8" x14ac:dyDescent="0.3">
      <c r="G1737">
        <v>1730</v>
      </c>
      <c r="H1737">
        <f t="shared" ref="H1737:H1800" ca="1" si="47">_xlfn.NORM.INV(RAND(),$N$10,$N$11)</f>
        <v>7.5285844988264303E-3</v>
      </c>
    </row>
    <row r="1738" spans="7:8" x14ac:dyDescent="0.3">
      <c r="G1738">
        <v>1731</v>
      </c>
      <c r="H1738">
        <f t="shared" ca="1" si="47"/>
        <v>-5.5654250406507177E-3</v>
      </c>
    </row>
    <row r="1739" spans="7:8" x14ac:dyDescent="0.3">
      <c r="G1739">
        <v>1732</v>
      </c>
      <c r="H1739">
        <f t="shared" ca="1" si="47"/>
        <v>-1.7715520362313695E-2</v>
      </c>
    </row>
    <row r="1740" spans="7:8" x14ac:dyDescent="0.3">
      <c r="G1740">
        <v>1733</v>
      </c>
      <c r="H1740">
        <f t="shared" ca="1" si="47"/>
        <v>-1.2086866068901005E-2</v>
      </c>
    </row>
    <row r="1741" spans="7:8" x14ac:dyDescent="0.3">
      <c r="G1741">
        <v>1734</v>
      </c>
      <c r="H1741">
        <f t="shared" ca="1" si="47"/>
        <v>1.3914843259478576E-3</v>
      </c>
    </row>
    <row r="1742" spans="7:8" x14ac:dyDescent="0.3">
      <c r="G1742">
        <v>1735</v>
      </c>
      <c r="H1742">
        <f t="shared" ca="1" si="47"/>
        <v>-1.1878738011885622E-2</v>
      </c>
    </row>
    <row r="1743" spans="7:8" x14ac:dyDescent="0.3">
      <c r="G1743">
        <v>1736</v>
      </c>
      <c r="H1743">
        <f t="shared" ca="1" si="47"/>
        <v>-1.8344489625222522E-2</v>
      </c>
    </row>
    <row r="1744" spans="7:8" x14ac:dyDescent="0.3">
      <c r="G1744">
        <v>1737</v>
      </c>
      <c r="H1744">
        <f t="shared" ca="1" si="47"/>
        <v>8.9826965590473935E-3</v>
      </c>
    </row>
    <row r="1745" spans="7:8" x14ac:dyDescent="0.3">
      <c r="G1745">
        <v>1738</v>
      </c>
      <c r="H1745">
        <f t="shared" ca="1" si="47"/>
        <v>3.0969089699695123E-2</v>
      </c>
    </row>
    <row r="1746" spans="7:8" x14ac:dyDescent="0.3">
      <c r="G1746">
        <v>1739</v>
      </c>
      <c r="H1746">
        <f t="shared" ca="1" si="47"/>
        <v>-2.3120945741635572E-3</v>
      </c>
    </row>
    <row r="1747" spans="7:8" x14ac:dyDescent="0.3">
      <c r="G1747">
        <v>1740</v>
      </c>
      <c r="H1747">
        <f t="shared" ca="1" si="47"/>
        <v>-1.9514604827447254E-2</v>
      </c>
    </row>
    <row r="1748" spans="7:8" x14ac:dyDescent="0.3">
      <c r="G1748">
        <v>1741</v>
      </c>
      <c r="H1748">
        <f t="shared" ca="1" si="47"/>
        <v>-1.603745926876701E-3</v>
      </c>
    </row>
    <row r="1749" spans="7:8" x14ac:dyDescent="0.3">
      <c r="G1749">
        <v>1742</v>
      </c>
      <c r="H1749">
        <f t="shared" ca="1" si="47"/>
        <v>-1.4393224791520378E-2</v>
      </c>
    </row>
    <row r="1750" spans="7:8" x14ac:dyDescent="0.3">
      <c r="G1750">
        <v>1743</v>
      </c>
      <c r="H1750">
        <f t="shared" ca="1" si="47"/>
        <v>-1.7162718078755787E-2</v>
      </c>
    </row>
    <row r="1751" spans="7:8" x14ac:dyDescent="0.3">
      <c r="G1751">
        <v>1744</v>
      </c>
      <c r="H1751">
        <f t="shared" ca="1" si="47"/>
        <v>-2.9120923224653764E-2</v>
      </c>
    </row>
    <row r="1752" spans="7:8" x14ac:dyDescent="0.3">
      <c r="G1752">
        <v>1745</v>
      </c>
      <c r="H1752">
        <f t="shared" ca="1" si="47"/>
        <v>2.1283203742707785E-2</v>
      </c>
    </row>
    <row r="1753" spans="7:8" x14ac:dyDescent="0.3">
      <c r="G1753">
        <v>1746</v>
      </c>
      <c r="H1753">
        <f t="shared" ca="1" si="47"/>
        <v>2.2275830425883596E-2</v>
      </c>
    </row>
    <row r="1754" spans="7:8" x14ac:dyDescent="0.3">
      <c r="G1754">
        <v>1747</v>
      </c>
      <c r="H1754">
        <f t="shared" ca="1" si="47"/>
        <v>8.7086437732731489E-3</v>
      </c>
    </row>
    <row r="1755" spans="7:8" x14ac:dyDescent="0.3">
      <c r="G1755">
        <v>1748</v>
      </c>
      <c r="H1755">
        <f t="shared" ca="1" si="47"/>
        <v>-1.049703442625099E-2</v>
      </c>
    </row>
    <row r="1756" spans="7:8" x14ac:dyDescent="0.3">
      <c r="G1756">
        <v>1749</v>
      </c>
      <c r="H1756">
        <f t="shared" ca="1" si="47"/>
        <v>-2.774914695966281E-2</v>
      </c>
    </row>
    <row r="1757" spans="7:8" x14ac:dyDescent="0.3">
      <c r="G1757">
        <v>1750</v>
      </c>
      <c r="H1757">
        <f t="shared" ca="1" si="47"/>
        <v>-1.3623853439041912E-2</v>
      </c>
    </row>
    <row r="1758" spans="7:8" x14ac:dyDescent="0.3">
      <c r="G1758">
        <v>1751</v>
      </c>
      <c r="H1758">
        <f t="shared" ca="1" si="47"/>
        <v>4.9467608103270777E-3</v>
      </c>
    </row>
    <row r="1759" spans="7:8" x14ac:dyDescent="0.3">
      <c r="G1759">
        <v>1752</v>
      </c>
      <c r="H1759">
        <f t="shared" ca="1" si="47"/>
        <v>-2.7300661879021946E-2</v>
      </c>
    </row>
    <row r="1760" spans="7:8" x14ac:dyDescent="0.3">
      <c r="G1760">
        <v>1753</v>
      </c>
      <c r="H1760">
        <f t="shared" ca="1" si="47"/>
        <v>2.197571961456133E-2</v>
      </c>
    </row>
    <row r="1761" spans="7:8" x14ac:dyDescent="0.3">
      <c r="G1761">
        <v>1754</v>
      </c>
      <c r="H1761">
        <f t="shared" ca="1" si="47"/>
        <v>9.490274979637536E-3</v>
      </c>
    </row>
    <row r="1762" spans="7:8" x14ac:dyDescent="0.3">
      <c r="G1762">
        <v>1755</v>
      </c>
      <c r="H1762">
        <f t="shared" ca="1" si="47"/>
        <v>1.9610687968128624E-2</v>
      </c>
    </row>
    <row r="1763" spans="7:8" x14ac:dyDescent="0.3">
      <c r="G1763">
        <v>1756</v>
      </c>
      <c r="H1763">
        <f t="shared" ca="1" si="47"/>
        <v>1.3377272875128644E-2</v>
      </c>
    </row>
    <row r="1764" spans="7:8" x14ac:dyDescent="0.3">
      <c r="G1764">
        <v>1757</v>
      </c>
      <c r="H1764">
        <f t="shared" ca="1" si="47"/>
        <v>1.8070964984860803E-3</v>
      </c>
    </row>
    <row r="1765" spans="7:8" x14ac:dyDescent="0.3">
      <c r="G1765">
        <v>1758</v>
      </c>
      <c r="H1765">
        <f t="shared" ca="1" si="47"/>
        <v>7.278233501934195E-3</v>
      </c>
    </row>
    <row r="1766" spans="7:8" x14ac:dyDescent="0.3">
      <c r="G1766">
        <v>1759</v>
      </c>
      <c r="H1766">
        <f t="shared" ca="1" si="47"/>
        <v>1.3310135883106708E-2</v>
      </c>
    </row>
    <row r="1767" spans="7:8" x14ac:dyDescent="0.3">
      <c r="G1767">
        <v>1760</v>
      </c>
      <c r="H1767">
        <f t="shared" ca="1" si="47"/>
        <v>3.912991885777763E-3</v>
      </c>
    </row>
    <row r="1768" spans="7:8" x14ac:dyDescent="0.3">
      <c r="G1768">
        <v>1761</v>
      </c>
      <c r="H1768">
        <f t="shared" ca="1" si="47"/>
        <v>-4.5166618808066891E-4</v>
      </c>
    </row>
    <row r="1769" spans="7:8" x14ac:dyDescent="0.3">
      <c r="G1769">
        <v>1762</v>
      </c>
      <c r="H1769">
        <f t="shared" ca="1" si="47"/>
        <v>-9.4446380624887312E-3</v>
      </c>
    </row>
    <row r="1770" spans="7:8" x14ac:dyDescent="0.3">
      <c r="G1770">
        <v>1763</v>
      </c>
      <c r="H1770">
        <f t="shared" ca="1" si="47"/>
        <v>-1.3470421512065301E-2</v>
      </c>
    </row>
    <row r="1771" spans="7:8" x14ac:dyDescent="0.3">
      <c r="G1771">
        <v>1764</v>
      </c>
      <c r="H1771">
        <f t="shared" ca="1" si="47"/>
        <v>2.2940573049966391E-2</v>
      </c>
    </row>
    <row r="1772" spans="7:8" x14ac:dyDescent="0.3">
      <c r="G1772">
        <v>1765</v>
      </c>
      <c r="H1772">
        <f t="shared" ca="1" si="47"/>
        <v>-1.2415687556967766E-3</v>
      </c>
    </row>
    <row r="1773" spans="7:8" x14ac:dyDescent="0.3">
      <c r="G1773">
        <v>1766</v>
      </c>
      <c r="H1773">
        <f t="shared" ca="1" si="47"/>
        <v>1.7382452941918498E-2</v>
      </c>
    </row>
    <row r="1774" spans="7:8" x14ac:dyDescent="0.3">
      <c r="G1774">
        <v>1767</v>
      </c>
      <c r="H1774">
        <f t="shared" ca="1" si="47"/>
        <v>-1.6725814783686344E-2</v>
      </c>
    </row>
    <row r="1775" spans="7:8" x14ac:dyDescent="0.3">
      <c r="G1775">
        <v>1768</v>
      </c>
      <c r="H1775">
        <f t="shared" ca="1" si="47"/>
        <v>4.6056247487253083E-3</v>
      </c>
    </row>
    <row r="1776" spans="7:8" x14ac:dyDescent="0.3">
      <c r="G1776">
        <v>1769</v>
      </c>
      <c r="H1776">
        <f t="shared" ca="1" si="47"/>
        <v>1.6096175238166659E-3</v>
      </c>
    </row>
    <row r="1777" spans="7:8" x14ac:dyDescent="0.3">
      <c r="G1777">
        <v>1770</v>
      </c>
      <c r="H1777">
        <f t="shared" ca="1" si="47"/>
        <v>4.8564378650232595E-2</v>
      </c>
    </row>
    <row r="1778" spans="7:8" x14ac:dyDescent="0.3">
      <c r="G1778">
        <v>1771</v>
      </c>
      <c r="H1778">
        <f t="shared" ca="1" si="47"/>
        <v>-1.9636325349160319E-3</v>
      </c>
    </row>
    <row r="1779" spans="7:8" x14ac:dyDescent="0.3">
      <c r="G1779">
        <v>1772</v>
      </c>
      <c r="H1779">
        <f t="shared" ca="1" si="47"/>
        <v>-3.9972290116481153E-3</v>
      </c>
    </row>
    <row r="1780" spans="7:8" x14ac:dyDescent="0.3">
      <c r="G1780">
        <v>1773</v>
      </c>
      <c r="H1780">
        <f t="shared" ca="1" si="47"/>
        <v>-1.4816146072128451E-2</v>
      </c>
    </row>
    <row r="1781" spans="7:8" x14ac:dyDescent="0.3">
      <c r="G1781">
        <v>1774</v>
      </c>
      <c r="H1781">
        <f t="shared" ca="1" si="47"/>
        <v>2.1244979009623275E-2</v>
      </c>
    </row>
    <row r="1782" spans="7:8" x14ac:dyDescent="0.3">
      <c r="G1782">
        <v>1775</v>
      </c>
      <c r="H1782">
        <f t="shared" ca="1" si="47"/>
        <v>2.621368908259435E-2</v>
      </c>
    </row>
    <row r="1783" spans="7:8" x14ac:dyDescent="0.3">
      <c r="G1783">
        <v>1776</v>
      </c>
      <c r="H1783">
        <f t="shared" ca="1" si="47"/>
        <v>-2.4017270652481271E-2</v>
      </c>
    </row>
    <row r="1784" spans="7:8" x14ac:dyDescent="0.3">
      <c r="G1784">
        <v>1777</v>
      </c>
      <c r="H1784">
        <f t="shared" ca="1" si="47"/>
        <v>-6.8484150162534466E-3</v>
      </c>
    </row>
    <row r="1785" spans="7:8" x14ac:dyDescent="0.3">
      <c r="G1785">
        <v>1778</v>
      </c>
      <c r="H1785">
        <f t="shared" ca="1" si="47"/>
        <v>5.2209894175044846E-3</v>
      </c>
    </row>
    <row r="1786" spans="7:8" x14ac:dyDescent="0.3">
      <c r="G1786">
        <v>1779</v>
      </c>
      <c r="H1786">
        <f t="shared" ca="1" si="47"/>
        <v>-9.1090643137609235E-3</v>
      </c>
    </row>
    <row r="1787" spans="7:8" x14ac:dyDescent="0.3">
      <c r="G1787">
        <v>1780</v>
      </c>
      <c r="H1787">
        <f t="shared" ca="1" si="47"/>
        <v>2.1434209783355788E-3</v>
      </c>
    </row>
    <row r="1788" spans="7:8" x14ac:dyDescent="0.3">
      <c r="G1788">
        <v>1781</v>
      </c>
      <c r="H1788">
        <f t="shared" ca="1" si="47"/>
        <v>-2.0651535613910706E-2</v>
      </c>
    </row>
    <row r="1789" spans="7:8" x14ac:dyDescent="0.3">
      <c r="G1789">
        <v>1782</v>
      </c>
      <c r="H1789">
        <f t="shared" ca="1" si="47"/>
        <v>9.1842096929435468E-3</v>
      </c>
    </row>
    <row r="1790" spans="7:8" x14ac:dyDescent="0.3">
      <c r="G1790">
        <v>1783</v>
      </c>
      <c r="H1790">
        <f t="shared" ca="1" si="47"/>
        <v>-9.5487335521386128E-3</v>
      </c>
    </row>
    <row r="1791" spans="7:8" x14ac:dyDescent="0.3">
      <c r="G1791">
        <v>1784</v>
      </c>
      <c r="H1791">
        <f t="shared" ca="1" si="47"/>
        <v>1.6162720866529617E-2</v>
      </c>
    </row>
    <row r="1792" spans="7:8" x14ac:dyDescent="0.3">
      <c r="G1792">
        <v>1785</v>
      </c>
      <c r="H1792">
        <f t="shared" ca="1" si="47"/>
        <v>2.2222816487722431E-2</v>
      </c>
    </row>
    <row r="1793" spans="7:8" x14ac:dyDescent="0.3">
      <c r="G1793">
        <v>1786</v>
      </c>
      <c r="H1793">
        <f t="shared" ca="1" si="47"/>
        <v>3.0069886283004457E-2</v>
      </c>
    </row>
    <row r="1794" spans="7:8" x14ac:dyDescent="0.3">
      <c r="G1794">
        <v>1787</v>
      </c>
      <c r="H1794">
        <f t="shared" ca="1" si="47"/>
        <v>-6.726668389715456E-3</v>
      </c>
    </row>
    <row r="1795" spans="7:8" x14ac:dyDescent="0.3">
      <c r="G1795">
        <v>1788</v>
      </c>
      <c r="H1795">
        <f t="shared" ca="1" si="47"/>
        <v>-2.2033341667948509E-3</v>
      </c>
    </row>
    <row r="1796" spans="7:8" x14ac:dyDescent="0.3">
      <c r="G1796">
        <v>1789</v>
      </c>
      <c r="H1796">
        <f t="shared" ca="1" si="47"/>
        <v>1.2545686995447336E-2</v>
      </c>
    </row>
    <row r="1797" spans="7:8" x14ac:dyDescent="0.3">
      <c r="G1797">
        <v>1790</v>
      </c>
      <c r="H1797">
        <f t="shared" ca="1" si="47"/>
        <v>1.2060600308444752E-2</v>
      </c>
    </row>
    <row r="1798" spans="7:8" x14ac:dyDescent="0.3">
      <c r="G1798">
        <v>1791</v>
      </c>
      <c r="H1798">
        <f t="shared" ca="1" si="47"/>
        <v>2.5180684958512448E-2</v>
      </c>
    </row>
    <row r="1799" spans="7:8" x14ac:dyDescent="0.3">
      <c r="G1799">
        <v>1792</v>
      </c>
      <c r="H1799">
        <f t="shared" ca="1" si="47"/>
        <v>6.8438919616441128E-3</v>
      </c>
    </row>
    <row r="1800" spans="7:8" x14ac:dyDescent="0.3">
      <c r="G1800">
        <v>1793</v>
      </c>
      <c r="H1800">
        <f t="shared" ca="1" si="47"/>
        <v>1.6378111723910019E-2</v>
      </c>
    </row>
    <row r="1801" spans="7:8" x14ac:dyDescent="0.3">
      <c r="G1801">
        <v>1794</v>
      </c>
      <c r="H1801">
        <f t="shared" ref="H1801:H1864" ca="1" si="48">_xlfn.NORM.INV(RAND(),$N$10,$N$11)</f>
        <v>1.8904114882009885E-2</v>
      </c>
    </row>
    <row r="1802" spans="7:8" x14ac:dyDescent="0.3">
      <c r="G1802">
        <v>1795</v>
      </c>
      <c r="H1802">
        <f t="shared" ca="1" si="48"/>
        <v>2.1716709494421546E-2</v>
      </c>
    </row>
    <row r="1803" spans="7:8" x14ac:dyDescent="0.3">
      <c r="G1803">
        <v>1796</v>
      </c>
      <c r="H1803">
        <f t="shared" ca="1" si="48"/>
        <v>-9.0006451572504278E-3</v>
      </c>
    </row>
    <row r="1804" spans="7:8" x14ac:dyDescent="0.3">
      <c r="G1804">
        <v>1797</v>
      </c>
      <c r="H1804">
        <f t="shared" ca="1" si="48"/>
        <v>1.6955822015898164E-2</v>
      </c>
    </row>
    <row r="1805" spans="7:8" x14ac:dyDescent="0.3">
      <c r="G1805">
        <v>1798</v>
      </c>
      <c r="H1805">
        <f t="shared" ca="1" si="48"/>
        <v>-1.9758624466000432E-2</v>
      </c>
    </row>
    <row r="1806" spans="7:8" x14ac:dyDescent="0.3">
      <c r="G1806">
        <v>1799</v>
      </c>
      <c r="H1806">
        <f t="shared" ca="1" si="48"/>
        <v>-2.8585483123281883E-2</v>
      </c>
    </row>
    <row r="1807" spans="7:8" x14ac:dyDescent="0.3">
      <c r="G1807">
        <v>1800</v>
      </c>
      <c r="H1807">
        <f t="shared" ca="1" si="48"/>
        <v>-2.5525550568061975E-3</v>
      </c>
    </row>
    <row r="1808" spans="7:8" x14ac:dyDescent="0.3">
      <c r="G1808">
        <v>1801</v>
      </c>
      <c r="H1808">
        <f t="shared" ca="1" si="48"/>
        <v>-1.5037770687340184E-2</v>
      </c>
    </row>
    <row r="1809" spans="7:8" x14ac:dyDescent="0.3">
      <c r="G1809">
        <v>1802</v>
      </c>
      <c r="H1809">
        <f t="shared" ca="1" si="48"/>
        <v>1.8006928310673409E-2</v>
      </c>
    </row>
    <row r="1810" spans="7:8" x14ac:dyDescent="0.3">
      <c r="G1810">
        <v>1803</v>
      </c>
      <c r="H1810">
        <f t="shared" ca="1" si="48"/>
        <v>1.4933405088677666E-2</v>
      </c>
    </row>
    <row r="1811" spans="7:8" x14ac:dyDescent="0.3">
      <c r="G1811">
        <v>1804</v>
      </c>
      <c r="H1811">
        <f t="shared" ca="1" si="48"/>
        <v>5.943442483316074E-3</v>
      </c>
    </row>
    <row r="1812" spans="7:8" x14ac:dyDescent="0.3">
      <c r="G1812">
        <v>1805</v>
      </c>
      <c r="H1812">
        <f t="shared" ca="1" si="48"/>
        <v>7.4077680545419633E-3</v>
      </c>
    </row>
    <row r="1813" spans="7:8" x14ac:dyDescent="0.3">
      <c r="G1813">
        <v>1806</v>
      </c>
      <c r="H1813">
        <f t="shared" ca="1" si="48"/>
        <v>-8.5563078121364197E-3</v>
      </c>
    </row>
    <row r="1814" spans="7:8" x14ac:dyDescent="0.3">
      <c r="G1814">
        <v>1807</v>
      </c>
      <c r="H1814">
        <f t="shared" ca="1" si="48"/>
        <v>-7.557769088731253E-3</v>
      </c>
    </row>
    <row r="1815" spans="7:8" x14ac:dyDescent="0.3">
      <c r="G1815">
        <v>1808</v>
      </c>
      <c r="H1815">
        <f t="shared" ca="1" si="48"/>
        <v>1.2668138983963323E-2</v>
      </c>
    </row>
    <row r="1816" spans="7:8" x14ac:dyDescent="0.3">
      <c r="G1816">
        <v>1809</v>
      </c>
      <c r="H1816">
        <f t="shared" ca="1" si="48"/>
        <v>2.0635204288496575E-2</v>
      </c>
    </row>
    <row r="1817" spans="7:8" x14ac:dyDescent="0.3">
      <c r="G1817">
        <v>1810</v>
      </c>
      <c r="H1817">
        <f t="shared" ca="1" si="48"/>
        <v>-8.76055722022933E-3</v>
      </c>
    </row>
    <row r="1818" spans="7:8" x14ac:dyDescent="0.3">
      <c r="G1818">
        <v>1811</v>
      </c>
      <c r="H1818">
        <f t="shared" ca="1" si="48"/>
        <v>-1.356668878832646E-2</v>
      </c>
    </row>
    <row r="1819" spans="7:8" x14ac:dyDescent="0.3">
      <c r="G1819">
        <v>1812</v>
      </c>
      <c r="H1819">
        <f t="shared" ca="1" si="48"/>
        <v>9.7823254572739389E-3</v>
      </c>
    </row>
    <row r="1820" spans="7:8" x14ac:dyDescent="0.3">
      <c r="G1820">
        <v>1813</v>
      </c>
      <c r="H1820">
        <f t="shared" ca="1" si="48"/>
        <v>3.4744216233820202E-3</v>
      </c>
    </row>
    <row r="1821" spans="7:8" x14ac:dyDescent="0.3">
      <c r="G1821">
        <v>1814</v>
      </c>
      <c r="H1821">
        <f t="shared" ca="1" si="48"/>
        <v>-2.568530802799094E-2</v>
      </c>
    </row>
    <row r="1822" spans="7:8" x14ac:dyDescent="0.3">
      <c r="G1822">
        <v>1815</v>
      </c>
      <c r="H1822">
        <f t="shared" ca="1" si="48"/>
        <v>2.6496394335621929E-2</v>
      </c>
    </row>
    <row r="1823" spans="7:8" x14ac:dyDescent="0.3">
      <c r="G1823">
        <v>1816</v>
      </c>
      <c r="H1823">
        <f t="shared" ca="1" si="48"/>
        <v>2.1734595847644863E-2</v>
      </c>
    </row>
    <row r="1824" spans="7:8" x14ac:dyDescent="0.3">
      <c r="G1824">
        <v>1817</v>
      </c>
      <c r="H1824">
        <f t="shared" ca="1" si="48"/>
        <v>1.5440262054173405E-2</v>
      </c>
    </row>
    <row r="1825" spans="7:8" x14ac:dyDescent="0.3">
      <c r="G1825">
        <v>1818</v>
      </c>
      <c r="H1825">
        <f t="shared" ca="1" si="48"/>
        <v>6.4065261298461755E-3</v>
      </c>
    </row>
    <row r="1826" spans="7:8" x14ac:dyDescent="0.3">
      <c r="G1826">
        <v>1819</v>
      </c>
      <c r="H1826">
        <f t="shared" ca="1" si="48"/>
        <v>-6.9582126709985381E-3</v>
      </c>
    </row>
    <row r="1827" spans="7:8" x14ac:dyDescent="0.3">
      <c r="G1827">
        <v>1820</v>
      </c>
      <c r="H1827">
        <f t="shared" ca="1" si="48"/>
        <v>1.9819833771611766E-2</v>
      </c>
    </row>
    <row r="1828" spans="7:8" x14ac:dyDescent="0.3">
      <c r="G1828">
        <v>1821</v>
      </c>
      <c r="H1828">
        <f t="shared" ca="1" si="48"/>
        <v>-1.5504679228440397E-2</v>
      </c>
    </row>
    <row r="1829" spans="7:8" x14ac:dyDescent="0.3">
      <c r="G1829">
        <v>1822</v>
      </c>
      <c r="H1829">
        <f t="shared" ca="1" si="48"/>
        <v>-1.8317578117416859E-3</v>
      </c>
    </row>
    <row r="1830" spans="7:8" x14ac:dyDescent="0.3">
      <c r="G1830">
        <v>1823</v>
      </c>
      <c r="H1830">
        <f t="shared" ca="1" si="48"/>
        <v>1.2575436661636383E-2</v>
      </c>
    </row>
    <row r="1831" spans="7:8" x14ac:dyDescent="0.3">
      <c r="G1831">
        <v>1824</v>
      </c>
      <c r="H1831">
        <f t="shared" ca="1" si="48"/>
        <v>2.8935954641665422E-2</v>
      </c>
    </row>
    <row r="1832" spans="7:8" x14ac:dyDescent="0.3">
      <c r="G1832">
        <v>1825</v>
      </c>
      <c r="H1832">
        <f t="shared" ca="1" si="48"/>
        <v>-1.3419628813678608E-2</v>
      </c>
    </row>
    <row r="1833" spans="7:8" x14ac:dyDescent="0.3">
      <c r="G1833">
        <v>1826</v>
      </c>
      <c r="H1833">
        <f t="shared" ca="1" si="48"/>
        <v>2.4739446588900402E-3</v>
      </c>
    </row>
    <row r="1834" spans="7:8" x14ac:dyDescent="0.3">
      <c r="G1834">
        <v>1827</v>
      </c>
      <c r="H1834">
        <f t="shared" ca="1" si="48"/>
        <v>-3.8233517873790639E-3</v>
      </c>
    </row>
    <row r="1835" spans="7:8" x14ac:dyDescent="0.3">
      <c r="G1835">
        <v>1828</v>
      </c>
      <c r="H1835">
        <f t="shared" ca="1" si="48"/>
        <v>-9.7704187611859384E-3</v>
      </c>
    </row>
    <row r="1836" spans="7:8" x14ac:dyDescent="0.3">
      <c r="G1836">
        <v>1829</v>
      </c>
      <c r="H1836">
        <f t="shared" ca="1" si="48"/>
        <v>-7.3679752190158685E-3</v>
      </c>
    </row>
    <row r="1837" spans="7:8" x14ac:dyDescent="0.3">
      <c r="G1837">
        <v>1830</v>
      </c>
      <c r="H1837">
        <f t="shared" ca="1" si="48"/>
        <v>-4.1366071602014585E-3</v>
      </c>
    </row>
    <row r="1838" spans="7:8" x14ac:dyDescent="0.3">
      <c r="G1838">
        <v>1831</v>
      </c>
      <c r="H1838">
        <f t="shared" ca="1" si="48"/>
        <v>3.2183314085655335E-3</v>
      </c>
    </row>
    <row r="1839" spans="7:8" x14ac:dyDescent="0.3">
      <c r="G1839">
        <v>1832</v>
      </c>
      <c r="H1839">
        <f t="shared" ca="1" si="48"/>
        <v>-1.828199367321787E-2</v>
      </c>
    </row>
    <row r="1840" spans="7:8" x14ac:dyDescent="0.3">
      <c r="G1840">
        <v>1833</v>
      </c>
      <c r="H1840">
        <f t="shared" ca="1" si="48"/>
        <v>3.2491860751873314E-3</v>
      </c>
    </row>
    <row r="1841" spans="7:8" x14ac:dyDescent="0.3">
      <c r="G1841">
        <v>1834</v>
      </c>
      <c r="H1841">
        <f t="shared" ca="1" si="48"/>
        <v>-2.7786410905163289E-3</v>
      </c>
    </row>
    <row r="1842" spans="7:8" x14ac:dyDescent="0.3">
      <c r="G1842">
        <v>1835</v>
      </c>
      <c r="H1842">
        <f t="shared" ca="1" si="48"/>
        <v>-1.208239618937389E-2</v>
      </c>
    </row>
    <row r="1843" spans="7:8" x14ac:dyDescent="0.3">
      <c r="G1843">
        <v>1836</v>
      </c>
      <c r="H1843">
        <f t="shared" ca="1" si="48"/>
        <v>6.4536988111074207E-3</v>
      </c>
    </row>
    <row r="1844" spans="7:8" x14ac:dyDescent="0.3">
      <c r="G1844">
        <v>1837</v>
      </c>
      <c r="H1844">
        <f t="shared" ca="1" si="48"/>
        <v>1.2508161074033772E-2</v>
      </c>
    </row>
    <row r="1845" spans="7:8" x14ac:dyDescent="0.3">
      <c r="G1845">
        <v>1838</v>
      </c>
      <c r="H1845">
        <f t="shared" ca="1" si="48"/>
        <v>-4.967764312814647E-3</v>
      </c>
    </row>
    <row r="1846" spans="7:8" x14ac:dyDescent="0.3">
      <c r="G1846">
        <v>1839</v>
      </c>
      <c r="H1846">
        <f t="shared" ca="1" si="48"/>
        <v>-4.2530332494080999E-3</v>
      </c>
    </row>
    <row r="1847" spans="7:8" x14ac:dyDescent="0.3">
      <c r="G1847">
        <v>1840</v>
      </c>
      <c r="H1847">
        <f t="shared" ca="1" si="48"/>
        <v>-8.9105380059696562E-3</v>
      </c>
    </row>
    <row r="1848" spans="7:8" x14ac:dyDescent="0.3">
      <c r="G1848">
        <v>1841</v>
      </c>
      <c r="H1848">
        <f t="shared" ca="1" si="48"/>
        <v>-5.2356744888350671E-3</v>
      </c>
    </row>
    <row r="1849" spans="7:8" x14ac:dyDescent="0.3">
      <c r="G1849">
        <v>1842</v>
      </c>
      <c r="H1849">
        <f t="shared" ca="1" si="48"/>
        <v>-1.0691360363756199E-2</v>
      </c>
    </row>
    <row r="1850" spans="7:8" x14ac:dyDescent="0.3">
      <c r="G1850">
        <v>1843</v>
      </c>
      <c r="H1850">
        <f t="shared" ca="1" si="48"/>
        <v>9.7953897492295151E-3</v>
      </c>
    </row>
    <row r="1851" spans="7:8" x14ac:dyDescent="0.3">
      <c r="G1851">
        <v>1844</v>
      </c>
      <c r="H1851">
        <f t="shared" ca="1" si="48"/>
        <v>-5.2047479893362628E-2</v>
      </c>
    </row>
    <row r="1852" spans="7:8" x14ac:dyDescent="0.3">
      <c r="G1852">
        <v>1845</v>
      </c>
      <c r="H1852">
        <f t="shared" ca="1" si="48"/>
        <v>-1.6975674222697991E-3</v>
      </c>
    </row>
    <row r="1853" spans="7:8" x14ac:dyDescent="0.3">
      <c r="G1853">
        <v>1846</v>
      </c>
      <c r="H1853">
        <f t="shared" ca="1" si="48"/>
        <v>-1.2016419259254856E-2</v>
      </c>
    </row>
    <row r="1854" spans="7:8" x14ac:dyDescent="0.3">
      <c r="G1854">
        <v>1847</v>
      </c>
      <c r="H1854">
        <f t="shared" ca="1" si="48"/>
        <v>-1.793547536889028E-3</v>
      </c>
    </row>
    <row r="1855" spans="7:8" x14ac:dyDescent="0.3">
      <c r="G1855">
        <v>1848</v>
      </c>
      <c r="H1855">
        <f t="shared" ca="1" si="48"/>
        <v>1.6812664620614122E-3</v>
      </c>
    </row>
    <row r="1856" spans="7:8" x14ac:dyDescent="0.3">
      <c r="G1856">
        <v>1849</v>
      </c>
      <c r="H1856">
        <f t="shared" ca="1" si="48"/>
        <v>-2.0581123574630088E-3</v>
      </c>
    </row>
    <row r="1857" spans="7:8" x14ac:dyDescent="0.3">
      <c r="G1857">
        <v>1850</v>
      </c>
      <c r="H1857">
        <f t="shared" ca="1" si="48"/>
        <v>-1.1690222764379922E-2</v>
      </c>
    </row>
    <row r="1858" spans="7:8" x14ac:dyDescent="0.3">
      <c r="G1858">
        <v>1851</v>
      </c>
      <c r="H1858">
        <f t="shared" ca="1" si="48"/>
        <v>-6.4917101109082187E-3</v>
      </c>
    </row>
    <row r="1859" spans="7:8" x14ac:dyDescent="0.3">
      <c r="G1859">
        <v>1852</v>
      </c>
      <c r="H1859">
        <f t="shared" ca="1" si="48"/>
        <v>1.1632236738374139E-3</v>
      </c>
    </row>
    <row r="1860" spans="7:8" x14ac:dyDescent="0.3">
      <c r="G1860">
        <v>1853</v>
      </c>
      <c r="H1860">
        <f t="shared" ca="1" si="48"/>
        <v>-2.1155913918985195E-2</v>
      </c>
    </row>
    <row r="1861" spans="7:8" x14ac:dyDescent="0.3">
      <c r="G1861">
        <v>1854</v>
      </c>
      <c r="H1861">
        <f t="shared" ca="1" si="48"/>
        <v>2.7020713745698626E-2</v>
      </c>
    </row>
    <row r="1862" spans="7:8" x14ac:dyDescent="0.3">
      <c r="G1862">
        <v>1855</v>
      </c>
      <c r="H1862">
        <f t="shared" ca="1" si="48"/>
        <v>-5.151247807311494E-3</v>
      </c>
    </row>
    <row r="1863" spans="7:8" x14ac:dyDescent="0.3">
      <c r="G1863">
        <v>1856</v>
      </c>
      <c r="H1863">
        <f t="shared" ca="1" si="48"/>
        <v>4.1604370937985954E-4</v>
      </c>
    </row>
    <row r="1864" spans="7:8" x14ac:dyDescent="0.3">
      <c r="G1864">
        <v>1857</v>
      </c>
      <c r="H1864">
        <f t="shared" ca="1" si="48"/>
        <v>1.605984827256746E-2</v>
      </c>
    </row>
    <row r="1865" spans="7:8" x14ac:dyDescent="0.3">
      <c r="G1865">
        <v>1858</v>
      </c>
      <c r="H1865">
        <f t="shared" ref="H1865:H1928" ca="1" si="49">_xlfn.NORM.INV(RAND(),$N$10,$N$11)</f>
        <v>9.3888611910708242E-3</v>
      </c>
    </row>
    <row r="1866" spans="7:8" x14ac:dyDescent="0.3">
      <c r="G1866">
        <v>1859</v>
      </c>
      <c r="H1866">
        <f t="shared" ca="1" si="49"/>
        <v>4.5294233702414064E-3</v>
      </c>
    </row>
    <row r="1867" spans="7:8" x14ac:dyDescent="0.3">
      <c r="G1867">
        <v>1860</v>
      </c>
      <c r="H1867">
        <f t="shared" ca="1" si="49"/>
        <v>-4.4611534055457119E-2</v>
      </c>
    </row>
    <row r="1868" spans="7:8" x14ac:dyDescent="0.3">
      <c r="G1868">
        <v>1861</v>
      </c>
      <c r="H1868">
        <f t="shared" ca="1" si="49"/>
        <v>2.3662096891313218E-2</v>
      </c>
    </row>
    <row r="1869" spans="7:8" x14ac:dyDescent="0.3">
      <c r="G1869">
        <v>1862</v>
      </c>
      <c r="H1869">
        <f t="shared" ca="1" si="49"/>
        <v>2.1865323184095144E-2</v>
      </c>
    </row>
    <row r="1870" spans="7:8" x14ac:dyDescent="0.3">
      <c r="G1870">
        <v>1863</v>
      </c>
      <c r="H1870">
        <f t="shared" ca="1" si="49"/>
        <v>-1.9077120071011873E-2</v>
      </c>
    </row>
    <row r="1871" spans="7:8" x14ac:dyDescent="0.3">
      <c r="G1871">
        <v>1864</v>
      </c>
      <c r="H1871">
        <f t="shared" ca="1" si="49"/>
        <v>-8.6279329957277828E-3</v>
      </c>
    </row>
    <row r="1872" spans="7:8" x14ac:dyDescent="0.3">
      <c r="G1872">
        <v>1865</v>
      </c>
      <c r="H1872">
        <f t="shared" ca="1" si="49"/>
        <v>-4.2753158990012162E-2</v>
      </c>
    </row>
    <row r="1873" spans="7:8" x14ac:dyDescent="0.3">
      <c r="G1873">
        <v>1866</v>
      </c>
      <c r="H1873">
        <f t="shared" ca="1" si="49"/>
        <v>-6.6582934323225771E-3</v>
      </c>
    </row>
    <row r="1874" spans="7:8" x14ac:dyDescent="0.3">
      <c r="G1874">
        <v>1867</v>
      </c>
      <c r="H1874">
        <f t="shared" ca="1" si="49"/>
        <v>-1.6123378917196729E-2</v>
      </c>
    </row>
    <row r="1875" spans="7:8" x14ac:dyDescent="0.3">
      <c r="G1875">
        <v>1868</v>
      </c>
      <c r="H1875">
        <f t="shared" ca="1" si="49"/>
        <v>8.9867196129356161E-3</v>
      </c>
    </row>
    <row r="1876" spans="7:8" x14ac:dyDescent="0.3">
      <c r="G1876">
        <v>1869</v>
      </c>
      <c r="H1876">
        <f t="shared" ca="1" si="49"/>
        <v>8.5810120081496952E-3</v>
      </c>
    </row>
    <row r="1877" spans="7:8" x14ac:dyDescent="0.3">
      <c r="G1877">
        <v>1870</v>
      </c>
      <c r="H1877">
        <f t="shared" ca="1" si="49"/>
        <v>3.0265593405014481E-2</v>
      </c>
    </row>
    <row r="1878" spans="7:8" x14ac:dyDescent="0.3">
      <c r="G1878">
        <v>1871</v>
      </c>
      <c r="H1878">
        <f t="shared" ca="1" si="49"/>
        <v>-2.9525519019806001E-2</v>
      </c>
    </row>
    <row r="1879" spans="7:8" x14ac:dyDescent="0.3">
      <c r="G1879">
        <v>1872</v>
      </c>
      <c r="H1879">
        <f t="shared" ca="1" si="49"/>
        <v>6.5039811220676824E-4</v>
      </c>
    </row>
    <row r="1880" spans="7:8" x14ac:dyDescent="0.3">
      <c r="G1880">
        <v>1873</v>
      </c>
      <c r="H1880">
        <f t="shared" ca="1" si="49"/>
        <v>-2.0833285111888433E-2</v>
      </c>
    </row>
    <row r="1881" spans="7:8" x14ac:dyDescent="0.3">
      <c r="G1881">
        <v>1874</v>
      </c>
      <c r="H1881">
        <f t="shared" ca="1" si="49"/>
        <v>-2.9697633658621022E-3</v>
      </c>
    </row>
    <row r="1882" spans="7:8" x14ac:dyDescent="0.3">
      <c r="G1882">
        <v>1875</v>
      </c>
      <c r="H1882">
        <f t="shared" ca="1" si="49"/>
        <v>1.4544090262700735E-2</v>
      </c>
    </row>
    <row r="1883" spans="7:8" x14ac:dyDescent="0.3">
      <c r="G1883">
        <v>1876</v>
      </c>
      <c r="H1883">
        <f t="shared" ca="1" si="49"/>
        <v>8.0933103507924882E-3</v>
      </c>
    </row>
    <row r="1884" spans="7:8" x14ac:dyDescent="0.3">
      <c r="G1884">
        <v>1877</v>
      </c>
      <c r="H1884">
        <f t="shared" ca="1" si="49"/>
        <v>7.1080756006614895E-3</v>
      </c>
    </row>
    <row r="1885" spans="7:8" x14ac:dyDescent="0.3">
      <c r="G1885">
        <v>1878</v>
      </c>
      <c r="H1885">
        <f t="shared" ca="1" si="49"/>
        <v>3.4236956867110496E-3</v>
      </c>
    </row>
    <row r="1886" spans="7:8" x14ac:dyDescent="0.3">
      <c r="G1886">
        <v>1879</v>
      </c>
      <c r="H1886">
        <f t="shared" ca="1" si="49"/>
        <v>-2.7026782955003381E-2</v>
      </c>
    </row>
    <row r="1887" spans="7:8" x14ac:dyDescent="0.3">
      <c r="G1887">
        <v>1880</v>
      </c>
      <c r="H1887">
        <f t="shared" ca="1" si="49"/>
        <v>-9.1184275268307979E-3</v>
      </c>
    </row>
    <row r="1888" spans="7:8" x14ac:dyDescent="0.3">
      <c r="G1888">
        <v>1881</v>
      </c>
      <c r="H1888">
        <f t="shared" ca="1" si="49"/>
        <v>-1.6084477880417777E-2</v>
      </c>
    </row>
    <row r="1889" spans="7:8" x14ac:dyDescent="0.3">
      <c r="G1889">
        <v>1882</v>
      </c>
      <c r="H1889">
        <f t="shared" ca="1" si="49"/>
        <v>-1.4874226968000611E-2</v>
      </c>
    </row>
    <row r="1890" spans="7:8" x14ac:dyDescent="0.3">
      <c r="G1890">
        <v>1883</v>
      </c>
      <c r="H1890">
        <f t="shared" ca="1" si="49"/>
        <v>8.9754232861748648E-3</v>
      </c>
    </row>
    <row r="1891" spans="7:8" x14ac:dyDescent="0.3">
      <c r="G1891">
        <v>1884</v>
      </c>
      <c r="H1891">
        <f t="shared" ca="1" si="49"/>
        <v>2.1872088004880063E-2</v>
      </c>
    </row>
    <row r="1892" spans="7:8" x14ac:dyDescent="0.3">
      <c r="G1892">
        <v>1885</v>
      </c>
      <c r="H1892">
        <f t="shared" ca="1" si="49"/>
        <v>-3.1516956191527848E-2</v>
      </c>
    </row>
    <row r="1893" spans="7:8" x14ac:dyDescent="0.3">
      <c r="G1893">
        <v>1886</v>
      </c>
      <c r="H1893">
        <f t="shared" ca="1" si="49"/>
        <v>-1.0907704893696657E-2</v>
      </c>
    </row>
    <row r="1894" spans="7:8" x14ac:dyDescent="0.3">
      <c r="G1894">
        <v>1887</v>
      </c>
      <c r="H1894">
        <f t="shared" ca="1" si="49"/>
        <v>6.112662162717517E-3</v>
      </c>
    </row>
    <row r="1895" spans="7:8" x14ac:dyDescent="0.3">
      <c r="G1895">
        <v>1888</v>
      </c>
      <c r="H1895">
        <f t="shared" ca="1" si="49"/>
        <v>-1.1302300824016065E-3</v>
      </c>
    </row>
    <row r="1896" spans="7:8" x14ac:dyDescent="0.3">
      <c r="G1896">
        <v>1889</v>
      </c>
      <c r="H1896">
        <f t="shared" ca="1" si="49"/>
        <v>4.5091413831876412E-2</v>
      </c>
    </row>
    <row r="1897" spans="7:8" x14ac:dyDescent="0.3">
      <c r="G1897">
        <v>1890</v>
      </c>
      <c r="H1897">
        <f t="shared" ca="1" si="49"/>
        <v>1.0484104395448987E-2</v>
      </c>
    </row>
    <row r="1898" spans="7:8" x14ac:dyDescent="0.3">
      <c r="G1898">
        <v>1891</v>
      </c>
      <c r="H1898">
        <f t="shared" ca="1" si="49"/>
        <v>3.6655302872081071E-4</v>
      </c>
    </row>
    <row r="1899" spans="7:8" x14ac:dyDescent="0.3">
      <c r="G1899">
        <v>1892</v>
      </c>
      <c r="H1899">
        <f t="shared" ca="1" si="49"/>
        <v>-4.6858560690461352E-4</v>
      </c>
    </row>
    <row r="1900" spans="7:8" x14ac:dyDescent="0.3">
      <c r="G1900">
        <v>1893</v>
      </c>
      <c r="H1900">
        <f t="shared" ca="1" si="49"/>
        <v>1.4783493661314845E-2</v>
      </c>
    </row>
    <row r="1901" spans="7:8" x14ac:dyDescent="0.3">
      <c r="G1901">
        <v>1894</v>
      </c>
      <c r="H1901">
        <f t="shared" ca="1" si="49"/>
        <v>-2.4225337493382852E-3</v>
      </c>
    </row>
    <row r="1902" spans="7:8" x14ac:dyDescent="0.3">
      <c r="G1902">
        <v>1895</v>
      </c>
      <c r="H1902">
        <f t="shared" ca="1" si="49"/>
        <v>4.7737745220704907E-3</v>
      </c>
    </row>
    <row r="1903" spans="7:8" x14ac:dyDescent="0.3">
      <c r="G1903">
        <v>1896</v>
      </c>
      <c r="H1903">
        <f t="shared" ca="1" si="49"/>
        <v>-2.5956980018460533E-3</v>
      </c>
    </row>
    <row r="1904" spans="7:8" x14ac:dyDescent="0.3">
      <c r="G1904">
        <v>1897</v>
      </c>
      <c r="H1904">
        <f t="shared" ca="1" si="49"/>
        <v>3.1103745175300714E-2</v>
      </c>
    </row>
    <row r="1905" spans="7:8" x14ac:dyDescent="0.3">
      <c r="G1905">
        <v>1898</v>
      </c>
      <c r="H1905">
        <f t="shared" ca="1" si="49"/>
        <v>4.4121253011814403E-3</v>
      </c>
    </row>
    <row r="1906" spans="7:8" x14ac:dyDescent="0.3">
      <c r="G1906">
        <v>1899</v>
      </c>
      <c r="H1906">
        <f t="shared" ca="1" si="49"/>
        <v>-6.272679418325852E-3</v>
      </c>
    </row>
    <row r="1907" spans="7:8" x14ac:dyDescent="0.3">
      <c r="G1907">
        <v>1900</v>
      </c>
      <c r="H1907">
        <f t="shared" ca="1" si="49"/>
        <v>-7.1124887746329517E-3</v>
      </c>
    </row>
    <row r="1908" spans="7:8" x14ac:dyDescent="0.3">
      <c r="G1908">
        <v>1901</v>
      </c>
      <c r="H1908">
        <f t="shared" ca="1" si="49"/>
        <v>1.1408848817592314E-2</v>
      </c>
    </row>
    <row r="1909" spans="7:8" x14ac:dyDescent="0.3">
      <c r="G1909">
        <v>1902</v>
      </c>
      <c r="H1909">
        <f t="shared" ca="1" si="49"/>
        <v>-6.6791584142433585E-3</v>
      </c>
    </row>
    <row r="1910" spans="7:8" x14ac:dyDescent="0.3">
      <c r="G1910">
        <v>1903</v>
      </c>
      <c r="H1910">
        <f t="shared" ca="1" si="49"/>
        <v>2.1160797241978842E-2</v>
      </c>
    </row>
    <row r="1911" spans="7:8" x14ac:dyDescent="0.3">
      <c r="G1911">
        <v>1904</v>
      </c>
      <c r="H1911">
        <f t="shared" ca="1" si="49"/>
        <v>-2.0049411966395595E-2</v>
      </c>
    </row>
    <row r="1912" spans="7:8" x14ac:dyDescent="0.3">
      <c r="G1912">
        <v>1905</v>
      </c>
      <c r="H1912">
        <f t="shared" ca="1" si="49"/>
        <v>1.9788480414553208E-2</v>
      </c>
    </row>
    <row r="1913" spans="7:8" x14ac:dyDescent="0.3">
      <c r="G1913">
        <v>1906</v>
      </c>
      <c r="H1913">
        <f t="shared" ca="1" si="49"/>
        <v>2.1852902207268387E-2</v>
      </c>
    </row>
    <row r="1914" spans="7:8" x14ac:dyDescent="0.3">
      <c r="G1914">
        <v>1907</v>
      </c>
      <c r="H1914">
        <f t="shared" ca="1" si="49"/>
        <v>5.619764157830498E-3</v>
      </c>
    </row>
    <row r="1915" spans="7:8" x14ac:dyDescent="0.3">
      <c r="G1915">
        <v>1908</v>
      </c>
      <c r="H1915">
        <f t="shared" ca="1" si="49"/>
        <v>-2.4886940554199296E-3</v>
      </c>
    </row>
    <row r="1916" spans="7:8" x14ac:dyDescent="0.3">
      <c r="G1916">
        <v>1909</v>
      </c>
      <c r="H1916">
        <f t="shared" ca="1" si="49"/>
        <v>-2.7190103049881593E-3</v>
      </c>
    </row>
    <row r="1917" spans="7:8" x14ac:dyDescent="0.3">
      <c r="G1917">
        <v>1910</v>
      </c>
      <c r="H1917">
        <f t="shared" ca="1" si="49"/>
        <v>-2.2697437666277204E-3</v>
      </c>
    </row>
    <row r="1918" spans="7:8" x14ac:dyDescent="0.3">
      <c r="G1918">
        <v>1911</v>
      </c>
      <c r="H1918">
        <f t="shared" ca="1" si="49"/>
        <v>1.051330105340087E-2</v>
      </c>
    </row>
    <row r="1919" spans="7:8" x14ac:dyDescent="0.3">
      <c r="G1919">
        <v>1912</v>
      </c>
      <c r="H1919">
        <f t="shared" ca="1" si="49"/>
        <v>-2.9534761514819152E-2</v>
      </c>
    </row>
    <row r="1920" spans="7:8" x14ac:dyDescent="0.3">
      <c r="G1920">
        <v>1913</v>
      </c>
      <c r="H1920">
        <f t="shared" ca="1" si="49"/>
        <v>-7.0875029529366184E-3</v>
      </c>
    </row>
    <row r="1921" spans="7:8" x14ac:dyDescent="0.3">
      <c r="G1921">
        <v>1914</v>
      </c>
      <c r="H1921">
        <f t="shared" ca="1" si="49"/>
        <v>-1.8001906625536745E-2</v>
      </c>
    </row>
    <row r="1922" spans="7:8" x14ac:dyDescent="0.3">
      <c r="G1922">
        <v>1915</v>
      </c>
      <c r="H1922">
        <f t="shared" ca="1" si="49"/>
        <v>-3.1052486794459259E-2</v>
      </c>
    </row>
    <row r="1923" spans="7:8" x14ac:dyDescent="0.3">
      <c r="G1923">
        <v>1916</v>
      </c>
      <c r="H1923">
        <f t="shared" ca="1" si="49"/>
        <v>-2.8258975057726468E-3</v>
      </c>
    </row>
    <row r="1924" spans="7:8" x14ac:dyDescent="0.3">
      <c r="G1924">
        <v>1917</v>
      </c>
      <c r="H1924">
        <f t="shared" ca="1" si="49"/>
        <v>-1.7621557714549627E-2</v>
      </c>
    </row>
    <row r="1925" spans="7:8" x14ac:dyDescent="0.3">
      <c r="G1925">
        <v>1918</v>
      </c>
      <c r="H1925">
        <f t="shared" ca="1" si="49"/>
        <v>-2.8828265110913829E-2</v>
      </c>
    </row>
    <row r="1926" spans="7:8" x14ac:dyDescent="0.3">
      <c r="G1926">
        <v>1919</v>
      </c>
      <c r="H1926">
        <f t="shared" ca="1" si="49"/>
        <v>-2.4684025016567818E-2</v>
      </c>
    </row>
    <row r="1927" spans="7:8" x14ac:dyDescent="0.3">
      <c r="G1927">
        <v>1920</v>
      </c>
      <c r="H1927">
        <f t="shared" ca="1" si="49"/>
        <v>3.3065090883003128E-3</v>
      </c>
    </row>
    <row r="1928" spans="7:8" x14ac:dyDescent="0.3">
      <c r="G1928">
        <v>1921</v>
      </c>
      <c r="H1928">
        <f t="shared" ca="1" si="49"/>
        <v>-1.2645909758263621E-2</v>
      </c>
    </row>
    <row r="1929" spans="7:8" x14ac:dyDescent="0.3">
      <c r="G1929">
        <v>1922</v>
      </c>
      <c r="H1929">
        <f t="shared" ref="H1929:H1992" ca="1" si="50">_xlfn.NORM.INV(RAND(),$N$10,$N$11)</f>
        <v>1.7594493544023565E-2</v>
      </c>
    </row>
    <row r="1930" spans="7:8" x14ac:dyDescent="0.3">
      <c r="G1930">
        <v>1923</v>
      </c>
      <c r="H1930">
        <f t="shared" ca="1" si="50"/>
        <v>2.9470190043328858E-2</v>
      </c>
    </row>
    <row r="1931" spans="7:8" x14ac:dyDescent="0.3">
      <c r="G1931">
        <v>1924</v>
      </c>
      <c r="H1931">
        <f t="shared" ca="1" si="50"/>
        <v>-1.4043530163937508E-2</v>
      </c>
    </row>
    <row r="1932" spans="7:8" x14ac:dyDescent="0.3">
      <c r="G1932">
        <v>1925</v>
      </c>
      <c r="H1932">
        <f t="shared" ca="1" si="50"/>
        <v>9.5176196028405385E-4</v>
      </c>
    </row>
    <row r="1933" spans="7:8" x14ac:dyDescent="0.3">
      <c r="G1933">
        <v>1926</v>
      </c>
      <c r="H1933">
        <f t="shared" ca="1" si="50"/>
        <v>-1.4473662293941736E-3</v>
      </c>
    </row>
    <row r="1934" spans="7:8" x14ac:dyDescent="0.3">
      <c r="G1934">
        <v>1927</v>
      </c>
      <c r="H1934">
        <f t="shared" ca="1" si="50"/>
        <v>-1.0977436123143518E-3</v>
      </c>
    </row>
    <row r="1935" spans="7:8" x14ac:dyDescent="0.3">
      <c r="G1935">
        <v>1928</v>
      </c>
      <c r="H1935">
        <f t="shared" ca="1" si="50"/>
        <v>5.2646186364386392E-3</v>
      </c>
    </row>
    <row r="1936" spans="7:8" x14ac:dyDescent="0.3">
      <c r="G1936">
        <v>1929</v>
      </c>
      <c r="H1936">
        <f t="shared" ca="1" si="50"/>
        <v>1.452297619824945E-2</v>
      </c>
    </row>
    <row r="1937" spans="7:8" x14ac:dyDescent="0.3">
      <c r="G1937">
        <v>1930</v>
      </c>
      <c r="H1937">
        <f t="shared" ca="1" si="50"/>
        <v>-3.4860881800708519E-3</v>
      </c>
    </row>
    <row r="1938" spans="7:8" x14ac:dyDescent="0.3">
      <c r="G1938">
        <v>1931</v>
      </c>
      <c r="H1938">
        <f t="shared" ca="1" si="50"/>
        <v>-1.4108733755726119E-2</v>
      </c>
    </row>
    <row r="1939" spans="7:8" x14ac:dyDescent="0.3">
      <c r="G1939">
        <v>1932</v>
      </c>
      <c r="H1939">
        <f t="shared" ca="1" si="50"/>
        <v>-2.7657574833222738E-2</v>
      </c>
    </row>
    <row r="1940" spans="7:8" x14ac:dyDescent="0.3">
      <c r="G1940">
        <v>1933</v>
      </c>
      <c r="H1940">
        <f t="shared" ca="1" si="50"/>
        <v>-1.5549928525290848E-2</v>
      </c>
    </row>
    <row r="1941" spans="7:8" x14ac:dyDescent="0.3">
      <c r="G1941">
        <v>1934</v>
      </c>
      <c r="H1941">
        <f t="shared" ca="1" si="50"/>
        <v>1.1387609542857413E-2</v>
      </c>
    </row>
    <row r="1942" spans="7:8" x14ac:dyDescent="0.3">
      <c r="G1942">
        <v>1935</v>
      </c>
      <c r="H1942">
        <f t="shared" ca="1" si="50"/>
        <v>2.8598471700224792E-2</v>
      </c>
    </row>
    <row r="1943" spans="7:8" x14ac:dyDescent="0.3">
      <c r="G1943">
        <v>1936</v>
      </c>
      <c r="H1943">
        <f t="shared" ca="1" si="50"/>
        <v>1.6475666737798374E-2</v>
      </c>
    </row>
    <row r="1944" spans="7:8" x14ac:dyDescent="0.3">
      <c r="G1944">
        <v>1937</v>
      </c>
      <c r="H1944">
        <f t="shared" ca="1" si="50"/>
        <v>2.0535241784295456E-3</v>
      </c>
    </row>
    <row r="1945" spans="7:8" x14ac:dyDescent="0.3">
      <c r="G1945">
        <v>1938</v>
      </c>
      <c r="H1945">
        <f t="shared" ca="1" si="50"/>
        <v>1.3421432744710237E-2</v>
      </c>
    </row>
    <row r="1946" spans="7:8" x14ac:dyDescent="0.3">
      <c r="G1946">
        <v>1939</v>
      </c>
      <c r="H1946">
        <f t="shared" ca="1" si="50"/>
        <v>-7.7015752965191898E-3</v>
      </c>
    </row>
    <row r="1947" spans="7:8" x14ac:dyDescent="0.3">
      <c r="G1947">
        <v>1940</v>
      </c>
      <c r="H1947">
        <f t="shared" ca="1" si="50"/>
        <v>-1.0790020577683948E-2</v>
      </c>
    </row>
    <row r="1948" spans="7:8" x14ac:dyDescent="0.3">
      <c r="G1948">
        <v>1941</v>
      </c>
      <c r="H1948">
        <f t="shared" ca="1" si="50"/>
        <v>-2.861512196911652E-2</v>
      </c>
    </row>
    <row r="1949" spans="7:8" x14ac:dyDescent="0.3">
      <c r="G1949">
        <v>1942</v>
      </c>
      <c r="H1949">
        <f t="shared" ca="1" si="50"/>
        <v>6.0736323471977573E-3</v>
      </c>
    </row>
    <row r="1950" spans="7:8" x14ac:dyDescent="0.3">
      <c r="G1950">
        <v>1943</v>
      </c>
      <c r="H1950">
        <f t="shared" ca="1" si="50"/>
        <v>-1.0726122245512682E-2</v>
      </c>
    </row>
    <row r="1951" spans="7:8" x14ac:dyDescent="0.3">
      <c r="G1951">
        <v>1944</v>
      </c>
      <c r="H1951">
        <f t="shared" ca="1" si="50"/>
        <v>-1.5624825063794047E-2</v>
      </c>
    </row>
    <row r="1952" spans="7:8" x14ac:dyDescent="0.3">
      <c r="G1952">
        <v>1945</v>
      </c>
      <c r="H1952">
        <f t="shared" ca="1" si="50"/>
        <v>-1.1058845076785222E-2</v>
      </c>
    </row>
    <row r="1953" spans="7:8" x14ac:dyDescent="0.3">
      <c r="G1953">
        <v>1946</v>
      </c>
      <c r="H1953">
        <f t="shared" ca="1" si="50"/>
        <v>3.0047983669676041E-2</v>
      </c>
    </row>
    <row r="1954" spans="7:8" x14ac:dyDescent="0.3">
      <c r="G1954">
        <v>1947</v>
      </c>
      <c r="H1954">
        <f t="shared" ca="1" si="50"/>
        <v>-1.9767131306079915E-2</v>
      </c>
    </row>
    <row r="1955" spans="7:8" x14ac:dyDescent="0.3">
      <c r="G1955">
        <v>1948</v>
      </c>
      <c r="H1955">
        <f t="shared" ca="1" si="50"/>
        <v>2.400976414563597E-3</v>
      </c>
    </row>
    <row r="1956" spans="7:8" x14ac:dyDescent="0.3">
      <c r="G1956">
        <v>1949</v>
      </c>
      <c r="H1956">
        <f t="shared" ca="1" si="50"/>
        <v>7.0548572977432002E-4</v>
      </c>
    </row>
    <row r="1957" spans="7:8" x14ac:dyDescent="0.3">
      <c r="G1957">
        <v>1950</v>
      </c>
      <c r="H1957">
        <f t="shared" ca="1" si="50"/>
        <v>-4.3302289545745901E-2</v>
      </c>
    </row>
    <row r="1958" spans="7:8" x14ac:dyDescent="0.3">
      <c r="G1958">
        <v>1951</v>
      </c>
      <c r="H1958">
        <f t="shared" ca="1" si="50"/>
        <v>1.672540059035835E-2</v>
      </c>
    </row>
    <row r="1959" spans="7:8" x14ac:dyDescent="0.3">
      <c r="G1959">
        <v>1952</v>
      </c>
      <c r="H1959">
        <f t="shared" ca="1" si="50"/>
        <v>3.7147231319113003E-2</v>
      </c>
    </row>
    <row r="1960" spans="7:8" x14ac:dyDescent="0.3">
      <c r="G1960">
        <v>1953</v>
      </c>
      <c r="H1960">
        <f t="shared" ca="1" si="50"/>
        <v>2.6870567604466676E-3</v>
      </c>
    </row>
    <row r="1961" spans="7:8" x14ac:dyDescent="0.3">
      <c r="G1961">
        <v>1954</v>
      </c>
      <c r="H1961">
        <f t="shared" ca="1" si="50"/>
        <v>-2.7300866910790707E-2</v>
      </c>
    </row>
    <row r="1962" spans="7:8" x14ac:dyDescent="0.3">
      <c r="G1962">
        <v>1955</v>
      </c>
      <c r="H1962">
        <f t="shared" ca="1" si="50"/>
        <v>-1.7069093831053681E-2</v>
      </c>
    </row>
    <row r="1963" spans="7:8" x14ac:dyDescent="0.3">
      <c r="G1963">
        <v>1956</v>
      </c>
      <c r="H1963">
        <f t="shared" ca="1" si="50"/>
        <v>-1.9970117400022799E-2</v>
      </c>
    </row>
    <row r="1964" spans="7:8" x14ac:dyDescent="0.3">
      <c r="G1964">
        <v>1957</v>
      </c>
      <c r="H1964">
        <f t="shared" ca="1" si="50"/>
        <v>-1.9694091198166558E-3</v>
      </c>
    </row>
    <row r="1965" spans="7:8" x14ac:dyDescent="0.3">
      <c r="G1965">
        <v>1958</v>
      </c>
      <c r="H1965">
        <f t="shared" ca="1" si="50"/>
        <v>-1.0331128556267555E-2</v>
      </c>
    </row>
    <row r="1966" spans="7:8" x14ac:dyDescent="0.3">
      <c r="G1966">
        <v>1959</v>
      </c>
      <c r="H1966">
        <f t="shared" ca="1" si="50"/>
        <v>-5.5692349855222568E-3</v>
      </c>
    </row>
    <row r="1967" spans="7:8" x14ac:dyDescent="0.3">
      <c r="G1967">
        <v>1960</v>
      </c>
      <c r="H1967">
        <f t="shared" ca="1" si="50"/>
        <v>1.9214055231019211E-2</v>
      </c>
    </row>
    <row r="1968" spans="7:8" x14ac:dyDescent="0.3">
      <c r="G1968">
        <v>1961</v>
      </c>
      <c r="H1968">
        <f t="shared" ca="1" si="50"/>
        <v>8.4764025485963897E-3</v>
      </c>
    </row>
    <row r="1969" spans="7:8" x14ac:dyDescent="0.3">
      <c r="G1969">
        <v>1962</v>
      </c>
      <c r="H1969">
        <f t="shared" ca="1" si="50"/>
        <v>-4.2935362957224611E-4</v>
      </c>
    </row>
    <row r="1970" spans="7:8" x14ac:dyDescent="0.3">
      <c r="G1970">
        <v>1963</v>
      </c>
      <c r="H1970">
        <f t="shared" ca="1" si="50"/>
        <v>3.7865672516070037E-2</v>
      </c>
    </row>
    <row r="1971" spans="7:8" x14ac:dyDescent="0.3">
      <c r="G1971">
        <v>1964</v>
      </c>
      <c r="H1971">
        <f t="shared" ca="1" si="50"/>
        <v>-1.0643867867159143E-2</v>
      </c>
    </row>
    <row r="1972" spans="7:8" x14ac:dyDescent="0.3">
      <c r="G1972">
        <v>1965</v>
      </c>
      <c r="H1972">
        <f t="shared" ca="1" si="50"/>
        <v>-2.8423877236979322E-2</v>
      </c>
    </row>
    <row r="1973" spans="7:8" x14ac:dyDescent="0.3">
      <c r="G1973">
        <v>1966</v>
      </c>
      <c r="H1973">
        <f t="shared" ca="1" si="50"/>
        <v>-6.7432878052596018E-3</v>
      </c>
    </row>
    <row r="1974" spans="7:8" x14ac:dyDescent="0.3">
      <c r="G1974">
        <v>1967</v>
      </c>
      <c r="H1974">
        <f t="shared" ca="1" si="50"/>
        <v>2.1192460203857497E-2</v>
      </c>
    </row>
    <row r="1975" spans="7:8" x14ac:dyDescent="0.3">
      <c r="G1975">
        <v>1968</v>
      </c>
      <c r="H1975">
        <f t="shared" ca="1" si="50"/>
        <v>3.2381628804179066E-2</v>
      </c>
    </row>
    <row r="1976" spans="7:8" x14ac:dyDescent="0.3">
      <c r="G1976">
        <v>1969</v>
      </c>
      <c r="H1976">
        <f t="shared" ca="1" si="50"/>
        <v>2.2590108555474036E-2</v>
      </c>
    </row>
    <row r="1977" spans="7:8" x14ac:dyDescent="0.3">
      <c r="G1977">
        <v>1970</v>
      </c>
      <c r="H1977">
        <f t="shared" ca="1" si="50"/>
        <v>1.5233306837067397E-2</v>
      </c>
    </row>
    <row r="1978" spans="7:8" x14ac:dyDescent="0.3">
      <c r="G1978">
        <v>1971</v>
      </c>
      <c r="H1978">
        <f t="shared" ca="1" si="50"/>
        <v>8.4793041118162802E-3</v>
      </c>
    </row>
    <row r="1979" spans="7:8" x14ac:dyDescent="0.3">
      <c r="G1979">
        <v>1972</v>
      </c>
      <c r="H1979">
        <f t="shared" ca="1" si="50"/>
        <v>1.4037941545896392E-2</v>
      </c>
    </row>
    <row r="1980" spans="7:8" x14ac:dyDescent="0.3">
      <c r="G1980">
        <v>1973</v>
      </c>
      <c r="H1980">
        <f t="shared" ca="1" si="50"/>
        <v>2.4626991564667661E-2</v>
      </c>
    </row>
    <row r="1981" spans="7:8" x14ac:dyDescent="0.3">
      <c r="G1981">
        <v>1974</v>
      </c>
      <c r="H1981">
        <f t="shared" ca="1" si="50"/>
        <v>-8.4828344995114078E-3</v>
      </c>
    </row>
    <row r="1982" spans="7:8" x14ac:dyDescent="0.3">
      <c r="G1982">
        <v>1975</v>
      </c>
      <c r="H1982">
        <f t="shared" ca="1" si="50"/>
        <v>-2.231371474672577E-2</v>
      </c>
    </row>
    <row r="1983" spans="7:8" x14ac:dyDescent="0.3">
      <c r="G1983">
        <v>1976</v>
      </c>
      <c r="H1983">
        <f t="shared" ca="1" si="50"/>
        <v>-7.9706988966402187E-3</v>
      </c>
    </row>
    <row r="1984" spans="7:8" x14ac:dyDescent="0.3">
      <c r="G1984">
        <v>1977</v>
      </c>
      <c r="H1984">
        <f t="shared" ca="1" si="50"/>
        <v>-1.1123296865096556E-2</v>
      </c>
    </row>
    <row r="1985" spans="7:8" x14ac:dyDescent="0.3">
      <c r="G1985">
        <v>1978</v>
      </c>
      <c r="H1985">
        <f t="shared" ca="1" si="50"/>
        <v>2.2263767321537221E-2</v>
      </c>
    </row>
    <row r="1986" spans="7:8" x14ac:dyDescent="0.3">
      <c r="G1986">
        <v>1979</v>
      </c>
      <c r="H1986">
        <f t="shared" ca="1" si="50"/>
        <v>2.3393663125139887E-2</v>
      </c>
    </row>
    <row r="1987" spans="7:8" x14ac:dyDescent="0.3">
      <c r="G1987">
        <v>1980</v>
      </c>
      <c r="H1987">
        <f t="shared" ca="1" si="50"/>
        <v>-1.0452004341017194E-2</v>
      </c>
    </row>
    <row r="1988" spans="7:8" x14ac:dyDescent="0.3">
      <c r="G1988">
        <v>1981</v>
      </c>
      <c r="H1988">
        <f t="shared" ca="1" si="50"/>
        <v>-1.8321558617858062E-3</v>
      </c>
    </row>
    <row r="1989" spans="7:8" x14ac:dyDescent="0.3">
      <c r="G1989">
        <v>1982</v>
      </c>
      <c r="H1989">
        <f t="shared" ca="1" si="50"/>
        <v>7.6011478912878126E-3</v>
      </c>
    </row>
    <row r="1990" spans="7:8" x14ac:dyDescent="0.3">
      <c r="G1990">
        <v>1983</v>
      </c>
      <c r="H1990">
        <f t="shared" ca="1" si="50"/>
        <v>-2.5591117647558084E-3</v>
      </c>
    </row>
    <row r="1991" spans="7:8" x14ac:dyDescent="0.3">
      <c r="G1991">
        <v>1984</v>
      </c>
      <c r="H1991">
        <f t="shared" ca="1" si="50"/>
        <v>-6.9037998405659185E-3</v>
      </c>
    </row>
    <row r="1992" spans="7:8" x14ac:dyDescent="0.3">
      <c r="G1992">
        <v>1985</v>
      </c>
      <c r="H1992">
        <f t="shared" ca="1" si="50"/>
        <v>8.9914302200135594E-3</v>
      </c>
    </row>
    <row r="1993" spans="7:8" x14ac:dyDescent="0.3">
      <c r="G1993">
        <v>1986</v>
      </c>
      <c r="H1993">
        <f t="shared" ref="H1993:H2056" ca="1" si="51">_xlfn.NORM.INV(RAND(),$N$10,$N$11)</f>
        <v>-4.8118907834878068E-3</v>
      </c>
    </row>
    <row r="1994" spans="7:8" x14ac:dyDescent="0.3">
      <c r="G1994">
        <v>1987</v>
      </c>
      <c r="H1994">
        <f t="shared" ca="1" si="51"/>
        <v>1.2989550945794555E-2</v>
      </c>
    </row>
    <row r="1995" spans="7:8" x14ac:dyDescent="0.3">
      <c r="G1995">
        <v>1988</v>
      </c>
      <c r="H1995">
        <f t="shared" ca="1" si="51"/>
        <v>3.0625172214331836E-2</v>
      </c>
    </row>
    <row r="1996" spans="7:8" x14ac:dyDescent="0.3">
      <c r="G1996">
        <v>1989</v>
      </c>
      <c r="H1996">
        <f t="shared" ca="1" si="51"/>
        <v>-1.0400283263436186E-2</v>
      </c>
    </row>
    <row r="1997" spans="7:8" x14ac:dyDescent="0.3">
      <c r="G1997">
        <v>1990</v>
      </c>
      <c r="H1997">
        <f t="shared" ca="1" si="51"/>
        <v>2.2054699371597906E-2</v>
      </c>
    </row>
    <row r="1998" spans="7:8" x14ac:dyDescent="0.3">
      <c r="G1998">
        <v>1991</v>
      </c>
      <c r="H1998">
        <f t="shared" ca="1" si="51"/>
        <v>-3.9968472277717663E-3</v>
      </c>
    </row>
    <row r="1999" spans="7:8" x14ac:dyDescent="0.3">
      <c r="G1999">
        <v>1992</v>
      </c>
      <c r="H1999">
        <f t="shared" ca="1" si="51"/>
        <v>4.9117256633444423E-3</v>
      </c>
    </row>
    <row r="2000" spans="7:8" x14ac:dyDescent="0.3">
      <c r="G2000">
        <v>1993</v>
      </c>
      <c r="H2000">
        <f t="shared" ca="1" si="51"/>
        <v>-1.6059941606698616E-2</v>
      </c>
    </row>
    <row r="2001" spans="7:8" x14ac:dyDescent="0.3">
      <c r="G2001">
        <v>1994</v>
      </c>
      <c r="H2001">
        <f t="shared" ca="1" si="51"/>
        <v>2.6480937520665312E-2</v>
      </c>
    </row>
    <row r="2002" spans="7:8" x14ac:dyDescent="0.3">
      <c r="G2002">
        <v>1995</v>
      </c>
      <c r="H2002">
        <f t="shared" ca="1" si="51"/>
        <v>4.7149278223266623E-3</v>
      </c>
    </row>
    <row r="2003" spans="7:8" x14ac:dyDescent="0.3">
      <c r="G2003">
        <v>1996</v>
      </c>
      <c r="H2003">
        <f t="shared" ca="1" si="51"/>
        <v>2.9816537450799343E-2</v>
      </c>
    </row>
    <row r="2004" spans="7:8" x14ac:dyDescent="0.3">
      <c r="G2004">
        <v>1997</v>
      </c>
      <c r="H2004">
        <f t="shared" ca="1" si="51"/>
        <v>3.0607162077893168E-2</v>
      </c>
    </row>
    <row r="2005" spans="7:8" x14ac:dyDescent="0.3">
      <c r="G2005">
        <v>1998</v>
      </c>
      <c r="H2005">
        <f t="shared" ca="1" si="51"/>
        <v>-1.1583770653939779E-2</v>
      </c>
    </row>
    <row r="2006" spans="7:8" x14ac:dyDescent="0.3">
      <c r="G2006">
        <v>1999</v>
      </c>
      <c r="H2006">
        <f t="shared" ca="1" si="51"/>
        <v>4.079596503888604E-3</v>
      </c>
    </row>
    <row r="2007" spans="7:8" x14ac:dyDescent="0.3">
      <c r="G2007">
        <v>2000</v>
      </c>
      <c r="H2007">
        <f t="shared" ca="1" si="51"/>
        <v>-8.5948590198082217E-4</v>
      </c>
    </row>
    <row r="2008" spans="7:8" x14ac:dyDescent="0.3">
      <c r="G2008">
        <v>2001</v>
      </c>
      <c r="H2008">
        <f t="shared" ca="1" si="51"/>
        <v>1.3046796457027365E-2</v>
      </c>
    </row>
    <row r="2009" spans="7:8" x14ac:dyDescent="0.3">
      <c r="G2009">
        <v>2002</v>
      </c>
      <c r="H2009">
        <f t="shared" ca="1" si="51"/>
        <v>4.9418561415042611E-3</v>
      </c>
    </row>
    <row r="2010" spans="7:8" x14ac:dyDescent="0.3">
      <c r="G2010">
        <v>2003</v>
      </c>
      <c r="H2010">
        <f t="shared" ca="1" si="51"/>
        <v>5.7801242617640299E-3</v>
      </c>
    </row>
    <row r="2011" spans="7:8" x14ac:dyDescent="0.3">
      <c r="G2011">
        <v>2004</v>
      </c>
      <c r="H2011">
        <f t="shared" ca="1" si="51"/>
        <v>-6.5192157389670248E-3</v>
      </c>
    </row>
    <row r="2012" spans="7:8" x14ac:dyDescent="0.3">
      <c r="G2012">
        <v>2005</v>
      </c>
      <c r="H2012">
        <f t="shared" ca="1" si="51"/>
        <v>3.1164387780563765E-2</v>
      </c>
    </row>
    <row r="2013" spans="7:8" x14ac:dyDescent="0.3">
      <c r="G2013">
        <v>2006</v>
      </c>
      <c r="H2013">
        <f t="shared" ca="1" si="51"/>
        <v>-1.1528825751587684E-2</v>
      </c>
    </row>
    <row r="2014" spans="7:8" x14ac:dyDescent="0.3">
      <c r="G2014">
        <v>2007</v>
      </c>
      <c r="H2014">
        <f t="shared" ca="1" si="51"/>
        <v>-1.1401918543089038E-2</v>
      </c>
    </row>
    <row r="2015" spans="7:8" x14ac:dyDescent="0.3">
      <c r="G2015">
        <v>2008</v>
      </c>
      <c r="H2015">
        <f t="shared" ca="1" si="51"/>
        <v>-3.7089942098079685E-3</v>
      </c>
    </row>
    <row r="2016" spans="7:8" x14ac:dyDescent="0.3">
      <c r="G2016">
        <v>2009</v>
      </c>
      <c r="H2016">
        <f t="shared" ca="1" si="51"/>
        <v>1.3721350181701366E-2</v>
      </c>
    </row>
    <row r="2017" spans="7:8" x14ac:dyDescent="0.3">
      <c r="G2017">
        <v>2010</v>
      </c>
      <c r="H2017">
        <f t="shared" ca="1" si="51"/>
        <v>-1.8024674113696418E-2</v>
      </c>
    </row>
    <row r="2018" spans="7:8" x14ac:dyDescent="0.3">
      <c r="G2018">
        <v>2011</v>
      </c>
      <c r="H2018">
        <f t="shared" ca="1" si="51"/>
        <v>5.8589673887206681E-3</v>
      </c>
    </row>
    <row r="2019" spans="7:8" x14ac:dyDescent="0.3">
      <c r="G2019">
        <v>2012</v>
      </c>
      <c r="H2019">
        <f t="shared" ca="1" si="51"/>
        <v>2.0554341851095844E-3</v>
      </c>
    </row>
    <row r="2020" spans="7:8" x14ac:dyDescent="0.3">
      <c r="G2020">
        <v>2013</v>
      </c>
      <c r="H2020">
        <f t="shared" ca="1" si="51"/>
        <v>-1.9683277827549899E-3</v>
      </c>
    </row>
    <row r="2021" spans="7:8" x14ac:dyDescent="0.3">
      <c r="G2021">
        <v>2014</v>
      </c>
      <c r="H2021">
        <f t="shared" ca="1" si="51"/>
        <v>3.9199428670412531E-3</v>
      </c>
    </row>
    <row r="2022" spans="7:8" x14ac:dyDescent="0.3">
      <c r="G2022">
        <v>2015</v>
      </c>
      <c r="H2022">
        <f t="shared" ca="1" si="51"/>
        <v>-7.1151811083945546E-3</v>
      </c>
    </row>
    <row r="2023" spans="7:8" x14ac:dyDescent="0.3">
      <c r="G2023">
        <v>2016</v>
      </c>
      <c r="H2023">
        <f t="shared" ca="1" si="51"/>
        <v>6.30530779175212E-4</v>
      </c>
    </row>
    <row r="2024" spans="7:8" x14ac:dyDescent="0.3">
      <c r="G2024">
        <v>2017</v>
      </c>
      <c r="H2024">
        <f t="shared" ca="1" si="51"/>
        <v>-9.094101739754553E-3</v>
      </c>
    </row>
    <row r="2025" spans="7:8" x14ac:dyDescent="0.3">
      <c r="G2025">
        <v>2018</v>
      </c>
      <c r="H2025">
        <f t="shared" ca="1" si="51"/>
        <v>3.013881690466487E-2</v>
      </c>
    </row>
    <row r="2026" spans="7:8" x14ac:dyDescent="0.3">
      <c r="G2026">
        <v>2019</v>
      </c>
      <c r="H2026">
        <f t="shared" ca="1" si="51"/>
        <v>1.601194127715682E-2</v>
      </c>
    </row>
    <row r="2027" spans="7:8" x14ac:dyDescent="0.3">
      <c r="G2027">
        <v>2020</v>
      </c>
      <c r="H2027">
        <f t="shared" ca="1" si="51"/>
        <v>-1.3032605466462271E-2</v>
      </c>
    </row>
    <row r="2028" spans="7:8" x14ac:dyDescent="0.3">
      <c r="G2028">
        <v>2021</v>
      </c>
      <c r="H2028">
        <f t="shared" ca="1" si="51"/>
        <v>-4.2118920438073123E-4</v>
      </c>
    </row>
    <row r="2029" spans="7:8" x14ac:dyDescent="0.3">
      <c r="G2029">
        <v>2022</v>
      </c>
      <c r="H2029">
        <f t="shared" ca="1" si="51"/>
        <v>-1.5447492462781537E-3</v>
      </c>
    </row>
    <row r="2030" spans="7:8" x14ac:dyDescent="0.3">
      <c r="G2030">
        <v>2023</v>
      </c>
      <c r="H2030">
        <f t="shared" ca="1" si="51"/>
        <v>6.5415126576626277E-3</v>
      </c>
    </row>
    <row r="2031" spans="7:8" x14ac:dyDescent="0.3">
      <c r="G2031">
        <v>2024</v>
      </c>
      <c r="H2031">
        <f t="shared" ca="1" si="51"/>
        <v>2.0054046897619311E-2</v>
      </c>
    </row>
    <row r="2032" spans="7:8" x14ac:dyDescent="0.3">
      <c r="G2032">
        <v>2025</v>
      </c>
      <c r="H2032">
        <f t="shared" ca="1" si="51"/>
        <v>1.7035641353826684E-2</v>
      </c>
    </row>
    <row r="2033" spans="7:8" x14ac:dyDescent="0.3">
      <c r="G2033">
        <v>2026</v>
      </c>
      <c r="H2033">
        <f t="shared" ca="1" si="51"/>
        <v>4.476299700830748E-3</v>
      </c>
    </row>
    <row r="2034" spans="7:8" x14ac:dyDescent="0.3">
      <c r="G2034">
        <v>2027</v>
      </c>
      <c r="H2034">
        <f t="shared" ca="1" si="51"/>
        <v>2.0410242029502118E-2</v>
      </c>
    </row>
    <row r="2035" spans="7:8" x14ac:dyDescent="0.3">
      <c r="G2035">
        <v>2028</v>
      </c>
      <c r="H2035">
        <f t="shared" ca="1" si="51"/>
        <v>2.9638929874086624E-2</v>
      </c>
    </row>
    <row r="2036" spans="7:8" x14ac:dyDescent="0.3">
      <c r="G2036">
        <v>2029</v>
      </c>
      <c r="H2036">
        <f t="shared" ca="1" si="51"/>
        <v>-2.0988056682378618E-3</v>
      </c>
    </row>
    <row r="2037" spans="7:8" x14ac:dyDescent="0.3">
      <c r="G2037">
        <v>2030</v>
      </c>
      <c r="H2037">
        <f t="shared" ca="1" si="51"/>
        <v>1.2782619703263269E-2</v>
      </c>
    </row>
    <row r="2038" spans="7:8" x14ac:dyDescent="0.3">
      <c r="G2038">
        <v>2031</v>
      </c>
      <c r="H2038">
        <f t="shared" ca="1" si="51"/>
        <v>1.5899638590037655E-2</v>
      </c>
    </row>
    <row r="2039" spans="7:8" x14ac:dyDescent="0.3">
      <c r="G2039">
        <v>2032</v>
      </c>
      <c r="H2039">
        <f t="shared" ca="1" si="51"/>
        <v>-7.1624900545627888E-3</v>
      </c>
    </row>
    <row r="2040" spans="7:8" x14ac:dyDescent="0.3">
      <c r="G2040">
        <v>2033</v>
      </c>
      <c r="H2040">
        <f t="shared" ca="1" si="51"/>
        <v>-9.0461235372626733E-3</v>
      </c>
    </row>
    <row r="2041" spans="7:8" x14ac:dyDescent="0.3">
      <c r="G2041">
        <v>2034</v>
      </c>
      <c r="H2041">
        <f t="shared" ca="1" si="51"/>
        <v>-1.5146063766623773E-2</v>
      </c>
    </row>
    <row r="2042" spans="7:8" x14ac:dyDescent="0.3">
      <c r="G2042">
        <v>2035</v>
      </c>
      <c r="H2042">
        <f t="shared" ca="1" si="51"/>
        <v>-1.6255980260440391E-2</v>
      </c>
    </row>
    <row r="2043" spans="7:8" x14ac:dyDescent="0.3">
      <c r="G2043">
        <v>2036</v>
      </c>
      <c r="H2043">
        <f t="shared" ca="1" si="51"/>
        <v>-1.4292014640788709E-2</v>
      </c>
    </row>
    <row r="2044" spans="7:8" x14ac:dyDescent="0.3">
      <c r="G2044">
        <v>2037</v>
      </c>
      <c r="H2044">
        <f t="shared" ca="1" si="51"/>
        <v>-1.9973307170324446E-3</v>
      </c>
    </row>
    <row r="2045" spans="7:8" x14ac:dyDescent="0.3">
      <c r="G2045">
        <v>2038</v>
      </c>
      <c r="H2045">
        <f t="shared" ca="1" si="51"/>
        <v>-4.2775866306102986E-2</v>
      </c>
    </row>
    <row r="2046" spans="7:8" x14ac:dyDescent="0.3">
      <c r="G2046">
        <v>2039</v>
      </c>
      <c r="H2046">
        <f t="shared" ca="1" si="51"/>
        <v>-3.7553825494156916E-3</v>
      </c>
    </row>
    <row r="2047" spans="7:8" x14ac:dyDescent="0.3">
      <c r="G2047">
        <v>2040</v>
      </c>
      <c r="H2047">
        <f t="shared" ca="1" si="51"/>
        <v>4.0878967052994288E-3</v>
      </c>
    </row>
    <row r="2048" spans="7:8" x14ac:dyDescent="0.3">
      <c r="G2048">
        <v>2041</v>
      </c>
      <c r="H2048">
        <f t="shared" ca="1" si="51"/>
        <v>2.756660976534624E-2</v>
      </c>
    </row>
    <row r="2049" spans="7:8" x14ac:dyDescent="0.3">
      <c r="G2049">
        <v>2042</v>
      </c>
      <c r="H2049">
        <f t="shared" ca="1" si="51"/>
        <v>-1.3864574859053052E-2</v>
      </c>
    </row>
    <row r="2050" spans="7:8" x14ac:dyDescent="0.3">
      <c r="G2050">
        <v>2043</v>
      </c>
      <c r="H2050">
        <f t="shared" ca="1" si="51"/>
        <v>8.6982633161677599E-3</v>
      </c>
    </row>
    <row r="2051" spans="7:8" x14ac:dyDescent="0.3">
      <c r="G2051">
        <v>2044</v>
      </c>
      <c r="H2051">
        <f t="shared" ca="1" si="51"/>
        <v>1.8087598470454432E-2</v>
      </c>
    </row>
    <row r="2052" spans="7:8" x14ac:dyDescent="0.3">
      <c r="G2052">
        <v>2045</v>
      </c>
      <c r="H2052">
        <f t="shared" ca="1" si="51"/>
        <v>4.6271319709620048E-2</v>
      </c>
    </row>
    <row r="2053" spans="7:8" x14ac:dyDescent="0.3">
      <c r="G2053">
        <v>2046</v>
      </c>
      <c r="H2053">
        <f t="shared" ca="1" si="51"/>
        <v>1.6471693262967125E-3</v>
      </c>
    </row>
    <row r="2054" spans="7:8" x14ac:dyDescent="0.3">
      <c r="G2054">
        <v>2047</v>
      </c>
      <c r="H2054">
        <f t="shared" ca="1" si="51"/>
        <v>-2.727144511252182E-2</v>
      </c>
    </row>
    <row r="2055" spans="7:8" x14ac:dyDescent="0.3">
      <c r="G2055">
        <v>2048</v>
      </c>
      <c r="H2055">
        <f t="shared" ca="1" si="51"/>
        <v>1.0750464497919434E-2</v>
      </c>
    </row>
    <row r="2056" spans="7:8" x14ac:dyDescent="0.3">
      <c r="G2056">
        <v>2049</v>
      </c>
      <c r="H2056">
        <f t="shared" ca="1" si="51"/>
        <v>7.7432846300465631E-3</v>
      </c>
    </row>
    <row r="2057" spans="7:8" x14ac:dyDescent="0.3">
      <c r="G2057">
        <v>2050</v>
      </c>
      <c r="H2057">
        <f t="shared" ref="H2057:H2120" ca="1" si="52">_xlfn.NORM.INV(RAND(),$N$10,$N$11)</f>
        <v>5.7500887859753824E-3</v>
      </c>
    </row>
    <row r="2058" spans="7:8" x14ac:dyDescent="0.3">
      <c r="G2058">
        <v>2051</v>
      </c>
      <c r="H2058">
        <f t="shared" ca="1" si="52"/>
        <v>-3.5060561931533085E-3</v>
      </c>
    </row>
    <row r="2059" spans="7:8" x14ac:dyDescent="0.3">
      <c r="G2059">
        <v>2052</v>
      </c>
      <c r="H2059">
        <f t="shared" ca="1" si="52"/>
        <v>-1.6899636434055176E-2</v>
      </c>
    </row>
    <row r="2060" spans="7:8" x14ac:dyDescent="0.3">
      <c r="G2060">
        <v>2053</v>
      </c>
      <c r="H2060">
        <f t="shared" ca="1" si="52"/>
        <v>-2.4107651050259551E-2</v>
      </c>
    </row>
    <row r="2061" spans="7:8" x14ac:dyDescent="0.3">
      <c r="G2061">
        <v>2054</v>
      </c>
      <c r="H2061">
        <f t="shared" ca="1" si="52"/>
        <v>1.0774954097968158E-2</v>
      </c>
    </row>
    <row r="2062" spans="7:8" x14ac:dyDescent="0.3">
      <c r="G2062">
        <v>2055</v>
      </c>
      <c r="H2062">
        <f t="shared" ca="1" si="52"/>
        <v>1.1960079821998492E-2</v>
      </c>
    </row>
    <row r="2063" spans="7:8" x14ac:dyDescent="0.3">
      <c r="G2063">
        <v>2056</v>
      </c>
      <c r="H2063">
        <f t="shared" ca="1" si="52"/>
        <v>-1.9788116461593466E-2</v>
      </c>
    </row>
    <row r="2064" spans="7:8" x14ac:dyDescent="0.3">
      <c r="G2064">
        <v>2057</v>
      </c>
      <c r="H2064">
        <f t="shared" ca="1" si="52"/>
        <v>1.0893874516455094E-2</v>
      </c>
    </row>
    <row r="2065" spans="7:8" x14ac:dyDescent="0.3">
      <c r="G2065">
        <v>2058</v>
      </c>
      <c r="H2065">
        <f t="shared" ca="1" si="52"/>
        <v>7.4613934527318288E-3</v>
      </c>
    </row>
    <row r="2066" spans="7:8" x14ac:dyDescent="0.3">
      <c r="G2066">
        <v>2059</v>
      </c>
      <c r="H2066">
        <f t="shared" ca="1" si="52"/>
        <v>8.949540404434686E-3</v>
      </c>
    </row>
    <row r="2067" spans="7:8" x14ac:dyDescent="0.3">
      <c r="G2067">
        <v>2060</v>
      </c>
      <c r="H2067">
        <f t="shared" ca="1" si="52"/>
        <v>-4.6707974771694916E-2</v>
      </c>
    </row>
    <row r="2068" spans="7:8" x14ac:dyDescent="0.3">
      <c r="G2068">
        <v>2061</v>
      </c>
      <c r="H2068">
        <f t="shared" ca="1" si="52"/>
        <v>-1.2445363413184319E-2</v>
      </c>
    </row>
    <row r="2069" spans="7:8" x14ac:dyDescent="0.3">
      <c r="G2069">
        <v>2062</v>
      </c>
      <c r="H2069">
        <f t="shared" ca="1" si="52"/>
        <v>-2.2837815024522382E-3</v>
      </c>
    </row>
    <row r="2070" spans="7:8" x14ac:dyDescent="0.3">
      <c r="G2070">
        <v>2063</v>
      </c>
      <c r="H2070">
        <f t="shared" ca="1" si="52"/>
        <v>2.697575754975084E-3</v>
      </c>
    </row>
    <row r="2071" spans="7:8" x14ac:dyDescent="0.3">
      <c r="G2071">
        <v>2064</v>
      </c>
      <c r="H2071">
        <f t="shared" ca="1" si="52"/>
        <v>2.4623109929050254E-2</v>
      </c>
    </row>
    <row r="2072" spans="7:8" x14ac:dyDescent="0.3">
      <c r="G2072">
        <v>2065</v>
      </c>
      <c r="H2072">
        <f t="shared" ca="1" si="52"/>
        <v>1.1865204833053753E-2</v>
      </c>
    </row>
    <row r="2073" spans="7:8" x14ac:dyDescent="0.3">
      <c r="G2073">
        <v>2066</v>
      </c>
      <c r="H2073">
        <f t="shared" ca="1" si="52"/>
        <v>2.1009014375254938E-2</v>
      </c>
    </row>
    <row r="2074" spans="7:8" x14ac:dyDescent="0.3">
      <c r="G2074">
        <v>2067</v>
      </c>
      <c r="H2074">
        <f t="shared" ca="1" si="52"/>
        <v>-6.7928365813220704E-3</v>
      </c>
    </row>
    <row r="2075" spans="7:8" x14ac:dyDescent="0.3">
      <c r="G2075">
        <v>2068</v>
      </c>
      <c r="H2075">
        <f t="shared" ca="1" si="52"/>
        <v>-3.8327923572845993E-3</v>
      </c>
    </row>
    <row r="2076" spans="7:8" x14ac:dyDescent="0.3">
      <c r="G2076">
        <v>2069</v>
      </c>
      <c r="H2076">
        <f t="shared" ca="1" si="52"/>
        <v>-1.2797170969747501E-2</v>
      </c>
    </row>
    <row r="2077" spans="7:8" x14ac:dyDescent="0.3">
      <c r="G2077">
        <v>2070</v>
      </c>
      <c r="H2077">
        <f t="shared" ca="1" si="52"/>
        <v>-4.5845741439481919E-5</v>
      </c>
    </row>
    <row r="2078" spans="7:8" x14ac:dyDescent="0.3">
      <c r="G2078">
        <v>2071</v>
      </c>
      <c r="H2078">
        <f t="shared" ca="1" si="52"/>
        <v>-2.774531282412155E-2</v>
      </c>
    </row>
    <row r="2079" spans="7:8" x14ac:dyDescent="0.3">
      <c r="G2079">
        <v>2072</v>
      </c>
      <c r="H2079">
        <f t="shared" ca="1" si="52"/>
        <v>2.2794448827323597E-3</v>
      </c>
    </row>
    <row r="2080" spans="7:8" x14ac:dyDescent="0.3">
      <c r="G2080">
        <v>2073</v>
      </c>
      <c r="H2080">
        <f t="shared" ca="1" si="52"/>
        <v>-1.5877775570593264E-2</v>
      </c>
    </row>
    <row r="2081" spans="7:8" x14ac:dyDescent="0.3">
      <c r="G2081">
        <v>2074</v>
      </c>
      <c r="H2081">
        <f t="shared" ca="1" si="52"/>
        <v>-1.7122447906497057E-2</v>
      </c>
    </row>
    <row r="2082" spans="7:8" x14ac:dyDescent="0.3">
      <c r="G2082">
        <v>2075</v>
      </c>
      <c r="H2082">
        <f t="shared" ca="1" si="52"/>
        <v>1.1389823345661323E-2</v>
      </c>
    </row>
    <row r="2083" spans="7:8" x14ac:dyDescent="0.3">
      <c r="G2083">
        <v>2076</v>
      </c>
      <c r="H2083">
        <f t="shared" ca="1" si="52"/>
        <v>-1.0015712995840682E-3</v>
      </c>
    </row>
    <row r="2084" spans="7:8" x14ac:dyDescent="0.3">
      <c r="G2084">
        <v>2077</v>
      </c>
      <c r="H2084">
        <f t="shared" ca="1" si="52"/>
        <v>-6.2000529259967551E-3</v>
      </c>
    </row>
    <row r="2085" spans="7:8" x14ac:dyDescent="0.3">
      <c r="G2085">
        <v>2078</v>
      </c>
      <c r="H2085">
        <f t="shared" ca="1" si="52"/>
        <v>1.2413253975725819E-2</v>
      </c>
    </row>
    <row r="2086" spans="7:8" x14ac:dyDescent="0.3">
      <c r="G2086">
        <v>2079</v>
      </c>
      <c r="H2086">
        <f t="shared" ca="1" si="52"/>
        <v>-1.2972967803916205E-2</v>
      </c>
    </row>
    <row r="2087" spans="7:8" x14ac:dyDescent="0.3">
      <c r="G2087">
        <v>2080</v>
      </c>
      <c r="H2087">
        <f t="shared" ca="1" si="52"/>
        <v>-7.3610136141890768E-4</v>
      </c>
    </row>
    <row r="2088" spans="7:8" x14ac:dyDescent="0.3">
      <c r="G2088">
        <v>2081</v>
      </c>
      <c r="H2088">
        <f t="shared" ca="1" si="52"/>
        <v>-3.3893010826162146E-3</v>
      </c>
    </row>
    <row r="2089" spans="7:8" x14ac:dyDescent="0.3">
      <c r="G2089">
        <v>2082</v>
      </c>
      <c r="H2089">
        <f t="shared" ca="1" si="52"/>
        <v>-1.2613276893769532E-2</v>
      </c>
    </row>
    <row r="2090" spans="7:8" x14ac:dyDescent="0.3">
      <c r="G2090">
        <v>2083</v>
      </c>
      <c r="H2090">
        <f t="shared" ca="1" si="52"/>
        <v>7.0674411332851345E-3</v>
      </c>
    </row>
    <row r="2091" spans="7:8" x14ac:dyDescent="0.3">
      <c r="G2091">
        <v>2084</v>
      </c>
      <c r="H2091">
        <f t="shared" ca="1" si="52"/>
        <v>-1.7361526299364965E-2</v>
      </c>
    </row>
    <row r="2092" spans="7:8" x14ac:dyDescent="0.3">
      <c r="G2092">
        <v>2085</v>
      </c>
      <c r="H2092">
        <f t="shared" ca="1" si="52"/>
        <v>-3.6247013826064045E-2</v>
      </c>
    </row>
    <row r="2093" spans="7:8" x14ac:dyDescent="0.3">
      <c r="G2093">
        <v>2086</v>
      </c>
      <c r="H2093">
        <f t="shared" ca="1" si="52"/>
        <v>4.5759915505511235E-4</v>
      </c>
    </row>
    <row r="2094" spans="7:8" x14ac:dyDescent="0.3">
      <c r="G2094">
        <v>2087</v>
      </c>
      <c r="H2094">
        <f t="shared" ca="1" si="52"/>
        <v>-9.4698703921877684E-3</v>
      </c>
    </row>
    <row r="2095" spans="7:8" x14ac:dyDescent="0.3">
      <c r="G2095">
        <v>2088</v>
      </c>
      <c r="H2095">
        <f t="shared" ca="1" si="52"/>
        <v>3.0210621463322238E-3</v>
      </c>
    </row>
    <row r="2096" spans="7:8" x14ac:dyDescent="0.3">
      <c r="G2096">
        <v>2089</v>
      </c>
      <c r="H2096">
        <f t="shared" ca="1" si="52"/>
        <v>1.027348037820636E-2</v>
      </c>
    </row>
    <row r="2097" spans="7:8" x14ac:dyDescent="0.3">
      <c r="G2097">
        <v>2090</v>
      </c>
      <c r="H2097">
        <f t="shared" ca="1" si="52"/>
        <v>-2.120148310954293E-2</v>
      </c>
    </row>
    <row r="2098" spans="7:8" x14ac:dyDescent="0.3">
      <c r="G2098">
        <v>2091</v>
      </c>
      <c r="H2098">
        <f t="shared" ca="1" si="52"/>
        <v>2.7351861220987969E-2</v>
      </c>
    </row>
    <row r="2099" spans="7:8" x14ac:dyDescent="0.3">
      <c r="G2099">
        <v>2092</v>
      </c>
      <c r="H2099">
        <f t="shared" ca="1" si="52"/>
        <v>1.1359504201317084E-2</v>
      </c>
    </row>
    <row r="2100" spans="7:8" x14ac:dyDescent="0.3">
      <c r="G2100">
        <v>2093</v>
      </c>
      <c r="H2100">
        <f t="shared" ca="1" si="52"/>
        <v>-1.1476299147697691E-2</v>
      </c>
    </row>
    <row r="2101" spans="7:8" x14ac:dyDescent="0.3">
      <c r="G2101">
        <v>2094</v>
      </c>
      <c r="H2101">
        <f t="shared" ca="1" si="52"/>
        <v>4.297656414081902E-3</v>
      </c>
    </row>
    <row r="2102" spans="7:8" x14ac:dyDescent="0.3">
      <c r="G2102">
        <v>2095</v>
      </c>
      <c r="H2102">
        <f t="shared" ca="1" si="52"/>
        <v>-3.5535982233630477E-2</v>
      </c>
    </row>
    <row r="2103" spans="7:8" x14ac:dyDescent="0.3">
      <c r="G2103">
        <v>2096</v>
      </c>
      <c r="H2103">
        <f t="shared" ca="1" si="52"/>
        <v>8.1271261968268189E-3</v>
      </c>
    </row>
    <row r="2104" spans="7:8" x14ac:dyDescent="0.3">
      <c r="G2104">
        <v>2097</v>
      </c>
      <c r="H2104">
        <f t="shared" ca="1" si="52"/>
        <v>-2.2661041933256895E-2</v>
      </c>
    </row>
    <row r="2105" spans="7:8" x14ac:dyDescent="0.3">
      <c r="G2105">
        <v>2098</v>
      </c>
      <c r="H2105">
        <f t="shared" ca="1" si="52"/>
        <v>-1.7482060916061862E-2</v>
      </c>
    </row>
    <row r="2106" spans="7:8" x14ac:dyDescent="0.3">
      <c r="G2106">
        <v>2099</v>
      </c>
      <c r="H2106">
        <f t="shared" ca="1" si="52"/>
        <v>-1.0898267177576208E-3</v>
      </c>
    </row>
    <row r="2107" spans="7:8" x14ac:dyDescent="0.3">
      <c r="G2107">
        <v>2100</v>
      </c>
      <c r="H2107">
        <f t="shared" ca="1" si="52"/>
        <v>-1.0155011128426183E-2</v>
      </c>
    </row>
    <row r="2108" spans="7:8" x14ac:dyDescent="0.3">
      <c r="G2108">
        <v>2101</v>
      </c>
      <c r="H2108">
        <f t="shared" ca="1" si="52"/>
        <v>9.1429169034489455E-4</v>
      </c>
    </row>
    <row r="2109" spans="7:8" x14ac:dyDescent="0.3">
      <c r="G2109">
        <v>2102</v>
      </c>
      <c r="H2109">
        <f t="shared" ca="1" si="52"/>
        <v>2.6429543504583146E-3</v>
      </c>
    </row>
    <row r="2110" spans="7:8" x14ac:dyDescent="0.3">
      <c r="G2110">
        <v>2103</v>
      </c>
      <c r="H2110">
        <f t="shared" ca="1" si="52"/>
        <v>-3.4629937895975314E-2</v>
      </c>
    </row>
    <row r="2111" spans="7:8" x14ac:dyDescent="0.3">
      <c r="G2111">
        <v>2104</v>
      </c>
      <c r="H2111">
        <f t="shared" ca="1" si="52"/>
        <v>4.7994604222244519E-4</v>
      </c>
    </row>
    <row r="2112" spans="7:8" x14ac:dyDescent="0.3">
      <c r="G2112">
        <v>2105</v>
      </c>
      <c r="H2112">
        <f t="shared" ca="1" si="52"/>
        <v>-1.5559496282343129E-2</v>
      </c>
    </row>
    <row r="2113" spans="7:8" x14ac:dyDescent="0.3">
      <c r="G2113">
        <v>2106</v>
      </c>
      <c r="H2113">
        <f t="shared" ca="1" si="52"/>
        <v>-3.541596204176075E-2</v>
      </c>
    </row>
    <row r="2114" spans="7:8" x14ac:dyDescent="0.3">
      <c r="G2114">
        <v>2107</v>
      </c>
      <c r="H2114">
        <f t="shared" ca="1" si="52"/>
        <v>-4.5531878180901011E-3</v>
      </c>
    </row>
    <row r="2115" spans="7:8" x14ac:dyDescent="0.3">
      <c r="G2115">
        <v>2108</v>
      </c>
      <c r="H2115">
        <f t="shared" ca="1" si="52"/>
        <v>-3.0329305731592302E-3</v>
      </c>
    </row>
    <row r="2116" spans="7:8" x14ac:dyDescent="0.3">
      <c r="G2116">
        <v>2109</v>
      </c>
      <c r="H2116">
        <f t="shared" ca="1" si="52"/>
        <v>1.1572512437774329E-3</v>
      </c>
    </row>
    <row r="2117" spans="7:8" x14ac:dyDescent="0.3">
      <c r="G2117">
        <v>2110</v>
      </c>
      <c r="H2117">
        <f t="shared" ca="1" si="52"/>
        <v>-8.3542994003020822E-3</v>
      </c>
    </row>
    <row r="2118" spans="7:8" x14ac:dyDescent="0.3">
      <c r="G2118">
        <v>2111</v>
      </c>
      <c r="H2118">
        <f t="shared" ca="1" si="52"/>
        <v>-3.2391663958710237E-2</v>
      </c>
    </row>
    <row r="2119" spans="7:8" x14ac:dyDescent="0.3">
      <c r="G2119">
        <v>2112</v>
      </c>
      <c r="H2119">
        <f t="shared" ca="1" si="52"/>
        <v>-2.4724253514358512E-3</v>
      </c>
    </row>
    <row r="2120" spans="7:8" x14ac:dyDescent="0.3">
      <c r="G2120">
        <v>2113</v>
      </c>
      <c r="H2120">
        <f t="shared" ca="1" si="52"/>
        <v>-1.0926701757865595E-2</v>
      </c>
    </row>
    <row r="2121" spans="7:8" x14ac:dyDescent="0.3">
      <c r="G2121">
        <v>2114</v>
      </c>
      <c r="H2121">
        <f t="shared" ref="H2121:H2184" ca="1" si="53">_xlfn.NORM.INV(RAND(),$N$10,$N$11)</f>
        <v>-2.7051487601402351E-3</v>
      </c>
    </row>
    <row r="2122" spans="7:8" x14ac:dyDescent="0.3">
      <c r="G2122">
        <v>2115</v>
      </c>
      <c r="H2122">
        <f t="shared" ca="1" si="53"/>
        <v>1.2002485216045891E-3</v>
      </c>
    </row>
    <row r="2123" spans="7:8" x14ac:dyDescent="0.3">
      <c r="G2123">
        <v>2116</v>
      </c>
      <c r="H2123">
        <f t="shared" ca="1" si="53"/>
        <v>2.6159656045254717E-2</v>
      </c>
    </row>
    <row r="2124" spans="7:8" x14ac:dyDescent="0.3">
      <c r="G2124">
        <v>2117</v>
      </c>
      <c r="H2124">
        <f t="shared" ca="1" si="53"/>
        <v>4.9391120983464952E-2</v>
      </c>
    </row>
    <row r="2125" spans="7:8" x14ac:dyDescent="0.3">
      <c r="G2125">
        <v>2118</v>
      </c>
      <c r="H2125">
        <f t="shared" ca="1" si="53"/>
        <v>-3.6044713853969908E-2</v>
      </c>
    </row>
    <row r="2126" spans="7:8" x14ac:dyDescent="0.3">
      <c r="G2126">
        <v>2119</v>
      </c>
      <c r="H2126">
        <f t="shared" ca="1" si="53"/>
        <v>5.5925358427202547E-3</v>
      </c>
    </row>
    <row r="2127" spans="7:8" x14ac:dyDescent="0.3">
      <c r="G2127">
        <v>2120</v>
      </c>
      <c r="H2127">
        <f t="shared" ca="1" si="53"/>
        <v>-2.5342323256206277E-3</v>
      </c>
    </row>
    <row r="2128" spans="7:8" x14ac:dyDescent="0.3">
      <c r="G2128">
        <v>2121</v>
      </c>
      <c r="H2128">
        <f t="shared" ca="1" si="53"/>
        <v>1.1178677935226975E-2</v>
      </c>
    </row>
    <row r="2129" spans="7:8" x14ac:dyDescent="0.3">
      <c r="G2129">
        <v>2122</v>
      </c>
      <c r="H2129">
        <f t="shared" ca="1" si="53"/>
        <v>4.3765792747789576E-3</v>
      </c>
    </row>
    <row r="2130" spans="7:8" x14ac:dyDescent="0.3">
      <c r="G2130">
        <v>2123</v>
      </c>
      <c r="H2130">
        <f t="shared" ca="1" si="53"/>
        <v>3.0570903848208271E-2</v>
      </c>
    </row>
    <row r="2131" spans="7:8" x14ac:dyDescent="0.3">
      <c r="G2131">
        <v>2124</v>
      </c>
      <c r="H2131">
        <f t="shared" ca="1" si="53"/>
        <v>2.0753489230287379E-3</v>
      </c>
    </row>
    <row r="2132" spans="7:8" x14ac:dyDescent="0.3">
      <c r="G2132">
        <v>2125</v>
      </c>
      <c r="H2132">
        <f t="shared" ca="1" si="53"/>
        <v>-2.6265467290162131E-2</v>
      </c>
    </row>
    <row r="2133" spans="7:8" x14ac:dyDescent="0.3">
      <c r="G2133">
        <v>2126</v>
      </c>
      <c r="H2133">
        <f t="shared" ca="1" si="53"/>
        <v>-1.4590917184843026E-2</v>
      </c>
    </row>
    <row r="2134" spans="7:8" x14ac:dyDescent="0.3">
      <c r="G2134">
        <v>2127</v>
      </c>
      <c r="H2134">
        <f t="shared" ca="1" si="53"/>
        <v>-1.6146216828256488E-3</v>
      </c>
    </row>
    <row r="2135" spans="7:8" x14ac:dyDescent="0.3">
      <c r="G2135">
        <v>2128</v>
      </c>
      <c r="H2135">
        <f t="shared" ca="1" si="53"/>
        <v>3.0963461365588179E-2</v>
      </c>
    </row>
    <row r="2136" spans="7:8" x14ac:dyDescent="0.3">
      <c r="G2136">
        <v>2129</v>
      </c>
      <c r="H2136">
        <f t="shared" ca="1" si="53"/>
        <v>3.595545026675008E-3</v>
      </c>
    </row>
    <row r="2137" spans="7:8" x14ac:dyDescent="0.3">
      <c r="G2137">
        <v>2130</v>
      </c>
      <c r="H2137">
        <f t="shared" ca="1" si="53"/>
        <v>2.4098812385919592E-2</v>
      </c>
    </row>
    <row r="2138" spans="7:8" x14ac:dyDescent="0.3">
      <c r="G2138">
        <v>2131</v>
      </c>
      <c r="H2138">
        <f t="shared" ca="1" si="53"/>
        <v>2.9472633523810687E-2</v>
      </c>
    </row>
    <row r="2139" spans="7:8" x14ac:dyDescent="0.3">
      <c r="G2139">
        <v>2132</v>
      </c>
      <c r="H2139">
        <f t="shared" ca="1" si="53"/>
        <v>-3.2259622274845817E-3</v>
      </c>
    </row>
    <row r="2140" spans="7:8" x14ac:dyDescent="0.3">
      <c r="G2140">
        <v>2133</v>
      </c>
      <c r="H2140">
        <f t="shared" ca="1" si="53"/>
        <v>4.9763609442526257E-3</v>
      </c>
    </row>
    <row r="2141" spans="7:8" x14ac:dyDescent="0.3">
      <c r="G2141">
        <v>2134</v>
      </c>
      <c r="H2141">
        <f t="shared" ca="1" si="53"/>
        <v>1.6662142837476315E-2</v>
      </c>
    </row>
    <row r="2142" spans="7:8" x14ac:dyDescent="0.3">
      <c r="G2142">
        <v>2135</v>
      </c>
      <c r="H2142">
        <f t="shared" ca="1" si="53"/>
        <v>-3.2507003062327231E-4</v>
      </c>
    </row>
    <row r="2143" spans="7:8" x14ac:dyDescent="0.3">
      <c r="G2143">
        <v>2136</v>
      </c>
      <c r="H2143">
        <f t="shared" ca="1" si="53"/>
        <v>1.2919614608216305E-3</v>
      </c>
    </row>
    <row r="2144" spans="7:8" x14ac:dyDescent="0.3">
      <c r="G2144">
        <v>2137</v>
      </c>
      <c r="H2144">
        <f t="shared" ca="1" si="53"/>
        <v>-1.79964402113377E-2</v>
      </c>
    </row>
    <row r="2145" spans="7:8" x14ac:dyDescent="0.3">
      <c r="G2145">
        <v>2138</v>
      </c>
      <c r="H2145">
        <f t="shared" ca="1" si="53"/>
        <v>-9.7794328035780628E-3</v>
      </c>
    </row>
    <row r="2146" spans="7:8" x14ac:dyDescent="0.3">
      <c r="G2146">
        <v>2139</v>
      </c>
      <c r="H2146">
        <f t="shared" ca="1" si="53"/>
        <v>-7.5086377056258374E-5</v>
      </c>
    </row>
    <row r="2147" spans="7:8" x14ac:dyDescent="0.3">
      <c r="G2147">
        <v>2140</v>
      </c>
      <c r="H2147">
        <f t="shared" ca="1" si="53"/>
        <v>-1.437722943044119E-2</v>
      </c>
    </row>
    <row r="2148" spans="7:8" x14ac:dyDescent="0.3">
      <c r="G2148">
        <v>2141</v>
      </c>
      <c r="H2148">
        <f t="shared" ca="1" si="53"/>
        <v>-2.007463864259593E-2</v>
      </c>
    </row>
    <row r="2149" spans="7:8" x14ac:dyDescent="0.3">
      <c r="G2149">
        <v>2142</v>
      </c>
      <c r="H2149">
        <f t="shared" ca="1" si="53"/>
        <v>1.7982775027589149E-2</v>
      </c>
    </row>
    <row r="2150" spans="7:8" x14ac:dyDescent="0.3">
      <c r="G2150">
        <v>2143</v>
      </c>
      <c r="H2150">
        <f t="shared" ca="1" si="53"/>
        <v>-3.2943628720522866E-2</v>
      </c>
    </row>
    <row r="2151" spans="7:8" x14ac:dyDescent="0.3">
      <c r="G2151">
        <v>2144</v>
      </c>
      <c r="H2151">
        <f t="shared" ca="1" si="53"/>
        <v>-9.3924196685947082E-3</v>
      </c>
    </row>
    <row r="2152" spans="7:8" x14ac:dyDescent="0.3">
      <c r="G2152">
        <v>2145</v>
      </c>
      <c r="H2152">
        <f t="shared" ca="1" si="53"/>
        <v>2.2425650798927614E-3</v>
      </c>
    </row>
    <row r="2153" spans="7:8" x14ac:dyDescent="0.3">
      <c r="G2153">
        <v>2146</v>
      </c>
      <c r="H2153">
        <f t="shared" ca="1" si="53"/>
        <v>8.9348731908565522E-3</v>
      </c>
    </row>
    <row r="2154" spans="7:8" x14ac:dyDescent="0.3">
      <c r="G2154">
        <v>2147</v>
      </c>
      <c r="H2154">
        <f t="shared" ca="1" si="53"/>
        <v>2.6233423503559325E-2</v>
      </c>
    </row>
    <row r="2155" spans="7:8" x14ac:dyDescent="0.3">
      <c r="G2155">
        <v>2148</v>
      </c>
      <c r="H2155">
        <f t="shared" ca="1" si="53"/>
        <v>-1.2636672271632782E-2</v>
      </c>
    </row>
    <row r="2156" spans="7:8" x14ac:dyDescent="0.3">
      <c r="G2156">
        <v>2149</v>
      </c>
      <c r="H2156">
        <f t="shared" ca="1" si="53"/>
        <v>3.3886123083839252E-2</v>
      </c>
    </row>
    <row r="2157" spans="7:8" x14ac:dyDescent="0.3">
      <c r="G2157">
        <v>2150</v>
      </c>
      <c r="H2157">
        <f t="shared" ca="1" si="53"/>
        <v>1.2830994823315959E-2</v>
      </c>
    </row>
    <row r="2158" spans="7:8" x14ac:dyDescent="0.3">
      <c r="G2158">
        <v>2151</v>
      </c>
      <c r="H2158">
        <f t="shared" ca="1" si="53"/>
        <v>-9.7133611332543852E-3</v>
      </c>
    </row>
    <row r="2159" spans="7:8" x14ac:dyDescent="0.3">
      <c r="G2159">
        <v>2152</v>
      </c>
      <c r="H2159">
        <f t="shared" ca="1" si="53"/>
        <v>-1.1341798169312736E-2</v>
      </c>
    </row>
    <row r="2160" spans="7:8" x14ac:dyDescent="0.3">
      <c r="G2160">
        <v>2153</v>
      </c>
      <c r="H2160">
        <f t="shared" ca="1" si="53"/>
        <v>4.6865167129534549E-3</v>
      </c>
    </row>
    <row r="2161" spans="7:8" x14ac:dyDescent="0.3">
      <c r="G2161">
        <v>2154</v>
      </c>
      <c r="H2161">
        <f t="shared" ca="1" si="53"/>
        <v>4.169126818174473E-3</v>
      </c>
    </row>
    <row r="2162" spans="7:8" x14ac:dyDescent="0.3">
      <c r="G2162">
        <v>2155</v>
      </c>
      <c r="H2162">
        <f t="shared" ca="1" si="53"/>
        <v>4.4841846737827453E-3</v>
      </c>
    </row>
    <row r="2163" spans="7:8" x14ac:dyDescent="0.3">
      <c r="G2163">
        <v>2156</v>
      </c>
      <c r="H2163">
        <f t="shared" ca="1" si="53"/>
        <v>-1.6071700802911925E-4</v>
      </c>
    </row>
    <row r="2164" spans="7:8" x14ac:dyDescent="0.3">
      <c r="G2164">
        <v>2157</v>
      </c>
      <c r="H2164">
        <f t="shared" ca="1" si="53"/>
        <v>-1.5660066386052853E-2</v>
      </c>
    </row>
    <row r="2165" spans="7:8" x14ac:dyDescent="0.3">
      <c r="G2165">
        <v>2158</v>
      </c>
      <c r="H2165">
        <f t="shared" ca="1" si="53"/>
        <v>-1.4007042267514059E-2</v>
      </c>
    </row>
    <row r="2166" spans="7:8" x14ac:dyDescent="0.3">
      <c r="G2166">
        <v>2159</v>
      </c>
      <c r="H2166">
        <f t="shared" ca="1" si="53"/>
        <v>6.7720954179328312E-3</v>
      </c>
    </row>
    <row r="2167" spans="7:8" x14ac:dyDescent="0.3">
      <c r="G2167">
        <v>2160</v>
      </c>
      <c r="H2167">
        <f t="shared" ca="1" si="53"/>
        <v>-9.4934507459304013E-3</v>
      </c>
    </row>
    <row r="2168" spans="7:8" x14ac:dyDescent="0.3">
      <c r="G2168">
        <v>2161</v>
      </c>
      <c r="H2168">
        <f t="shared" ca="1" si="53"/>
        <v>-1.0448709762704749E-2</v>
      </c>
    </row>
    <row r="2169" spans="7:8" x14ac:dyDescent="0.3">
      <c r="G2169">
        <v>2162</v>
      </c>
      <c r="H2169">
        <f t="shared" ca="1" si="53"/>
        <v>-1.2703720043494815E-2</v>
      </c>
    </row>
    <row r="2170" spans="7:8" x14ac:dyDescent="0.3">
      <c r="G2170">
        <v>2163</v>
      </c>
      <c r="H2170">
        <f t="shared" ca="1" si="53"/>
        <v>5.2832063996925607E-3</v>
      </c>
    </row>
    <row r="2171" spans="7:8" x14ac:dyDescent="0.3">
      <c r="G2171">
        <v>2164</v>
      </c>
      <c r="H2171">
        <f t="shared" ca="1" si="53"/>
        <v>-1.9273025794838926E-2</v>
      </c>
    </row>
    <row r="2172" spans="7:8" x14ac:dyDescent="0.3">
      <c r="G2172">
        <v>2165</v>
      </c>
      <c r="H2172">
        <f t="shared" ca="1" si="53"/>
        <v>-5.4172423630174599E-3</v>
      </c>
    </row>
    <row r="2173" spans="7:8" x14ac:dyDescent="0.3">
      <c r="G2173">
        <v>2166</v>
      </c>
      <c r="H2173">
        <f t="shared" ca="1" si="53"/>
        <v>1.4615563605184312E-3</v>
      </c>
    </row>
    <row r="2174" spans="7:8" x14ac:dyDescent="0.3">
      <c r="G2174">
        <v>2167</v>
      </c>
      <c r="H2174">
        <f t="shared" ca="1" si="53"/>
        <v>-2.341738782198759E-2</v>
      </c>
    </row>
    <row r="2175" spans="7:8" x14ac:dyDescent="0.3">
      <c r="G2175">
        <v>2168</v>
      </c>
      <c r="H2175">
        <f t="shared" ca="1" si="53"/>
        <v>-5.4807472423220325E-3</v>
      </c>
    </row>
    <row r="2176" spans="7:8" x14ac:dyDescent="0.3">
      <c r="G2176">
        <v>2169</v>
      </c>
      <c r="H2176">
        <f t="shared" ca="1" si="53"/>
        <v>1.1799951694768065E-2</v>
      </c>
    </row>
    <row r="2177" spans="7:8" x14ac:dyDescent="0.3">
      <c r="G2177">
        <v>2170</v>
      </c>
      <c r="H2177">
        <f t="shared" ca="1" si="53"/>
        <v>-1.1981751317186236E-2</v>
      </c>
    </row>
    <row r="2178" spans="7:8" x14ac:dyDescent="0.3">
      <c r="G2178">
        <v>2171</v>
      </c>
      <c r="H2178">
        <f t="shared" ca="1" si="53"/>
        <v>-1.2201128454623438E-2</v>
      </c>
    </row>
    <row r="2179" spans="7:8" x14ac:dyDescent="0.3">
      <c r="G2179">
        <v>2172</v>
      </c>
      <c r="H2179">
        <f t="shared" ca="1" si="53"/>
        <v>1.3072361183683785E-2</v>
      </c>
    </row>
    <row r="2180" spans="7:8" x14ac:dyDescent="0.3">
      <c r="G2180">
        <v>2173</v>
      </c>
      <c r="H2180">
        <f t="shared" ca="1" si="53"/>
        <v>-7.3575035760193039E-3</v>
      </c>
    </row>
    <row r="2181" spans="7:8" x14ac:dyDescent="0.3">
      <c r="G2181">
        <v>2174</v>
      </c>
      <c r="H2181">
        <f t="shared" ca="1" si="53"/>
        <v>4.1444929954281493E-3</v>
      </c>
    </row>
    <row r="2182" spans="7:8" x14ac:dyDescent="0.3">
      <c r="G2182">
        <v>2175</v>
      </c>
      <c r="H2182">
        <f t="shared" ca="1" si="53"/>
        <v>-2.2919648941499105E-2</v>
      </c>
    </row>
    <row r="2183" spans="7:8" x14ac:dyDescent="0.3">
      <c r="G2183">
        <v>2176</v>
      </c>
      <c r="H2183">
        <f t="shared" ca="1" si="53"/>
        <v>9.0689261135880658E-3</v>
      </c>
    </row>
    <row r="2184" spans="7:8" x14ac:dyDescent="0.3">
      <c r="G2184">
        <v>2177</v>
      </c>
      <c r="H2184">
        <f t="shared" ca="1" si="53"/>
        <v>-3.3361653745733348E-2</v>
      </c>
    </row>
    <row r="2185" spans="7:8" x14ac:dyDescent="0.3">
      <c r="G2185">
        <v>2178</v>
      </c>
      <c r="H2185">
        <f t="shared" ref="H2185:H2248" ca="1" si="54">_xlfn.NORM.INV(RAND(),$N$10,$N$11)</f>
        <v>4.129832322097083E-2</v>
      </c>
    </row>
    <row r="2186" spans="7:8" x14ac:dyDescent="0.3">
      <c r="G2186">
        <v>2179</v>
      </c>
      <c r="H2186">
        <f t="shared" ca="1" si="54"/>
        <v>1.0236332849562092E-2</v>
      </c>
    </row>
    <row r="2187" spans="7:8" x14ac:dyDescent="0.3">
      <c r="G2187">
        <v>2180</v>
      </c>
      <c r="H2187">
        <f t="shared" ca="1" si="54"/>
        <v>2.7944984275251574E-2</v>
      </c>
    </row>
    <row r="2188" spans="7:8" x14ac:dyDescent="0.3">
      <c r="G2188">
        <v>2181</v>
      </c>
      <c r="H2188">
        <f t="shared" ca="1" si="54"/>
        <v>8.5342330324663027E-3</v>
      </c>
    </row>
    <row r="2189" spans="7:8" x14ac:dyDescent="0.3">
      <c r="G2189">
        <v>2182</v>
      </c>
      <c r="H2189">
        <f t="shared" ca="1" si="54"/>
        <v>9.930532635139001E-3</v>
      </c>
    </row>
    <row r="2190" spans="7:8" x14ac:dyDescent="0.3">
      <c r="G2190">
        <v>2183</v>
      </c>
      <c r="H2190">
        <f t="shared" ca="1" si="54"/>
        <v>3.5450910175561707E-3</v>
      </c>
    </row>
    <row r="2191" spans="7:8" x14ac:dyDescent="0.3">
      <c r="G2191">
        <v>2184</v>
      </c>
      <c r="H2191">
        <f t="shared" ca="1" si="54"/>
        <v>6.5273086622412843E-3</v>
      </c>
    </row>
    <row r="2192" spans="7:8" x14ac:dyDescent="0.3">
      <c r="G2192">
        <v>2185</v>
      </c>
      <c r="H2192">
        <f t="shared" ca="1" si="54"/>
        <v>-9.4571681642142622E-4</v>
      </c>
    </row>
    <row r="2193" spans="7:8" x14ac:dyDescent="0.3">
      <c r="G2193">
        <v>2186</v>
      </c>
      <c r="H2193">
        <f t="shared" ca="1" si="54"/>
        <v>-7.1361193531644575E-3</v>
      </c>
    </row>
    <row r="2194" spans="7:8" x14ac:dyDescent="0.3">
      <c r="G2194">
        <v>2187</v>
      </c>
      <c r="H2194">
        <f t="shared" ca="1" si="54"/>
        <v>-1.8886358121752399E-2</v>
      </c>
    </row>
    <row r="2195" spans="7:8" x14ac:dyDescent="0.3">
      <c r="G2195">
        <v>2188</v>
      </c>
      <c r="H2195">
        <f t="shared" ca="1" si="54"/>
        <v>9.9437755271246601E-3</v>
      </c>
    </row>
    <row r="2196" spans="7:8" x14ac:dyDescent="0.3">
      <c r="G2196">
        <v>2189</v>
      </c>
      <c r="H2196">
        <f t="shared" ca="1" si="54"/>
        <v>6.0530737026278352E-3</v>
      </c>
    </row>
    <row r="2197" spans="7:8" x14ac:dyDescent="0.3">
      <c r="G2197">
        <v>2190</v>
      </c>
      <c r="H2197">
        <f t="shared" ca="1" si="54"/>
        <v>-6.4527513746316309E-3</v>
      </c>
    </row>
    <row r="2198" spans="7:8" x14ac:dyDescent="0.3">
      <c r="G2198">
        <v>2191</v>
      </c>
      <c r="H2198">
        <f t="shared" ca="1" si="54"/>
        <v>-5.4698192030752067E-3</v>
      </c>
    </row>
    <row r="2199" spans="7:8" x14ac:dyDescent="0.3">
      <c r="G2199">
        <v>2192</v>
      </c>
      <c r="H2199">
        <f t="shared" ca="1" si="54"/>
        <v>-9.7107948634976207E-3</v>
      </c>
    </row>
    <row r="2200" spans="7:8" x14ac:dyDescent="0.3">
      <c r="G2200">
        <v>2193</v>
      </c>
      <c r="H2200">
        <f t="shared" ca="1" si="54"/>
        <v>1.9876308200071451E-2</v>
      </c>
    </row>
    <row r="2201" spans="7:8" x14ac:dyDescent="0.3">
      <c r="G2201">
        <v>2194</v>
      </c>
      <c r="H2201">
        <f t="shared" ca="1" si="54"/>
        <v>9.735818746974375E-3</v>
      </c>
    </row>
    <row r="2202" spans="7:8" x14ac:dyDescent="0.3">
      <c r="G2202">
        <v>2195</v>
      </c>
      <c r="H2202">
        <f t="shared" ca="1" si="54"/>
        <v>8.9275613506916199E-4</v>
      </c>
    </row>
    <row r="2203" spans="7:8" x14ac:dyDescent="0.3">
      <c r="G2203">
        <v>2196</v>
      </c>
      <c r="H2203">
        <f t="shared" ca="1" si="54"/>
        <v>1.1505975861507619E-2</v>
      </c>
    </row>
    <row r="2204" spans="7:8" x14ac:dyDescent="0.3">
      <c r="G2204">
        <v>2197</v>
      </c>
      <c r="H2204">
        <f t="shared" ca="1" si="54"/>
        <v>-1.9474277854511526E-2</v>
      </c>
    </row>
    <row r="2205" spans="7:8" x14ac:dyDescent="0.3">
      <c r="G2205">
        <v>2198</v>
      </c>
      <c r="H2205">
        <f t="shared" ca="1" si="54"/>
        <v>1.5530892282072335E-2</v>
      </c>
    </row>
    <row r="2206" spans="7:8" x14ac:dyDescent="0.3">
      <c r="G2206">
        <v>2199</v>
      </c>
      <c r="H2206">
        <f t="shared" ca="1" si="54"/>
        <v>-9.6343217675449906E-3</v>
      </c>
    </row>
    <row r="2207" spans="7:8" x14ac:dyDescent="0.3">
      <c r="G2207">
        <v>2200</v>
      </c>
      <c r="H2207">
        <f t="shared" ca="1" si="54"/>
        <v>7.7108316643568278E-3</v>
      </c>
    </row>
    <row r="2208" spans="7:8" x14ac:dyDescent="0.3">
      <c r="G2208">
        <v>2201</v>
      </c>
      <c r="H2208">
        <f t="shared" ca="1" si="54"/>
        <v>3.9000613537465843E-3</v>
      </c>
    </row>
    <row r="2209" spans="7:8" x14ac:dyDescent="0.3">
      <c r="G2209">
        <v>2202</v>
      </c>
      <c r="H2209">
        <f t="shared" ca="1" si="54"/>
        <v>-6.6548933682057231E-3</v>
      </c>
    </row>
    <row r="2210" spans="7:8" x14ac:dyDescent="0.3">
      <c r="G2210">
        <v>2203</v>
      </c>
      <c r="H2210">
        <f t="shared" ca="1" si="54"/>
        <v>1.4118407339786733E-2</v>
      </c>
    </row>
    <row r="2211" spans="7:8" x14ac:dyDescent="0.3">
      <c r="G2211">
        <v>2204</v>
      </c>
      <c r="H2211">
        <f t="shared" ca="1" si="54"/>
        <v>2.6039068947955302E-3</v>
      </c>
    </row>
    <row r="2212" spans="7:8" x14ac:dyDescent="0.3">
      <c r="G2212">
        <v>2205</v>
      </c>
      <c r="H2212">
        <f t="shared" ca="1" si="54"/>
        <v>-6.4923615766099068E-3</v>
      </c>
    </row>
    <row r="2213" spans="7:8" x14ac:dyDescent="0.3">
      <c r="G2213">
        <v>2206</v>
      </c>
      <c r="H2213">
        <f t="shared" ca="1" si="54"/>
        <v>-1.3176324742733836E-2</v>
      </c>
    </row>
    <row r="2214" spans="7:8" x14ac:dyDescent="0.3">
      <c r="G2214">
        <v>2207</v>
      </c>
      <c r="H2214">
        <f t="shared" ca="1" si="54"/>
        <v>-5.2966687679003345E-3</v>
      </c>
    </row>
    <row r="2215" spans="7:8" x14ac:dyDescent="0.3">
      <c r="G2215">
        <v>2208</v>
      </c>
      <c r="H2215">
        <f t="shared" ca="1" si="54"/>
        <v>-1.4245421409828943E-2</v>
      </c>
    </row>
    <row r="2216" spans="7:8" x14ac:dyDescent="0.3">
      <c r="G2216">
        <v>2209</v>
      </c>
      <c r="H2216">
        <f t="shared" ca="1" si="54"/>
        <v>3.1496287544413495E-3</v>
      </c>
    </row>
    <row r="2217" spans="7:8" x14ac:dyDescent="0.3">
      <c r="G2217">
        <v>2210</v>
      </c>
      <c r="H2217">
        <f t="shared" ca="1" si="54"/>
        <v>-2.8368889081875994E-3</v>
      </c>
    </row>
    <row r="2218" spans="7:8" x14ac:dyDescent="0.3">
      <c r="G2218">
        <v>2211</v>
      </c>
      <c r="H2218">
        <f t="shared" ca="1" si="54"/>
        <v>1.890515070161981E-2</v>
      </c>
    </row>
    <row r="2219" spans="7:8" x14ac:dyDescent="0.3">
      <c r="G2219">
        <v>2212</v>
      </c>
      <c r="H2219">
        <f t="shared" ca="1" si="54"/>
        <v>-2.8970348051265939E-2</v>
      </c>
    </row>
    <row r="2220" spans="7:8" x14ac:dyDescent="0.3">
      <c r="G2220">
        <v>2213</v>
      </c>
      <c r="H2220">
        <f t="shared" ca="1" si="54"/>
        <v>1.3595818033490708E-2</v>
      </c>
    </row>
    <row r="2221" spans="7:8" x14ac:dyDescent="0.3">
      <c r="G2221">
        <v>2214</v>
      </c>
      <c r="H2221">
        <f t="shared" ca="1" si="54"/>
        <v>-2.0569082507823085E-2</v>
      </c>
    </row>
    <row r="2222" spans="7:8" x14ac:dyDescent="0.3">
      <c r="G2222">
        <v>2215</v>
      </c>
      <c r="H2222">
        <f t="shared" ca="1" si="54"/>
        <v>-1.8267574630831861E-2</v>
      </c>
    </row>
    <row r="2223" spans="7:8" x14ac:dyDescent="0.3">
      <c r="G2223">
        <v>2216</v>
      </c>
      <c r="H2223">
        <f t="shared" ca="1" si="54"/>
        <v>2.1440863248487978E-2</v>
      </c>
    </row>
    <row r="2224" spans="7:8" x14ac:dyDescent="0.3">
      <c r="G2224">
        <v>2217</v>
      </c>
      <c r="H2224">
        <f t="shared" ca="1" si="54"/>
        <v>-1.3470642712857016E-2</v>
      </c>
    </row>
    <row r="2225" spans="7:8" x14ac:dyDescent="0.3">
      <c r="G2225">
        <v>2218</v>
      </c>
      <c r="H2225">
        <f t="shared" ca="1" si="54"/>
        <v>-2.0531555650629585E-2</v>
      </c>
    </row>
    <row r="2226" spans="7:8" x14ac:dyDescent="0.3">
      <c r="G2226">
        <v>2219</v>
      </c>
      <c r="H2226">
        <f t="shared" ca="1" si="54"/>
        <v>-4.2221985628981766E-2</v>
      </c>
    </row>
    <row r="2227" spans="7:8" x14ac:dyDescent="0.3">
      <c r="G2227">
        <v>2220</v>
      </c>
      <c r="H2227">
        <f t="shared" ca="1" si="54"/>
        <v>-7.4542950524656825E-4</v>
      </c>
    </row>
    <row r="2228" spans="7:8" x14ac:dyDescent="0.3">
      <c r="G2228">
        <v>2221</v>
      </c>
      <c r="H2228">
        <f t="shared" ca="1" si="54"/>
        <v>7.3605976803492248E-3</v>
      </c>
    </row>
    <row r="2229" spans="7:8" x14ac:dyDescent="0.3">
      <c r="G2229">
        <v>2222</v>
      </c>
      <c r="H2229">
        <f t="shared" ca="1" si="54"/>
        <v>-7.6863643852150103E-3</v>
      </c>
    </row>
    <row r="2230" spans="7:8" x14ac:dyDescent="0.3">
      <c r="G2230">
        <v>2223</v>
      </c>
      <c r="H2230">
        <f t="shared" ca="1" si="54"/>
        <v>-3.4351612552551156E-3</v>
      </c>
    </row>
    <row r="2231" spans="7:8" x14ac:dyDescent="0.3">
      <c r="G2231">
        <v>2224</v>
      </c>
      <c r="H2231">
        <f t="shared" ca="1" si="54"/>
        <v>4.3685091266647234E-2</v>
      </c>
    </row>
    <row r="2232" spans="7:8" x14ac:dyDescent="0.3">
      <c r="G2232">
        <v>2225</v>
      </c>
      <c r="H2232">
        <f t="shared" ca="1" si="54"/>
        <v>-2.4361068302321013E-3</v>
      </c>
    </row>
    <row r="2233" spans="7:8" x14ac:dyDescent="0.3">
      <c r="G2233">
        <v>2226</v>
      </c>
      <c r="H2233">
        <f t="shared" ca="1" si="54"/>
        <v>2.3514545729048631E-3</v>
      </c>
    </row>
    <row r="2234" spans="7:8" x14ac:dyDescent="0.3">
      <c r="G2234">
        <v>2227</v>
      </c>
      <c r="H2234">
        <f t="shared" ca="1" si="54"/>
        <v>3.4511379859015243E-2</v>
      </c>
    </row>
    <row r="2235" spans="7:8" x14ac:dyDescent="0.3">
      <c r="G2235">
        <v>2228</v>
      </c>
      <c r="H2235">
        <f t="shared" ca="1" si="54"/>
        <v>1.2821707674162759E-2</v>
      </c>
    </row>
    <row r="2236" spans="7:8" x14ac:dyDescent="0.3">
      <c r="G2236">
        <v>2229</v>
      </c>
      <c r="H2236">
        <f t="shared" ca="1" si="54"/>
        <v>9.9634814667789035E-3</v>
      </c>
    </row>
    <row r="2237" spans="7:8" x14ac:dyDescent="0.3">
      <c r="G2237">
        <v>2230</v>
      </c>
      <c r="H2237">
        <f t="shared" ca="1" si="54"/>
        <v>-2.1753260489478933E-2</v>
      </c>
    </row>
    <row r="2238" spans="7:8" x14ac:dyDescent="0.3">
      <c r="G2238">
        <v>2231</v>
      </c>
      <c r="H2238">
        <f t="shared" ca="1" si="54"/>
        <v>-6.8230504266140178E-4</v>
      </c>
    </row>
    <row r="2239" spans="7:8" x14ac:dyDescent="0.3">
      <c r="G2239">
        <v>2232</v>
      </c>
      <c r="H2239">
        <f t="shared" ca="1" si="54"/>
        <v>-2.1149089937299241E-2</v>
      </c>
    </row>
    <row r="2240" spans="7:8" x14ac:dyDescent="0.3">
      <c r="G2240">
        <v>2233</v>
      </c>
      <c r="H2240">
        <f t="shared" ca="1" si="54"/>
        <v>2.8726010806189393E-2</v>
      </c>
    </row>
    <row r="2241" spans="7:8" x14ac:dyDescent="0.3">
      <c r="G2241">
        <v>2234</v>
      </c>
      <c r="H2241">
        <f t="shared" ca="1" si="54"/>
        <v>4.2033307723950645E-3</v>
      </c>
    </row>
    <row r="2242" spans="7:8" x14ac:dyDescent="0.3">
      <c r="G2242">
        <v>2235</v>
      </c>
      <c r="H2242">
        <f t="shared" ca="1" si="54"/>
        <v>-2.7467320666349646E-2</v>
      </c>
    </row>
    <row r="2243" spans="7:8" x14ac:dyDescent="0.3">
      <c r="G2243">
        <v>2236</v>
      </c>
      <c r="H2243">
        <f t="shared" ca="1" si="54"/>
        <v>2.4586386442030438E-2</v>
      </c>
    </row>
    <row r="2244" spans="7:8" x14ac:dyDescent="0.3">
      <c r="G2244">
        <v>2237</v>
      </c>
      <c r="H2244">
        <f t="shared" ca="1" si="54"/>
        <v>1.5196210885341213E-2</v>
      </c>
    </row>
    <row r="2245" spans="7:8" x14ac:dyDescent="0.3">
      <c r="G2245">
        <v>2238</v>
      </c>
      <c r="H2245">
        <f t="shared" ca="1" si="54"/>
        <v>1.9044013406064805E-2</v>
      </c>
    </row>
    <row r="2246" spans="7:8" x14ac:dyDescent="0.3">
      <c r="G2246">
        <v>2239</v>
      </c>
      <c r="H2246">
        <f t="shared" ca="1" si="54"/>
        <v>2.1747469794749386E-3</v>
      </c>
    </row>
    <row r="2247" spans="7:8" x14ac:dyDescent="0.3">
      <c r="G2247">
        <v>2240</v>
      </c>
      <c r="H2247">
        <f t="shared" ca="1" si="54"/>
        <v>3.7425633905687431E-3</v>
      </c>
    </row>
    <row r="2248" spans="7:8" x14ac:dyDescent="0.3">
      <c r="G2248">
        <v>2241</v>
      </c>
      <c r="H2248">
        <f t="shared" ca="1" si="54"/>
        <v>-1.0002223773863167E-2</v>
      </c>
    </row>
    <row r="2249" spans="7:8" x14ac:dyDescent="0.3">
      <c r="G2249">
        <v>2242</v>
      </c>
      <c r="H2249">
        <f t="shared" ref="H2249:H2312" ca="1" si="55">_xlfn.NORM.INV(RAND(),$N$10,$N$11)</f>
        <v>1.3080286341073171E-2</v>
      </c>
    </row>
    <row r="2250" spans="7:8" x14ac:dyDescent="0.3">
      <c r="G2250">
        <v>2243</v>
      </c>
      <c r="H2250">
        <f t="shared" ca="1" si="55"/>
        <v>-2.3273535717461845E-2</v>
      </c>
    </row>
    <row r="2251" spans="7:8" x14ac:dyDescent="0.3">
      <c r="G2251">
        <v>2244</v>
      </c>
      <c r="H2251">
        <f t="shared" ca="1" si="55"/>
        <v>7.6312902877391222E-3</v>
      </c>
    </row>
    <row r="2252" spans="7:8" x14ac:dyDescent="0.3">
      <c r="G2252">
        <v>2245</v>
      </c>
      <c r="H2252">
        <f t="shared" ca="1" si="55"/>
        <v>1.2229687777235359E-2</v>
      </c>
    </row>
    <row r="2253" spans="7:8" x14ac:dyDescent="0.3">
      <c r="G2253">
        <v>2246</v>
      </c>
      <c r="H2253">
        <f t="shared" ca="1" si="55"/>
        <v>2.7678058286146278E-4</v>
      </c>
    </row>
    <row r="2254" spans="7:8" x14ac:dyDescent="0.3">
      <c r="G2254">
        <v>2247</v>
      </c>
      <c r="H2254">
        <f t="shared" ca="1" si="55"/>
        <v>-3.9337424066441893E-3</v>
      </c>
    </row>
    <row r="2255" spans="7:8" x14ac:dyDescent="0.3">
      <c r="G2255">
        <v>2248</v>
      </c>
      <c r="H2255">
        <f t="shared" ca="1" si="55"/>
        <v>-3.0312075681725947E-2</v>
      </c>
    </row>
    <row r="2256" spans="7:8" x14ac:dyDescent="0.3">
      <c r="G2256">
        <v>2249</v>
      </c>
      <c r="H2256">
        <f t="shared" ca="1" si="55"/>
        <v>6.4235836911905727E-3</v>
      </c>
    </row>
    <row r="2257" spans="7:8" x14ac:dyDescent="0.3">
      <c r="G2257">
        <v>2250</v>
      </c>
      <c r="H2257">
        <f t="shared" ca="1" si="55"/>
        <v>2.5782794118144759E-3</v>
      </c>
    </row>
    <row r="2258" spans="7:8" x14ac:dyDescent="0.3">
      <c r="G2258">
        <v>2251</v>
      </c>
      <c r="H2258">
        <f t="shared" ca="1" si="55"/>
        <v>-1.4039134104217766E-2</v>
      </c>
    </row>
    <row r="2259" spans="7:8" x14ac:dyDescent="0.3">
      <c r="G2259">
        <v>2252</v>
      </c>
      <c r="H2259">
        <f t="shared" ca="1" si="55"/>
        <v>5.488382656528199E-3</v>
      </c>
    </row>
    <row r="2260" spans="7:8" x14ac:dyDescent="0.3">
      <c r="G2260">
        <v>2253</v>
      </c>
      <c r="H2260">
        <f t="shared" ca="1" si="55"/>
        <v>-1.2982601159186039E-2</v>
      </c>
    </row>
    <row r="2261" spans="7:8" x14ac:dyDescent="0.3">
      <c r="G2261">
        <v>2254</v>
      </c>
      <c r="H2261">
        <f t="shared" ca="1" si="55"/>
        <v>-3.6316861121680935E-2</v>
      </c>
    </row>
    <row r="2262" spans="7:8" x14ac:dyDescent="0.3">
      <c r="G2262">
        <v>2255</v>
      </c>
      <c r="H2262">
        <f t="shared" ca="1" si="55"/>
        <v>4.8217000116849248E-2</v>
      </c>
    </row>
    <row r="2263" spans="7:8" x14ac:dyDescent="0.3">
      <c r="G2263">
        <v>2256</v>
      </c>
      <c r="H2263">
        <f t="shared" ca="1" si="55"/>
        <v>-8.9717307004137988E-3</v>
      </c>
    </row>
    <row r="2264" spans="7:8" x14ac:dyDescent="0.3">
      <c r="G2264">
        <v>2257</v>
      </c>
      <c r="H2264">
        <f t="shared" ca="1" si="55"/>
        <v>-1.8021997102491097E-2</v>
      </c>
    </row>
    <row r="2265" spans="7:8" x14ac:dyDescent="0.3">
      <c r="G2265">
        <v>2258</v>
      </c>
      <c r="H2265">
        <f t="shared" ca="1" si="55"/>
        <v>3.9099133373327072E-2</v>
      </c>
    </row>
    <row r="2266" spans="7:8" x14ac:dyDescent="0.3">
      <c r="G2266">
        <v>2259</v>
      </c>
      <c r="H2266">
        <f t="shared" ca="1" si="55"/>
        <v>4.3516390816042191E-3</v>
      </c>
    </row>
    <row r="2267" spans="7:8" x14ac:dyDescent="0.3">
      <c r="G2267">
        <v>2260</v>
      </c>
      <c r="H2267">
        <f t="shared" ca="1" si="55"/>
        <v>-6.4102247763109053E-3</v>
      </c>
    </row>
    <row r="2268" spans="7:8" x14ac:dyDescent="0.3">
      <c r="G2268">
        <v>2261</v>
      </c>
      <c r="H2268">
        <f t="shared" ca="1" si="55"/>
        <v>-1.2623288591602238E-2</v>
      </c>
    </row>
    <row r="2269" spans="7:8" x14ac:dyDescent="0.3">
      <c r="G2269">
        <v>2262</v>
      </c>
      <c r="H2269">
        <f t="shared" ca="1" si="55"/>
        <v>5.8573344563426846E-3</v>
      </c>
    </row>
    <row r="2270" spans="7:8" x14ac:dyDescent="0.3">
      <c r="G2270">
        <v>2263</v>
      </c>
      <c r="H2270">
        <f t="shared" ca="1" si="55"/>
        <v>-3.1914528866701909E-2</v>
      </c>
    </row>
    <row r="2271" spans="7:8" x14ac:dyDescent="0.3">
      <c r="G2271">
        <v>2264</v>
      </c>
      <c r="H2271">
        <f t="shared" ca="1" si="55"/>
        <v>1.5978874715667016E-3</v>
      </c>
    </row>
    <row r="2272" spans="7:8" x14ac:dyDescent="0.3">
      <c r="G2272">
        <v>2265</v>
      </c>
      <c r="H2272">
        <f t="shared" ca="1" si="55"/>
        <v>-2.4166005479086393E-2</v>
      </c>
    </row>
    <row r="2273" spans="7:8" x14ac:dyDescent="0.3">
      <c r="G2273">
        <v>2266</v>
      </c>
      <c r="H2273">
        <f t="shared" ca="1" si="55"/>
        <v>1.6301489824855818E-2</v>
      </c>
    </row>
    <row r="2274" spans="7:8" x14ac:dyDescent="0.3">
      <c r="G2274">
        <v>2267</v>
      </c>
      <c r="H2274">
        <f t="shared" ca="1" si="55"/>
        <v>-1.1951098357854141E-2</v>
      </c>
    </row>
    <row r="2275" spans="7:8" x14ac:dyDescent="0.3">
      <c r="G2275">
        <v>2268</v>
      </c>
      <c r="H2275">
        <f t="shared" ca="1" si="55"/>
        <v>-3.0401571247057047E-2</v>
      </c>
    </row>
    <row r="2276" spans="7:8" x14ac:dyDescent="0.3">
      <c r="G2276">
        <v>2269</v>
      </c>
      <c r="H2276">
        <f t="shared" ca="1" si="55"/>
        <v>4.2516265964160881E-3</v>
      </c>
    </row>
    <row r="2277" spans="7:8" x14ac:dyDescent="0.3">
      <c r="G2277">
        <v>2270</v>
      </c>
      <c r="H2277">
        <f t="shared" ca="1" si="55"/>
        <v>2.9038376420692548E-2</v>
      </c>
    </row>
    <row r="2278" spans="7:8" x14ac:dyDescent="0.3">
      <c r="G2278">
        <v>2271</v>
      </c>
      <c r="H2278">
        <f t="shared" ca="1" si="55"/>
        <v>1.083058458699168E-2</v>
      </c>
    </row>
    <row r="2279" spans="7:8" x14ac:dyDescent="0.3">
      <c r="G2279">
        <v>2272</v>
      </c>
      <c r="H2279">
        <f t="shared" ca="1" si="55"/>
        <v>2.0417570270066898E-3</v>
      </c>
    </row>
    <row r="2280" spans="7:8" x14ac:dyDescent="0.3">
      <c r="G2280">
        <v>2273</v>
      </c>
      <c r="H2280">
        <f t="shared" ca="1" si="55"/>
        <v>1.2765490600688876E-2</v>
      </c>
    </row>
    <row r="2281" spans="7:8" x14ac:dyDescent="0.3">
      <c r="G2281">
        <v>2274</v>
      </c>
      <c r="H2281">
        <f t="shared" ca="1" si="55"/>
        <v>2.9930528499911226E-3</v>
      </c>
    </row>
    <row r="2282" spans="7:8" x14ac:dyDescent="0.3">
      <c r="G2282">
        <v>2275</v>
      </c>
      <c r="H2282">
        <f t="shared" ca="1" si="55"/>
        <v>1.5873006800678095E-2</v>
      </c>
    </row>
    <row r="2283" spans="7:8" x14ac:dyDescent="0.3">
      <c r="G2283">
        <v>2276</v>
      </c>
      <c r="H2283">
        <f t="shared" ca="1" si="55"/>
        <v>1.451716819525156E-2</v>
      </c>
    </row>
    <row r="2284" spans="7:8" x14ac:dyDescent="0.3">
      <c r="G2284">
        <v>2277</v>
      </c>
      <c r="H2284">
        <f t="shared" ca="1" si="55"/>
        <v>-4.7631082238266557E-2</v>
      </c>
    </row>
    <row r="2285" spans="7:8" x14ac:dyDescent="0.3">
      <c r="G2285">
        <v>2278</v>
      </c>
      <c r="H2285">
        <f t="shared" ca="1" si="55"/>
        <v>2.0288078548240041E-2</v>
      </c>
    </row>
    <row r="2286" spans="7:8" x14ac:dyDescent="0.3">
      <c r="G2286">
        <v>2279</v>
      </c>
      <c r="H2286">
        <f t="shared" ca="1" si="55"/>
        <v>-2.103067037072372E-2</v>
      </c>
    </row>
    <row r="2287" spans="7:8" x14ac:dyDescent="0.3">
      <c r="G2287">
        <v>2280</v>
      </c>
      <c r="H2287">
        <f t="shared" ca="1" si="55"/>
        <v>-1.3758645696422489E-2</v>
      </c>
    </row>
    <row r="2288" spans="7:8" x14ac:dyDescent="0.3">
      <c r="G2288">
        <v>2281</v>
      </c>
      <c r="H2288">
        <f t="shared" ca="1" si="55"/>
        <v>-1.406048894483092E-2</v>
      </c>
    </row>
    <row r="2289" spans="7:8" x14ac:dyDescent="0.3">
      <c r="G2289">
        <v>2282</v>
      </c>
      <c r="H2289">
        <f t="shared" ca="1" si="55"/>
        <v>-1.256491696686296E-2</v>
      </c>
    </row>
    <row r="2290" spans="7:8" x14ac:dyDescent="0.3">
      <c r="G2290">
        <v>2283</v>
      </c>
      <c r="H2290">
        <f t="shared" ca="1" si="55"/>
        <v>-2.226899652922425E-2</v>
      </c>
    </row>
    <row r="2291" spans="7:8" x14ac:dyDescent="0.3">
      <c r="G2291">
        <v>2284</v>
      </c>
      <c r="H2291">
        <f t="shared" ca="1" si="55"/>
        <v>-1.1940393470895535E-2</v>
      </c>
    </row>
    <row r="2292" spans="7:8" x14ac:dyDescent="0.3">
      <c r="G2292">
        <v>2285</v>
      </c>
      <c r="H2292">
        <f t="shared" ca="1" si="55"/>
        <v>9.3545564173306527E-3</v>
      </c>
    </row>
    <row r="2293" spans="7:8" x14ac:dyDescent="0.3">
      <c r="G2293">
        <v>2286</v>
      </c>
      <c r="H2293">
        <f t="shared" ca="1" si="55"/>
        <v>3.1311939154552722E-2</v>
      </c>
    </row>
    <row r="2294" spans="7:8" x14ac:dyDescent="0.3">
      <c r="G2294">
        <v>2287</v>
      </c>
      <c r="H2294">
        <f t="shared" ca="1" si="55"/>
        <v>-2.3678513783586798E-2</v>
      </c>
    </row>
    <row r="2295" spans="7:8" x14ac:dyDescent="0.3">
      <c r="G2295">
        <v>2288</v>
      </c>
      <c r="H2295">
        <f t="shared" ca="1" si="55"/>
        <v>2.8823666981543518E-2</v>
      </c>
    </row>
    <row r="2296" spans="7:8" x14ac:dyDescent="0.3">
      <c r="G2296">
        <v>2289</v>
      </c>
      <c r="H2296">
        <f t="shared" ca="1" si="55"/>
        <v>-1.4704414404544992E-2</v>
      </c>
    </row>
    <row r="2297" spans="7:8" x14ac:dyDescent="0.3">
      <c r="G2297">
        <v>2290</v>
      </c>
      <c r="H2297">
        <f t="shared" ca="1" si="55"/>
        <v>2.0340248506973352E-3</v>
      </c>
    </row>
    <row r="2298" spans="7:8" x14ac:dyDescent="0.3">
      <c r="G2298">
        <v>2291</v>
      </c>
      <c r="H2298">
        <f t="shared" ca="1" si="55"/>
        <v>-2.6558553447768384E-2</v>
      </c>
    </row>
    <row r="2299" spans="7:8" x14ac:dyDescent="0.3">
      <c r="G2299">
        <v>2292</v>
      </c>
      <c r="H2299">
        <f t="shared" ca="1" si="55"/>
        <v>-1.1018801353539429E-2</v>
      </c>
    </row>
    <row r="2300" spans="7:8" x14ac:dyDescent="0.3">
      <c r="G2300">
        <v>2293</v>
      </c>
      <c r="H2300">
        <f t="shared" ca="1" si="55"/>
        <v>2.8551522924709243E-3</v>
      </c>
    </row>
    <row r="2301" spans="7:8" x14ac:dyDescent="0.3">
      <c r="G2301">
        <v>2294</v>
      </c>
      <c r="H2301">
        <f t="shared" ca="1" si="55"/>
        <v>1.9573300395679158E-2</v>
      </c>
    </row>
    <row r="2302" spans="7:8" x14ac:dyDescent="0.3">
      <c r="G2302">
        <v>2295</v>
      </c>
      <c r="H2302">
        <f t="shared" ca="1" si="55"/>
        <v>-1.147662208679621E-2</v>
      </c>
    </row>
    <row r="2303" spans="7:8" x14ac:dyDescent="0.3">
      <c r="G2303">
        <v>2296</v>
      </c>
      <c r="H2303">
        <f t="shared" ca="1" si="55"/>
        <v>1.5276080612306344E-2</v>
      </c>
    </row>
    <row r="2304" spans="7:8" x14ac:dyDescent="0.3">
      <c r="G2304">
        <v>2297</v>
      </c>
      <c r="H2304">
        <f t="shared" ca="1" si="55"/>
        <v>-1.6388935140536999E-2</v>
      </c>
    </row>
    <row r="2305" spans="7:8" x14ac:dyDescent="0.3">
      <c r="G2305">
        <v>2298</v>
      </c>
      <c r="H2305">
        <f t="shared" ca="1" si="55"/>
        <v>-3.2896253754485072E-2</v>
      </c>
    </row>
    <row r="2306" spans="7:8" x14ac:dyDescent="0.3">
      <c r="G2306">
        <v>2299</v>
      </c>
      <c r="H2306">
        <f t="shared" ca="1" si="55"/>
        <v>-4.2855572250482714E-3</v>
      </c>
    </row>
    <row r="2307" spans="7:8" x14ac:dyDescent="0.3">
      <c r="G2307">
        <v>2300</v>
      </c>
      <c r="H2307">
        <f t="shared" ca="1" si="55"/>
        <v>3.5079486221836599E-3</v>
      </c>
    </row>
    <row r="2308" spans="7:8" x14ac:dyDescent="0.3">
      <c r="G2308">
        <v>2301</v>
      </c>
      <c r="H2308">
        <f t="shared" ca="1" si="55"/>
        <v>2.3094095057923446E-2</v>
      </c>
    </row>
    <row r="2309" spans="7:8" x14ac:dyDescent="0.3">
      <c r="G2309">
        <v>2302</v>
      </c>
      <c r="H2309">
        <f t="shared" ca="1" si="55"/>
        <v>2.2505260850648717E-2</v>
      </c>
    </row>
    <row r="2310" spans="7:8" x14ac:dyDescent="0.3">
      <c r="G2310">
        <v>2303</v>
      </c>
      <c r="H2310">
        <f t="shared" ca="1" si="55"/>
        <v>-3.277046429330827E-3</v>
      </c>
    </row>
    <row r="2311" spans="7:8" x14ac:dyDescent="0.3">
      <c r="G2311">
        <v>2304</v>
      </c>
      <c r="H2311">
        <f t="shared" ca="1" si="55"/>
        <v>1.6761533814370268E-2</v>
      </c>
    </row>
    <row r="2312" spans="7:8" x14ac:dyDescent="0.3">
      <c r="G2312">
        <v>2305</v>
      </c>
      <c r="H2312">
        <f t="shared" ca="1" si="55"/>
        <v>6.4233303226828636E-3</v>
      </c>
    </row>
    <row r="2313" spans="7:8" x14ac:dyDescent="0.3">
      <c r="G2313">
        <v>2306</v>
      </c>
      <c r="H2313">
        <f t="shared" ref="H2313:H2376" ca="1" si="56">_xlfn.NORM.INV(RAND(),$N$10,$N$11)</f>
        <v>-3.2813042579054076E-3</v>
      </c>
    </row>
    <row r="2314" spans="7:8" x14ac:dyDescent="0.3">
      <c r="G2314">
        <v>2307</v>
      </c>
      <c r="H2314">
        <f t="shared" ca="1" si="56"/>
        <v>-6.3639925584482396E-3</v>
      </c>
    </row>
    <row r="2315" spans="7:8" x14ac:dyDescent="0.3">
      <c r="G2315">
        <v>2308</v>
      </c>
      <c r="H2315">
        <f t="shared" ca="1" si="56"/>
        <v>-6.9680852993222585E-3</v>
      </c>
    </row>
    <row r="2316" spans="7:8" x14ac:dyDescent="0.3">
      <c r="G2316">
        <v>2309</v>
      </c>
      <c r="H2316">
        <f t="shared" ca="1" si="56"/>
        <v>-8.3829879521784625E-3</v>
      </c>
    </row>
    <row r="2317" spans="7:8" x14ac:dyDescent="0.3">
      <c r="G2317">
        <v>2310</v>
      </c>
      <c r="H2317">
        <f t="shared" ca="1" si="56"/>
        <v>-1.4190347882335431E-2</v>
      </c>
    </row>
    <row r="2318" spans="7:8" x14ac:dyDescent="0.3">
      <c r="G2318">
        <v>2311</v>
      </c>
      <c r="H2318">
        <f t="shared" ca="1" si="56"/>
        <v>2.6051139080732168E-2</v>
      </c>
    </row>
    <row r="2319" spans="7:8" x14ac:dyDescent="0.3">
      <c r="G2319">
        <v>2312</v>
      </c>
      <c r="H2319">
        <f t="shared" ca="1" si="56"/>
        <v>1.2622360670908942E-2</v>
      </c>
    </row>
    <row r="2320" spans="7:8" x14ac:dyDescent="0.3">
      <c r="G2320">
        <v>2313</v>
      </c>
      <c r="H2320">
        <f t="shared" ca="1" si="56"/>
        <v>1.109662963229296E-2</v>
      </c>
    </row>
    <row r="2321" spans="7:8" x14ac:dyDescent="0.3">
      <c r="G2321">
        <v>2314</v>
      </c>
      <c r="H2321">
        <f t="shared" ca="1" si="56"/>
        <v>2.4578716273584681E-3</v>
      </c>
    </row>
    <row r="2322" spans="7:8" x14ac:dyDescent="0.3">
      <c r="G2322">
        <v>2315</v>
      </c>
      <c r="H2322">
        <f t="shared" ca="1" si="56"/>
        <v>1.0905644413675209E-2</v>
      </c>
    </row>
    <row r="2323" spans="7:8" x14ac:dyDescent="0.3">
      <c r="G2323">
        <v>2316</v>
      </c>
      <c r="H2323">
        <f t="shared" ca="1" si="56"/>
        <v>5.6722822030556806E-3</v>
      </c>
    </row>
    <row r="2324" spans="7:8" x14ac:dyDescent="0.3">
      <c r="G2324">
        <v>2317</v>
      </c>
      <c r="H2324">
        <f t="shared" ca="1" si="56"/>
        <v>2.2813347896562555E-2</v>
      </c>
    </row>
    <row r="2325" spans="7:8" x14ac:dyDescent="0.3">
      <c r="G2325">
        <v>2318</v>
      </c>
      <c r="H2325">
        <f t="shared" ca="1" si="56"/>
        <v>-1.3262944969644596E-2</v>
      </c>
    </row>
    <row r="2326" spans="7:8" x14ac:dyDescent="0.3">
      <c r="G2326">
        <v>2319</v>
      </c>
      <c r="H2326">
        <f t="shared" ca="1" si="56"/>
        <v>3.1324614940444759E-3</v>
      </c>
    </row>
    <row r="2327" spans="7:8" x14ac:dyDescent="0.3">
      <c r="G2327">
        <v>2320</v>
      </c>
      <c r="H2327">
        <f t="shared" ca="1" si="56"/>
        <v>1.4511448269331565E-2</v>
      </c>
    </row>
    <row r="2328" spans="7:8" x14ac:dyDescent="0.3">
      <c r="G2328">
        <v>2321</v>
      </c>
      <c r="H2328">
        <f t="shared" ca="1" si="56"/>
        <v>6.4383033037004522E-3</v>
      </c>
    </row>
    <row r="2329" spans="7:8" x14ac:dyDescent="0.3">
      <c r="G2329">
        <v>2322</v>
      </c>
      <c r="H2329">
        <f t="shared" ca="1" si="56"/>
        <v>4.8791639315111379E-3</v>
      </c>
    </row>
    <row r="2330" spans="7:8" x14ac:dyDescent="0.3">
      <c r="G2330">
        <v>2323</v>
      </c>
      <c r="H2330">
        <f t="shared" ca="1" si="56"/>
        <v>3.1130999041274476E-2</v>
      </c>
    </row>
    <row r="2331" spans="7:8" x14ac:dyDescent="0.3">
      <c r="G2331">
        <v>2324</v>
      </c>
      <c r="H2331">
        <f t="shared" ca="1" si="56"/>
        <v>-8.251009897592271E-4</v>
      </c>
    </row>
    <row r="2332" spans="7:8" x14ac:dyDescent="0.3">
      <c r="G2332">
        <v>2325</v>
      </c>
      <c r="H2332">
        <f t="shared" ca="1" si="56"/>
        <v>-2.2853228948457413E-2</v>
      </c>
    </row>
    <row r="2333" spans="7:8" x14ac:dyDescent="0.3">
      <c r="G2333">
        <v>2326</v>
      </c>
      <c r="H2333">
        <f t="shared" ca="1" si="56"/>
        <v>8.3681739019522347E-3</v>
      </c>
    </row>
    <row r="2334" spans="7:8" x14ac:dyDescent="0.3">
      <c r="G2334">
        <v>2327</v>
      </c>
      <c r="H2334">
        <f t="shared" ca="1" si="56"/>
        <v>-1.7441324879086183E-2</v>
      </c>
    </row>
    <row r="2335" spans="7:8" x14ac:dyDescent="0.3">
      <c r="G2335">
        <v>2328</v>
      </c>
      <c r="H2335">
        <f t="shared" ca="1" si="56"/>
        <v>-1.9239624175711522E-2</v>
      </c>
    </row>
    <row r="2336" spans="7:8" x14ac:dyDescent="0.3">
      <c r="G2336">
        <v>2329</v>
      </c>
      <c r="H2336">
        <f t="shared" ca="1" si="56"/>
        <v>-1.3753774140837989E-2</v>
      </c>
    </row>
    <row r="2337" spans="7:8" x14ac:dyDescent="0.3">
      <c r="G2337">
        <v>2330</v>
      </c>
      <c r="H2337">
        <f t="shared" ca="1" si="56"/>
        <v>-3.7261602278151644E-3</v>
      </c>
    </row>
    <row r="2338" spans="7:8" x14ac:dyDescent="0.3">
      <c r="G2338">
        <v>2331</v>
      </c>
      <c r="H2338">
        <f t="shared" ca="1" si="56"/>
        <v>1.5534784786944715E-3</v>
      </c>
    </row>
    <row r="2339" spans="7:8" x14ac:dyDescent="0.3">
      <c r="G2339">
        <v>2332</v>
      </c>
      <c r="H2339">
        <f t="shared" ca="1" si="56"/>
        <v>-7.0517907447695148E-3</v>
      </c>
    </row>
    <row r="2340" spans="7:8" x14ac:dyDescent="0.3">
      <c r="G2340">
        <v>2333</v>
      </c>
      <c r="H2340">
        <f t="shared" ca="1" si="56"/>
        <v>-2.165618943444584E-2</v>
      </c>
    </row>
    <row r="2341" spans="7:8" x14ac:dyDescent="0.3">
      <c r="G2341">
        <v>2334</v>
      </c>
      <c r="H2341">
        <f t="shared" ca="1" si="56"/>
        <v>3.5566734122803832E-2</v>
      </c>
    </row>
    <row r="2342" spans="7:8" x14ac:dyDescent="0.3">
      <c r="G2342">
        <v>2335</v>
      </c>
      <c r="H2342">
        <f t="shared" ca="1" si="56"/>
        <v>4.337496382433545E-2</v>
      </c>
    </row>
    <row r="2343" spans="7:8" x14ac:dyDescent="0.3">
      <c r="G2343">
        <v>2336</v>
      </c>
      <c r="H2343">
        <f t="shared" ca="1" si="56"/>
        <v>2.1530783744663762E-2</v>
      </c>
    </row>
    <row r="2344" spans="7:8" x14ac:dyDescent="0.3">
      <c r="G2344">
        <v>2337</v>
      </c>
      <c r="H2344">
        <f t="shared" ca="1" si="56"/>
        <v>1.0141112607251741E-2</v>
      </c>
    </row>
    <row r="2345" spans="7:8" x14ac:dyDescent="0.3">
      <c r="G2345">
        <v>2338</v>
      </c>
      <c r="H2345">
        <f t="shared" ca="1" si="56"/>
        <v>-7.8385062373207033E-3</v>
      </c>
    </row>
    <row r="2346" spans="7:8" x14ac:dyDescent="0.3">
      <c r="G2346">
        <v>2339</v>
      </c>
      <c r="H2346">
        <f t="shared" ca="1" si="56"/>
        <v>-1.6966261473870439E-2</v>
      </c>
    </row>
    <row r="2347" spans="7:8" x14ac:dyDescent="0.3">
      <c r="G2347">
        <v>2340</v>
      </c>
      <c r="H2347">
        <f t="shared" ca="1" si="56"/>
        <v>-8.084095242664853E-3</v>
      </c>
    </row>
    <row r="2348" spans="7:8" x14ac:dyDescent="0.3">
      <c r="G2348">
        <v>2341</v>
      </c>
      <c r="H2348">
        <f t="shared" ca="1" si="56"/>
        <v>1.0986000081614477E-2</v>
      </c>
    </row>
    <row r="2349" spans="7:8" x14ac:dyDescent="0.3">
      <c r="G2349">
        <v>2342</v>
      </c>
      <c r="H2349">
        <f t="shared" ca="1" si="56"/>
        <v>1.661799484261121E-2</v>
      </c>
    </row>
    <row r="2350" spans="7:8" x14ac:dyDescent="0.3">
      <c r="G2350">
        <v>2343</v>
      </c>
      <c r="H2350">
        <f t="shared" ca="1" si="56"/>
        <v>-6.592991241903285E-4</v>
      </c>
    </row>
    <row r="2351" spans="7:8" x14ac:dyDescent="0.3">
      <c r="G2351">
        <v>2344</v>
      </c>
      <c r="H2351">
        <f t="shared" ca="1" si="56"/>
        <v>-2.652310716244783E-2</v>
      </c>
    </row>
    <row r="2352" spans="7:8" x14ac:dyDescent="0.3">
      <c r="G2352">
        <v>2345</v>
      </c>
      <c r="H2352">
        <f t="shared" ca="1" si="56"/>
        <v>-3.7753268193847098E-2</v>
      </c>
    </row>
    <row r="2353" spans="7:8" x14ac:dyDescent="0.3">
      <c r="G2353">
        <v>2346</v>
      </c>
      <c r="H2353">
        <f t="shared" ca="1" si="56"/>
        <v>-2.0442458316028918E-2</v>
      </c>
    </row>
    <row r="2354" spans="7:8" x14ac:dyDescent="0.3">
      <c r="G2354">
        <v>2347</v>
      </c>
      <c r="H2354">
        <f t="shared" ca="1" si="56"/>
        <v>-1.2229961968124621E-2</v>
      </c>
    </row>
    <row r="2355" spans="7:8" x14ac:dyDescent="0.3">
      <c r="G2355">
        <v>2348</v>
      </c>
      <c r="H2355">
        <f t="shared" ca="1" si="56"/>
        <v>2.1153071640600058E-2</v>
      </c>
    </row>
    <row r="2356" spans="7:8" x14ac:dyDescent="0.3">
      <c r="G2356">
        <v>2349</v>
      </c>
      <c r="H2356">
        <f t="shared" ca="1" si="56"/>
        <v>-3.2479922809126864E-2</v>
      </c>
    </row>
    <row r="2357" spans="7:8" x14ac:dyDescent="0.3">
      <c r="G2357">
        <v>2350</v>
      </c>
      <c r="H2357">
        <f t="shared" ca="1" si="56"/>
        <v>-1.7441071225265697E-2</v>
      </c>
    </row>
    <row r="2358" spans="7:8" x14ac:dyDescent="0.3">
      <c r="G2358">
        <v>2351</v>
      </c>
      <c r="H2358">
        <f t="shared" ca="1" si="56"/>
        <v>7.8409594495715794E-3</v>
      </c>
    </row>
    <row r="2359" spans="7:8" x14ac:dyDescent="0.3">
      <c r="G2359">
        <v>2352</v>
      </c>
      <c r="H2359">
        <f t="shared" ca="1" si="56"/>
        <v>3.8693033703486334E-3</v>
      </c>
    </row>
    <row r="2360" spans="7:8" x14ac:dyDescent="0.3">
      <c r="G2360">
        <v>2353</v>
      </c>
      <c r="H2360">
        <f t="shared" ca="1" si="56"/>
        <v>-1.8243836246192337E-2</v>
      </c>
    </row>
    <row r="2361" spans="7:8" x14ac:dyDescent="0.3">
      <c r="G2361">
        <v>2354</v>
      </c>
      <c r="H2361">
        <f t="shared" ca="1" si="56"/>
        <v>-7.9192567403834433E-3</v>
      </c>
    </row>
    <row r="2362" spans="7:8" x14ac:dyDescent="0.3">
      <c r="G2362">
        <v>2355</v>
      </c>
      <c r="H2362">
        <f t="shared" ca="1" si="56"/>
        <v>-9.7159966219296529E-3</v>
      </c>
    </row>
    <row r="2363" spans="7:8" x14ac:dyDescent="0.3">
      <c r="G2363">
        <v>2356</v>
      </c>
      <c r="H2363">
        <f t="shared" ca="1" si="56"/>
        <v>1.9071627627075646E-3</v>
      </c>
    </row>
    <row r="2364" spans="7:8" x14ac:dyDescent="0.3">
      <c r="G2364">
        <v>2357</v>
      </c>
      <c r="H2364">
        <f t="shared" ca="1" si="56"/>
        <v>1.6325484116314206E-2</v>
      </c>
    </row>
    <row r="2365" spans="7:8" x14ac:dyDescent="0.3">
      <c r="G2365">
        <v>2358</v>
      </c>
      <c r="H2365">
        <f t="shared" ca="1" si="56"/>
        <v>1.7106117266801134E-2</v>
      </c>
    </row>
    <row r="2366" spans="7:8" x14ac:dyDescent="0.3">
      <c r="G2366">
        <v>2359</v>
      </c>
      <c r="H2366">
        <f t="shared" ca="1" si="56"/>
        <v>-1.8830517271124694E-3</v>
      </c>
    </row>
    <row r="2367" spans="7:8" x14ac:dyDescent="0.3">
      <c r="G2367">
        <v>2360</v>
      </c>
      <c r="H2367">
        <f t="shared" ca="1" si="56"/>
        <v>-1.1742419693683689E-2</v>
      </c>
    </row>
    <row r="2368" spans="7:8" x14ac:dyDescent="0.3">
      <c r="G2368">
        <v>2361</v>
      </c>
      <c r="H2368">
        <f t="shared" ca="1" si="56"/>
        <v>1.1787963498780455E-2</v>
      </c>
    </row>
    <row r="2369" spans="7:8" x14ac:dyDescent="0.3">
      <c r="G2369">
        <v>2362</v>
      </c>
      <c r="H2369">
        <f t="shared" ca="1" si="56"/>
        <v>-1.0351604563111049E-2</v>
      </c>
    </row>
    <row r="2370" spans="7:8" x14ac:dyDescent="0.3">
      <c r="G2370">
        <v>2363</v>
      </c>
      <c r="H2370">
        <f t="shared" ca="1" si="56"/>
        <v>-5.264480609045709E-3</v>
      </c>
    </row>
    <row r="2371" spans="7:8" x14ac:dyDescent="0.3">
      <c r="G2371">
        <v>2364</v>
      </c>
      <c r="H2371">
        <f t="shared" ca="1" si="56"/>
        <v>-8.1816987598513843E-3</v>
      </c>
    </row>
    <row r="2372" spans="7:8" x14ac:dyDescent="0.3">
      <c r="G2372">
        <v>2365</v>
      </c>
      <c r="H2372">
        <f t="shared" ca="1" si="56"/>
        <v>-1.3141738541863459E-2</v>
      </c>
    </row>
    <row r="2373" spans="7:8" x14ac:dyDescent="0.3">
      <c r="G2373">
        <v>2366</v>
      </c>
      <c r="H2373">
        <f t="shared" ca="1" si="56"/>
        <v>-4.3474445031687009E-3</v>
      </c>
    </row>
    <row r="2374" spans="7:8" x14ac:dyDescent="0.3">
      <c r="G2374">
        <v>2367</v>
      </c>
      <c r="H2374">
        <f t="shared" ca="1" si="56"/>
        <v>-8.7007025859555387E-3</v>
      </c>
    </row>
    <row r="2375" spans="7:8" x14ac:dyDescent="0.3">
      <c r="G2375">
        <v>2368</v>
      </c>
      <c r="H2375">
        <f t="shared" ca="1" si="56"/>
        <v>-2.6508471299006658E-2</v>
      </c>
    </row>
    <row r="2376" spans="7:8" x14ac:dyDescent="0.3">
      <c r="G2376">
        <v>2369</v>
      </c>
      <c r="H2376">
        <f t="shared" ca="1" si="56"/>
        <v>-3.2671196550603646E-3</v>
      </c>
    </row>
    <row r="2377" spans="7:8" x14ac:dyDescent="0.3">
      <c r="G2377">
        <v>2370</v>
      </c>
      <c r="H2377">
        <f t="shared" ref="H2377:H2440" ca="1" si="57">_xlfn.NORM.INV(RAND(),$N$10,$N$11)</f>
        <v>3.3822033580453117E-2</v>
      </c>
    </row>
    <row r="2378" spans="7:8" x14ac:dyDescent="0.3">
      <c r="G2378">
        <v>2371</v>
      </c>
      <c r="H2378">
        <f t="shared" ca="1" si="57"/>
        <v>2.6282704117693744E-2</v>
      </c>
    </row>
    <row r="2379" spans="7:8" x14ac:dyDescent="0.3">
      <c r="G2379">
        <v>2372</v>
      </c>
      <c r="H2379">
        <f t="shared" ca="1" si="57"/>
        <v>-2.1307102247694363E-2</v>
      </c>
    </row>
    <row r="2380" spans="7:8" x14ac:dyDescent="0.3">
      <c r="G2380">
        <v>2373</v>
      </c>
      <c r="H2380">
        <f t="shared" ca="1" si="57"/>
        <v>3.2549572947601968E-2</v>
      </c>
    </row>
    <row r="2381" spans="7:8" x14ac:dyDescent="0.3">
      <c r="G2381">
        <v>2374</v>
      </c>
      <c r="H2381">
        <f t="shared" ca="1" si="57"/>
        <v>-9.9011215927587923E-3</v>
      </c>
    </row>
    <row r="2382" spans="7:8" x14ac:dyDescent="0.3">
      <c r="G2382">
        <v>2375</v>
      </c>
      <c r="H2382">
        <f t="shared" ca="1" si="57"/>
        <v>-5.2467518760296815E-4</v>
      </c>
    </row>
    <row r="2383" spans="7:8" x14ac:dyDescent="0.3">
      <c r="G2383">
        <v>2376</v>
      </c>
      <c r="H2383">
        <f t="shared" ca="1" si="57"/>
        <v>-4.5397815021862802E-4</v>
      </c>
    </row>
    <row r="2384" spans="7:8" x14ac:dyDescent="0.3">
      <c r="G2384">
        <v>2377</v>
      </c>
      <c r="H2384">
        <f t="shared" ca="1" si="57"/>
        <v>-5.5325942526940272E-3</v>
      </c>
    </row>
    <row r="2385" spans="7:8" x14ac:dyDescent="0.3">
      <c r="G2385">
        <v>2378</v>
      </c>
      <c r="H2385">
        <f t="shared" ca="1" si="57"/>
        <v>4.8063520187745035E-3</v>
      </c>
    </row>
    <row r="2386" spans="7:8" x14ac:dyDescent="0.3">
      <c r="G2386">
        <v>2379</v>
      </c>
      <c r="H2386">
        <f t="shared" ca="1" si="57"/>
        <v>-2.2046900650334031E-2</v>
      </c>
    </row>
    <row r="2387" spans="7:8" x14ac:dyDescent="0.3">
      <c r="G2387">
        <v>2380</v>
      </c>
      <c r="H2387">
        <f t="shared" ca="1" si="57"/>
        <v>3.3284594481152792E-2</v>
      </c>
    </row>
    <row r="2388" spans="7:8" x14ac:dyDescent="0.3">
      <c r="G2388">
        <v>2381</v>
      </c>
      <c r="H2388">
        <f t="shared" ca="1" si="57"/>
        <v>-1.9150717043265261E-2</v>
      </c>
    </row>
    <row r="2389" spans="7:8" x14ac:dyDescent="0.3">
      <c r="G2389">
        <v>2382</v>
      </c>
      <c r="H2389">
        <f t="shared" ca="1" si="57"/>
        <v>-4.3880421442396306E-3</v>
      </c>
    </row>
    <row r="2390" spans="7:8" x14ac:dyDescent="0.3">
      <c r="G2390">
        <v>2383</v>
      </c>
      <c r="H2390">
        <f t="shared" ca="1" si="57"/>
        <v>-8.1155576621909603E-4</v>
      </c>
    </row>
    <row r="2391" spans="7:8" x14ac:dyDescent="0.3">
      <c r="G2391">
        <v>2384</v>
      </c>
      <c r="H2391">
        <f t="shared" ca="1" si="57"/>
        <v>-7.0219592855255888E-3</v>
      </c>
    </row>
    <row r="2392" spans="7:8" x14ac:dyDescent="0.3">
      <c r="G2392">
        <v>2385</v>
      </c>
      <c r="H2392">
        <f t="shared" ca="1" si="57"/>
        <v>-1.4432286049698895E-3</v>
      </c>
    </row>
    <row r="2393" spans="7:8" x14ac:dyDescent="0.3">
      <c r="G2393">
        <v>2386</v>
      </c>
      <c r="H2393">
        <f t="shared" ca="1" si="57"/>
        <v>6.1456930562983469E-3</v>
      </c>
    </row>
    <row r="2394" spans="7:8" x14ac:dyDescent="0.3">
      <c r="G2394">
        <v>2387</v>
      </c>
      <c r="H2394">
        <f t="shared" ca="1" si="57"/>
        <v>-1.6603034399338901E-2</v>
      </c>
    </row>
    <row r="2395" spans="7:8" x14ac:dyDescent="0.3">
      <c r="G2395">
        <v>2388</v>
      </c>
      <c r="H2395">
        <f t="shared" ca="1" si="57"/>
        <v>-2.0975706023120995E-3</v>
      </c>
    </row>
    <row r="2396" spans="7:8" x14ac:dyDescent="0.3">
      <c r="G2396">
        <v>2389</v>
      </c>
      <c r="H2396">
        <f t="shared" ca="1" si="57"/>
        <v>-9.7692741303072664E-3</v>
      </c>
    </row>
    <row r="2397" spans="7:8" x14ac:dyDescent="0.3">
      <c r="G2397">
        <v>2390</v>
      </c>
      <c r="H2397">
        <f t="shared" ca="1" si="57"/>
        <v>1.1219669294991524E-2</v>
      </c>
    </row>
    <row r="2398" spans="7:8" x14ac:dyDescent="0.3">
      <c r="G2398">
        <v>2391</v>
      </c>
      <c r="H2398">
        <f t="shared" ca="1" si="57"/>
        <v>-9.2460474988373242E-3</v>
      </c>
    </row>
    <row r="2399" spans="7:8" x14ac:dyDescent="0.3">
      <c r="G2399">
        <v>2392</v>
      </c>
      <c r="H2399">
        <f t="shared" ca="1" si="57"/>
        <v>-1.443359811080909E-2</v>
      </c>
    </row>
    <row r="2400" spans="7:8" x14ac:dyDescent="0.3">
      <c r="G2400">
        <v>2393</v>
      </c>
      <c r="H2400">
        <f t="shared" ca="1" si="57"/>
        <v>1.039713440206555E-2</v>
      </c>
    </row>
    <row r="2401" spans="7:8" x14ac:dyDescent="0.3">
      <c r="G2401">
        <v>2394</v>
      </c>
      <c r="H2401">
        <f t="shared" ca="1" si="57"/>
        <v>2.434730885473585E-2</v>
      </c>
    </row>
    <row r="2402" spans="7:8" x14ac:dyDescent="0.3">
      <c r="G2402">
        <v>2395</v>
      </c>
      <c r="H2402">
        <f t="shared" ca="1" si="57"/>
        <v>-2.5227021726545954E-3</v>
      </c>
    </row>
    <row r="2403" spans="7:8" x14ac:dyDescent="0.3">
      <c r="G2403">
        <v>2396</v>
      </c>
      <c r="H2403">
        <f t="shared" ca="1" si="57"/>
        <v>-9.0391215932088646E-3</v>
      </c>
    </row>
    <row r="2404" spans="7:8" x14ac:dyDescent="0.3">
      <c r="G2404">
        <v>2397</v>
      </c>
      <c r="H2404">
        <f t="shared" ca="1" si="57"/>
        <v>3.5449458751303078E-2</v>
      </c>
    </row>
    <row r="2405" spans="7:8" x14ac:dyDescent="0.3">
      <c r="G2405">
        <v>2398</v>
      </c>
      <c r="H2405">
        <f t="shared" ca="1" si="57"/>
        <v>6.5630289457721388E-3</v>
      </c>
    </row>
    <row r="2406" spans="7:8" x14ac:dyDescent="0.3">
      <c r="G2406">
        <v>2399</v>
      </c>
      <c r="H2406">
        <f t="shared" ca="1" si="57"/>
        <v>2.7368417003030342E-2</v>
      </c>
    </row>
    <row r="2407" spans="7:8" x14ac:dyDescent="0.3">
      <c r="G2407">
        <v>2400</v>
      </c>
      <c r="H2407">
        <f t="shared" ca="1" si="57"/>
        <v>1.3120577324450339E-2</v>
      </c>
    </row>
    <row r="2408" spans="7:8" x14ac:dyDescent="0.3">
      <c r="G2408">
        <v>2401</v>
      </c>
      <c r="H2408">
        <f t="shared" ca="1" si="57"/>
        <v>-5.5383955206181265E-3</v>
      </c>
    </row>
    <row r="2409" spans="7:8" x14ac:dyDescent="0.3">
      <c r="G2409">
        <v>2402</v>
      </c>
      <c r="H2409">
        <f t="shared" ca="1" si="57"/>
        <v>-1.0181017202576876E-2</v>
      </c>
    </row>
    <row r="2410" spans="7:8" x14ac:dyDescent="0.3">
      <c r="G2410">
        <v>2403</v>
      </c>
      <c r="H2410">
        <f t="shared" ca="1" si="57"/>
        <v>-1.7439541340907774E-2</v>
      </c>
    </row>
    <row r="2411" spans="7:8" x14ac:dyDescent="0.3">
      <c r="G2411">
        <v>2404</v>
      </c>
      <c r="H2411">
        <f t="shared" ca="1" si="57"/>
        <v>1.8832490413063373E-3</v>
      </c>
    </row>
    <row r="2412" spans="7:8" x14ac:dyDescent="0.3">
      <c r="G2412">
        <v>2405</v>
      </c>
      <c r="H2412">
        <f t="shared" ca="1" si="57"/>
        <v>1.2149457923479995E-2</v>
      </c>
    </row>
    <row r="2413" spans="7:8" x14ac:dyDescent="0.3">
      <c r="G2413">
        <v>2406</v>
      </c>
      <c r="H2413">
        <f t="shared" ca="1" si="57"/>
        <v>-1.4504732126704015E-2</v>
      </c>
    </row>
    <row r="2414" spans="7:8" x14ac:dyDescent="0.3">
      <c r="G2414">
        <v>2407</v>
      </c>
      <c r="H2414">
        <f t="shared" ca="1" si="57"/>
        <v>-8.723922717655562E-3</v>
      </c>
    </row>
    <row r="2415" spans="7:8" x14ac:dyDescent="0.3">
      <c r="G2415">
        <v>2408</v>
      </c>
      <c r="H2415">
        <f t="shared" ca="1" si="57"/>
        <v>-3.0045948016461555E-3</v>
      </c>
    </row>
    <row r="2416" spans="7:8" x14ac:dyDescent="0.3">
      <c r="G2416">
        <v>2409</v>
      </c>
      <c r="H2416">
        <f t="shared" ca="1" si="57"/>
        <v>-1.0550419458546991E-3</v>
      </c>
    </row>
    <row r="2417" spans="7:8" x14ac:dyDescent="0.3">
      <c r="G2417">
        <v>2410</v>
      </c>
      <c r="H2417">
        <f t="shared" ca="1" si="57"/>
        <v>-4.6653175258211188E-3</v>
      </c>
    </row>
    <row r="2418" spans="7:8" x14ac:dyDescent="0.3">
      <c r="G2418">
        <v>2411</v>
      </c>
      <c r="H2418">
        <f t="shared" ca="1" si="57"/>
        <v>-1.2251250348896301E-2</v>
      </c>
    </row>
    <row r="2419" spans="7:8" x14ac:dyDescent="0.3">
      <c r="G2419">
        <v>2412</v>
      </c>
      <c r="H2419">
        <f t="shared" ca="1" si="57"/>
        <v>-1.3105499376768392E-2</v>
      </c>
    </row>
    <row r="2420" spans="7:8" x14ac:dyDescent="0.3">
      <c r="G2420">
        <v>2413</v>
      </c>
      <c r="H2420">
        <f t="shared" ca="1" si="57"/>
        <v>3.847134222962068E-3</v>
      </c>
    </row>
    <row r="2421" spans="7:8" x14ac:dyDescent="0.3">
      <c r="G2421">
        <v>2414</v>
      </c>
      <c r="H2421">
        <f t="shared" ca="1" si="57"/>
        <v>-5.1502836300154685E-4</v>
      </c>
    </row>
    <row r="2422" spans="7:8" x14ac:dyDescent="0.3">
      <c r="G2422">
        <v>2415</v>
      </c>
      <c r="H2422">
        <f t="shared" ca="1" si="57"/>
        <v>7.0635931363421398E-3</v>
      </c>
    </row>
    <row r="2423" spans="7:8" x14ac:dyDescent="0.3">
      <c r="G2423">
        <v>2416</v>
      </c>
      <c r="H2423">
        <f t="shared" ca="1" si="57"/>
        <v>8.261673719208976E-3</v>
      </c>
    </row>
    <row r="2424" spans="7:8" x14ac:dyDescent="0.3">
      <c r="G2424">
        <v>2417</v>
      </c>
      <c r="H2424">
        <f t="shared" ca="1" si="57"/>
        <v>3.8362296513276563E-3</v>
      </c>
    </row>
    <row r="2425" spans="7:8" x14ac:dyDescent="0.3">
      <c r="G2425">
        <v>2418</v>
      </c>
      <c r="H2425">
        <f t="shared" ca="1" si="57"/>
        <v>-5.1410183214073745E-3</v>
      </c>
    </row>
    <row r="2426" spans="7:8" x14ac:dyDescent="0.3">
      <c r="G2426">
        <v>2419</v>
      </c>
      <c r="H2426">
        <f t="shared" ca="1" si="57"/>
        <v>-1.2859798249030465E-2</v>
      </c>
    </row>
    <row r="2427" spans="7:8" x14ac:dyDescent="0.3">
      <c r="G2427">
        <v>2420</v>
      </c>
      <c r="H2427">
        <f t="shared" ca="1" si="57"/>
        <v>2.0361413971548004E-2</v>
      </c>
    </row>
    <row r="2428" spans="7:8" x14ac:dyDescent="0.3">
      <c r="G2428">
        <v>2421</v>
      </c>
      <c r="H2428">
        <f t="shared" ca="1" si="57"/>
        <v>1.7857525121779606E-2</v>
      </c>
    </row>
    <row r="2429" spans="7:8" x14ac:dyDescent="0.3">
      <c r="G2429">
        <v>2422</v>
      </c>
      <c r="H2429">
        <f t="shared" ca="1" si="57"/>
        <v>5.3546919075220514E-3</v>
      </c>
    </row>
    <row r="2430" spans="7:8" x14ac:dyDescent="0.3">
      <c r="G2430">
        <v>2423</v>
      </c>
      <c r="H2430">
        <f t="shared" ca="1" si="57"/>
        <v>6.8804007412666532E-3</v>
      </c>
    </row>
    <row r="2431" spans="7:8" x14ac:dyDescent="0.3">
      <c r="G2431">
        <v>2424</v>
      </c>
      <c r="H2431">
        <f t="shared" ca="1" si="57"/>
        <v>-1.5176804802778894E-2</v>
      </c>
    </row>
    <row r="2432" spans="7:8" x14ac:dyDescent="0.3">
      <c r="G2432">
        <v>2425</v>
      </c>
      <c r="H2432">
        <f t="shared" ca="1" si="57"/>
        <v>4.1333665094616832E-3</v>
      </c>
    </row>
    <row r="2433" spans="7:8" x14ac:dyDescent="0.3">
      <c r="G2433">
        <v>2426</v>
      </c>
      <c r="H2433">
        <f t="shared" ca="1" si="57"/>
        <v>-1.6184941584996729E-2</v>
      </c>
    </row>
    <row r="2434" spans="7:8" x14ac:dyDescent="0.3">
      <c r="G2434">
        <v>2427</v>
      </c>
      <c r="H2434">
        <f t="shared" ca="1" si="57"/>
        <v>3.1089016050002478E-2</v>
      </c>
    </row>
    <row r="2435" spans="7:8" x14ac:dyDescent="0.3">
      <c r="G2435">
        <v>2428</v>
      </c>
      <c r="H2435">
        <f t="shared" ca="1" si="57"/>
        <v>1.8148552556565313E-3</v>
      </c>
    </row>
    <row r="2436" spans="7:8" x14ac:dyDescent="0.3">
      <c r="G2436">
        <v>2429</v>
      </c>
      <c r="H2436">
        <f t="shared" ca="1" si="57"/>
        <v>-4.1750767718423407E-3</v>
      </c>
    </row>
    <row r="2437" spans="7:8" x14ac:dyDescent="0.3">
      <c r="G2437">
        <v>2430</v>
      </c>
      <c r="H2437">
        <f t="shared" ca="1" si="57"/>
        <v>-1.3359978363374327E-2</v>
      </c>
    </row>
    <row r="2438" spans="7:8" x14ac:dyDescent="0.3">
      <c r="G2438">
        <v>2431</v>
      </c>
      <c r="H2438">
        <f t="shared" ca="1" si="57"/>
        <v>9.0302909245660867E-3</v>
      </c>
    </row>
    <row r="2439" spans="7:8" x14ac:dyDescent="0.3">
      <c r="G2439">
        <v>2432</v>
      </c>
      <c r="H2439">
        <f t="shared" ca="1" si="57"/>
        <v>1.6834955046742279E-2</v>
      </c>
    </row>
    <row r="2440" spans="7:8" x14ac:dyDescent="0.3">
      <c r="G2440">
        <v>2433</v>
      </c>
      <c r="H2440">
        <f t="shared" ca="1" si="57"/>
        <v>-2.9647611463243413E-2</v>
      </c>
    </row>
    <row r="2441" spans="7:8" x14ac:dyDescent="0.3">
      <c r="G2441">
        <v>2434</v>
      </c>
      <c r="H2441">
        <f t="shared" ref="H2441:H2504" ca="1" si="58">_xlfn.NORM.INV(RAND(),$N$10,$N$11)</f>
        <v>1.388658201439359E-2</v>
      </c>
    </row>
    <row r="2442" spans="7:8" x14ac:dyDescent="0.3">
      <c r="G2442">
        <v>2435</v>
      </c>
      <c r="H2442">
        <f t="shared" ca="1" si="58"/>
        <v>5.7148456778018004E-3</v>
      </c>
    </row>
    <row r="2443" spans="7:8" x14ac:dyDescent="0.3">
      <c r="G2443">
        <v>2436</v>
      </c>
      <c r="H2443">
        <f t="shared" ca="1" si="58"/>
        <v>3.3656223726615558E-2</v>
      </c>
    </row>
    <row r="2444" spans="7:8" x14ac:dyDescent="0.3">
      <c r="G2444">
        <v>2437</v>
      </c>
      <c r="H2444">
        <f t="shared" ca="1" si="58"/>
        <v>1.2817803718621465E-2</v>
      </c>
    </row>
    <row r="2445" spans="7:8" x14ac:dyDescent="0.3">
      <c r="G2445">
        <v>2438</v>
      </c>
      <c r="H2445">
        <f t="shared" ca="1" si="58"/>
        <v>-1.0807797283436171E-2</v>
      </c>
    </row>
    <row r="2446" spans="7:8" x14ac:dyDescent="0.3">
      <c r="G2446">
        <v>2439</v>
      </c>
      <c r="H2446">
        <f t="shared" ca="1" si="58"/>
        <v>-2.2540389065111917E-2</v>
      </c>
    </row>
    <row r="2447" spans="7:8" x14ac:dyDescent="0.3">
      <c r="G2447">
        <v>2440</v>
      </c>
      <c r="H2447">
        <f t="shared" ca="1" si="58"/>
        <v>-4.0501395016618938E-3</v>
      </c>
    </row>
    <row r="2448" spans="7:8" x14ac:dyDescent="0.3">
      <c r="G2448">
        <v>2441</v>
      </c>
      <c r="H2448">
        <f t="shared" ca="1" si="58"/>
        <v>9.3419371421621742E-3</v>
      </c>
    </row>
    <row r="2449" spans="7:8" x14ac:dyDescent="0.3">
      <c r="G2449">
        <v>2442</v>
      </c>
      <c r="H2449">
        <f t="shared" ca="1" si="58"/>
        <v>4.9749170327230766E-3</v>
      </c>
    </row>
    <row r="2450" spans="7:8" x14ac:dyDescent="0.3">
      <c r="G2450">
        <v>2443</v>
      </c>
      <c r="H2450">
        <f t="shared" ca="1" si="58"/>
        <v>-1.795275386843492E-3</v>
      </c>
    </row>
    <row r="2451" spans="7:8" x14ac:dyDescent="0.3">
      <c r="G2451">
        <v>2444</v>
      </c>
      <c r="H2451">
        <f t="shared" ca="1" si="58"/>
        <v>-1.9406590459885822E-2</v>
      </c>
    </row>
    <row r="2452" spans="7:8" x14ac:dyDescent="0.3">
      <c r="G2452">
        <v>2445</v>
      </c>
      <c r="H2452">
        <f t="shared" ca="1" si="58"/>
        <v>-3.244501309332994E-3</v>
      </c>
    </row>
    <row r="2453" spans="7:8" x14ac:dyDescent="0.3">
      <c r="G2453">
        <v>2446</v>
      </c>
      <c r="H2453">
        <f t="shared" ca="1" si="58"/>
        <v>-4.535121212434658E-3</v>
      </c>
    </row>
    <row r="2454" spans="7:8" x14ac:dyDescent="0.3">
      <c r="G2454">
        <v>2447</v>
      </c>
      <c r="H2454">
        <f t="shared" ca="1" si="58"/>
        <v>-3.1791494188386206E-2</v>
      </c>
    </row>
    <row r="2455" spans="7:8" x14ac:dyDescent="0.3">
      <c r="G2455">
        <v>2448</v>
      </c>
      <c r="H2455">
        <f t="shared" ca="1" si="58"/>
        <v>-1.1954119885235755E-3</v>
      </c>
    </row>
    <row r="2456" spans="7:8" x14ac:dyDescent="0.3">
      <c r="G2456">
        <v>2449</v>
      </c>
      <c r="H2456">
        <f t="shared" ca="1" si="58"/>
        <v>1.1494420569045944E-3</v>
      </c>
    </row>
    <row r="2457" spans="7:8" x14ac:dyDescent="0.3">
      <c r="G2457">
        <v>2450</v>
      </c>
      <c r="H2457">
        <f t="shared" ca="1" si="58"/>
        <v>-9.8911251733898014E-3</v>
      </c>
    </row>
    <row r="2458" spans="7:8" x14ac:dyDescent="0.3">
      <c r="G2458">
        <v>2451</v>
      </c>
      <c r="H2458">
        <f t="shared" ca="1" si="58"/>
        <v>-7.2600991905545339E-3</v>
      </c>
    </row>
    <row r="2459" spans="7:8" x14ac:dyDescent="0.3">
      <c r="G2459">
        <v>2452</v>
      </c>
      <c r="H2459">
        <f t="shared" ca="1" si="58"/>
        <v>-1.1502283556544814E-2</v>
      </c>
    </row>
    <row r="2460" spans="7:8" x14ac:dyDescent="0.3">
      <c r="G2460">
        <v>2453</v>
      </c>
      <c r="H2460">
        <f t="shared" ca="1" si="58"/>
        <v>-4.1676279308612415E-3</v>
      </c>
    </row>
    <row r="2461" spans="7:8" x14ac:dyDescent="0.3">
      <c r="G2461">
        <v>2454</v>
      </c>
      <c r="H2461">
        <f t="shared" ca="1" si="58"/>
        <v>-8.9352536016855258E-4</v>
      </c>
    </row>
    <row r="2462" spans="7:8" x14ac:dyDescent="0.3">
      <c r="G2462">
        <v>2455</v>
      </c>
      <c r="H2462">
        <f t="shared" ca="1" si="58"/>
        <v>-8.7628661236954005E-3</v>
      </c>
    </row>
    <row r="2463" spans="7:8" x14ac:dyDescent="0.3">
      <c r="G2463">
        <v>2456</v>
      </c>
      <c r="H2463">
        <f t="shared" ca="1" si="58"/>
        <v>8.867574308955118E-3</v>
      </c>
    </row>
    <row r="2464" spans="7:8" x14ac:dyDescent="0.3">
      <c r="G2464">
        <v>2457</v>
      </c>
      <c r="H2464">
        <f t="shared" ca="1" si="58"/>
        <v>3.8289161559805059E-2</v>
      </c>
    </row>
    <row r="2465" spans="7:8" x14ac:dyDescent="0.3">
      <c r="G2465">
        <v>2458</v>
      </c>
      <c r="H2465">
        <f t="shared" ca="1" si="58"/>
        <v>-1.5138936370027965E-2</v>
      </c>
    </row>
    <row r="2466" spans="7:8" x14ac:dyDescent="0.3">
      <c r="G2466">
        <v>2459</v>
      </c>
      <c r="H2466">
        <f t="shared" ca="1" si="58"/>
        <v>-2.5231815293616042E-2</v>
      </c>
    </row>
    <row r="2467" spans="7:8" x14ac:dyDescent="0.3">
      <c r="G2467">
        <v>2460</v>
      </c>
      <c r="H2467">
        <f t="shared" ca="1" si="58"/>
        <v>5.3568819124158776E-4</v>
      </c>
    </row>
    <row r="2468" spans="7:8" x14ac:dyDescent="0.3">
      <c r="G2468">
        <v>2461</v>
      </c>
      <c r="H2468">
        <f t="shared" ca="1" si="58"/>
        <v>-2.4621023170116087E-2</v>
      </c>
    </row>
    <row r="2469" spans="7:8" x14ac:dyDescent="0.3">
      <c r="G2469">
        <v>2462</v>
      </c>
      <c r="H2469">
        <f t="shared" ca="1" si="58"/>
        <v>1.5148133847279532E-2</v>
      </c>
    </row>
    <row r="2470" spans="7:8" x14ac:dyDescent="0.3">
      <c r="G2470">
        <v>2463</v>
      </c>
      <c r="H2470">
        <f t="shared" ca="1" si="58"/>
        <v>2.2472876676501576E-2</v>
      </c>
    </row>
    <row r="2471" spans="7:8" x14ac:dyDescent="0.3">
      <c r="G2471">
        <v>2464</v>
      </c>
      <c r="H2471">
        <f t="shared" ca="1" si="58"/>
        <v>1.663801802654103E-3</v>
      </c>
    </row>
    <row r="2472" spans="7:8" x14ac:dyDescent="0.3">
      <c r="G2472">
        <v>2465</v>
      </c>
      <c r="H2472">
        <f t="shared" ca="1" si="58"/>
        <v>-2.1885416735666226E-3</v>
      </c>
    </row>
    <row r="2473" spans="7:8" x14ac:dyDescent="0.3">
      <c r="G2473">
        <v>2466</v>
      </c>
      <c r="H2473">
        <f t="shared" ca="1" si="58"/>
        <v>1.9866110409014041E-2</v>
      </c>
    </row>
    <row r="2474" spans="7:8" x14ac:dyDescent="0.3">
      <c r="G2474">
        <v>2467</v>
      </c>
      <c r="H2474">
        <f t="shared" ca="1" si="58"/>
        <v>2.3945122848765127E-2</v>
      </c>
    </row>
    <row r="2475" spans="7:8" x14ac:dyDescent="0.3">
      <c r="G2475">
        <v>2468</v>
      </c>
      <c r="H2475">
        <f t="shared" ca="1" si="58"/>
        <v>-3.8755482562761047E-2</v>
      </c>
    </row>
    <row r="2476" spans="7:8" x14ac:dyDescent="0.3">
      <c r="G2476">
        <v>2469</v>
      </c>
      <c r="H2476">
        <f t="shared" ca="1" si="58"/>
        <v>-1.4018324093350314E-2</v>
      </c>
    </row>
    <row r="2477" spans="7:8" x14ac:dyDescent="0.3">
      <c r="G2477">
        <v>2470</v>
      </c>
      <c r="H2477">
        <f t="shared" ca="1" si="58"/>
        <v>7.5801572305328269E-3</v>
      </c>
    </row>
    <row r="2478" spans="7:8" x14ac:dyDescent="0.3">
      <c r="G2478">
        <v>2471</v>
      </c>
      <c r="H2478">
        <f t="shared" ca="1" si="58"/>
        <v>-5.7551290430418451E-4</v>
      </c>
    </row>
    <row r="2479" spans="7:8" x14ac:dyDescent="0.3">
      <c r="G2479">
        <v>2472</v>
      </c>
      <c r="H2479">
        <f t="shared" ca="1" si="58"/>
        <v>1.4254213793212631E-3</v>
      </c>
    </row>
    <row r="2480" spans="7:8" x14ac:dyDescent="0.3">
      <c r="G2480">
        <v>2473</v>
      </c>
      <c r="H2480">
        <f t="shared" ca="1" si="58"/>
        <v>6.3197028333614276E-3</v>
      </c>
    </row>
    <row r="2481" spans="7:8" x14ac:dyDescent="0.3">
      <c r="G2481">
        <v>2474</v>
      </c>
      <c r="H2481">
        <f t="shared" ca="1" si="58"/>
        <v>-1.5424376599016333E-2</v>
      </c>
    </row>
    <row r="2482" spans="7:8" x14ac:dyDescent="0.3">
      <c r="G2482">
        <v>2475</v>
      </c>
      <c r="H2482">
        <f t="shared" ca="1" si="58"/>
        <v>3.0250271180606053E-2</v>
      </c>
    </row>
    <row r="2483" spans="7:8" x14ac:dyDescent="0.3">
      <c r="G2483">
        <v>2476</v>
      </c>
      <c r="H2483">
        <f t="shared" ca="1" si="58"/>
        <v>-2.7902310624892241E-3</v>
      </c>
    </row>
    <row r="2484" spans="7:8" x14ac:dyDescent="0.3">
      <c r="G2484">
        <v>2477</v>
      </c>
      <c r="H2484">
        <f t="shared" ca="1" si="58"/>
        <v>1.1877247379555082E-2</v>
      </c>
    </row>
    <row r="2485" spans="7:8" x14ac:dyDescent="0.3">
      <c r="G2485">
        <v>2478</v>
      </c>
      <c r="H2485">
        <f t="shared" ca="1" si="58"/>
        <v>1.2504794997165256E-3</v>
      </c>
    </row>
    <row r="2486" spans="7:8" x14ac:dyDescent="0.3">
      <c r="G2486">
        <v>2479</v>
      </c>
      <c r="H2486">
        <f t="shared" ca="1" si="58"/>
        <v>5.3678171617454389E-4</v>
      </c>
    </row>
    <row r="2487" spans="7:8" x14ac:dyDescent="0.3">
      <c r="G2487">
        <v>2480</v>
      </c>
      <c r="H2487">
        <f t="shared" ca="1" si="58"/>
        <v>-1.440016134604636E-2</v>
      </c>
    </row>
    <row r="2488" spans="7:8" x14ac:dyDescent="0.3">
      <c r="G2488">
        <v>2481</v>
      </c>
      <c r="H2488">
        <f t="shared" ca="1" si="58"/>
        <v>2.0516784056549553E-2</v>
      </c>
    </row>
    <row r="2489" spans="7:8" x14ac:dyDescent="0.3">
      <c r="G2489">
        <v>2482</v>
      </c>
      <c r="H2489">
        <f t="shared" ca="1" si="58"/>
        <v>-2.3891298611186149E-2</v>
      </c>
    </row>
    <row r="2490" spans="7:8" x14ac:dyDescent="0.3">
      <c r="G2490">
        <v>2483</v>
      </c>
      <c r="H2490">
        <f t="shared" ca="1" si="58"/>
        <v>3.5703697537114597E-5</v>
      </c>
    </row>
    <row r="2491" spans="7:8" x14ac:dyDescent="0.3">
      <c r="G2491">
        <v>2484</v>
      </c>
      <c r="H2491">
        <f t="shared" ca="1" si="58"/>
        <v>-2.9347081444623464E-2</v>
      </c>
    </row>
    <row r="2492" spans="7:8" x14ac:dyDescent="0.3">
      <c r="G2492">
        <v>2485</v>
      </c>
      <c r="H2492">
        <f t="shared" ca="1" si="58"/>
        <v>-8.8452600142467294E-3</v>
      </c>
    </row>
    <row r="2493" spans="7:8" x14ac:dyDescent="0.3">
      <c r="G2493">
        <v>2486</v>
      </c>
      <c r="H2493">
        <f t="shared" ca="1" si="58"/>
        <v>-2.0369264066107971E-2</v>
      </c>
    </row>
    <row r="2494" spans="7:8" x14ac:dyDescent="0.3">
      <c r="G2494">
        <v>2487</v>
      </c>
      <c r="H2494">
        <f t="shared" ca="1" si="58"/>
        <v>-1.1421941553874937E-2</v>
      </c>
    </row>
    <row r="2495" spans="7:8" x14ac:dyDescent="0.3">
      <c r="G2495">
        <v>2488</v>
      </c>
      <c r="H2495">
        <f t="shared" ca="1" si="58"/>
        <v>-4.9824140293203961E-3</v>
      </c>
    </row>
    <row r="2496" spans="7:8" x14ac:dyDescent="0.3">
      <c r="G2496">
        <v>2489</v>
      </c>
      <c r="H2496">
        <f t="shared" ca="1" si="58"/>
        <v>3.6322857088928206E-3</v>
      </c>
    </row>
    <row r="2497" spans="7:8" x14ac:dyDescent="0.3">
      <c r="G2497">
        <v>2490</v>
      </c>
      <c r="H2497">
        <f t="shared" ca="1" si="58"/>
        <v>1.4997290091453102E-2</v>
      </c>
    </row>
    <row r="2498" spans="7:8" x14ac:dyDescent="0.3">
      <c r="G2498">
        <v>2491</v>
      </c>
      <c r="H2498">
        <f t="shared" ca="1" si="58"/>
        <v>1.140176989406151E-2</v>
      </c>
    </row>
    <row r="2499" spans="7:8" x14ac:dyDescent="0.3">
      <c r="G2499">
        <v>2492</v>
      </c>
      <c r="H2499">
        <f t="shared" ca="1" si="58"/>
        <v>-4.2027279885366023E-3</v>
      </c>
    </row>
    <row r="2500" spans="7:8" x14ac:dyDescent="0.3">
      <c r="G2500">
        <v>2493</v>
      </c>
      <c r="H2500">
        <f t="shared" ca="1" si="58"/>
        <v>4.1974651268112057E-3</v>
      </c>
    </row>
    <row r="2501" spans="7:8" x14ac:dyDescent="0.3">
      <c r="G2501">
        <v>2494</v>
      </c>
      <c r="H2501">
        <f t="shared" ca="1" si="58"/>
        <v>3.6601974736981416E-2</v>
      </c>
    </row>
    <row r="2502" spans="7:8" x14ac:dyDescent="0.3">
      <c r="G2502">
        <v>2495</v>
      </c>
      <c r="H2502">
        <f t="shared" ca="1" si="58"/>
        <v>-7.9155253072936919E-3</v>
      </c>
    </row>
    <row r="2503" spans="7:8" x14ac:dyDescent="0.3">
      <c r="G2503">
        <v>2496</v>
      </c>
      <c r="H2503">
        <f t="shared" ca="1" si="58"/>
        <v>-9.3533671647664934E-3</v>
      </c>
    </row>
    <row r="2504" spans="7:8" x14ac:dyDescent="0.3">
      <c r="G2504">
        <v>2497</v>
      </c>
      <c r="H2504">
        <f t="shared" ca="1" si="58"/>
        <v>1.4012568703517315E-2</v>
      </c>
    </row>
    <row r="2505" spans="7:8" x14ac:dyDescent="0.3">
      <c r="G2505">
        <v>2498</v>
      </c>
      <c r="H2505">
        <f t="shared" ref="H2505:H2568" ca="1" si="59">_xlfn.NORM.INV(RAND(),$N$10,$N$11)</f>
        <v>1.8701306031864175E-3</v>
      </c>
    </row>
    <row r="2506" spans="7:8" x14ac:dyDescent="0.3">
      <c r="G2506">
        <v>2499</v>
      </c>
      <c r="H2506">
        <f t="shared" ca="1" si="59"/>
        <v>2.8439582388554225E-2</v>
      </c>
    </row>
    <row r="2507" spans="7:8" x14ac:dyDescent="0.3">
      <c r="G2507">
        <v>2500</v>
      </c>
      <c r="H2507">
        <f t="shared" ca="1" si="59"/>
        <v>2.279736528905436E-2</v>
      </c>
    </row>
    <row r="2508" spans="7:8" x14ac:dyDescent="0.3">
      <c r="G2508">
        <v>2501</v>
      </c>
      <c r="H2508">
        <f t="shared" ca="1" si="59"/>
        <v>-1.6034006333649885E-2</v>
      </c>
    </row>
    <row r="2509" spans="7:8" x14ac:dyDescent="0.3">
      <c r="G2509">
        <v>2502</v>
      </c>
      <c r="H2509">
        <f t="shared" ca="1" si="59"/>
        <v>2.0841002123324379E-2</v>
      </c>
    </row>
    <row r="2510" spans="7:8" x14ac:dyDescent="0.3">
      <c r="G2510">
        <v>2503</v>
      </c>
      <c r="H2510">
        <f t="shared" ca="1" si="59"/>
        <v>1.3044054872991836E-2</v>
      </c>
    </row>
    <row r="2511" spans="7:8" x14ac:dyDescent="0.3">
      <c r="G2511">
        <v>2504</v>
      </c>
      <c r="H2511">
        <f t="shared" ca="1" si="59"/>
        <v>-2.7424330288355985E-2</v>
      </c>
    </row>
    <row r="2512" spans="7:8" x14ac:dyDescent="0.3">
      <c r="G2512">
        <v>2505</v>
      </c>
      <c r="H2512">
        <f t="shared" ca="1" si="59"/>
        <v>-1.136286171493614E-2</v>
      </c>
    </row>
    <row r="2513" spans="7:8" x14ac:dyDescent="0.3">
      <c r="G2513">
        <v>2506</v>
      </c>
      <c r="H2513">
        <f t="shared" ca="1" si="59"/>
        <v>-1.4793965705832584E-3</v>
      </c>
    </row>
    <row r="2514" spans="7:8" x14ac:dyDescent="0.3">
      <c r="G2514">
        <v>2507</v>
      </c>
      <c r="H2514">
        <f t="shared" ca="1" si="59"/>
        <v>-2.4787770869447789E-2</v>
      </c>
    </row>
    <row r="2515" spans="7:8" x14ac:dyDescent="0.3">
      <c r="G2515">
        <v>2508</v>
      </c>
      <c r="H2515">
        <f t="shared" ca="1" si="59"/>
        <v>9.7942141762365539E-3</v>
      </c>
    </row>
    <row r="2516" spans="7:8" x14ac:dyDescent="0.3">
      <c r="G2516">
        <v>2509</v>
      </c>
      <c r="H2516">
        <f t="shared" ca="1" si="59"/>
        <v>-9.3347745487605094E-4</v>
      </c>
    </row>
    <row r="2517" spans="7:8" x14ac:dyDescent="0.3">
      <c r="G2517">
        <v>2510</v>
      </c>
      <c r="H2517">
        <f t="shared" ca="1" si="59"/>
        <v>1.7781807596705535E-3</v>
      </c>
    </row>
    <row r="2518" spans="7:8" x14ac:dyDescent="0.3">
      <c r="G2518">
        <v>2511</v>
      </c>
      <c r="H2518">
        <f t="shared" ca="1" si="59"/>
        <v>4.5796937753244338E-2</v>
      </c>
    </row>
    <row r="2519" spans="7:8" x14ac:dyDescent="0.3">
      <c r="G2519">
        <v>2512</v>
      </c>
      <c r="H2519">
        <f t="shared" ca="1" si="59"/>
        <v>-1.6282427993209077E-3</v>
      </c>
    </row>
    <row r="2520" spans="7:8" x14ac:dyDescent="0.3">
      <c r="G2520">
        <v>2513</v>
      </c>
      <c r="H2520">
        <f t="shared" ca="1" si="59"/>
        <v>-3.4322669561623567E-2</v>
      </c>
    </row>
    <row r="2521" spans="7:8" x14ac:dyDescent="0.3">
      <c r="G2521">
        <v>2514</v>
      </c>
      <c r="H2521">
        <f t="shared" ca="1" si="59"/>
        <v>-1.0848736544670345E-2</v>
      </c>
    </row>
    <row r="2522" spans="7:8" x14ac:dyDescent="0.3">
      <c r="G2522">
        <v>2515</v>
      </c>
      <c r="H2522">
        <f t="shared" ca="1" si="59"/>
        <v>-4.0515965378431452E-3</v>
      </c>
    </row>
    <row r="2523" spans="7:8" x14ac:dyDescent="0.3">
      <c r="G2523">
        <v>2516</v>
      </c>
      <c r="H2523">
        <f t="shared" ca="1" si="59"/>
        <v>-7.4261683774770482E-3</v>
      </c>
    </row>
    <row r="2524" spans="7:8" x14ac:dyDescent="0.3">
      <c r="G2524">
        <v>2517</v>
      </c>
      <c r="H2524">
        <f t="shared" ca="1" si="59"/>
        <v>3.159013803004742E-2</v>
      </c>
    </row>
    <row r="2525" spans="7:8" x14ac:dyDescent="0.3">
      <c r="G2525">
        <v>2518</v>
      </c>
      <c r="H2525">
        <f t="shared" ca="1" si="59"/>
        <v>-1.634832934766528E-2</v>
      </c>
    </row>
    <row r="2526" spans="7:8" x14ac:dyDescent="0.3">
      <c r="G2526">
        <v>2519</v>
      </c>
      <c r="H2526">
        <f t="shared" ca="1" si="59"/>
        <v>3.0346064867388948E-2</v>
      </c>
    </row>
    <row r="2527" spans="7:8" x14ac:dyDescent="0.3">
      <c r="G2527">
        <v>2520</v>
      </c>
      <c r="H2527">
        <f t="shared" ca="1" si="59"/>
        <v>1.6950714368834507E-2</v>
      </c>
    </row>
    <row r="2528" spans="7:8" x14ac:dyDescent="0.3">
      <c r="G2528">
        <v>2521</v>
      </c>
      <c r="H2528">
        <f t="shared" ca="1" si="59"/>
        <v>-1.625919003148675E-2</v>
      </c>
    </row>
    <row r="2529" spans="7:8" x14ac:dyDescent="0.3">
      <c r="G2529">
        <v>2522</v>
      </c>
      <c r="H2529">
        <f t="shared" ca="1" si="59"/>
        <v>2.0904005635308694E-2</v>
      </c>
    </row>
    <row r="2530" spans="7:8" x14ac:dyDescent="0.3">
      <c r="G2530">
        <v>2523</v>
      </c>
      <c r="H2530">
        <f t="shared" ca="1" si="59"/>
        <v>-1.3795570832365068E-2</v>
      </c>
    </row>
    <row r="2531" spans="7:8" x14ac:dyDescent="0.3">
      <c r="G2531">
        <v>2524</v>
      </c>
      <c r="H2531">
        <f t="shared" ca="1" si="59"/>
        <v>7.6352385229163581E-4</v>
      </c>
    </row>
    <row r="2532" spans="7:8" x14ac:dyDescent="0.3">
      <c r="G2532">
        <v>2525</v>
      </c>
      <c r="H2532">
        <f t="shared" ca="1" si="59"/>
        <v>3.0324754418772366E-2</v>
      </c>
    </row>
    <row r="2533" spans="7:8" x14ac:dyDescent="0.3">
      <c r="G2533">
        <v>2526</v>
      </c>
      <c r="H2533">
        <f t="shared" ca="1" si="59"/>
        <v>-6.1080916361731189E-3</v>
      </c>
    </row>
    <row r="2534" spans="7:8" x14ac:dyDescent="0.3">
      <c r="G2534">
        <v>2527</v>
      </c>
      <c r="H2534">
        <f t="shared" ca="1" si="59"/>
        <v>-2.5586768671695317E-2</v>
      </c>
    </row>
    <row r="2535" spans="7:8" x14ac:dyDescent="0.3">
      <c r="G2535">
        <v>2528</v>
      </c>
      <c r="H2535">
        <f t="shared" ca="1" si="59"/>
        <v>-1.6807342304283549E-2</v>
      </c>
    </row>
    <row r="2536" spans="7:8" x14ac:dyDescent="0.3">
      <c r="G2536">
        <v>2529</v>
      </c>
      <c r="H2536">
        <f t="shared" ca="1" si="59"/>
        <v>1.5287810458340953E-2</v>
      </c>
    </row>
    <row r="2537" spans="7:8" x14ac:dyDescent="0.3">
      <c r="G2537">
        <v>2530</v>
      </c>
      <c r="H2537">
        <f t="shared" ca="1" si="59"/>
        <v>-1.8906919712125953E-2</v>
      </c>
    </row>
    <row r="2538" spans="7:8" x14ac:dyDescent="0.3">
      <c r="G2538">
        <v>2531</v>
      </c>
      <c r="H2538">
        <f t="shared" ca="1" si="59"/>
        <v>-1.0759569055234768E-2</v>
      </c>
    </row>
    <row r="2539" spans="7:8" x14ac:dyDescent="0.3">
      <c r="G2539">
        <v>2532</v>
      </c>
      <c r="H2539">
        <f t="shared" ca="1" si="59"/>
        <v>5.0680393858641643E-3</v>
      </c>
    </row>
    <row r="2540" spans="7:8" x14ac:dyDescent="0.3">
      <c r="G2540">
        <v>2533</v>
      </c>
      <c r="H2540">
        <f t="shared" ca="1" si="59"/>
        <v>-3.1346207196770253E-3</v>
      </c>
    </row>
    <row r="2541" spans="7:8" x14ac:dyDescent="0.3">
      <c r="G2541">
        <v>2534</v>
      </c>
      <c r="H2541">
        <f t="shared" ca="1" si="59"/>
        <v>3.5361941515137815E-2</v>
      </c>
    </row>
    <row r="2542" spans="7:8" x14ac:dyDescent="0.3">
      <c r="G2542">
        <v>2535</v>
      </c>
      <c r="H2542">
        <f t="shared" ca="1" si="59"/>
        <v>1.1240142055145383E-2</v>
      </c>
    </row>
    <row r="2543" spans="7:8" x14ac:dyDescent="0.3">
      <c r="G2543">
        <v>2536</v>
      </c>
      <c r="H2543">
        <f t="shared" ca="1" si="59"/>
        <v>2.928346186892079E-2</v>
      </c>
    </row>
    <row r="2544" spans="7:8" x14ac:dyDescent="0.3">
      <c r="G2544">
        <v>2537</v>
      </c>
      <c r="H2544">
        <f t="shared" ca="1" si="59"/>
        <v>-1.7251165915560937E-3</v>
      </c>
    </row>
    <row r="2545" spans="7:8" x14ac:dyDescent="0.3">
      <c r="G2545">
        <v>2538</v>
      </c>
      <c r="H2545">
        <f t="shared" ca="1" si="59"/>
        <v>-9.0772197618824799E-3</v>
      </c>
    </row>
    <row r="2546" spans="7:8" x14ac:dyDescent="0.3">
      <c r="G2546">
        <v>2539</v>
      </c>
      <c r="H2546">
        <f t="shared" ca="1" si="59"/>
        <v>-1.4202977913985816E-4</v>
      </c>
    </row>
    <row r="2547" spans="7:8" x14ac:dyDescent="0.3">
      <c r="G2547">
        <v>2540</v>
      </c>
      <c r="H2547">
        <f t="shared" ca="1" si="59"/>
        <v>-1.3673818012780219E-2</v>
      </c>
    </row>
    <row r="2548" spans="7:8" x14ac:dyDescent="0.3">
      <c r="G2548">
        <v>2541</v>
      </c>
      <c r="H2548">
        <f t="shared" ca="1" si="59"/>
        <v>1.2344691618294684E-2</v>
      </c>
    </row>
    <row r="2549" spans="7:8" x14ac:dyDescent="0.3">
      <c r="G2549">
        <v>2542</v>
      </c>
      <c r="H2549">
        <f t="shared" ca="1" si="59"/>
        <v>1.8141906867424971E-2</v>
      </c>
    </row>
    <row r="2550" spans="7:8" x14ac:dyDescent="0.3">
      <c r="G2550">
        <v>2543</v>
      </c>
      <c r="H2550">
        <f t="shared" ca="1" si="59"/>
        <v>1.7898815286725749E-2</v>
      </c>
    </row>
    <row r="2551" spans="7:8" x14ac:dyDescent="0.3">
      <c r="G2551">
        <v>2544</v>
      </c>
      <c r="H2551">
        <f t="shared" ca="1" si="59"/>
        <v>-3.8665993240354999E-3</v>
      </c>
    </row>
    <row r="2552" spans="7:8" x14ac:dyDescent="0.3">
      <c r="G2552">
        <v>2545</v>
      </c>
      <c r="H2552">
        <f t="shared" ca="1" si="59"/>
        <v>-7.2668806180918631E-3</v>
      </c>
    </row>
    <row r="2553" spans="7:8" x14ac:dyDescent="0.3">
      <c r="G2553">
        <v>2546</v>
      </c>
      <c r="H2553">
        <f t="shared" ca="1" si="59"/>
        <v>1.5501088140270713E-2</v>
      </c>
    </row>
    <row r="2554" spans="7:8" x14ac:dyDescent="0.3">
      <c r="G2554">
        <v>2547</v>
      </c>
      <c r="H2554">
        <f t="shared" ca="1" si="59"/>
        <v>-1.4725451391098902E-2</v>
      </c>
    </row>
    <row r="2555" spans="7:8" x14ac:dyDescent="0.3">
      <c r="G2555">
        <v>2548</v>
      </c>
      <c r="H2555">
        <f t="shared" ca="1" si="59"/>
        <v>-2.3118004456052905E-2</v>
      </c>
    </row>
    <row r="2556" spans="7:8" x14ac:dyDescent="0.3">
      <c r="G2556">
        <v>2549</v>
      </c>
      <c r="H2556">
        <f t="shared" ca="1" si="59"/>
        <v>3.7197134233380395E-3</v>
      </c>
    </row>
    <row r="2557" spans="7:8" x14ac:dyDescent="0.3">
      <c r="G2557">
        <v>2550</v>
      </c>
      <c r="H2557">
        <f t="shared" ca="1" si="59"/>
        <v>1.3184525206074774E-2</v>
      </c>
    </row>
    <row r="2558" spans="7:8" x14ac:dyDescent="0.3">
      <c r="G2558">
        <v>2551</v>
      </c>
      <c r="H2558">
        <f t="shared" ca="1" si="59"/>
        <v>-1.4016258994547566E-3</v>
      </c>
    </row>
    <row r="2559" spans="7:8" x14ac:dyDescent="0.3">
      <c r="G2559">
        <v>2552</v>
      </c>
      <c r="H2559">
        <f t="shared" ca="1" si="59"/>
        <v>2.3224863932338625E-3</v>
      </c>
    </row>
    <row r="2560" spans="7:8" x14ac:dyDescent="0.3">
      <c r="G2560">
        <v>2553</v>
      </c>
      <c r="H2560">
        <f t="shared" ca="1" si="59"/>
        <v>4.3677580827496121E-2</v>
      </c>
    </row>
    <row r="2561" spans="7:8" x14ac:dyDescent="0.3">
      <c r="G2561">
        <v>2554</v>
      </c>
      <c r="H2561">
        <f t="shared" ca="1" si="59"/>
        <v>-7.0047629206681141E-3</v>
      </c>
    </row>
    <row r="2562" spans="7:8" x14ac:dyDescent="0.3">
      <c r="G2562">
        <v>2555</v>
      </c>
      <c r="H2562">
        <f t="shared" ca="1" si="59"/>
        <v>-2.1684886577433154E-2</v>
      </c>
    </row>
    <row r="2563" spans="7:8" x14ac:dyDescent="0.3">
      <c r="G2563">
        <v>2556</v>
      </c>
      <c r="H2563">
        <f t="shared" ca="1" si="59"/>
        <v>-3.5612470083606566E-2</v>
      </c>
    </row>
    <row r="2564" spans="7:8" x14ac:dyDescent="0.3">
      <c r="G2564">
        <v>2557</v>
      </c>
      <c r="H2564">
        <f t="shared" ca="1" si="59"/>
        <v>-2.7253526828380756E-2</v>
      </c>
    </row>
    <row r="2565" spans="7:8" x14ac:dyDescent="0.3">
      <c r="G2565">
        <v>2558</v>
      </c>
      <c r="H2565">
        <f t="shared" ca="1" si="59"/>
        <v>-1.7708787619710391E-2</v>
      </c>
    </row>
    <row r="2566" spans="7:8" x14ac:dyDescent="0.3">
      <c r="G2566">
        <v>2559</v>
      </c>
      <c r="H2566">
        <f t="shared" ca="1" si="59"/>
        <v>3.8735662384694973E-3</v>
      </c>
    </row>
    <row r="2567" spans="7:8" x14ac:dyDescent="0.3">
      <c r="G2567">
        <v>2560</v>
      </c>
      <c r="H2567">
        <f t="shared" ca="1" si="59"/>
        <v>-8.1559966348885536E-3</v>
      </c>
    </row>
    <row r="2568" spans="7:8" x14ac:dyDescent="0.3">
      <c r="G2568">
        <v>2561</v>
      </c>
      <c r="H2568">
        <f t="shared" ca="1" si="59"/>
        <v>1.9544399315083547E-2</v>
      </c>
    </row>
    <row r="2569" spans="7:8" x14ac:dyDescent="0.3">
      <c r="G2569">
        <v>2562</v>
      </c>
      <c r="H2569">
        <f t="shared" ref="H2569:H2632" ca="1" si="60">_xlfn.NORM.INV(RAND(),$N$10,$N$11)</f>
        <v>-1.4733140520778813E-2</v>
      </c>
    </row>
    <row r="2570" spans="7:8" x14ac:dyDescent="0.3">
      <c r="G2570">
        <v>2563</v>
      </c>
      <c r="H2570">
        <f t="shared" ca="1" si="60"/>
        <v>3.5971530136626609E-3</v>
      </c>
    </row>
    <row r="2571" spans="7:8" x14ac:dyDescent="0.3">
      <c r="G2571">
        <v>2564</v>
      </c>
      <c r="H2571">
        <f t="shared" ca="1" si="60"/>
        <v>1.5440768939683321E-2</v>
      </c>
    </row>
    <row r="2572" spans="7:8" x14ac:dyDescent="0.3">
      <c r="G2572">
        <v>2565</v>
      </c>
      <c r="H2572">
        <f t="shared" ca="1" si="60"/>
        <v>-7.1807010433624506E-4</v>
      </c>
    </row>
    <row r="2573" spans="7:8" x14ac:dyDescent="0.3">
      <c r="G2573">
        <v>2566</v>
      </c>
      <c r="H2573">
        <f t="shared" ca="1" si="60"/>
        <v>-3.0147274040958007E-3</v>
      </c>
    </row>
    <row r="2574" spans="7:8" x14ac:dyDescent="0.3">
      <c r="G2574">
        <v>2567</v>
      </c>
      <c r="H2574">
        <f t="shared" ca="1" si="60"/>
        <v>-1.4862087828370538E-2</v>
      </c>
    </row>
    <row r="2575" spans="7:8" x14ac:dyDescent="0.3">
      <c r="G2575">
        <v>2568</v>
      </c>
      <c r="H2575">
        <f t="shared" ca="1" si="60"/>
        <v>4.1512759887416028E-3</v>
      </c>
    </row>
    <row r="2576" spans="7:8" x14ac:dyDescent="0.3">
      <c r="G2576">
        <v>2569</v>
      </c>
      <c r="H2576">
        <f t="shared" ca="1" si="60"/>
        <v>-1.7231887636607254E-2</v>
      </c>
    </row>
    <row r="2577" spans="7:8" x14ac:dyDescent="0.3">
      <c r="G2577">
        <v>2570</v>
      </c>
      <c r="H2577">
        <f t="shared" ca="1" si="60"/>
        <v>2.2268527654182083E-2</v>
      </c>
    </row>
    <row r="2578" spans="7:8" x14ac:dyDescent="0.3">
      <c r="G2578">
        <v>2571</v>
      </c>
      <c r="H2578">
        <f t="shared" ca="1" si="60"/>
        <v>1.9539542006267178E-2</v>
      </c>
    </row>
    <row r="2579" spans="7:8" x14ac:dyDescent="0.3">
      <c r="G2579">
        <v>2572</v>
      </c>
      <c r="H2579">
        <f t="shared" ca="1" si="60"/>
        <v>8.9999580186669714E-3</v>
      </c>
    </row>
    <row r="2580" spans="7:8" x14ac:dyDescent="0.3">
      <c r="G2580">
        <v>2573</v>
      </c>
      <c r="H2580">
        <f t="shared" ca="1" si="60"/>
        <v>-4.0663690269251516E-3</v>
      </c>
    </row>
    <row r="2581" spans="7:8" x14ac:dyDescent="0.3">
      <c r="G2581">
        <v>2574</v>
      </c>
      <c r="H2581">
        <f t="shared" ca="1" si="60"/>
        <v>-3.0749604516561786E-2</v>
      </c>
    </row>
    <row r="2582" spans="7:8" x14ac:dyDescent="0.3">
      <c r="G2582">
        <v>2575</v>
      </c>
      <c r="H2582">
        <f t="shared" ca="1" si="60"/>
        <v>5.683169022338461E-3</v>
      </c>
    </row>
    <row r="2583" spans="7:8" x14ac:dyDescent="0.3">
      <c r="G2583">
        <v>2576</v>
      </c>
      <c r="H2583">
        <f t="shared" ca="1" si="60"/>
        <v>1.1081156349382929E-2</v>
      </c>
    </row>
    <row r="2584" spans="7:8" x14ac:dyDescent="0.3">
      <c r="G2584">
        <v>2577</v>
      </c>
      <c r="H2584">
        <f t="shared" ca="1" si="60"/>
        <v>2.5613706477000675E-2</v>
      </c>
    </row>
    <row r="2585" spans="7:8" x14ac:dyDescent="0.3">
      <c r="G2585">
        <v>2578</v>
      </c>
      <c r="H2585">
        <f t="shared" ca="1" si="60"/>
        <v>8.3302012661582749E-3</v>
      </c>
    </row>
    <row r="2586" spans="7:8" x14ac:dyDescent="0.3">
      <c r="G2586">
        <v>2579</v>
      </c>
      <c r="H2586">
        <f t="shared" ca="1" si="60"/>
        <v>-1.0816063341395444E-2</v>
      </c>
    </row>
    <row r="2587" spans="7:8" x14ac:dyDescent="0.3">
      <c r="G2587">
        <v>2580</v>
      </c>
      <c r="H2587">
        <f t="shared" ca="1" si="60"/>
        <v>1.3013688227184241E-2</v>
      </c>
    </row>
    <row r="2588" spans="7:8" x14ac:dyDescent="0.3">
      <c r="G2588">
        <v>2581</v>
      </c>
      <c r="H2588">
        <f t="shared" ca="1" si="60"/>
        <v>-4.9018129488487636E-3</v>
      </c>
    </row>
    <row r="2589" spans="7:8" x14ac:dyDescent="0.3">
      <c r="G2589">
        <v>2582</v>
      </c>
      <c r="H2589">
        <f t="shared" ca="1" si="60"/>
        <v>-2.1852914417647612E-2</v>
      </c>
    </row>
    <row r="2590" spans="7:8" x14ac:dyDescent="0.3">
      <c r="G2590">
        <v>2583</v>
      </c>
      <c r="H2590">
        <f t="shared" ca="1" si="60"/>
        <v>-5.5535143603993127E-3</v>
      </c>
    </row>
    <row r="2591" spans="7:8" x14ac:dyDescent="0.3">
      <c r="G2591">
        <v>2584</v>
      </c>
      <c r="H2591">
        <f t="shared" ca="1" si="60"/>
        <v>1.9056020649451312E-2</v>
      </c>
    </row>
    <row r="2592" spans="7:8" x14ac:dyDescent="0.3">
      <c r="G2592">
        <v>2585</v>
      </c>
      <c r="H2592">
        <f t="shared" ca="1" si="60"/>
        <v>2.5075060900862384E-3</v>
      </c>
    </row>
    <row r="2593" spans="7:8" x14ac:dyDescent="0.3">
      <c r="G2593">
        <v>2586</v>
      </c>
      <c r="H2593">
        <f t="shared" ca="1" si="60"/>
        <v>-1.1151962487471625E-2</v>
      </c>
    </row>
    <row r="2594" spans="7:8" x14ac:dyDescent="0.3">
      <c r="G2594">
        <v>2587</v>
      </c>
      <c r="H2594">
        <f t="shared" ca="1" si="60"/>
        <v>-3.2060704808846889E-3</v>
      </c>
    </row>
    <row r="2595" spans="7:8" x14ac:dyDescent="0.3">
      <c r="G2595">
        <v>2588</v>
      </c>
      <c r="H2595">
        <f t="shared" ca="1" si="60"/>
        <v>-3.9281122569115095E-3</v>
      </c>
    </row>
    <row r="2596" spans="7:8" x14ac:dyDescent="0.3">
      <c r="G2596">
        <v>2589</v>
      </c>
      <c r="H2596">
        <f t="shared" ca="1" si="60"/>
        <v>9.3660377729926376E-3</v>
      </c>
    </row>
    <row r="2597" spans="7:8" x14ac:dyDescent="0.3">
      <c r="G2597">
        <v>2590</v>
      </c>
      <c r="H2597">
        <f t="shared" ca="1" si="60"/>
        <v>-9.8512262268842955E-3</v>
      </c>
    </row>
    <row r="2598" spans="7:8" x14ac:dyDescent="0.3">
      <c r="G2598">
        <v>2591</v>
      </c>
      <c r="H2598">
        <f t="shared" ca="1" si="60"/>
        <v>-2.2518897108555171E-2</v>
      </c>
    </row>
    <row r="2599" spans="7:8" x14ac:dyDescent="0.3">
      <c r="G2599">
        <v>2592</v>
      </c>
      <c r="H2599">
        <f t="shared" ca="1" si="60"/>
        <v>-2.6802306713830915E-3</v>
      </c>
    </row>
    <row r="2600" spans="7:8" x14ac:dyDescent="0.3">
      <c r="G2600">
        <v>2593</v>
      </c>
      <c r="H2600">
        <f t="shared" ca="1" si="60"/>
        <v>2.4560033971825759E-3</v>
      </c>
    </row>
    <row r="2601" spans="7:8" x14ac:dyDescent="0.3">
      <c r="G2601">
        <v>2594</v>
      </c>
      <c r="H2601">
        <f t="shared" ca="1" si="60"/>
        <v>-5.9350978907783004E-3</v>
      </c>
    </row>
    <row r="2602" spans="7:8" x14ac:dyDescent="0.3">
      <c r="G2602">
        <v>2595</v>
      </c>
      <c r="H2602">
        <f t="shared" ca="1" si="60"/>
        <v>-1.1969418786110396E-2</v>
      </c>
    </row>
    <row r="2603" spans="7:8" x14ac:dyDescent="0.3">
      <c r="G2603">
        <v>2596</v>
      </c>
      <c r="H2603">
        <f t="shared" ca="1" si="60"/>
        <v>-2.5264081058342398E-2</v>
      </c>
    </row>
    <row r="2604" spans="7:8" x14ac:dyDescent="0.3">
      <c r="G2604">
        <v>2597</v>
      </c>
      <c r="H2604">
        <f t="shared" ca="1" si="60"/>
        <v>2.5284705805596445E-2</v>
      </c>
    </row>
    <row r="2605" spans="7:8" x14ac:dyDescent="0.3">
      <c r="G2605">
        <v>2598</v>
      </c>
      <c r="H2605">
        <f t="shared" ca="1" si="60"/>
        <v>-2.321041193272072E-2</v>
      </c>
    </row>
    <row r="2606" spans="7:8" x14ac:dyDescent="0.3">
      <c r="G2606">
        <v>2599</v>
      </c>
      <c r="H2606">
        <f t="shared" ca="1" si="60"/>
        <v>1.1592188357380167E-2</v>
      </c>
    </row>
    <row r="2607" spans="7:8" x14ac:dyDescent="0.3">
      <c r="G2607">
        <v>2600</v>
      </c>
      <c r="H2607">
        <f t="shared" ca="1" si="60"/>
        <v>-7.9590501133222184E-3</v>
      </c>
    </row>
    <row r="2608" spans="7:8" x14ac:dyDescent="0.3">
      <c r="G2608">
        <v>2601</v>
      </c>
      <c r="H2608">
        <f t="shared" ca="1" si="60"/>
        <v>4.2499713807246575E-3</v>
      </c>
    </row>
    <row r="2609" spans="7:8" x14ac:dyDescent="0.3">
      <c r="G2609">
        <v>2602</v>
      </c>
      <c r="H2609">
        <f t="shared" ca="1" si="60"/>
        <v>-4.9595788411537292E-3</v>
      </c>
    </row>
    <row r="2610" spans="7:8" x14ac:dyDescent="0.3">
      <c r="G2610">
        <v>2603</v>
      </c>
      <c r="H2610">
        <f t="shared" ca="1" si="60"/>
        <v>-2.5067581806718458E-2</v>
      </c>
    </row>
    <row r="2611" spans="7:8" x14ac:dyDescent="0.3">
      <c r="G2611">
        <v>2604</v>
      </c>
      <c r="H2611">
        <f t="shared" ca="1" si="60"/>
        <v>1.0410013522624205E-2</v>
      </c>
    </row>
    <row r="2612" spans="7:8" x14ac:dyDescent="0.3">
      <c r="G2612">
        <v>2605</v>
      </c>
      <c r="H2612">
        <f t="shared" ca="1" si="60"/>
        <v>2.7465786447069821E-2</v>
      </c>
    </row>
    <row r="2613" spans="7:8" x14ac:dyDescent="0.3">
      <c r="G2613">
        <v>2606</v>
      </c>
      <c r="H2613">
        <f t="shared" ca="1" si="60"/>
        <v>-4.7577356673146973E-3</v>
      </c>
    </row>
    <row r="2614" spans="7:8" x14ac:dyDescent="0.3">
      <c r="G2614">
        <v>2607</v>
      </c>
      <c r="H2614">
        <f t="shared" ca="1" si="60"/>
        <v>-1.4315108413060365E-2</v>
      </c>
    </row>
    <row r="2615" spans="7:8" x14ac:dyDescent="0.3">
      <c r="G2615">
        <v>2608</v>
      </c>
      <c r="H2615">
        <f t="shared" ca="1" si="60"/>
        <v>-3.1853702802021405E-2</v>
      </c>
    </row>
    <row r="2616" spans="7:8" x14ac:dyDescent="0.3">
      <c r="G2616">
        <v>2609</v>
      </c>
      <c r="H2616">
        <f t="shared" ca="1" si="60"/>
        <v>1.1142352046610834E-2</v>
      </c>
    </row>
    <row r="2617" spans="7:8" x14ac:dyDescent="0.3">
      <c r="G2617">
        <v>2610</v>
      </c>
      <c r="H2617">
        <f t="shared" ca="1" si="60"/>
        <v>-1.5144902067279781E-2</v>
      </c>
    </row>
    <row r="2618" spans="7:8" x14ac:dyDescent="0.3">
      <c r="G2618">
        <v>2611</v>
      </c>
      <c r="H2618">
        <f t="shared" ca="1" si="60"/>
        <v>-1.0683860314371225E-2</v>
      </c>
    </row>
    <row r="2619" spans="7:8" x14ac:dyDescent="0.3">
      <c r="G2619">
        <v>2612</v>
      </c>
      <c r="H2619">
        <f t="shared" ca="1" si="60"/>
        <v>-1.9447615758612011E-2</v>
      </c>
    </row>
    <row r="2620" spans="7:8" x14ac:dyDescent="0.3">
      <c r="G2620">
        <v>2613</v>
      </c>
      <c r="H2620">
        <f t="shared" ca="1" si="60"/>
        <v>4.4661482596812588E-3</v>
      </c>
    </row>
    <row r="2621" spans="7:8" x14ac:dyDescent="0.3">
      <c r="G2621">
        <v>2614</v>
      </c>
      <c r="H2621">
        <f t="shared" ca="1" si="60"/>
        <v>1.5282980204807688E-2</v>
      </c>
    </row>
    <row r="2622" spans="7:8" x14ac:dyDescent="0.3">
      <c r="G2622">
        <v>2615</v>
      </c>
      <c r="H2622">
        <f t="shared" ca="1" si="60"/>
        <v>3.2608280391903853E-2</v>
      </c>
    </row>
    <row r="2623" spans="7:8" x14ac:dyDescent="0.3">
      <c r="G2623">
        <v>2616</v>
      </c>
      <c r="H2623">
        <f t="shared" ca="1" si="60"/>
        <v>-1.9507223951190419E-2</v>
      </c>
    </row>
    <row r="2624" spans="7:8" x14ac:dyDescent="0.3">
      <c r="G2624">
        <v>2617</v>
      </c>
      <c r="H2624">
        <f t="shared" ca="1" si="60"/>
        <v>7.5755186825803081E-3</v>
      </c>
    </row>
    <row r="2625" spans="7:8" x14ac:dyDescent="0.3">
      <c r="G2625">
        <v>2618</v>
      </c>
      <c r="H2625">
        <f t="shared" ca="1" si="60"/>
        <v>2.3681711288605554E-2</v>
      </c>
    </row>
    <row r="2626" spans="7:8" x14ac:dyDescent="0.3">
      <c r="G2626">
        <v>2619</v>
      </c>
      <c r="H2626">
        <f t="shared" ca="1" si="60"/>
        <v>-4.2158139290819803E-3</v>
      </c>
    </row>
    <row r="2627" spans="7:8" x14ac:dyDescent="0.3">
      <c r="G2627">
        <v>2620</v>
      </c>
      <c r="H2627">
        <f t="shared" ca="1" si="60"/>
        <v>-6.2255794810719012E-4</v>
      </c>
    </row>
    <row r="2628" spans="7:8" x14ac:dyDescent="0.3">
      <c r="G2628">
        <v>2621</v>
      </c>
      <c r="H2628">
        <f t="shared" ca="1" si="60"/>
        <v>-1.9921721811660728E-2</v>
      </c>
    </row>
    <row r="2629" spans="7:8" x14ac:dyDescent="0.3">
      <c r="G2629">
        <v>2622</v>
      </c>
      <c r="H2629">
        <f t="shared" ca="1" si="60"/>
        <v>-4.2166913172135594E-4</v>
      </c>
    </row>
    <row r="2630" spans="7:8" x14ac:dyDescent="0.3">
      <c r="G2630">
        <v>2623</v>
      </c>
      <c r="H2630">
        <f t="shared" ca="1" si="60"/>
        <v>2.0895531815451347E-2</v>
      </c>
    </row>
    <row r="2631" spans="7:8" x14ac:dyDescent="0.3">
      <c r="G2631">
        <v>2624</v>
      </c>
      <c r="H2631">
        <f t="shared" ca="1" si="60"/>
        <v>7.0532160735165767E-3</v>
      </c>
    </row>
    <row r="2632" spans="7:8" x14ac:dyDescent="0.3">
      <c r="G2632">
        <v>2625</v>
      </c>
      <c r="H2632">
        <f t="shared" ca="1" si="60"/>
        <v>2.1642377107737736E-2</v>
      </c>
    </row>
    <row r="2633" spans="7:8" x14ac:dyDescent="0.3">
      <c r="G2633">
        <v>2626</v>
      </c>
      <c r="H2633">
        <f t="shared" ref="H2633:H2696" ca="1" si="61">_xlfn.NORM.INV(RAND(),$N$10,$N$11)</f>
        <v>2.6881546442908671E-2</v>
      </c>
    </row>
    <row r="2634" spans="7:8" x14ac:dyDescent="0.3">
      <c r="G2634">
        <v>2627</v>
      </c>
      <c r="H2634">
        <f t="shared" ca="1" si="61"/>
        <v>-1.9237442232470151E-2</v>
      </c>
    </row>
    <row r="2635" spans="7:8" x14ac:dyDescent="0.3">
      <c r="G2635">
        <v>2628</v>
      </c>
      <c r="H2635">
        <f t="shared" ca="1" si="61"/>
        <v>7.3930407594079584E-4</v>
      </c>
    </row>
    <row r="2636" spans="7:8" x14ac:dyDescent="0.3">
      <c r="G2636">
        <v>2629</v>
      </c>
      <c r="H2636">
        <f t="shared" ca="1" si="61"/>
        <v>-6.7976692715767196E-3</v>
      </c>
    </row>
    <row r="2637" spans="7:8" x14ac:dyDescent="0.3">
      <c r="G2637">
        <v>2630</v>
      </c>
      <c r="H2637">
        <f t="shared" ca="1" si="61"/>
        <v>1.2512349745694014E-2</v>
      </c>
    </row>
    <row r="2638" spans="7:8" x14ac:dyDescent="0.3">
      <c r="G2638">
        <v>2631</v>
      </c>
      <c r="H2638">
        <f t="shared" ca="1" si="61"/>
        <v>-1.0980741642359617E-2</v>
      </c>
    </row>
    <row r="2639" spans="7:8" x14ac:dyDescent="0.3">
      <c r="G2639">
        <v>2632</v>
      </c>
      <c r="H2639">
        <f t="shared" ca="1" si="61"/>
        <v>-1.7095251508013231E-2</v>
      </c>
    </row>
    <row r="2640" spans="7:8" x14ac:dyDescent="0.3">
      <c r="G2640">
        <v>2633</v>
      </c>
      <c r="H2640">
        <f t="shared" ca="1" si="61"/>
        <v>1.1093023344703604E-3</v>
      </c>
    </row>
    <row r="2641" spans="7:8" x14ac:dyDescent="0.3">
      <c r="G2641">
        <v>2634</v>
      </c>
      <c r="H2641">
        <f t="shared" ca="1" si="61"/>
        <v>7.1523929962411612E-3</v>
      </c>
    </row>
    <row r="2642" spans="7:8" x14ac:dyDescent="0.3">
      <c r="G2642">
        <v>2635</v>
      </c>
      <c r="H2642">
        <f t="shared" ca="1" si="61"/>
        <v>-9.8795879326970485E-4</v>
      </c>
    </row>
    <row r="2643" spans="7:8" x14ac:dyDescent="0.3">
      <c r="G2643">
        <v>2636</v>
      </c>
      <c r="H2643">
        <f t="shared" ca="1" si="61"/>
        <v>1.1031837520441208E-2</v>
      </c>
    </row>
    <row r="2644" spans="7:8" x14ac:dyDescent="0.3">
      <c r="G2644">
        <v>2637</v>
      </c>
      <c r="H2644">
        <f t="shared" ca="1" si="61"/>
        <v>2.0540533046256464E-2</v>
      </c>
    </row>
    <row r="2645" spans="7:8" x14ac:dyDescent="0.3">
      <c r="G2645">
        <v>2638</v>
      </c>
      <c r="H2645">
        <f t="shared" ca="1" si="61"/>
        <v>3.2006528912219322E-3</v>
      </c>
    </row>
    <row r="2646" spans="7:8" x14ac:dyDescent="0.3">
      <c r="G2646">
        <v>2639</v>
      </c>
      <c r="H2646">
        <f t="shared" ca="1" si="61"/>
        <v>-2.0307607289863513E-3</v>
      </c>
    </row>
    <row r="2647" spans="7:8" x14ac:dyDescent="0.3">
      <c r="G2647">
        <v>2640</v>
      </c>
      <c r="H2647">
        <f t="shared" ca="1" si="61"/>
        <v>-7.9407763008871139E-3</v>
      </c>
    </row>
    <row r="2648" spans="7:8" x14ac:dyDescent="0.3">
      <c r="G2648">
        <v>2641</v>
      </c>
      <c r="H2648">
        <f t="shared" ca="1" si="61"/>
        <v>-1.32746056287161E-2</v>
      </c>
    </row>
    <row r="2649" spans="7:8" x14ac:dyDescent="0.3">
      <c r="G2649">
        <v>2642</v>
      </c>
      <c r="H2649">
        <f t="shared" ca="1" si="61"/>
        <v>6.6018961379463986E-3</v>
      </c>
    </row>
    <row r="2650" spans="7:8" x14ac:dyDescent="0.3">
      <c r="G2650">
        <v>2643</v>
      </c>
      <c r="H2650">
        <f t="shared" ca="1" si="61"/>
        <v>1.2309161963118997E-2</v>
      </c>
    </row>
    <row r="2651" spans="7:8" x14ac:dyDescent="0.3">
      <c r="G2651">
        <v>2644</v>
      </c>
      <c r="H2651">
        <f t="shared" ca="1" si="61"/>
        <v>-4.5014216634716011E-5</v>
      </c>
    </row>
    <row r="2652" spans="7:8" x14ac:dyDescent="0.3">
      <c r="G2652">
        <v>2645</v>
      </c>
      <c r="H2652">
        <f t="shared" ca="1" si="61"/>
        <v>-1.456311860681375E-2</v>
      </c>
    </row>
    <row r="2653" spans="7:8" x14ac:dyDescent="0.3">
      <c r="G2653">
        <v>2646</v>
      </c>
      <c r="H2653">
        <f t="shared" ca="1" si="61"/>
        <v>-1.7751262862852422E-2</v>
      </c>
    </row>
    <row r="2654" spans="7:8" x14ac:dyDescent="0.3">
      <c r="G2654">
        <v>2647</v>
      </c>
      <c r="H2654">
        <f t="shared" ca="1" si="61"/>
        <v>-4.0920817393941796E-3</v>
      </c>
    </row>
    <row r="2655" spans="7:8" x14ac:dyDescent="0.3">
      <c r="G2655">
        <v>2648</v>
      </c>
      <c r="H2655">
        <f t="shared" ca="1" si="61"/>
        <v>-3.209722790584333E-2</v>
      </c>
    </row>
    <row r="2656" spans="7:8" x14ac:dyDescent="0.3">
      <c r="G2656">
        <v>2649</v>
      </c>
      <c r="H2656">
        <f t="shared" ca="1" si="61"/>
        <v>-2.5478702416262537E-2</v>
      </c>
    </row>
    <row r="2657" spans="7:8" x14ac:dyDescent="0.3">
      <c r="G2657">
        <v>2650</v>
      </c>
      <c r="H2657">
        <f t="shared" ca="1" si="61"/>
        <v>8.4042357271800691E-3</v>
      </c>
    </row>
    <row r="2658" spans="7:8" x14ac:dyDescent="0.3">
      <c r="G2658">
        <v>2651</v>
      </c>
      <c r="H2658">
        <f t="shared" ca="1" si="61"/>
        <v>-1.8383855470616955E-3</v>
      </c>
    </row>
    <row r="2659" spans="7:8" x14ac:dyDescent="0.3">
      <c r="G2659">
        <v>2652</v>
      </c>
      <c r="H2659">
        <f t="shared" ca="1" si="61"/>
        <v>-2.3609237266701982E-2</v>
      </c>
    </row>
    <row r="2660" spans="7:8" x14ac:dyDescent="0.3">
      <c r="G2660">
        <v>2653</v>
      </c>
      <c r="H2660">
        <f t="shared" ca="1" si="61"/>
        <v>1.1507117091864753E-2</v>
      </c>
    </row>
    <row r="2661" spans="7:8" x14ac:dyDescent="0.3">
      <c r="G2661">
        <v>2654</v>
      </c>
      <c r="H2661">
        <f t="shared" ca="1" si="61"/>
        <v>1.0176624088290847E-2</v>
      </c>
    </row>
    <row r="2662" spans="7:8" x14ac:dyDescent="0.3">
      <c r="G2662">
        <v>2655</v>
      </c>
      <c r="H2662">
        <f t="shared" ca="1" si="61"/>
        <v>1.6806359068254648E-2</v>
      </c>
    </row>
    <row r="2663" spans="7:8" x14ac:dyDescent="0.3">
      <c r="G2663">
        <v>2656</v>
      </c>
      <c r="H2663">
        <f t="shared" ca="1" si="61"/>
        <v>-1.8657939730340172E-2</v>
      </c>
    </row>
    <row r="2664" spans="7:8" x14ac:dyDescent="0.3">
      <c r="G2664">
        <v>2657</v>
      </c>
      <c r="H2664">
        <f t="shared" ca="1" si="61"/>
        <v>-1.3318850245427054E-2</v>
      </c>
    </row>
    <row r="2665" spans="7:8" x14ac:dyDescent="0.3">
      <c r="G2665">
        <v>2658</v>
      </c>
      <c r="H2665">
        <f t="shared" ca="1" si="61"/>
        <v>2.1568346821284248E-2</v>
      </c>
    </row>
    <row r="2666" spans="7:8" x14ac:dyDescent="0.3">
      <c r="G2666">
        <v>2659</v>
      </c>
      <c r="H2666">
        <f t="shared" ca="1" si="61"/>
        <v>-1.386616729708802E-2</v>
      </c>
    </row>
    <row r="2667" spans="7:8" x14ac:dyDescent="0.3">
      <c r="G2667">
        <v>2660</v>
      </c>
      <c r="H2667">
        <f t="shared" ca="1" si="61"/>
        <v>4.4682851139922963E-3</v>
      </c>
    </row>
    <row r="2668" spans="7:8" x14ac:dyDescent="0.3">
      <c r="G2668">
        <v>2661</v>
      </c>
      <c r="H2668">
        <f t="shared" ca="1" si="61"/>
        <v>5.9162708685067929E-3</v>
      </c>
    </row>
    <row r="2669" spans="7:8" x14ac:dyDescent="0.3">
      <c r="G2669">
        <v>2662</v>
      </c>
      <c r="H2669">
        <f t="shared" ca="1" si="61"/>
        <v>-1.503144080039044E-2</v>
      </c>
    </row>
    <row r="2670" spans="7:8" x14ac:dyDescent="0.3">
      <c r="G2670">
        <v>2663</v>
      </c>
      <c r="H2670">
        <f t="shared" ca="1" si="61"/>
        <v>-1.0919103758645873E-2</v>
      </c>
    </row>
    <row r="2671" spans="7:8" x14ac:dyDescent="0.3">
      <c r="G2671">
        <v>2664</v>
      </c>
      <c r="H2671">
        <f t="shared" ca="1" si="61"/>
        <v>-1.3182063513665647E-2</v>
      </c>
    </row>
    <row r="2672" spans="7:8" x14ac:dyDescent="0.3">
      <c r="G2672">
        <v>2665</v>
      </c>
      <c r="H2672">
        <f t="shared" ca="1" si="61"/>
        <v>2.1272386821216127E-2</v>
      </c>
    </row>
    <row r="2673" spans="7:8" x14ac:dyDescent="0.3">
      <c r="G2673">
        <v>2666</v>
      </c>
      <c r="H2673">
        <f t="shared" ca="1" si="61"/>
        <v>-4.7702022216467042E-2</v>
      </c>
    </row>
    <row r="2674" spans="7:8" x14ac:dyDescent="0.3">
      <c r="G2674">
        <v>2667</v>
      </c>
      <c r="H2674">
        <f t="shared" ca="1" si="61"/>
        <v>1.0342696477824575E-2</v>
      </c>
    </row>
    <row r="2675" spans="7:8" x14ac:dyDescent="0.3">
      <c r="G2675">
        <v>2668</v>
      </c>
      <c r="H2675">
        <f t="shared" ca="1" si="61"/>
        <v>1.2399247429644794E-2</v>
      </c>
    </row>
    <row r="2676" spans="7:8" x14ac:dyDescent="0.3">
      <c r="G2676">
        <v>2669</v>
      </c>
      <c r="H2676">
        <f t="shared" ca="1" si="61"/>
        <v>3.5876437888118687E-2</v>
      </c>
    </row>
    <row r="2677" spans="7:8" x14ac:dyDescent="0.3">
      <c r="G2677">
        <v>2670</v>
      </c>
      <c r="H2677">
        <f t="shared" ca="1" si="61"/>
        <v>-4.4234187581678616E-2</v>
      </c>
    </row>
    <row r="2678" spans="7:8" x14ac:dyDescent="0.3">
      <c r="G2678">
        <v>2671</v>
      </c>
      <c r="H2678">
        <f t="shared" ca="1" si="61"/>
        <v>-1.8348720186951446E-2</v>
      </c>
    </row>
    <row r="2679" spans="7:8" x14ac:dyDescent="0.3">
      <c r="G2679">
        <v>2672</v>
      </c>
      <c r="H2679">
        <f t="shared" ca="1" si="61"/>
        <v>-3.4310990370438305E-2</v>
      </c>
    </row>
    <row r="2680" spans="7:8" x14ac:dyDescent="0.3">
      <c r="G2680">
        <v>2673</v>
      </c>
      <c r="H2680">
        <f t="shared" ca="1" si="61"/>
        <v>-2.5727733068997016E-2</v>
      </c>
    </row>
    <row r="2681" spans="7:8" x14ac:dyDescent="0.3">
      <c r="G2681">
        <v>2674</v>
      </c>
      <c r="H2681">
        <f t="shared" ca="1" si="61"/>
        <v>8.9191521759394189E-3</v>
      </c>
    </row>
    <row r="2682" spans="7:8" x14ac:dyDescent="0.3">
      <c r="G2682">
        <v>2675</v>
      </c>
      <c r="H2682">
        <f t="shared" ca="1" si="61"/>
        <v>2.5427820187554122E-2</v>
      </c>
    </row>
    <row r="2683" spans="7:8" x14ac:dyDescent="0.3">
      <c r="G2683">
        <v>2676</v>
      </c>
      <c r="H2683">
        <f t="shared" ca="1" si="61"/>
        <v>-1.0211565136109034E-2</v>
      </c>
    </row>
    <row r="2684" spans="7:8" x14ac:dyDescent="0.3">
      <c r="G2684">
        <v>2677</v>
      </c>
      <c r="H2684">
        <f t="shared" ca="1" si="61"/>
        <v>-1.9220614452326961E-2</v>
      </c>
    </row>
    <row r="2685" spans="7:8" x14ac:dyDescent="0.3">
      <c r="G2685">
        <v>2678</v>
      </c>
      <c r="H2685">
        <f t="shared" ca="1" si="61"/>
        <v>6.3874417087392702E-3</v>
      </c>
    </row>
    <row r="2686" spans="7:8" x14ac:dyDescent="0.3">
      <c r="G2686">
        <v>2679</v>
      </c>
      <c r="H2686">
        <f t="shared" ca="1" si="61"/>
        <v>-1.5558139775214265E-2</v>
      </c>
    </row>
    <row r="2687" spans="7:8" x14ac:dyDescent="0.3">
      <c r="G2687">
        <v>2680</v>
      </c>
      <c r="H2687">
        <f t="shared" ca="1" si="61"/>
        <v>-1.2823680097073505E-3</v>
      </c>
    </row>
    <row r="2688" spans="7:8" x14ac:dyDescent="0.3">
      <c r="G2688">
        <v>2681</v>
      </c>
      <c r="H2688">
        <f t="shared" ca="1" si="61"/>
        <v>2.1153563727162285E-2</v>
      </c>
    </row>
    <row r="2689" spans="7:8" x14ac:dyDescent="0.3">
      <c r="G2689">
        <v>2682</v>
      </c>
      <c r="H2689">
        <f t="shared" ca="1" si="61"/>
        <v>-2.1117734529774737E-2</v>
      </c>
    </row>
    <row r="2690" spans="7:8" x14ac:dyDescent="0.3">
      <c r="G2690">
        <v>2683</v>
      </c>
      <c r="H2690">
        <f t="shared" ca="1" si="61"/>
        <v>-8.0034293586729935E-3</v>
      </c>
    </row>
    <row r="2691" spans="7:8" x14ac:dyDescent="0.3">
      <c r="G2691">
        <v>2684</v>
      </c>
      <c r="H2691">
        <f t="shared" ca="1" si="61"/>
        <v>-1.6220972788067761E-2</v>
      </c>
    </row>
    <row r="2692" spans="7:8" x14ac:dyDescent="0.3">
      <c r="G2692">
        <v>2685</v>
      </c>
      <c r="H2692">
        <f t="shared" ca="1" si="61"/>
        <v>1.8412574404866981E-2</v>
      </c>
    </row>
    <row r="2693" spans="7:8" x14ac:dyDescent="0.3">
      <c r="G2693">
        <v>2686</v>
      </c>
      <c r="H2693">
        <f t="shared" ca="1" si="61"/>
        <v>-8.3220122423244697E-3</v>
      </c>
    </row>
    <row r="2694" spans="7:8" x14ac:dyDescent="0.3">
      <c r="G2694">
        <v>2687</v>
      </c>
      <c r="H2694">
        <f t="shared" ca="1" si="61"/>
        <v>-2.6107247453306139E-2</v>
      </c>
    </row>
    <row r="2695" spans="7:8" x14ac:dyDescent="0.3">
      <c r="G2695">
        <v>2688</v>
      </c>
      <c r="H2695">
        <f t="shared" ca="1" si="61"/>
        <v>-6.829327685453435E-3</v>
      </c>
    </row>
    <row r="2696" spans="7:8" x14ac:dyDescent="0.3">
      <c r="G2696">
        <v>2689</v>
      </c>
      <c r="H2696">
        <f t="shared" ca="1" si="61"/>
        <v>6.1252858853611371E-3</v>
      </c>
    </row>
    <row r="2697" spans="7:8" x14ac:dyDescent="0.3">
      <c r="G2697">
        <v>2690</v>
      </c>
      <c r="H2697">
        <f t="shared" ref="H2697:H2760" ca="1" si="62">_xlfn.NORM.INV(RAND(),$N$10,$N$11)</f>
        <v>-1.0811590957692394E-2</v>
      </c>
    </row>
    <row r="2698" spans="7:8" x14ac:dyDescent="0.3">
      <c r="G2698">
        <v>2691</v>
      </c>
      <c r="H2698">
        <f t="shared" ca="1" si="62"/>
        <v>2.9052127836778387E-3</v>
      </c>
    </row>
    <row r="2699" spans="7:8" x14ac:dyDescent="0.3">
      <c r="G2699">
        <v>2692</v>
      </c>
      <c r="H2699">
        <f t="shared" ca="1" si="62"/>
        <v>8.5090630416130089E-3</v>
      </c>
    </row>
    <row r="2700" spans="7:8" x14ac:dyDescent="0.3">
      <c r="G2700">
        <v>2693</v>
      </c>
      <c r="H2700">
        <f t="shared" ca="1" si="62"/>
        <v>4.9446732760459709E-2</v>
      </c>
    </row>
    <row r="2701" spans="7:8" x14ac:dyDescent="0.3">
      <c r="G2701">
        <v>2694</v>
      </c>
      <c r="H2701">
        <f t="shared" ca="1" si="62"/>
        <v>2.3499176334653327E-3</v>
      </c>
    </row>
    <row r="2702" spans="7:8" x14ac:dyDescent="0.3">
      <c r="G2702">
        <v>2695</v>
      </c>
      <c r="H2702">
        <f t="shared" ca="1" si="62"/>
        <v>-5.9144933960957871E-3</v>
      </c>
    </row>
    <row r="2703" spans="7:8" x14ac:dyDescent="0.3">
      <c r="G2703">
        <v>2696</v>
      </c>
      <c r="H2703">
        <f t="shared" ca="1" si="62"/>
        <v>9.1041447127616464E-3</v>
      </c>
    </row>
    <row r="2704" spans="7:8" x14ac:dyDescent="0.3">
      <c r="G2704">
        <v>2697</v>
      </c>
      <c r="H2704">
        <f t="shared" ca="1" si="62"/>
        <v>4.2247830649778974E-3</v>
      </c>
    </row>
    <row r="2705" spans="7:8" x14ac:dyDescent="0.3">
      <c r="G2705">
        <v>2698</v>
      </c>
      <c r="H2705">
        <f t="shared" ca="1" si="62"/>
        <v>1.1051840685362359E-2</v>
      </c>
    </row>
    <row r="2706" spans="7:8" x14ac:dyDescent="0.3">
      <c r="G2706">
        <v>2699</v>
      </c>
      <c r="H2706">
        <f t="shared" ca="1" si="62"/>
        <v>-2.762120560803133E-2</v>
      </c>
    </row>
    <row r="2707" spans="7:8" x14ac:dyDescent="0.3">
      <c r="G2707">
        <v>2700</v>
      </c>
      <c r="H2707">
        <f t="shared" ca="1" si="62"/>
        <v>-3.8640765924301433E-3</v>
      </c>
    </row>
    <row r="2708" spans="7:8" x14ac:dyDescent="0.3">
      <c r="G2708">
        <v>2701</v>
      </c>
      <c r="H2708">
        <f t="shared" ca="1" si="62"/>
        <v>8.0713965483801466E-3</v>
      </c>
    </row>
    <row r="2709" spans="7:8" x14ac:dyDescent="0.3">
      <c r="G2709">
        <v>2702</v>
      </c>
      <c r="H2709">
        <f t="shared" ca="1" si="62"/>
        <v>5.3196814473703358E-3</v>
      </c>
    </row>
    <row r="2710" spans="7:8" x14ac:dyDescent="0.3">
      <c r="G2710">
        <v>2703</v>
      </c>
      <c r="H2710">
        <f t="shared" ca="1" si="62"/>
        <v>-1.8580410336462922E-2</v>
      </c>
    </row>
    <row r="2711" spans="7:8" x14ac:dyDescent="0.3">
      <c r="G2711">
        <v>2704</v>
      </c>
      <c r="H2711">
        <f t="shared" ca="1" si="62"/>
        <v>-2.6515265016065558E-2</v>
      </c>
    </row>
    <row r="2712" spans="7:8" x14ac:dyDescent="0.3">
      <c r="G2712">
        <v>2705</v>
      </c>
      <c r="H2712">
        <f t="shared" ca="1" si="62"/>
        <v>-2.7121606103757558E-2</v>
      </c>
    </row>
    <row r="2713" spans="7:8" x14ac:dyDescent="0.3">
      <c r="G2713">
        <v>2706</v>
      </c>
      <c r="H2713">
        <f t="shared" ca="1" si="62"/>
        <v>-2.1527555174982661E-3</v>
      </c>
    </row>
    <row r="2714" spans="7:8" x14ac:dyDescent="0.3">
      <c r="G2714">
        <v>2707</v>
      </c>
      <c r="H2714">
        <f t="shared" ca="1" si="62"/>
        <v>-1.7938827476476963E-2</v>
      </c>
    </row>
    <row r="2715" spans="7:8" x14ac:dyDescent="0.3">
      <c r="G2715">
        <v>2708</v>
      </c>
      <c r="H2715">
        <f t="shared" ca="1" si="62"/>
        <v>4.4112363294085228E-3</v>
      </c>
    </row>
    <row r="2716" spans="7:8" x14ac:dyDescent="0.3">
      <c r="G2716">
        <v>2709</v>
      </c>
      <c r="H2716">
        <f t="shared" ca="1" si="62"/>
        <v>-7.3811943502717289E-4</v>
      </c>
    </row>
    <row r="2717" spans="7:8" x14ac:dyDescent="0.3">
      <c r="G2717">
        <v>2710</v>
      </c>
      <c r="H2717">
        <f t="shared" ca="1" si="62"/>
        <v>-9.7164924998925893E-3</v>
      </c>
    </row>
    <row r="2718" spans="7:8" x14ac:dyDescent="0.3">
      <c r="G2718">
        <v>2711</v>
      </c>
      <c r="H2718">
        <f t="shared" ca="1" si="62"/>
        <v>1.0908216476996226E-2</v>
      </c>
    </row>
    <row r="2719" spans="7:8" x14ac:dyDescent="0.3">
      <c r="G2719">
        <v>2712</v>
      </c>
      <c r="H2719">
        <f t="shared" ca="1" si="62"/>
        <v>-1.2041879745641515E-4</v>
      </c>
    </row>
    <row r="2720" spans="7:8" x14ac:dyDescent="0.3">
      <c r="G2720">
        <v>2713</v>
      </c>
      <c r="H2720">
        <f t="shared" ca="1" si="62"/>
        <v>2.266603469474051E-2</v>
      </c>
    </row>
    <row r="2721" spans="7:8" x14ac:dyDescent="0.3">
      <c r="G2721">
        <v>2714</v>
      </c>
      <c r="H2721">
        <f t="shared" ca="1" si="62"/>
        <v>5.0651333223068864E-3</v>
      </c>
    </row>
    <row r="2722" spans="7:8" x14ac:dyDescent="0.3">
      <c r="G2722">
        <v>2715</v>
      </c>
      <c r="H2722">
        <f t="shared" ca="1" si="62"/>
        <v>1.9881298229304949E-2</v>
      </c>
    </row>
    <row r="2723" spans="7:8" x14ac:dyDescent="0.3">
      <c r="G2723">
        <v>2716</v>
      </c>
      <c r="H2723">
        <f t="shared" ca="1" si="62"/>
        <v>-3.0615827274011544E-2</v>
      </c>
    </row>
    <row r="2724" spans="7:8" x14ac:dyDescent="0.3">
      <c r="G2724">
        <v>2717</v>
      </c>
      <c r="H2724">
        <f t="shared" ca="1" si="62"/>
        <v>1.9539919737398107E-2</v>
      </c>
    </row>
    <row r="2725" spans="7:8" x14ac:dyDescent="0.3">
      <c r="G2725">
        <v>2718</v>
      </c>
      <c r="H2725">
        <f t="shared" ca="1" si="62"/>
        <v>-2.9552527302213971E-2</v>
      </c>
    </row>
    <row r="2726" spans="7:8" x14ac:dyDescent="0.3">
      <c r="G2726">
        <v>2719</v>
      </c>
      <c r="H2726">
        <f t="shared" ca="1" si="62"/>
        <v>2.2524788945178009E-2</v>
      </c>
    </row>
    <row r="2727" spans="7:8" x14ac:dyDescent="0.3">
      <c r="G2727">
        <v>2720</v>
      </c>
      <c r="H2727">
        <f t="shared" ca="1" si="62"/>
        <v>-1.0844529504398279E-2</v>
      </c>
    </row>
    <row r="2728" spans="7:8" x14ac:dyDescent="0.3">
      <c r="G2728">
        <v>2721</v>
      </c>
      <c r="H2728">
        <f t="shared" ca="1" si="62"/>
        <v>1.1092878744351201E-2</v>
      </c>
    </row>
    <row r="2729" spans="7:8" x14ac:dyDescent="0.3">
      <c r="G2729">
        <v>2722</v>
      </c>
      <c r="H2729">
        <f t="shared" ca="1" si="62"/>
        <v>8.9622987722877308E-3</v>
      </c>
    </row>
    <row r="2730" spans="7:8" x14ac:dyDescent="0.3">
      <c r="G2730">
        <v>2723</v>
      </c>
      <c r="H2730">
        <f t="shared" ca="1" si="62"/>
        <v>3.051483273561547E-2</v>
      </c>
    </row>
    <row r="2731" spans="7:8" x14ac:dyDescent="0.3">
      <c r="G2731">
        <v>2724</v>
      </c>
      <c r="H2731">
        <f t="shared" ca="1" si="62"/>
        <v>6.8722805600885352E-3</v>
      </c>
    </row>
    <row r="2732" spans="7:8" x14ac:dyDescent="0.3">
      <c r="G2732">
        <v>2725</v>
      </c>
      <c r="H2732">
        <f t="shared" ca="1" si="62"/>
        <v>1.3339645146754316E-2</v>
      </c>
    </row>
    <row r="2733" spans="7:8" x14ac:dyDescent="0.3">
      <c r="G2733">
        <v>2726</v>
      </c>
      <c r="H2733">
        <f t="shared" ca="1" si="62"/>
        <v>-4.1814025837237458E-2</v>
      </c>
    </row>
    <row r="2734" spans="7:8" x14ac:dyDescent="0.3">
      <c r="G2734">
        <v>2727</v>
      </c>
      <c r="H2734">
        <f t="shared" ca="1" si="62"/>
        <v>-5.4285271587833301E-3</v>
      </c>
    </row>
    <row r="2735" spans="7:8" x14ac:dyDescent="0.3">
      <c r="G2735">
        <v>2728</v>
      </c>
      <c r="H2735">
        <f t="shared" ca="1" si="62"/>
        <v>6.4856869642978864E-3</v>
      </c>
    </row>
    <row r="2736" spans="7:8" x14ac:dyDescent="0.3">
      <c r="G2736">
        <v>2729</v>
      </c>
      <c r="H2736">
        <f t="shared" ca="1" si="62"/>
        <v>-6.1129207578956074E-3</v>
      </c>
    </row>
    <row r="2737" spans="7:8" x14ac:dyDescent="0.3">
      <c r="G2737">
        <v>2730</v>
      </c>
      <c r="H2737">
        <f t="shared" ca="1" si="62"/>
        <v>1.8055045687714356E-2</v>
      </c>
    </row>
    <row r="2738" spans="7:8" x14ac:dyDescent="0.3">
      <c r="G2738">
        <v>2731</v>
      </c>
      <c r="H2738">
        <f t="shared" ca="1" si="62"/>
        <v>-1.4829289651989959E-2</v>
      </c>
    </row>
    <row r="2739" spans="7:8" x14ac:dyDescent="0.3">
      <c r="G2739">
        <v>2732</v>
      </c>
      <c r="H2739">
        <f t="shared" ca="1" si="62"/>
        <v>1.6176970757416427E-3</v>
      </c>
    </row>
    <row r="2740" spans="7:8" x14ac:dyDescent="0.3">
      <c r="G2740">
        <v>2733</v>
      </c>
      <c r="H2740">
        <f t="shared" ca="1" si="62"/>
        <v>7.8023237786035253E-3</v>
      </c>
    </row>
    <row r="2741" spans="7:8" x14ac:dyDescent="0.3">
      <c r="G2741">
        <v>2734</v>
      </c>
      <c r="H2741">
        <f t="shared" ca="1" si="62"/>
        <v>-2.684886119626852E-2</v>
      </c>
    </row>
    <row r="2742" spans="7:8" x14ac:dyDescent="0.3">
      <c r="G2742">
        <v>2735</v>
      </c>
      <c r="H2742">
        <f t="shared" ca="1" si="62"/>
        <v>3.1587686441587767E-4</v>
      </c>
    </row>
    <row r="2743" spans="7:8" x14ac:dyDescent="0.3">
      <c r="G2743">
        <v>2736</v>
      </c>
      <c r="H2743">
        <f t="shared" ca="1" si="62"/>
        <v>-2.1881657532655766E-2</v>
      </c>
    </row>
    <row r="2744" spans="7:8" x14ac:dyDescent="0.3">
      <c r="G2744">
        <v>2737</v>
      </c>
      <c r="H2744">
        <f t="shared" ca="1" si="62"/>
        <v>1.0108485137765987E-2</v>
      </c>
    </row>
    <row r="2745" spans="7:8" x14ac:dyDescent="0.3">
      <c r="G2745">
        <v>2738</v>
      </c>
      <c r="H2745">
        <f t="shared" ca="1" si="62"/>
        <v>-6.3647147247192937E-3</v>
      </c>
    </row>
    <row r="2746" spans="7:8" x14ac:dyDescent="0.3">
      <c r="G2746">
        <v>2739</v>
      </c>
      <c r="H2746">
        <f t="shared" ca="1" si="62"/>
        <v>-5.5253253719173261E-3</v>
      </c>
    </row>
    <row r="2747" spans="7:8" x14ac:dyDescent="0.3">
      <c r="G2747">
        <v>2740</v>
      </c>
      <c r="H2747">
        <f t="shared" ca="1" si="62"/>
        <v>-5.0554530479082031E-3</v>
      </c>
    </row>
    <row r="2748" spans="7:8" x14ac:dyDescent="0.3">
      <c r="G2748">
        <v>2741</v>
      </c>
      <c r="H2748">
        <f t="shared" ca="1" si="62"/>
        <v>4.956772223630659E-3</v>
      </c>
    </row>
    <row r="2749" spans="7:8" x14ac:dyDescent="0.3">
      <c r="G2749">
        <v>2742</v>
      </c>
      <c r="H2749">
        <f t="shared" ca="1" si="62"/>
        <v>-1.6821597152309586E-2</v>
      </c>
    </row>
    <row r="2750" spans="7:8" x14ac:dyDescent="0.3">
      <c r="G2750">
        <v>2743</v>
      </c>
      <c r="H2750">
        <f t="shared" ca="1" si="62"/>
        <v>-4.7813298378251009E-3</v>
      </c>
    </row>
    <row r="2751" spans="7:8" x14ac:dyDescent="0.3">
      <c r="G2751">
        <v>2744</v>
      </c>
      <c r="H2751">
        <f t="shared" ca="1" si="62"/>
        <v>-1.7752483321236578E-2</v>
      </c>
    </row>
    <row r="2752" spans="7:8" x14ac:dyDescent="0.3">
      <c r="G2752">
        <v>2745</v>
      </c>
      <c r="H2752">
        <f t="shared" ca="1" si="62"/>
        <v>-1.9427930473049679E-2</v>
      </c>
    </row>
    <row r="2753" spans="7:8" x14ac:dyDescent="0.3">
      <c r="G2753">
        <v>2746</v>
      </c>
      <c r="H2753">
        <f t="shared" ca="1" si="62"/>
        <v>-1.7122574000230383E-2</v>
      </c>
    </row>
    <row r="2754" spans="7:8" x14ac:dyDescent="0.3">
      <c r="G2754">
        <v>2747</v>
      </c>
      <c r="H2754">
        <f t="shared" ca="1" si="62"/>
        <v>-3.4673972234575648E-2</v>
      </c>
    </row>
    <row r="2755" spans="7:8" x14ac:dyDescent="0.3">
      <c r="G2755">
        <v>2748</v>
      </c>
      <c r="H2755">
        <f t="shared" ca="1" si="62"/>
        <v>-6.1670761964529308E-3</v>
      </c>
    </row>
    <row r="2756" spans="7:8" x14ac:dyDescent="0.3">
      <c r="G2756">
        <v>2749</v>
      </c>
      <c r="H2756">
        <f t="shared" ca="1" si="62"/>
        <v>2.1884055790338378E-2</v>
      </c>
    </row>
    <row r="2757" spans="7:8" x14ac:dyDescent="0.3">
      <c r="G2757">
        <v>2750</v>
      </c>
      <c r="H2757">
        <f t="shared" ca="1" si="62"/>
        <v>-3.1578265677331456E-2</v>
      </c>
    </row>
    <row r="2758" spans="7:8" x14ac:dyDescent="0.3">
      <c r="G2758">
        <v>2751</v>
      </c>
      <c r="H2758">
        <f t="shared" ca="1" si="62"/>
        <v>1.475082481500826E-2</v>
      </c>
    </row>
    <row r="2759" spans="7:8" x14ac:dyDescent="0.3">
      <c r="G2759">
        <v>2752</v>
      </c>
      <c r="H2759">
        <f t="shared" ca="1" si="62"/>
        <v>-2.3576499126034399E-2</v>
      </c>
    </row>
    <row r="2760" spans="7:8" x14ac:dyDescent="0.3">
      <c r="G2760">
        <v>2753</v>
      </c>
      <c r="H2760">
        <f t="shared" ca="1" si="62"/>
        <v>2.4763133538930313E-2</v>
      </c>
    </row>
    <row r="2761" spans="7:8" x14ac:dyDescent="0.3">
      <c r="G2761">
        <v>2754</v>
      </c>
      <c r="H2761">
        <f t="shared" ref="H2761:H2824" ca="1" si="63">_xlfn.NORM.INV(RAND(),$N$10,$N$11)</f>
        <v>-5.2797048304975176E-3</v>
      </c>
    </row>
    <row r="2762" spans="7:8" x14ac:dyDescent="0.3">
      <c r="G2762">
        <v>2755</v>
      </c>
      <c r="H2762">
        <f t="shared" ca="1" si="63"/>
        <v>-1.589989447943984E-2</v>
      </c>
    </row>
    <row r="2763" spans="7:8" x14ac:dyDescent="0.3">
      <c r="G2763">
        <v>2756</v>
      </c>
      <c r="H2763">
        <f t="shared" ca="1" si="63"/>
        <v>2.5935569371835453E-2</v>
      </c>
    </row>
    <row r="2764" spans="7:8" x14ac:dyDescent="0.3">
      <c r="G2764">
        <v>2757</v>
      </c>
      <c r="H2764">
        <f t="shared" ca="1" si="63"/>
        <v>-5.316235251307496E-4</v>
      </c>
    </row>
    <row r="2765" spans="7:8" x14ac:dyDescent="0.3">
      <c r="G2765">
        <v>2758</v>
      </c>
      <c r="H2765">
        <f t="shared" ca="1" si="63"/>
        <v>4.5861202398042407E-3</v>
      </c>
    </row>
    <row r="2766" spans="7:8" x14ac:dyDescent="0.3">
      <c r="G2766">
        <v>2759</v>
      </c>
      <c r="H2766">
        <f t="shared" ca="1" si="63"/>
        <v>-1.3874373455836553E-2</v>
      </c>
    </row>
    <row r="2767" spans="7:8" x14ac:dyDescent="0.3">
      <c r="G2767">
        <v>2760</v>
      </c>
      <c r="H2767">
        <f t="shared" ca="1" si="63"/>
        <v>-1.170564184838577E-3</v>
      </c>
    </row>
    <row r="2768" spans="7:8" x14ac:dyDescent="0.3">
      <c r="G2768">
        <v>2761</v>
      </c>
      <c r="H2768">
        <f t="shared" ca="1" si="63"/>
        <v>-2.4827275725588561E-2</v>
      </c>
    </row>
    <row r="2769" spans="7:8" x14ac:dyDescent="0.3">
      <c r="G2769">
        <v>2762</v>
      </c>
      <c r="H2769">
        <f t="shared" ca="1" si="63"/>
        <v>-1.5766038422842028E-2</v>
      </c>
    </row>
    <row r="2770" spans="7:8" x14ac:dyDescent="0.3">
      <c r="G2770">
        <v>2763</v>
      </c>
      <c r="H2770">
        <f t="shared" ca="1" si="63"/>
        <v>-1.9405977488477572E-2</v>
      </c>
    </row>
    <row r="2771" spans="7:8" x14ac:dyDescent="0.3">
      <c r="G2771">
        <v>2764</v>
      </c>
      <c r="H2771">
        <f t="shared" ca="1" si="63"/>
        <v>4.0001920876312474E-3</v>
      </c>
    </row>
    <row r="2772" spans="7:8" x14ac:dyDescent="0.3">
      <c r="G2772">
        <v>2765</v>
      </c>
      <c r="H2772">
        <f t="shared" ca="1" si="63"/>
        <v>-5.4304996933621933E-3</v>
      </c>
    </row>
    <row r="2773" spans="7:8" x14ac:dyDescent="0.3">
      <c r="G2773">
        <v>2766</v>
      </c>
      <c r="H2773">
        <f t="shared" ca="1" si="63"/>
        <v>1.3665967254235158E-2</v>
      </c>
    </row>
    <row r="2774" spans="7:8" x14ac:dyDescent="0.3">
      <c r="G2774">
        <v>2767</v>
      </c>
      <c r="H2774">
        <f t="shared" ca="1" si="63"/>
        <v>-8.2026137763483546E-3</v>
      </c>
    </row>
    <row r="2775" spans="7:8" x14ac:dyDescent="0.3">
      <c r="G2775">
        <v>2768</v>
      </c>
      <c r="H2775">
        <f t="shared" ca="1" si="63"/>
        <v>2.9385754488645215E-2</v>
      </c>
    </row>
    <row r="2776" spans="7:8" x14ac:dyDescent="0.3">
      <c r="G2776">
        <v>2769</v>
      </c>
      <c r="H2776">
        <f t="shared" ca="1" si="63"/>
        <v>-2.6868059991201884E-2</v>
      </c>
    </row>
    <row r="2777" spans="7:8" x14ac:dyDescent="0.3">
      <c r="G2777">
        <v>2770</v>
      </c>
      <c r="H2777">
        <f t="shared" ca="1" si="63"/>
        <v>3.8606629533462597E-2</v>
      </c>
    </row>
    <row r="2778" spans="7:8" x14ac:dyDescent="0.3">
      <c r="G2778">
        <v>2771</v>
      </c>
      <c r="H2778">
        <f t="shared" ca="1" si="63"/>
        <v>-2.6680140803747979E-2</v>
      </c>
    </row>
    <row r="2779" spans="7:8" x14ac:dyDescent="0.3">
      <c r="G2779">
        <v>2772</v>
      </c>
      <c r="H2779">
        <f t="shared" ca="1" si="63"/>
        <v>1.1250091764601858E-2</v>
      </c>
    </row>
    <row r="2780" spans="7:8" x14ac:dyDescent="0.3">
      <c r="G2780">
        <v>2773</v>
      </c>
      <c r="H2780">
        <f t="shared" ca="1" si="63"/>
        <v>2.9137883817598631E-4</v>
      </c>
    </row>
    <row r="2781" spans="7:8" x14ac:dyDescent="0.3">
      <c r="G2781">
        <v>2774</v>
      </c>
      <c r="H2781">
        <f t="shared" ca="1" si="63"/>
        <v>1.1457309443721475E-2</v>
      </c>
    </row>
    <row r="2782" spans="7:8" x14ac:dyDescent="0.3">
      <c r="G2782">
        <v>2775</v>
      </c>
      <c r="H2782">
        <f t="shared" ca="1" si="63"/>
        <v>-2.3016948879037113E-2</v>
      </c>
    </row>
    <row r="2783" spans="7:8" x14ac:dyDescent="0.3">
      <c r="G2783">
        <v>2776</v>
      </c>
      <c r="H2783">
        <f t="shared" ca="1" si="63"/>
        <v>-2.5286412609289505E-2</v>
      </c>
    </row>
    <row r="2784" spans="7:8" x14ac:dyDescent="0.3">
      <c r="G2784">
        <v>2777</v>
      </c>
      <c r="H2784">
        <f t="shared" ca="1" si="63"/>
        <v>-3.2584352233393177E-2</v>
      </c>
    </row>
    <row r="2785" spans="7:8" x14ac:dyDescent="0.3">
      <c r="G2785">
        <v>2778</v>
      </c>
      <c r="H2785">
        <f t="shared" ca="1" si="63"/>
        <v>5.6940279178158085E-3</v>
      </c>
    </row>
    <row r="2786" spans="7:8" x14ac:dyDescent="0.3">
      <c r="G2786">
        <v>2779</v>
      </c>
      <c r="H2786">
        <f t="shared" ca="1" si="63"/>
        <v>-3.1108513179071984E-2</v>
      </c>
    </row>
    <row r="2787" spans="7:8" x14ac:dyDescent="0.3">
      <c r="G2787">
        <v>2780</v>
      </c>
      <c r="H2787">
        <f t="shared" ca="1" si="63"/>
        <v>5.9758976908755642E-3</v>
      </c>
    </row>
    <row r="2788" spans="7:8" x14ac:dyDescent="0.3">
      <c r="G2788">
        <v>2781</v>
      </c>
      <c r="H2788">
        <f t="shared" ca="1" si="63"/>
        <v>-2.6857093248690909E-3</v>
      </c>
    </row>
    <row r="2789" spans="7:8" x14ac:dyDescent="0.3">
      <c r="G2789">
        <v>2782</v>
      </c>
      <c r="H2789">
        <f t="shared" ca="1" si="63"/>
        <v>-5.098989795248475E-2</v>
      </c>
    </row>
    <row r="2790" spans="7:8" x14ac:dyDescent="0.3">
      <c r="G2790">
        <v>2783</v>
      </c>
      <c r="H2790">
        <f t="shared" ca="1" si="63"/>
        <v>-4.6866139061969361E-3</v>
      </c>
    </row>
    <row r="2791" spans="7:8" x14ac:dyDescent="0.3">
      <c r="G2791">
        <v>2784</v>
      </c>
      <c r="H2791">
        <f t="shared" ca="1" si="63"/>
        <v>-5.1822423910265524E-3</v>
      </c>
    </row>
    <row r="2792" spans="7:8" x14ac:dyDescent="0.3">
      <c r="G2792">
        <v>2785</v>
      </c>
      <c r="H2792">
        <f t="shared" ca="1" si="63"/>
        <v>-1.649153381735281E-3</v>
      </c>
    </row>
    <row r="2793" spans="7:8" x14ac:dyDescent="0.3">
      <c r="G2793">
        <v>2786</v>
      </c>
      <c r="H2793">
        <f t="shared" ca="1" si="63"/>
        <v>-2.7018836472472378E-2</v>
      </c>
    </row>
    <row r="2794" spans="7:8" x14ac:dyDescent="0.3">
      <c r="G2794">
        <v>2787</v>
      </c>
      <c r="H2794">
        <f t="shared" ca="1" si="63"/>
        <v>-3.588395490228085E-3</v>
      </c>
    </row>
    <row r="2795" spans="7:8" x14ac:dyDescent="0.3">
      <c r="G2795">
        <v>2788</v>
      </c>
      <c r="H2795">
        <f t="shared" ca="1" si="63"/>
        <v>-3.0241886360854796E-3</v>
      </c>
    </row>
    <row r="2796" spans="7:8" x14ac:dyDescent="0.3">
      <c r="G2796">
        <v>2789</v>
      </c>
      <c r="H2796">
        <f t="shared" ca="1" si="63"/>
        <v>1.9038486227462317E-2</v>
      </c>
    </row>
    <row r="2797" spans="7:8" x14ac:dyDescent="0.3">
      <c r="G2797">
        <v>2790</v>
      </c>
      <c r="H2797">
        <f t="shared" ca="1" si="63"/>
        <v>1.627646242193315E-2</v>
      </c>
    </row>
    <row r="2798" spans="7:8" x14ac:dyDescent="0.3">
      <c r="G2798">
        <v>2791</v>
      </c>
      <c r="H2798">
        <f t="shared" ca="1" si="63"/>
        <v>2.1843384274454331E-2</v>
      </c>
    </row>
    <row r="2799" spans="7:8" x14ac:dyDescent="0.3">
      <c r="G2799">
        <v>2792</v>
      </c>
      <c r="H2799">
        <f t="shared" ca="1" si="63"/>
        <v>-2.556014886999855E-2</v>
      </c>
    </row>
    <row r="2800" spans="7:8" x14ac:dyDescent="0.3">
      <c r="G2800">
        <v>2793</v>
      </c>
      <c r="H2800">
        <f t="shared" ca="1" si="63"/>
        <v>2.4983682605048598E-2</v>
      </c>
    </row>
    <row r="2801" spans="7:8" x14ac:dyDescent="0.3">
      <c r="G2801">
        <v>2794</v>
      </c>
      <c r="H2801">
        <f t="shared" ca="1" si="63"/>
        <v>6.5057621604900648E-3</v>
      </c>
    </row>
    <row r="2802" spans="7:8" x14ac:dyDescent="0.3">
      <c r="G2802">
        <v>2795</v>
      </c>
      <c r="H2802">
        <f t="shared" ca="1" si="63"/>
        <v>-7.9253427941004175E-3</v>
      </c>
    </row>
    <row r="2803" spans="7:8" x14ac:dyDescent="0.3">
      <c r="G2803">
        <v>2796</v>
      </c>
      <c r="H2803">
        <f t="shared" ca="1" si="63"/>
        <v>-2.7949908881905013E-2</v>
      </c>
    </row>
    <row r="2804" spans="7:8" x14ac:dyDescent="0.3">
      <c r="G2804">
        <v>2797</v>
      </c>
      <c r="H2804">
        <f t="shared" ca="1" si="63"/>
        <v>-1.8174726073916282E-2</v>
      </c>
    </row>
    <row r="2805" spans="7:8" x14ac:dyDescent="0.3">
      <c r="G2805">
        <v>2798</v>
      </c>
      <c r="H2805">
        <f t="shared" ca="1" si="63"/>
        <v>-3.006616362702659E-2</v>
      </c>
    </row>
    <row r="2806" spans="7:8" x14ac:dyDescent="0.3">
      <c r="G2806">
        <v>2799</v>
      </c>
      <c r="H2806">
        <f t="shared" ca="1" si="63"/>
        <v>1.5587534173550159E-2</v>
      </c>
    </row>
    <row r="2807" spans="7:8" x14ac:dyDescent="0.3">
      <c r="G2807">
        <v>2800</v>
      </c>
      <c r="H2807">
        <f t="shared" ca="1" si="63"/>
        <v>1.2893014843131207E-2</v>
      </c>
    </row>
    <row r="2808" spans="7:8" x14ac:dyDescent="0.3">
      <c r="G2808">
        <v>2801</v>
      </c>
      <c r="H2808">
        <f t="shared" ca="1" si="63"/>
        <v>-2.5225772921984125E-2</v>
      </c>
    </row>
    <row r="2809" spans="7:8" x14ac:dyDescent="0.3">
      <c r="G2809">
        <v>2802</v>
      </c>
      <c r="H2809">
        <f t="shared" ca="1" si="63"/>
        <v>-3.5372539492657534E-3</v>
      </c>
    </row>
    <row r="2810" spans="7:8" x14ac:dyDescent="0.3">
      <c r="G2810">
        <v>2803</v>
      </c>
      <c r="H2810">
        <f t="shared" ca="1" si="63"/>
        <v>-3.6495248058323964E-3</v>
      </c>
    </row>
    <row r="2811" spans="7:8" x14ac:dyDescent="0.3">
      <c r="G2811">
        <v>2804</v>
      </c>
      <c r="H2811">
        <f t="shared" ca="1" si="63"/>
        <v>1.5231457555065697E-2</v>
      </c>
    </row>
    <row r="2812" spans="7:8" x14ac:dyDescent="0.3">
      <c r="G2812">
        <v>2805</v>
      </c>
      <c r="H2812">
        <f t="shared" ca="1" si="63"/>
        <v>-1.6812140016646989E-2</v>
      </c>
    </row>
    <row r="2813" spans="7:8" x14ac:dyDescent="0.3">
      <c r="G2813">
        <v>2806</v>
      </c>
      <c r="H2813">
        <f t="shared" ca="1" si="63"/>
        <v>-1.4780490626698829E-2</v>
      </c>
    </row>
    <row r="2814" spans="7:8" x14ac:dyDescent="0.3">
      <c r="G2814">
        <v>2807</v>
      </c>
      <c r="H2814">
        <f t="shared" ca="1" si="63"/>
        <v>1.0501534373384762E-2</v>
      </c>
    </row>
    <row r="2815" spans="7:8" x14ac:dyDescent="0.3">
      <c r="G2815">
        <v>2808</v>
      </c>
      <c r="H2815">
        <f t="shared" ca="1" si="63"/>
        <v>1.1621810380432968E-2</v>
      </c>
    </row>
    <row r="2816" spans="7:8" x14ac:dyDescent="0.3">
      <c r="G2816">
        <v>2809</v>
      </c>
      <c r="H2816">
        <f t="shared" ca="1" si="63"/>
        <v>-1.329877124337321E-3</v>
      </c>
    </row>
    <row r="2817" spans="7:8" x14ac:dyDescent="0.3">
      <c r="G2817">
        <v>2810</v>
      </c>
      <c r="H2817">
        <f t="shared" ca="1" si="63"/>
        <v>-1.7803051022077125E-2</v>
      </c>
    </row>
    <row r="2818" spans="7:8" x14ac:dyDescent="0.3">
      <c r="G2818">
        <v>2811</v>
      </c>
      <c r="H2818">
        <f t="shared" ca="1" si="63"/>
        <v>4.083826277803862E-3</v>
      </c>
    </row>
    <row r="2819" spans="7:8" x14ac:dyDescent="0.3">
      <c r="G2819">
        <v>2812</v>
      </c>
      <c r="H2819">
        <f t="shared" ca="1" si="63"/>
        <v>3.5031011282833195E-3</v>
      </c>
    </row>
    <row r="2820" spans="7:8" x14ac:dyDescent="0.3">
      <c r="G2820">
        <v>2813</v>
      </c>
      <c r="H2820">
        <f t="shared" ca="1" si="63"/>
        <v>9.16756711968344E-3</v>
      </c>
    </row>
    <row r="2821" spans="7:8" x14ac:dyDescent="0.3">
      <c r="G2821">
        <v>2814</v>
      </c>
      <c r="H2821">
        <f t="shared" ca="1" si="63"/>
        <v>1.3424850269710817E-2</v>
      </c>
    </row>
    <row r="2822" spans="7:8" x14ac:dyDescent="0.3">
      <c r="G2822">
        <v>2815</v>
      </c>
      <c r="H2822">
        <f t="shared" ca="1" si="63"/>
        <v>-2.2664220191783629E-2</v>
      </c>
    </row>
    <row r="2823" spans="7:8" x14ac:dyDescent="0.3">
      <c r="G2823">
        <v>2816</v>
      </c>
      <c r="H2823">
        <f t="shared" ca="1" si="63"/>
        <v>1.423827047830679E-3</v>
      </c>
    </row>
    <row r="2824" spans="7:8" x14ac:dyDescent="0.3">
      <c r="G2824">
        <v>2817</v>
      </c>
      <c r="H2824">
        <f t="shared" ca="1" si="63"/>
        <v>3.0285799875921201E-3</v>
      </c>
    </row>
    <row r="2825" spans="7:8" x14ac:dyDescent="0.3">
      <c r="G2825">
        <v>2818</v>
      </c>
      <c r="H2825">
        <f t="shared" ref="H2825:H2888" ca="1" si="64">_xlfn.NORM.INV(RAND(),$N$10,$N$11)</f>
        <v>-3.3078830967074382E-2</v>
      </c>
    </row>
    <row r="2826" spans="7:8" x14ac:dyDescent="0.3">
      <c r="G2826">
        <v>2819</v>
      </c>
      <c r="H2826">
        <f t="shared" ca="1" si="64"/>
        <v>-4.8004153612849322E-3</v>
      </c>
    </row>
    <row r="2827" spans="7:8" x14ac:dyDescent="0.3">
      <c r="G2827">
        <v>2820</v>
      </c>
      <c r="H2827">
        <f t="shared" ca="1" si="64"/>
        <v>-1.5793395221056952E-2</v>
      </c>
    </row>
    <row r="2828" spans="7:8" x14ac:dyDescent="0.3">
      <c r="G2828">
        <v>2821</v>
      </c>
      <c r="H2828">
        <f t="shared" ca="1" si="64"/>
        <v>1.7224076608782724E-2</v>
      </c>
    </row>
    <row r="2829" spans="7:8" x14ac:dyDescent="0.3">
      <c r="G2829">
        <v>2822</v>
      </c>
      <c r="H2829">
        <f t="shared" ca="1" si="64"/>
        <v>-1.6073848497126238E-2</v>
      </c>
    </row>
    <row r="2830" spans="7:8" x14ac:dyDescent="0.3">
      <c r="G2830">
        <v>2823</v>
      </c>
      <c r="H2830">
        <f t="shared" ca="1" si="64"/>
        <v>-2.463345541118428E-2</v>
      </c>
    </row>
    <row r="2831" spans="7:8" x14ac:dyDescent="0.3">
      <c r="G2831">
        <v>2824</v>
      </c>
      <c r="H2831">
        <f t="shared" ca="1" si="64"/>
        <v>1.3809506848009204E-2</v>
      </c>
    </row>
    <row r="2832" spans="7:8" x14ac:dyDescent="0.3">
      <c r="G2832">
        <v>2825</v>
      </c>
      <c r="H2832">
        <f t="shared" ca="1" si="64"/>
        <v>-2.2368960020042244E-3</v>
      </c>
    </row>
    <row r="2833" spans="7:8" x14ac:dyDescent="0.3">
      <c r="G2833">
        <v>2826</v>
      </c>
      <c r="H2833">
        <f t="shared" ca="1" si="64"/>
        <v>-2.1809895280173571E-2</v>
      </c>
    </row>
    <row r="2834" spans="7:8" x14ac:dyDescent="0.3">
      <c r="G2834">
        <v>2827</v>
      </c>
      <c r="H2834">
        <f t="shared" ca="1" si="64"/>
        <v>-2.1704563245855835E-2</v>
      </c>
    </row>
    <row r="2835" spans="7:8" x14ac:dyDescent="0.3">
      <c r="G2835">
        <v>2828</v>
      </c>
      <c r="H2835">
        <f t="shared" ca="1" si="64"/>
        <v>1.856479484917271E-2</v>
      </c>
    </row>
    <row r="2836" spans="7:8" x14ac:dyDescent="0.3">
      <c r="G2836">
        <v>2829</v>
      </c>
      <c r="H2836">
        <f t="shared" ca="1" si="64"/>
        <v>-1.8708828031405904E-4</v>
      </c>
    </row>
    <row r="2837" spans="7:8" x14ac:dyDescent="0.3">
      <c r="G2837">
        <v>2830</v>
      </c>
      <c r="H2837">
        <f t="shared" ca="1" si="64"/>
        <v>1.3907512509990132E-2</v>
      </c>
    </row>
    <row r="2838" spans="7:8" x14ac:dyDescent="0.3">
      <c r="G2838">
        <v>2831</v>
      </c>
      <c r="H2838">
        <f t="shared" ca="1" si="64"/>
        <v>-2.0639658849037609E-2</v>
      </c>
    </row>
    <row r="2839" spans="7:8" x14ac:dyDescent="0.3">
      <c r="G2839">
        <v>2832</v>
      </c>
      <c r="H2839">
        <f t="shared" ca="1" si="64"/>
        <v>2.0573624192891465E-2</v>
      </c>
    </row>
    <row r="2840" spans="7:8" x14ac:dyDescent="0.3">
      <c r="G2840">
        <v>2833</v>
      </c>
      <c r="H2840">
        <f t="shared" ca="1" si="64"/>
        <v>7.9389639570930058E-3</v>
      </c>
    </row>
    <row r="2841" spans="7:8" x14ac:dyDescent="0.3">
      <c r="G2841">
        <v>2834</v>
      </c>
      <c r="H2841">
        <f t="shared" ca="1" si="64"/>
        <v>2.8760689801356952E-2</v>
      </c>
    </row>
    <row r="2842" spans="7:8" x14ac:dyDescent="0.3">
      <c r="G2842">
        <v>2835</v>
      </c>
      <c r="H2842">
        <f t="shared" ca="1" si="64"/>
        <v>-1.0314933796860876E-2</v>
      </c>
    </row>
    <row r="2843" spans="7:8" x14ac:dyDescent="0.3">
      <c r="G2843">
        <v>2836</v>
      </c>
      <c r="H2843">
        <f t="shared" ca="1" si="64"/>
        <v>4.849652487897E-3</v>
      </c>
    </row>
    <row r="2844" spans="7:8" x14ac:dyDescent="0.3">
      <c r="G2844">
        <v>2837</v>
      </c>
      <c r="H2844">
        <f t="shared" ca="1" si="64"/>
        <v>3.226745639897538E-2</v>
      </c>
    </row>
    <row r="2845" spans="7:8" x14ac:dyDescent="0.3">
      <c r="G2845">
        <v>2838</v>
      </c>
      <c r="H2845">
        <f t="shared" ca="1" si="64"/>
        <v>1.7995775628986348E-2</v>
      </c>
    </row>
    <row r="2846" spans="7:8" x14ac:dyDescent="0.3">
      <c r="G2846">
        <v>2839</v>
      </c>
      <c r="H2846">
        <f t="shared" ca="1" si="64"/>
        <v>-8.9445861771175511E-4</v>
      </c>
    </row>
    <row r="2847" spans="7:8" x14ac:dyDescent="0.3">
      <c r="G2847">
        <v>2840</v>
      </c>
      <c r="H2847">
        <f t="shared" ca="1" si="64"/>
        <v>-6.2329122018081728E-3</v>
      </c>
    </row>
    <row r="2848" spans="7:8" x14ac:dyDescent="0.3">
      <c r="G2848">
        <v>2841</v>
      </c>
      <c r="H2848">
        <f t="shared" ca="1" si="64"/>
        <v>-5.4204999570445543E-3</v>
      </c>
    </row>
    <row r="2849" spans="7:8" x14ac:dyDescent="0.3">
      <c r="G2849">
        <v>2842</v>
      </c>
      <c r="H2849">
        <f t="shared" ca="1" si="64"/>
        <v>-8.3013706888413041E-3</v>
      </c>
    </row>
    <row r="2850" spans="7:8" x14ac:dyDescent="0.3">
      <c r="G2850">
        <v>2843</v>
      </c>
      <c r="H2850">
        <f t="shared" ca="1" si="64"/>
        <v>2.3285837799336049E-2</v>
      </c>
    </row>
    <row r="2851" spans="7:8" x14ac:dyDescent="0.3">
      <c r="G2851">
        <v>2844</v>
      </c>
      <c r="H2851">
        <f t="shared" ca="1" si="64"/>
        <v>-1.7269588543465639E-2</v>
      </c>
    </row>
    <row r="2852" spans="7:8" x14ac:dyDescent="0.3">
      <c r="G2852">
        <v>2845</v>
      </c>
      <c r="H2852">
        <f t="shared" ca="1" si="64"/>
        <v>-1.0991803384253146E-2</v>
      </c>
    </row>
    <row r="2853" spans="7:8" x14ac:dyDescent="0.3">
      <c r="G2853">
        <v>2846</v>
      </c>
      <c r="H2853">
        <f t="shared" ca="1" si="64"/>
        <v>4.365013419919973E-3</v>
      </c>
    </row>
    <row r="2854" spans="7:8" x14ac:dyDescent="0.3">
      <c r="G2854">
        <v>2847</v>
      </c>
      <c r="H2854">
        <f t="shared" ca="1" si="64"/>
        <v>2.7128651881735598E-2</v>
      </c>
    </row>
    <row r="2855" spans="7:8" x14ac:dyDescent="0.3">
      <c r="G2855">
        <v>2848</v>
      </c>
      <c r="H2855">
        <f t="shared" ca="1" si="64"/>
        <v>-2.4346617030234323E-2</v>
      </c>
    </row>
    <row r="2856" spans="7:8" x14ac:dyDescent="0.3">
      <c r="G2856">
        <v>2849</v>
      </c>
      <c r="H2856">
        <f t="shared" ca="1" si="64"/>
        <v>1.232098336130422E-2</v>
      </c>
    </row>
    <row r="2857" spans="7:8" x14ac:dyDescent="0.3">
      <c r="G2857">
        <v>2850</v>
      </c>
      <c r="H2857">
        <f t="shared" ca="1" si="64"/>
        <v>7.3249465970751165E-3</v>
      </c>
    </row>
    <row r="2858" spans="7:8" x14ac:dyDescent="0.3">
      <c r="G2858">
        <v>2851</v>
      </c>
      <c r="H2858">
        <f t="shared" ca="1" si="64"/>
        <v>7.5345919493626278E-3</v>
      </c>
    </row>
    <row r="2859" spans="7:8" x14ac:dyDescent="0.3">
      <c r="G2859">
        <v>2852</v>
      </c>
      <c r="H2859">
        <f t="shared" ca="1" si="64"/>
        <v>-1.6999338804265261E-2</v>
      </c>
    </row>
    <row r="2860" spans="7:8" x14ac:dyDescent="0.3">
      <c r="G2860">
        <v>2853</v>
      </c>
      <c r="H2860">
        <f t="shared" ca="1" si="64"/>
        <v>-1.2894869199931153E-2</v>
      </c>
    </row>
    <row r="2861" spans="7:8" x14ac:dyDescent="0.3">
      <c r="G2861">
        <v>2854</v>
      </c>
      <c r="H2861">
        <f t="shared" ca="1" si="64"/>
        <v>3.84835064142307E-3</v>
      </c>
    </row>
    <row r="2862" spans="7:8" x14ac:dyDescent="0.3">
      <c r="G2862">
        <v>2855</v>
      </c>
      <c r="H2862">
        <f t="shared" ca="1" si="64"/>
        <v>5.7797772580013467E-3</v>
      </c>
    </row>
    <row r="2863" spans="7:8" x14ac:dyDescent="0.3">
      <c r="G2863">
        <v>2856</v>
      </c>
      <c r="H2863">
        <f t="shared" ca="1" si="64"/>
        <v>-1.1510910721226716E-2</v>
      </c>
    </row>
    <row r="2864" spans="7:8" x14ac:dyDescent="0.3">
      <c r="G2864">
        <v>2857</v>
      </c>
      <c r="H2864">
        <f t="shared" ca="1" si="64"/>
        <v>2.202793104907699E-2</v>
      </c>
    </row>
    <row r="2865" spans="7:8" x14ac:dyDescent="0.3">
      <c r="G2865">
        <v>2858</v>
      </c>
      <c r="H2865">
        <f t="shared" ca="1" si="64"/>
        <v>-4.9147130742855484E-3</v>
      </c>
    </row>
    <row r="2866" spans="7:8" x14ac:dyDescent="0.3">
      <c r="G2866">
        <v>2859</v>
      </c>
      <c r="H2866">
        <f t="shared" ca="1" si="64"/>
        <v>1.9915619976980829E-2</v>
      </c>
    </row>
    <row r="2867" spans="7:8" x14ac:dyDescent="0.3">
      <c r="G2867">
        <v>2860</v>
      </c>
      <c r="H2867">
        <f t="shared" ca="1" si="64"/>
        <v>1.2178531982003339E-2</v>
      </c>
    </row>
    <row r="2868" spans="7:8" x14ac:dyDescent="0.3">
      <c r="G2868">
        <v>2861</v>
      </c>
      <c r="H2868">
        <f t="shared" ca="1" si="64"/>
        <v>-2.2287816215694535E-4</v>
      </c>
    </row>
    <row r="2869" spans="7:8" x14ac:dyDescent="0.3">
      <c r="G2869">
        <v>2862</v>
      </c>
      <c r="H2869">
        <f t="shared" ca="1" si="64"/>
        <v>3.4498890086793112E-2</v>
      </c>
    </row>
    <row r="2870" spans="7:8" x14ac:dyDescent="0.3">
      <c r="G2870">
        <v>2863</v>
      </c>
      <c r="H2870">
        <f t="shared" ca="1" si="64"/>
        <v>-1.8103144000294825E-2</v>
      </c>
    </row>
    <row r="2871" spans="7:8" x14ac:dyDescent="0.3">
      <c r="G2871">
        <v>2864</v>
      </c>
      <c r="H2871">
        <f t="shared" ca="1" si="64"/>
        <v>-1.933486164054565E-2</v>
      </c>
    </row>
    <row r="2872" spans="7:8" x14ac:dyDescent="0.3">
      <c r="G2872">
        <v>2865</v>
      </c>
      <c r="H2872">
        <f t="shared" ca="1" si="64"/>
        <v>8.5274455926672935E-3</v>
      </c>
    </row>
    <row r="2873" spans="7:8" x14ac:dyDescent="0.3">
      <c r="G2873">
        <v>2866</v>
      </c>
      <c r="H2873">
        <f t="shared" ca="1" si="64"/>
        <v>-3.0067676454738686E-2</v>
      </c>
    </row>
    <row r="2874" spans="7:8" x14ac:dyDescent="0.3">
      <c r="G2874">
        <v>2867</v>
      </c>
      <c r="H2874">
        <f t="shared" ca="1" si="64"/>
        <v>1.5209593574698886E-2</v>
      </c>
    </row>
    <row r="2875" spans="7:8" x14ac:dyDescent="0.3">
      <c r="G2875">
        <v>2868</v>
      </c>
      <c r="H2875">
        <f t="shared" ca="1" si="64"/>
        <v>2.9511723616803858E-2</v>
      </c>
    </row>
    <row r="2876" spans="7:8" x14ac:dyDescent="0.3">
      <c r="G2876">
        <v>2869</v>
      </c>
      <c r="H2876">
        <f t="shared" ca="1" si="64"/>
        <v>-9.6569907798662487E-3</v>
      </c>
    </row>
    <row r="2877" spans="7:8" x14ac:dyDescent="0.3">
      <c r="G2877">
        <v>2870</v>
      </c>
      <c r="H2877">
        <f t="shared" ca="1" si="64"/>
        <v>2.390906374690949E-2</v>
      </c>
    </row>
    <row r="2878" spans="7:8" x14ac:dyDescent="0.3">
      <c r="G2878">
        <v>2871</v>
      </c>
      <c r="H2878">
        <f t="shared" ca="1" si="64"/>
        <v>2.8707651007511743E-3</v>
      </c>
    </row>
    <row r="2879" spans="7:8" x14ac:dyDescent="0.3">
      <c r="G2879">
        <v>2872</v>
      </c>
      <c r="H2879">
        <f t="shared" ca="1" si="64"/>
        <v>6.8088747818444129E-4</v>
      </c>
    </row>
    <row r="2880" spans="7:8" x14ac:dyDescent="0.3">
      <c r="G2880">
        <v>2873</v>
      </c>
      <c r="H2880">
        <f t="shared" ca="1" si="64"/>
        <v>-6.3814399489995951E-3</v>
      </c>
    </row>
    <row r="2881" spans="7:8" x14ac:dyDescent="0.3">
      <c r="G2881">
        <v>2874</v>
      </c>
      <c r="H2881">
        <f t="shared" ca="1" si="64"/>
        <v>-4.2794013733237379E-2</v>
      </c>
    </row>
    <row r="2882" spans="7:8" x14ac:dyDescent="0.3">
      <c r="G2882">
        <v>2875</v>
      </c>
      <c r="H2882">
        <f t="shared" ca="1" si="64"/>
        <v>-6.2809827036179105E-3</v>
      </c>
    </row>
    <row r="2883" spans="7:8" x14ac:dyDescent="0.3">
      <c r="G2883">
        <v>2876</v>
      </c>
      <c r="H2883">
        <f t="shared" ca="1" si="64"/>
        <v>1.0282267572090475E-2</v>
      </c>
    </row>
    <row r="2884" spans="7:8" x14ac:dyDescent="0.3">
      <c r="G2884">
        <v>2877</v>
      </c>
      <c r="H2884">
        <f t="shared" ca="1" si="64"/>
        <v>-1.8358850164382386E-2</v>
      </c>
    </row>
    <row r="2885" spans="7:8" x14ac:dyDescent="0.3">
      <c r="G2885">
        <v>2878</v>
      </c>
      <c r="H2885">
        <f t="shared" ca="1" si="64"/>
        <v>-3.9350402972671956E-2</v>
      </c>
    </row>
    <row r="2886" spans="7:8" x14ac:dyDescent="0.3">
      <c r="G2886">
        <v>2879</v>
      </c>
      <c r="H2886">
        <f t="shared" ca="1" si="64"/>
        <v>6.0964035331724838E-3</v>
      </c>
    </row>
    <row r="2887" spans="7:8" x14ac:dyDescent="0.3">
      <c r="G2887">
        <v>2880</v>
      </c>
      <c r="H2887">
        <f t="shared" ca="1" si="64"/>
        <v>-3.3296157928037598E-2</v>
      </c>
    </row>
    <row r="2888" spans="7:8" x14ac:dyDescent="0.3">
      <c r="G2888">
        <v>2881</v>
      </c>
      <c r="H2888">
        <f t="shared" ca="1" si="64"/>
        <v>5.7983363792566669E-4</v>
      </c>
    </row>
    <row r="2889" spans="7:8" x14ac:dyDescent="0.3">
      <c r="G2889">
        <v>2882</v>
      </c>
      <c r="H2889">
        <f t="shared" ref="H2889:H2952" ca="1" si="65">_xlfn.NORM.INV(RAND(),$N$10,$N$11)</f>
        <v>2.0689870066164077E-2</v>
      </c>
    </row>
    <row r="2890" spans="7:8" x14ac:dyDescent="0.3">
      <c r="G2890">
        <v>2883</v>
      </c>
      <c r="H2890">
        <f t="shared" ca="1" si="65"/>
        <v>4.1398380884528428E-2</v>
      </c>
    </row>
    <row r="2891" spans="7:8" x14ac:dyDescent="0.3">
      <c r="G2891">
        <v>2884</v>
      </c>
      <c r="H2891">
        <f t="shared" ca="1" si="65"/>
        <v>1.3897534760847274E-2</v>
      </c>
    </row>
    <row r="2892" spans="7:8" x14ac:dyDescent="0.3">
      <c r="G2892">
        <v>2885</v>
      </c>
      <c r="H2892">
        <f t="shared" ca="1" si="65"/>
        <v>3.1257120927587244E-3</v>
      </c>
    </row>
    <row r="2893" spans="7:8" x14ac:dyDescent="0.3">
      <c r="G2893">
        <v>2886</v>
      </c>
      <c r="H2893">
        <f t="shared" ca="1" si="65"/>
        <v>2.2447658835030335E-2</v>
      </c>
    </row>
    <row r="2894" spans="7:8" x14ac:dyDescent="0.3">
      <c r="G2894">
        <v>2887</v>
      </c>
      <c r="H2894">
        <f t="shared" ca="1" si="65"/>
        <v>1.3864233162195332E-2</v>
      </c>
    </row>
    <row r="2895" spans="7:8" x14ac:dyDescent="0.3">
      <c r="G2895">
        <v>2888</v>
      </c>
      <c r="H2895">
        <f t="shared" ca="1" si="65"/>
        <v>2.2761906370965524E-2</v>
      </c>
    </row>
    <row r="2896" spans="7:8" x14ac:dyDescent="0.3">
      <c r="G2896">
        <v>2889</v>
      </c>
      <c r="H2896">
        <f t="shared" ca="1" si="65"/>
        <v>-2.1181617371661424E-2</v>
      </c>
    </row>
    <row r="2897" spans="7:8" x14ac:dyDescent="0.3">
      <c r="G2897">
        <v>2890</v>
      </c>
      <c r="H2897">
        <f t="shared" ca="1" si="65"/>
        <v>-1.1810805139928687E-2</v>
      </c>
    </row>
    <row r="2898" spans="7:8" x14ac:dyDescent="0.3">
      <c r="G2898">
        <v>2891</v>
      </c>
      <c r="H2898">
        <f t="shared" ca="1" si="65"/>
        <v>5.3035195189844331E-3</v>
      </c>
    </row>
    <row r="2899" spans="7:8" x14ac:dyDescent="0.3">
      <c r="G2899">
        <v>2892</v>
      </c>
      <c r="H2899">
        <f t="shared" ca="1" si="65"/>
        <v>2.2797828572367245E-3</v>
      </c>
    </row>
    <row r="2900" spans="7:8" x14ac:dyDescent="0.3">
      <c r="G2900">
        <v>2893</v>
      </c>
      <c r="H2900">
        <f t="shared" ca="1" si="65"/>
        <v>-1.4478291349252092E-2</v>
      </c>
    </row>
    <row r="2901" spans="7:8" x14ac:dyDescent="0.3">
      <c r="G2901">
        <v>2894</v>
      </c>
      <c r="H2901">
        <f t="shared" ca="1" si="65"/>
        <v>-5.0178864650889344E-3</v>
      </c>
    </row>
    <row r="2902" spans="7:8" x14ac:dyDescent="0.3">
      <c r="G2902">
        <v>2895</v>
      </c>
      <c r="H2902">
        <f t="shared" ca="1" si="65"/>
        <v>-3.4618989842418194E-2</v>
      </c>
    </row>
    <row r="2903" spans="7:8" x14ac:dyDescent="0.3">
      <c r="G2903">
        <v>2896</v>
      </c>
      <c r="H2903">
        <f t="shared" ca="1" si="65"/>
        <v>1.4394726882071846E-2</v>
      </c>
    </row>
    <row r="2904" spans="7:8" x14ac:dyDescent="0.3">
      <c r="G2904">
        <v>2897</v>
      </c>
      <c r="H2904">
        <f t="shared" ca="1" si="65"/>
        <v>6.8362343451180184E-3</v>
      </c>
    </row>
    <row r="2905" spans="7:8" x14ac:dyDescent="0.3">
      <c r="G2905">
        <v>2898</v>
      </c>
      <c r="H2905">
        <f t="shared" ca="1" si="65"/>
        <v>-8.4312601434545706E-3</v>
      </c>
    </row>
    <row r="2906" spans="7:8" x14ac:dyDescent="0.3">
      <c r="G2906">
        <v>2899</v>
      </c>
      <c r="H2906">
        <f t="shared" ca="1" si="65"/>
        <v>3.0400143995816475E-2</v>
      </c>
    </row>
    <row r="2907" spans="7:8" x14ac:dyDescent="0.3">
      <c r="G2907">
        <v>2900</v>
      </c>
      <c r="H2907">
        <f t="shared" ca="1" si="65"/>
        <v>-2.3913266096378807E-2</v>
      </c>
    </row>
    <row r="2908" spans="7:8" x14ac:dyDescent="0.3">
      <c r="G2908">
        <v>2901</v>
      </c>
      <c r="H2908">
        <f t="shared" ca="1" si="65"/>
        <v>-1.6107250015538505E-2</v>
      </c>
    </row>
    <row r="2909" spans="7:8" x14ac:dyDescent="0.3">
      <c r="G2909">
        <v>2902</v>
      </c>
      <c r="H2909">
        <f t="shared" ca="1" si="65"/>
        <v>5.0149792376295351E-3</v>
      </c>
    </row>
    <row r="2910" spans="7:8" x14ac:dyDescent="0.3">
      <c r="G2910">
        <v>2903</v>
      </c>
      <c r="H2910">
        <f t="shared" ca="1" si="65"/>
        <v>-4.3901879488350056E-3</v>
      </c>
    </row>
    <row r="2911" spans="7:8" x14ac:dyDescent="0.3">
      <c r="G2911">
        <v>2904</v>
      </c>
      <c r="H2911">
        <f t="shared" ca="1" si="65"/>
        <v>6.7693642347316325E-3</v>
      </c>
    </row>
    <row r="2912" spans="7:8" x14ac:dyDescent="0.3">
      <c r="G2912">
        <v>2905</v>
      </c>
      <c r="H2912">
        <f t="shared" ca="1" si="65"/>
        <v>-2.302721943508873E-2</v>
      </c>
    </row>
    <row r="2913" spans="7:8" x14ac:dyDescent="0.3">
      <c r="G2913">
        <v>2906</v>
      </c>
      <c r="H2913">
        <f t="shared" ca="1" si="65"/>
        <v>1.4241151305828011E-2</v>
      </c>
    </row>
    <row r="2914" spans="7:8" x14ac:dyDescent="0.3">
      <c r="G2914">
        <v>2907</v>
      </c>
      <c r="H2914">
        <f t="shared" ca="1" si="65"/>
        <v>-6.7911410182673075E-3</v>
      </c>
    </row>
    <row r="2915" spans="7:8" x14ac:dyDescent="0.3">
      <c r="G2915">
        <v>2908</v>
      </c>
      <c r="H2915">
        <f t="shared" ca="1" si="65"/>
        <v>-1.3796007154905844E-2</v>
      </c>
    </row>
    <row r="2916" spans="7:8" x14ac:dyDescent="0.3">
      <c r="G2916">
        <v>2909</v>
      </c>
      <c r="H2916">
        <f t="shared" ca="1" si="65"/>
        <v>-2.6983730363929863E-2</v>
      </c>
    </row>
    <row r="2917" spans="7:8" x14ac:dyDescent="0.3">
      <c r="G2917">
        <v>2910</v>
      </c>
      <c r="H2917">
        <f t="shared" ca="1" si="65"/>
        <v>1.0998586172197558E-2</v>
      </c>
    </row>
    <row r="2918" spans="7:8" x14ac:dyDescent="0.3">
      <c r="G2918">
        <v>2911</v>
      </c>
      <c r="H2918">
        <f t="shared" ca="1" si="65"/>
        <v>-2.13410394531852E-2</v>
      </c>
    </row>
    <row r="2919" spans="7:8" x14ac:dyDescent="0.3">
      <c r="G2919">
        <v>2912</v>
      </c>
      <c r="H2919">
        <f t="shared" ca="1" si="65"/>
        <v>3.2662379216356193E-3</v>
      </c>
    </row>
    <row r="2920" spans="7:8" x14ac:dyDescent="0.3">
      <c r="G2920">
        <v>2913</v>
      </c>
      <c r="H2920">
        <f t="shared" ca="1" si="65"/>
        <v>-1.2428652449021397E-2</v>
      </c>
    </row>
    <row r="2921" spans="7:8" x14ac:dyDescent="0.3">
      <c r="G2921">
        <v>2914</v>
      </c>
      <c r="H2921">
        <f t="shared" ca="1" si="65"/>
        <v>1.0165023091877829E-2</v>
      </c>
    </row>
    <row r="2922" spans="7:8" x14ac:dyDescent="0.3">
      <c r="G2922">
        <v>2915</v>
      </c>
      <c r="H2922">
        <f t="shared" ca="1" si="65"/>
        <v>-2.0357448031465861E-2</v>
      </c>
    </row>
    <row r="2923" spans="7:8" x14ac:dyDescent="0.3">
      <c r="G2923">
        <v>2916</v>
      </c>
      <c r="H2923">
        <f t="shared" ca="1" si="65"/>
        <v>1.168088999741683E-3</v>
      </c>
    </row>
    <row r="2924" spans="7:8" x14ac:dyDescent="0.3">
      <c r="G2924">
        <v>2917</v>
      </c>
      <c r="H2924">
        <f t="shared" ca="1" si="65"/>
        <v>2.804682693738287E-2</v>
      </c>
    </row>
    <row r="2925" spans="7:8" x14ac:dyDescent="0.3">
      <c r="G2925">
        <v>2918</v>
      </c>
      <c r="H2925">
        <f t="shared" ca="1" si="65"/>
        <v>-5.0412150795237356E-3</v>
      </c>
    </row>
    <row r="2926" spans="7:8" x14ac:dyDescent="0.3">
      <c r="G2926">
        <v>2919</v>
      </c>
      <c r="H2926">
        <f t="shared" ca="1" si="65"/>
        <v>3.3485779829677117E-3</v>
      </c>
    </row>
    <row r="2927" spans="7:8" x14ac:dyDescent="0.3">
      <c r="G2927">
        <v>2920</v>
      </c>
      <c r="H2927">
        <f t="shared" ca="1" si="65"/>
        <v>3.3840063177222331E-2</v>
      </c>
    </row>
    <row r="2928" spans="7:8" x14ac:dyDescent="0.3">
      <c r="G2928">
        <v>2921</v>
      </c>
      <c r="H2928">
        <f t="shared" ca="1" si="65"/>
        <v>2.4993686650838294E-2</v>
      </c>
    </row>
    <row r="2929" spans="7:8" x14ac:dyDescent="0.3">
      <c r="G2929">
        <v>2922</v>
      </c>
      <c r="H2929">
        <f t="shared" ca="1" si="65"/>
        <v>-3.5474237920426277E-3</v>
      </c>
    </row>
    <row r="2930" spans="7:8" x14ac:dyDescent="0.3">
      <c r="G2930">
        <v>2923</v>
      </c>
      <c r="H2930">
        <f t="shared" ca="1" si="65"/>
        <v>2.3874359025030028E-2</v>
      </c>
    </row>
    <row r="2931" spans="7:8" x14ac:dyDescent="0.3">
      <c r="G2931">
        <v>2924</v>
      </c>
      <c r="H2931">
        <f t="shared" ca="1" si="65"/>
        <v>2.8589284638518772E-3</v>
      </c>
    </row>
    <row r="2932" spans="7:8" x14ac:dyDescent="0.3">
      <c r="G2932">
        <v>2925</v>
      </c>
      <c r="H2932">
        <f t="shared" ca="1" si="65"/>
        <v>-3.0191937529930206E-2</v>
      </c>
    </row>
    <row r="2933" spans="7:8" x14ac:dyDescent="0.3">
      <c r="G2933">
        <v>2926</v>
      </c>
      <c r="H2933">
        <f t="shared" ca="1" si="65"/>
        <v>-7.25979047853164E-3</v>
      </c>
    </row>
    <row r="2934" spans="7:8" x14ac:dyDescent="0.3">
      <c r="G2934">
        <v>2927</v>
      </c>
      <c r="H2934">
        <f t="shared" ca="1" si="65"/>
        <v>-1.3058666709314987E-2</v>
      </c>
    </row>
    <row r="2935" spans="7:8" x14ac:dyDescent="0.3">
      <c r="G2935">
        <v>2928</v>
      </c>
      <c r="H2935">
        <f t="shared" ca="1" si="65"/>
        <v>-1.0707089737060351E-2</v>
      </c>
    </row>
    <row r="2936" spans="7:8" x14ac:dyDescent="0.3">
      <c r="G2936">
        <v>2929</v>
      </c>
      <c r="H2936">
        <f t="shared" ca="1" si="65"/>
        <v>-2.6919095895436253E-2</v>
      </c>
    </row>
    <row r="2937" spans="7:8" x14ac:dyDescent="0.3">
      <c r="G2937">
        <v>2930</v>
      </c>
      <c r="H2937">
        <f t="shared" ca="1" si="65"/>
        <v>4.0308815006423375E-3</v>
      </c>
    </row>
    <row r="2938" spans="7:8" x14ac:dyDescent="0.3">
      <c r="G2938">
        <v>2931</v>
      </c>
      <c r="H2938">
        <f t="shared" ca="1" si="65"/>
        <v>-4.9673761279446383E-3</v>
      </c>
    </row>
    <row r="2939" spans="7:8" x14ac:dyDescent="0.3">
      <c r="G2939">
        <v>2932</v>
      </c>
      <c r="H2939">
        <f t="shared" ca="1" si="65"/>
        <v>-3.2743160917082535E-2</v>
      </c>
    </row>
    <row r="2940" spans="7:8" x14ac:dyDescent="0.3">
      <c r="G2940">
        <v>2933</v>
      </c>
      <c r="H2940">
        <f t="shared" ca="1" si="65"/>
        <v>-2.2711644798127456E-2</v>
      </c>
    </row>
    <row r="2941" spans="7:8" x14ac:dyDescent="0.3">
      <c r="G2941">
        <v>2934</v>
      </c>
      <c r="H2941">
        <f t="shared" ca="1" si="65"/>
        <v>3.6423663454034595E-3</v>
      </c>
    </row>
    <row r="2942" spans="7:8" x14ac:dyDescent="0.3">
      <c r="G2942">
        <v>2935</v>
      </c>
      <c r="H2942">
        <f t="shared" ca="1" si="65"/>
        <v>-2.8633488231092734E-2</v>
      </c>
    </row>
    <row r="2943" spans="7:8" x14ac:dyDescent="0.3">
      <c r="G2943">
        <v>2936</v>
      </c>
      <c r="H2943">
        <f t="shared" ca="1" si="65"/>
        <v>-1.4931821445797607E-2</v>
      </c>
    </row>
    <row r="2944" spans="7:8" x14ac:dyDescent="0.3">
      <c r="G2944">
        <v>2937</v>
      </c>
      <c r="H2944">
        <f t="shared" ca="1" si="65"/>
        <v>2.5554861856158413E-3</v>
      </c>
    </row>
    <row r="2945" spans="7:8" x14ac:dyDescent="0.3">
      <c r="G2945">
        <v>2938</v>
      </c>
      <c r="H2945">
        <f t="shared" ca="1" si="65"/>
        <v>5.5045981571691167E-2</v>
      </c>
    </row>
    <row r="2946" spans="7:8" x14ac:dyDescent="0.3">
      <c r="G2946">
        <v>2939</v>
      </c>
      <c r="H2946">
        <f t="shared" ca="1" si="65"/>
        <v>2.5682714483694746E-2</v>
      </c>
    </row>
    <row r="2947" spans="7:8" x14ac:dyDescent="0.3">
      <c r="G2947">
        <v>2940</v>
      </c>
      <c r="H2947">
        <f t="shared" ca="1" si="65"/>
        <v>-1.4938052812258015E-2</v>
      </c>
    </row>
    <row r="2948" spans="7:8" x14ac:dyDescent="0.3">
      <c r="G2948">
        <v>2941</v>
      </c>
      <c r="H2948">
        <f t="shared" ca="1" si="65"/>
        <v>5.9861682598261398E-3</v>
      </c>
    </row>
    <row r="2949" spans="7:8" x14ac:dyDescent="0.3">
      <c r="G2949">
        <v>2942</v>
      </c>
      <c r="H2949">
        <f t="shared" ca="1" si="65"/>
        <v>2.1276462422628725E-3</v>
      </c>
    </row>
    <row r="2950" spans="7:8" x14ac:dyDescent="0.3">
      <c r="G2950">
        <v>2943</v>
      </c>
      <c r="H2950">
        <f t="shared" ca="1" si="65"/>
        <v>-1.9130020686387639E-2</v>
      </c>
    </row>
    <row r="2951" spans="7:8" x14ac:dyDescent="0.3">
      <c r="G2951">
        <v>2944</v>
      </c>
      <c r="H2951">
        <f t="shared" ca="1" si="65"/>
        <v>-1.2484634851186241E-2</v>
      </c>
    </row>
    <row r="2952" spans="7:8" x14ac:dyDescent="0.3">
      <c r="G2952">
        <v>2945</v>
      </c>
      <c r="H2952">
        <f t="shared" ca="1" si="65"/>
        <v>1.410361521856324E-2</v>
      </c>
    </row>
    <row r="2953" spans="7:8" x14ac:dyDescent="0.3">
      <c r="G2953">
        <v>2946</v>
      </c>
      <c r="H2953">
        <f t="shared" ref="H2953:H3007" ca="1" si="66">_xlfn.NORM.INV(RAND(),$N$10,$N$11)</f>
        <v>-4.3471272506795112E-4</v>
      </c>
    </row>
    <row r="2954" spans="7:8" x14ac:dyDescent="0.3">
      <c r="G2954">
        <v>2947</v>
      </c>
      <c r="H2954">
        <f t="shared" ca="1" si="66"/>
        <v>4.1174138168407429E-3</v>
      </c>
    </row>
    <row r="2955" spans="7:8" x14ac:dyDescent="0.3">
      <c r="G2955">
        <v>2948</v>
      </c>
      <c r="H2955">
        <f t="shared" ca="1" si="66"/>
        <v>4.2368382669495872E-2</v>
      </c>
    </row>
    <row r="2956" spans="7:8" x14ac:dyDescent="0.3">
      <c r="G2956">
        <v>2949</v>
      </c>
      <c r="H2956">
        <f t="shared" ca="1" si="66"/>
        <v>-2.1894866557305614E-2</v>
      </c>
    </row>
    <row r="2957" spans="7:8" x14ac:dyDescent="0.3">
      <c r="G2957">
        <v>2950</v>
      </c>
      <c r="H2957">
        <f t="shared" ca="1" si="66"/>
        <v>-2.8097535644437425E-3</v>
      </c>
    </row>
    <row r="2958" spans="7:8" x14ac:dyDescent="0.3">
      <c r="G2958">
        <v>2951</v>
      </c>
      <c r="H2958">
        <f t="shared" ca="1" si="66"/>
        <v>1.1186469824173992E-2</v>
      </c>
    </row>
    <row r="2959" spans="7:8" x14ac:dyDescent="0.3">
      <c r="G2959">
        <v>2952</v>
      </c>
      <c r="H2959">
        <f t="shared" ca="1" si="66"/>
        <v>-1.257630195327639E-2</v>
      </c>
    </row>
    <row r="2960" spans="7:8" x14ac:dyDescent="0.3">
      <c r="G2960">
        <v>2953</v>
      </c>
      <c r="H2960">
        <f t="shared" ca="1" si="66"/>
        <v>1.7217841220371947E-2</v>
      </c>
    </row>
    <row r="2961" spans="7:8" x14ac:dyDescent="0.3">
      <c r="G2961">
        <v>2954</v>
      </c>
      <c r="H2961">
        <f t="shared" ca="1" si="66"/>
        <v>4.5793015619350176E-3</v>
      </c>
    </row>
    <row r="2962" spans="7:8" x14ac:dyDescent="0.3">
      <c r="G2962">
        <v>2955</v>
      </c>
      <c r="H2962">
        <f t="shared" ca="1" si="66"/>
        <v>3.1651442514204528E-2</v>
      </c>
    </row>
    <row r="2963" spans="7:8" x14ac:dyDescent="0.3">
      <c r="G2963">
        <v>2956</v>
      </c>
      <c r="H2963">
        <f t="shared" ca="1" si="66"/>
        <v>-2.7006755627579728E-2</v>
      </c>
    </row>
    <row r="2964" spans="7:8" x14ac:dyDescent="0.3">
      <c r="G2964">
        <v>2957</v>
      </c>
      <c r="H2964">
        <f t="shared" ca="1" si="66"/>
        <v>8.3682670108813067E-3</v>
      </c>
    </row>
    <row r="2965" spans="7:8" x14ac:dyDescent="0.3">
      <c r="G2965">
        <v>2958</v>
      </c>
      <c r="H2965">
        <f t="shared" ca="1" si="66"/>
        <v>3.8257684159500996E-2</v>
      </c>
    </row>
    <row r="2966" spans="7:8" x14ac:dyDescent="0.3">
      <c r="G2966">
        <v>2959</v>
      </c>
      <c r="H2966">
        <f t="shared" ca="1" si="66"/>
        <v>4.1374402268264301E-3</v>
      </c>
    </row>
    <row r="2967" spans="7:8" x14ac:dyDescent="0.3">
      <c r="G2967">
        <v>2960</v>
      </c>
      <c r="H2967">
        <f t="shared" ca="1" si="66"/>
        <v>5.9962715435192991E-3</v>
      </c>
    </row>
    <row r="2968" spans="7:8" x14ac:dyDescent="0.3">
      <c r="G2968">
        <v>2961</v>
      </c>
      <c r="H2968">
        <f t="shared" ca="1" si="66"/>
        <v>2.1551099677913115E-2</v>
      </c>
    </row>
    <row r="2969" spans="7:8" x14ac:dyDescent="0.3">
      <c r="G2969">
        <v>2962</v>
      </c>
      <c r="H2969">
        <f t="shared" ca="1" si="66"/>
        <v>-1.5349877204912248E-2</v>
      </c>
    </row>
    <row r="2970" spans="7:8" x14ac:dyDescent="0.3">
      <c r="G2970">
        <v>2963</v>
      </c>
      <c r="H2970">
        <f t="shared" ca="1" si="66"/>
        <v>-8.0338532715177255E-3</v>
      </c>
    </row>
    <row r="2971" spans="7:8" x14ac:dyDescent="0.3">
      <c r="G2971">
        <v>2964</v>
      </c>
      <c r="H2971">
        <f t="shared" ca="1" si="66"/>
        <v>-1.4244190161125211E-2</v>
      </c>
    </row>
    <row r="2972" spans="7:8" x14ac:dyDescent="0.3">
      <c r="G2972">
        <v>2965</v>
      </c>
      <c r="H2972">
        <f t="shared" ca="1" si="66"/>
        <v>-1.6517545387855617E-2</v>
      </c>
    </row>
    <row r="2973" spans="7:8" x14ac:dyDescent="0.3">
      <c r="G2973">
        <v>2966</v>
      </c>
      <c r="H2973">
        <f t="shared" ca="1" si="66"/>
        <v>1.3265984499702167E-2</v>
      </c>
    </row>
    <row r="2974" spans="7:8" x14ac:dyDescent="0.3">
      <c r="G2974">
        <v>2967</v>
      </c>
      <c r="H2974">
        <f t="shared" ca="1" si="66"/>
        <v>-1.9288754289499086E-2</v>
      </c>
    </row>
    <row r="2975" spans="7:8" x14ac:dyDescent="0.3">
      <c r="G2975">
        <v>2968</v>
      </c>
      <c r="H2975">
        <f t="shared" ca="1" si="66"/>
        <v>-1.4853736028768496E-2</v>
      </c>
    </row>
    <row r="2976" spans="7:8" x14ac:dyDescent="0.3">
      <c r="G2976">
        <v>2969</v>
      </c>
      <c r="H2976">
        <f t="shared" ca="1" si="66"/>
        <v>6.5863092042869383E-3</v>
      </c>
    </row>
    <row r="2977" spans="7:8" x14ac:dyDescent="0.3">
      <c r="G2977">
        <v>2970</v>
      </c>
      <c r="H2977">
        <f t="shared" ca="1" si="66"/>
        <v>6.2339669193926649E-3</v>
      </c>
    </row>
    <row r="2978" spans="7:8" x14ac:dyDescent="0.3">
      <c r="G2978">
        <v>2971</v>
      </c>
      <c r="H2978">
        <f t="shared" ca="1" si="66"/>
        <v>-2.1826366864981593E-2</v>
      </c>
    </row>
    <row r="2979" spans="7:8" x14ac:dyDescent="0.3">
      <c r="G2979">
        <v>2972</v>
      </c>
      <c r="H2979">
        <f t="shared" ca="1" si="66"/>
        <v>-1.0499460639261118E-2</v>
      </c>
    </row>
    <row r="2980" spans="7:8" x14ac:dyDescent="0.3">
      <c r="G2980">
        <v>2973</v>
      </c>
      <c r="H2980">
        <f t="shared" ca="1" si="66"/>
        <v>-2.7514250493258004E-2</v>
      </c>
    </row>
    <row r="2981" spans="7:8" x14ac:dyDescent="0.3">
      <c r="G2981">
        <v>2974</v>
      </c>
      <c r="H2981">
        <f t="shared" ca="1" si="66"/>
        <v>-1.7519769454138263E-2</v>
      </c>
    </row>
    <row r="2982" spans="7:8" x14ac:dyDescent="0.3">
      <c r="G2982">
        <v>2975</v>
      </c>
      <c r="H2982">
        <f t="shared" ca="1" si="66"/>
        <v>1.5792947164031169E-3</v>
      </c>
    </row>
    <row r="2983" spans="7:8" x14ac:dyDescent="0.3">
      <c r="G2983">
        <v>2976</v>
      </c>
      <c r="H2983">
        <f t="shared" ca="1" si="66"/>
        <v>2.3886162435335961E-2</v>
      </c>
    </row>
    <row r="2984" spans="7:8" x14ac:dyDescent="0.3">
      <c r="G2984">
        <v>2977</v>
      </c>
      <c r="H2984">
        <f t="shared" ca="1" si="66"/>
        <v>-1.903118870457513E-3</v>
      </c>
    </row>
    <row r="2985" spans="7:8" x14ac:dyDescent="0.3">
      <c r="G2985">
        <v>2978</v>
      </c>
      <c r="H2985">
        <f t="shared" ca="1" si="66"/>
        <v>-1.7045558614693125E-2</v>
      </c>
    </row>
    <row r="2986" spans="7:8" x14ac:dyDescent="0.3">
      <c r="G2986">
        <v>2979</v>
      </c>
      <c r="H2986">
        <f t="shared" ca="1" si="66"/>
        <v>-3.5764168944315729E-2</v>
      </c>
    </row>
    <row r="2987" spans="7:8" x14ac:dyDescent="0.3">
      <c r="G2987">
        <v>2980</v>
      </c>
      <c r="H2987">
        <f t="shared" ca="1" si="66"/>
        <v>2.2352952991247909E-2</v>
      </c>
    </row>
    <row r="2988" spans="7:8" x14ac:dyDescent="0.3">
      <c r="G2988">
        <v>2981</v>
      </c>
      <c r="H2988">
        <f t="shared" ca="1" si="66"/>
        <v>-1.2786323497578784E-2</v>
      </c>
    </row>
    <row r="2989" spans="7:8" x14ac:dyDescent="0.3">
      <c r="G2989">
        <v>2982</v>
      </c>
      <c r="H2989">
        <f t="shared" ca="1" si="66"/>
        <v>2.5367570080574643E-2</v>
      </c>
    </row>
    <row r="2990" spans="7:8" x14ac:dyDescent="0.3">
      <c r="G2990">
        <v>2983</v>
      </c>
      <c r="H2990">
        <f t="shared" ca="1" si="66"/>
        <v>-1.5581642879344596E-3</v>
      </c>
    </row>
    <row r="2991" spans="7:8" x14ac:dyDescent="0.3">
      <c r="G2991">
        <v>2984</v>
      </c>
      <c r="H2991">
        <f t="shared" ca="1" si="66"/>
        <v>2.269418754522104E-2</v>
      </c>
    </row>
    <row r="2992" spans="7:8" x14ac:dyDescent="0.3">
      <c r="G2992">
        <v>2985</v>
      </c>
      <c r="H2992">
        <f t="shared" ca="1" si="66"/>
        <v>-2.5462018086943566E-2</v>
      </c>
    </row>
    <row r="2993" spans="7:8" x14ac:dyDescent="0.3">
      <c r="G2993">
        <v>2986</v>
      </c>
      <c r="H2993">
        <f t="shared" ca="1" si="66"/>
        <v>9.1964450690309382E-3</v>
      </c>
    </row>
    <row r="2994" spans="7:8" x14ac:dyDescent="0.3">
      <c r="G2994">
        <v>2987</v>
      </c>
      <c r="H2994">
        <f t="shared" ca="1" si="66"/>
        <v>1.9998210142486463E-2</v>
      </c>
    </row>
    <row r="2995" spans="7:8" x14ac:dyDescent="0.3">
      <c r="G2995">
        <v>2988</v>
      </c>
      <c r="H2995">
        <f t="shared" ca="1" si="66"/>
        <v>3.2833256764828775E-2</v>
      </c>
    </row>
    <row r="2996" spans="7:8" x14ac:dyDescent="0.3">
      <c r="G2996">
        <v>2989</v>
      </c>
      <c r="H2996">
        <f t="shared" ca="1" si="66"/>
        <v>-1.3816726863914084E-2</v>
      </c>
    </row>
    <row r="2997" spans="7:8" x14ac:dyDescent="0.3">
      <c r="G2997">
        <v>2990</v>
      </c>
      <c r="H2997">
        <f t="shared" ca="1" si="66"/>
        <v>1.4376512751453577E-2</v>
      </c>
    </row>
    <row r="2998" spans="7:8" x14ac:dyDescent="0.3">
      <c r="G2998">
        <v>2991</v>
      </c>
      <c r="H2998">
        <f t="shared" ca="1" si="66"/>
        <v>3.8160927430138899E-4</v>
      </c>
    </row>
    <row r="2999" spans="7:8" x14ac:dyDescent="0.3">
      <c r="G2999">
        <v>2992</v>
      </c>
      <c r="H2999">
        <f t="shared" ca="1" si="66"/>
        <v>-1.4454894085725298E-2</v>
      </c>
    </row>
    <row r="3000" spans="7:8" x14ac:dyDescent="0.3">
      <c r="G3000">
        <v>2993</v>
      </c>
      <c r="H3000">
        <f t="shared" ca="1" si="66"/>
        <v>-6.4677502296004363E-3</v>
      </c>
    </row>
    <row r="3001" spans="7:8" x14ac:dyDescent="0.3">
      <c r="G3001">
        <v>2994</v>
      </c>
      <c r="H3001">
        <f t="shared" ca="1" si="66"/>
        <v>2.8928524183661115E-2</v>
      </c>
    </row>
    <row r="3002" spans="7:8" x14ac:dyDescent="0.3">
      <c r="G3002">
        <v>2995</v>
      </c>
      <c r="H3002">
        <f t="shared" ca="1" si="66"/>
        <v>-2.8771503958412836E-3</v>
      </c>
    </row>
    <row r="3003" spans="7:8" x14ac:dyDescent="0.3">
      <c r="G3003">
        <v>2996</v>
      </c>
      <c r="H3003">
        <f t="shared" ca="1" si="66"/>
        <v>5.1411502009685089E-3</v>
      </c>
    </row>
    <row r="3004" spans="7:8" x14ac:dyDescent="0.3">
      <c r="G3004">
        <v>2997</v>
      </c>
      <c r="H3004">
        <f t="shared" ca="1" si="66"/>
        <v>2.224515601828627E-2</v>
      </c>
    </row>
    <row r="3005" spans="7:8" x14ac:dyDescent="0.3">
      <c r="G3005">
        <v>2998</v>
      </c>
      <c r="H3005">
        <f t="shared" ca="1" si="66"/>
        <v>2.7235946815979007E-3</v>
      </c>
    </row>
    <row r="3006" spans="7:8" x14ac:dyDescent="0.3">
      <c r="G3006">
        <v>2999</v>
      </c>
      <c r="H3006">
        <f t="shared" ca="1" si="66"/>
        <v>-5.2099875551597499E-3</v>
      </c>
    </row>
    <row r="3007" spans="7:8" x14ac:dyDescent="0.3">
      <c r="G3007">
        <v>3000</v>
      </c>
      <c r="H3007">
        <f t="shared" ca="1" si="66"/>
        <v>3.7580966339173953E-2</v>
      </c>
    </row>
  </sheetData>
  <mergeCells count="4">
    <mergeCell ref="J7:N7"/>
    <mergeCell ref="B3:E3"/>
    <mergeCell ref="B2:H2"/>
    <mergeCell ref="B5:N5"/>
  </mergeCells>
  <pageMargins left="0.7" right="0.7" top="0.75" bottom="0.75" header="0.3" footer="0.3"/>
  <pageSetup paperSize="9" scale="61" fitToHeight="0" orientation="portrait" r:id="rId1"/>
  <colBreaks count="1" manualBreakCount="1">
    <brk id="14" max="1048575" man="1"/>
  </col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45F9D-0F5A-4728-A6B4-38E45A5D2BF5}">
  <dimension ref="B1:L113"/>
  <sheetViews>
    <sheetView showGridLines="0" topLeftCell="A52" zoomScale="75" zoomScaleNormal="60" zoomScaleSheetLayoutView="89" workbookViewId="0">
      <selection activeCell="C62" sqref="C62"/>
    </sheetView>
  </sheetViews>
  <sheetFormatPr defaultRowHeight="14.4" x14ac:dyDescent="0.3"/>
  <cols>
    <col min="1" max="1" width="1.88671875" customWidth="1"/>
    <col min="2" max="2" width="35.6640625" customWidth="1"/>
    <col min="3" max="3" width="10" bestFit="1" customWidth="1"/>
  </cols>
  <sheetData>
    <row r="1" spans="2:12" ht="10.5" customHeight="1" x14ac:dyDescent="0.3">
      <c r="B1" s="142"/>
      <c r="C1" s="142"/>
      <c r="D1" s="142"/>
      <c r="E1" s="142"/>
      <c r="F1" s="142"/>
      <c r="G1" s="142"/>
      <c r="H1" s="142"/>
      <c r="I1" s="142"/>
    </row>
    <row r="3" spans="2:12" ht="26.25" customHeight="1" x14ac:dyDescent="0.55000000000000004">
      <c r="B3" s="143" t="str">
        <f>'Data Sheet'!B1</f>
        <v>GODREJ CONSUMER PRODUCTS LTD</v>
      </c>
    </row>
    <row r="4" spans="2:12" x14ac:dyDescent="0.3">
      <c r="B4" s="75" t="str">
        <f>CONCATENATE("  ","(",VLOOKUP(B3,'[3]List of Stocks'!A2:C5442,3,1)," | ","BSE Code: ",VLOOKUP(B3,'[3]List of Stocks'!A2:B5442,2,1),")")</f>
        <v xml:space="preserve">  (GODREJCP | BSE Code: 532424)</v>
      </c>
    </row>
    <row r="5" spans="2:12" ht="21.75" customHeight="1" x14ac:dyDescent="0.35">
      <c r="B5" s="144" t="str">
        <f>CONCATENATE("  ","INR "&amp;'Data Sheet'!B8)</f>
        <v xml:space="preserve">  INR 1343.75</v>
      </c>
    </row>
    <row r="6" spans="2:12" x14ac:dyDescent="0.3">
      <c r="B6" s="75" t="s">
        <v>9329</v>
      </c>
    </row>
    <row r="7" spans="2:12" ht="15" customHeight="1" thickBot="1" x14ac:dyDescent="0.35">
      <c r="B7" s="235"/>
      <c r="C7" s="235"/>
      <c r="D7" s="235"/>
      <c r="E7" s="235"/>
      <c r="F7" s="235"/>
      <c r="G7" s="235"/>
      <c r="H7" s="235"/>
      <c r="I7" s="235"/>
    </row>
    <row r="8" spans="2:12" ht="18" x14ac:dyDescent="0.35">
      <c r="B8" s="145" t="s">
        <v>1089</v>
      </c>
    </row>
    <row r="9" spans="2:12" ht="10.8" customHeight="1" x14ac:dyDescent="0.3">
      <c r="B9" s="249" t="s">
        <v>9330</v>
      </c>
      <c r="C9" s="249"/>
      <c r="D9" s="249"/>
      <c r="E9" s="249"/>
      <c r="F9" s="249"/>
      <c r="G9" s="249"/>
      <c r="H9" s="249"/>
      <c r="I9" s="249"/>
    </row>
    <row r="10" spans="2:12" x14ac:dyDescent="0.3">
      <c r="B10" s="249"/>
      <c r="C10" s="249"/>
      <c r="D10" s="249"/>
      <c r="E10" s="249"/>
      <c r="F10" s="249"/>
      <c r="G10" s="249"/>
      <c r="H10" s="249"/>
      <c r="I10" s="249"/>
    </row>
    <row r="11" spans="2:12" x14ac:dyDescent="0.3">
      <c r="B11" s="249"/>
      <c r="C11" s="249"/>
      <c r="D11" s="249"/>
      <c r="E11" s="249"/>
      <c r="F11" s="249"/>
      <c r="G11" s="249"/>
      <c r="H11" s="249"/>
      <c r="I11" s="249"/>
    </row>
    <row r="12" spans="2:12" ht="69.599999999999994" customHeight="1" x14ac:dyDescent="0.3">
      <c r="B12" s="249"/>
      <c r="C12" s="249"/>
      <c r="D12" s="249"/>
      <c r="E12" s="249"/>
      <c r="F12" s="249"/>
      <c r="G12" s="249"/>
      <c r="H12" s="249"/>
      <c r="I12" s="249"/>
      <c r="L12" s="79"/>
    </row>
    <row r="13" spans="2:12" ht="4.5" customHeight="1" x14ac:dyDescent="0.3">
      <c r="B13" s="140"/>
      <c r="C13" s="140"/>
      <c r="D13" s="140"/>
      <c r="E13" s="140"/>
      <c r="F13" s="140"/>
      <c r="G13" s="140"/>
      <c r="H13" s="140"/>
      <c r="I13" s="140"/>
    </row>
    <row r="14" spans="2:12" ht="19.8" customHeight="1" x14ac:dyDescent="0.35">
      <c r="B14" s="145" t="s">
        <v>1090</v>
      </c>
      <c r="C14" s="140"/>
      <c r="D14" s="140"/>
      <c r="E14" s="140"/>
      <c r="F14" s="140"/>
      <c r="G14" s="140"/>
      <c r="H14" s="140"/>
      <c r="I14" s="140"/>
      <c r="L14" s="79"/>
    </row>
    <row r="15" spans="2:12" ht="6" customHeight="1" x14ac:dyDescent="0.3">
      <c r="B15" s="140"/>
      <c r="C15" s="140"/>
      <c r="D15" s="140"/>
      <c r="E15" s="140"/>
      <c r="F15" s="140"/>
      <c r="G15" s="140"/>
      <c r="H15" s="140"/>
      <c r="I15" s="140"/>
    </row>
    <row r="16" spans="2:12" x14ac:dyDescent="0.3">
      <c r="B16" s="140"/>
      <c r="C16" s="140"/>
      <c r="D16" s="140"/>
      <c r="E16" s="140"/>
      <c r="F16" s="140"/>
      <c r="G16" s="140"/>
      <c r="H16" s="140"/>
      <c r="I16" s="140"/>
    </row>
    <row r="53" spans="2:9" ht="28.5" customHeight="1" x14ac:dyDescent="0.3"/>
    <row r="54" spans="2:9" ht="11.25" customHeight="1" x14ac:dyDescent="0.3">
      <c r="B54" s="142"/>
      <c r="C54" s="142"/>
      <c r="D54" s="142"/>
      <c r="E54" s="142"/>
      <c r="F54" s="142"/>
      <c r="G54" s="142"/>
      <c r="H54" s="142"/>
      <c r="I54" s="142"/>
    </row>
    <row r="55" spans="2:9" ht="1.5" customHeight="1" x14ac:dyDescent="0.3"/>
    <row r="56" spans="2:9" ht="11.25" customHeight="1" x14ac:dyDescent="0.3">
      <c r="B56" s="142"/>
      <c r="C56" s="142"/>
      <c r="D56" s="142"/>
      <c r="E56" s="142"/>
      <c r="F56" s="142"/>
      <c r="G56" s="142"/>
      <c r="H56" s="142"/>
      <c r="I56" s="142"/>
    </row>
    <row r="60" spans="2:9" ht="15.6" x14ac:dyDescent="0.3">
      <c r="B60" s="250" t="s">
        <v>1091</v>
      </c>
      <c r="C60" s="250"/>
      <c r="D60" s="250"/>
      <c r="E60" s="250"/>
      <c r="F60" s="250"/>
      <c r="G60" s="250"/>
      <c r="H60" s="250"/>
      <c r="I60" s="250"/>
    </row>
    <row r="61" spans="2:9" x14ac:dyDescent="0.3">
      <c r="C61" s="70">
        <f>'Data Sheet'!E16</f>
        <v>43190</v>
      </c>
      <c r="D61" s="70">
        <f>'Data Sheet'!F16</f>
        <v>43555</v>
      </c>
      <c r="E61" s="70">
        <f>'Data Sheet'!G16</f>
        <v>43921</v>
      </c>
      <c r="F61" s="70">
        <f>'Data Sheet'!H16</f>
        <v>44286</v>
      </c>
      <c r="G61" s="70">
        <f>'Data Sheet'!I16</f>
        <v>44651</v>
      </c>
      <c r="H61" s="70">
        <f>'Data Sheet'!J16</f>
        <v>45016</v>
      </c>
      <c r="I61" s="70">
        <f>'Data Sheet'!K16</f>
        <v>45382</v>
      </c>
    </row>
    <row r="62" spans="2:9" x14ac:dyDescent="0.3">
      <c r="B62" t="s">
        <v>72</v>
      </c>
      <c r="C62" s="77">
        <f>'Data Sheet'!E30</f>
        <v>1634.18</v>
      </c>
      <c r="D62" s="77">
        <f>'Data Sheet'!F30</f>
        <v>2341.5300000000002</v>
      </c>
      <c r="E62" s="77">
        <f>'Data Sheet'!G30</f>
        <v>1496.58</v>
      </c>
      <c r="F62" s="77">
        <f>'Data Sheet'!H30</f>
        <v>1720.82</v>
      </c>
      <c r="G62" s="77">
        <f>'Data Sheet'!I30</f>
        <v>1783.39</v>
      </c>
      <c r="H62" s="77">
        <f>'Data Sheet'!J30</f>
        <v>1702.46</v>
      </c>
      <c r="I62" s="77">
        <f>'Data Sheet'!K30</f>
        <v>-560.54999999999995</v>
      </c>
    </row>
    <row r="63" spans="2:9" x14ac:dyDescent="0.3">
      <c r="B63" t="s">
        <v>1092</v>
      </c>
      <c r="C63" s="77">
        <f>(('Data Sheet'!E57+'Data Sheet'!E58)+('Data Sheet'!D57+'Data Sheet'!D58))/2</f>
        <v>5780.130000000001</v>
      </c>
      <c r="D63" s="77">
        <f>(('Data Sheet'!F57+'Data Sheet'!F58)+('Data Sheet'!E57+'Data Sheet'!E58))/2</f>
        <v>6762.6149999999998</v>
      </c>
      <c r="E63" s="77">
        <f>(('Data Sheet'!G57+'Data Sheet'!G58)+('Data Sheet'!F57+'Data Sheet'!F58))/2</f>
        <v>7582.6399999999994</v>
      </c>
      <c r="F63" s="77">
        <f>(('Data Sheet'!H57+'Data Sheet'!H58)+('Data Sheet'!G57+'Data Sheet'!G58))/2</f>
        <v>8668.6299999999992</v>
      </c>
      <c r="G63" s="77">
        <f>(('Data Sheet'!I57+'Data Sheet'!I58)+('Data Sheet'!H57+'Data Sheet'!H58))/2</f>
        <v>10497.415000000001</v>
      </c>
      <c r="H63" s="77">
        <f>(('Data Sheet'!J57+'Data Sheet'!J58)+('Data Sheet'!I57+'Data Sheet'!I58))/2</f>
        <v>12675.08</v>
      </c>
      <c r="I63" s="77">
        <f>(('Data Sheet'!K57+'Data Sheet'!K58)+('Data Sheet'!J57+'Data Sheet'!J58))/2</f>
        <v>13196.400000000001</v>
      </c>
    </row>
    <row r="64" spans="2:9" x14ac:dyDescent="0.3">
      <c r="B64" s="146" t="s">
        <v>1093</v>
      </c>
      <c r="C64" s="147">
        <f>C62/C63</f>
        <v>0.28272374496767372</v>
      </c>
      <c r="D64" s="147">
        <f t="shared" ref="D64:I64" si="0">D62/D63</f>
        <v>0.34624623758708728</v>
      </c>
      <c r="E64" s="147">
        <f t="shared" si="0"/>
        <v>0.19736925398014413</v>
      </c>
      <c r="F64" s="147">
        <f t="shared" si="0"/>
        <v>0.19851118342806187</v>
      </c>
      <c r="G64" s="147">
        <f t="shared" si="0"/>
        <v>0.1698884915953118</v>
      </c>
      <c r="H64" s="147">
        <f t="shared" si="0"/>
        <v>0.13431552305784264</v>
      </c>
      <c r="I64" s="147">
        <f t="shared" si="0"/>
        <v>-4.2477493861962347E-2</v>
      </c>
    </row>
    <row r="66" spans="2:9" ht="15.6" x14ac:dyDescent="0.3">
      <c r="B66" s="250" t="s">
        <v>1094</v>
      </c>
      <c r="C66" s="250"/>
      <c r="D66" s="250"/>
      <c r="E66" s="250"/>
      <c r="F66" s="250"/>
      <c r="G66" s="250"/>
      <c r="H66" s="250"/>
      <c r="I66" s="250"/>
    </row>
    <row r="67" spans="2:9" x14ac:dyDescent="0.3">
      <c r="C67" s="70">
        <f>C61</f>
        <v>43190</v>
      </c>
      <c r="D67" s="70">
        <f t="shared" ref="D67:I67" si="1">D61</f>
        <v>43555</v>
      </c>
      <c r="E67" s="70">
        <f t="shared" si="1"/>
        <v>43921</v>
      </c>
      <c r="F67" s="70">
        <f t="shared" si="1"/>
        <v>44286</v>
      </c>
      <c r="G67" s="70">
        <f t="shared" si="1"/>
        <v>44651</v>
      </c>
      <c r="H67" s="70">
        <f t="shared" si="1"/>
        <v>45016</v>
      </c>
      <c r="I67" s="70">
        <f t="shared" si="1"/>
        <v>45382</v>
      </c>
    </row>
    <row r="68" spans="2:9" x14ac:dyDescent="0.3">
      <c r="B68" t="str">
        <f>B62</f>
        <v>Net Profit</v>
      </c>
      <c r="C68" s="77">
        <f t="shared" ref="C68:I68" si="2">C62</f>
        <v>1634.18</v>
      </c>
      <c r="D68" s="77">
        <f t="shared" si="2"/>
        <v>2341.5300000000002</v>
      </c>
      <c r="E68" s="77">
        <f t="shared" si="2"/>
        <v>1496.58</v>
      </c>
      <c r="F68" s="77">
        <f t="shared" si="2"/>
        <v>1720.82</v>
      </c>
      <c r="G68" s="77">
        <f t="shared" si="2"/>
        <v>1783.39</v>
      </c>
      <c r="H68" s="77">
        <f t="shared" si="2"/>
        <v>1702.46</v>
      </c>
      <c r="I68" s="77">
        <f t="shared" si="2"/>
        <v>-560.54999999999995</v>
      </c>
    </row>
    <row r="69" spans="2:9" x14ac:dyDescent="0.3">
      <c r="B69" t="s">
        <v>348</v>
      </c>
      <c r="C69" s="77">
        <f>'Data Sheet'!E17</f>
        <v>9847.43</v>
      </c>
      <c r="D69" s="77">
        <f>'Data Sheet'!F17</f>
        <v>10314.34</v>
      </c>
      <c r="E69" s="77">
        <f>'Data Sheet'!G17</f>
        <v>9910.7999999999993</v>
      </c>
      <c r="F69" s="77">
        <f>'Data Sheet'!H17</f>
        <v>11028.62</v>
      </c>
      <c r="G69" s="77">
        <f>'Data Sheet'!I17</f>
        <v>12276.5</v>
      </c>
      <c r="H69" s="77">
        <f>'Data Sheet'!J17</f>
        <v>13315.97</v>
      </c>
      <c r="I69" s="77">
        <f>'Data Sheet'!K17</f>
        <v>14096.11</v>
      </c>
    </row>
    <row r="70" spans="2:9" x14ac:dyDescent="0.3">
      <c r="B70" s="146" t="s">
        <v>1095</v>
      </c>
      <c r="C70" s="147">
        <f t="shared" ref="C70:H70" si="3">C68/C69</f>
        <v>0.16594989758749237</v>
      </c>
      <c r="D70" s="147">
        <f t="shared" si="3"/>
        <v>0.22701694921827284</v>
      </c>
      <c r="E70" s="147">
        <f t="shared" si="3"/>
        <v>0.15100496428139001</v>
      </c>
      <c r="F70" s="147">
        <f t="shared" si="3"/>
        <v>0.15603221436589526</v>
      </c>
      <c r="G70" s="147">
        <f t="shared" si="3"/>
        <v>0.14526860261475177</v>
      </c>
      <c r="H70" s="147">
        <f t="shared" si="3"/>
        <v>0.12785099395688035</v>
      </c>
      <c r="I70" s="147">
        <f>I68/I69</f>
        <v>-3.9766290132525917E-2</v>
      </c>
    </row>
    <row r="72" spans="2:9" x14ac:dyDescent="0.3">
      <c r="B72" t="s">
        <v>348</v>
      </c>
      <c r="C72" s="77">
        <f>C69</f>
        <v>9847.43</v>
      </c>
      <c r="D72" s="77">
        <f t="shared" ref="D72:I72" si="4">D69</f>
        <v>10314.34</v>
      </c>
      <c r="E72" s="77">
        <f t="shared" si="4"/>
        <v>9910.7999999999993</v>
      </c>
      <c r="F72" s="77">
        <f t="shared" si="4"/>
        <v>11028.62</v>
      </c>
      <c r="G72" s="77">
        <f t="shared" si="4"/>
        <v>12276.5</v>
      </c>
      <c r="H72" s="77">
        <f t="shared" si="4"/>
        <v>13315.97</v>
      </c>
      <c r="I72" s="77">
        <f t="shared" si="4"/>
        <v>14096.11</v>
      </c>
    </row>
    <row r="73" spans="2:9" x14ac:dyDescent="0.3">
      <c r="B73" t="s">
        <v>1096</v>
      </c>
      <c r="C73" s="77">
        <f>('Data Sheet'!E66+'Data Sheet'!D66)/2</f>
        <v>13402.01</v>
      </c>
      <c r="D73" s="77">
        <f>('Data Sheet'!F66+'Data Sheet'!E66)/2</f>
        <v>13978.66</v>
      </c>
      <c r="E73" s="77">
        <f>('Data Sheet'!G66+'Data Sheet'!F66)/2</f>
        <v>14486.915000000001</v>
      </c>
      <c r="F73" s="77">
        <f>('Data Sheet'!H66+'Data Sheet'!G66)/2</f>
        <v>14562.035</v>
      </c>
      <c r="G73" s="77">
        <f>('Data Sheet'!I66+'Data Sheet'!H66)/2</f>
        <v>15162.955000000002</v>
      </c>
      <c r="H73" s="77">
        <f>('Data Sheet'!J66+'Data Sheet'!I66)/2</f>
        <v>16759.689999999999</v>
      </c>
      <c r="I73" s="77">
        <f>('Data Sheet'!K66+'Data Sheet'!J66)/2</f>
        <v>17914.669999999998</v>
      </c>
    </row>
    <row r="74" spans="2:9" x14ac:dyDescent="0.3">
      <c r="B74" s="146" t="s">
        <v>1097</v>
      </c>
      <c r="C74" s="148">
        <f t="shared" ref="C74:H74" si="5">C72/C73</f>
        <v>0.73477261992790632</v>
      </c>
      <c r="D74" s="148">
        <f t="shared" si="5"/>
        <v>0.73786328589435612</v>
      </c>
      <c r="E74" s="148">
        <f t="shared" si="5"/>
        <v>0.68412080832944755</v>
      </c>
      <c r="F74" s="148">
        <f t="shared" si="5"/>
        <v>0.75735431208618853</v>
      </c>
      <c r="G74" s="148">
        <f t="shared" si="5"/>
        <v>0.80963769924793672</v>
      </c>
      <c r="H74" s="148">
        <f t="shared" si="5"/>
        <v>0.79452364572375744</v>
      </c>
      <c r="I74" s="148">
        <f>I72/I73</f>
        <v>0.78684731563573329</v>
      </c>
    </row>
    <row r="76" spans="2:9" x14ac:dyDescent="0.3">
      <c r="B76" t="str">
        <f>B73</f>
        <v>Average Total Asset</v>
      </c>
      <c r="C76" s="77">
        <f>C73</f>
        <v>13402.01</v>
      </c>
      <c r="D76" s="77">
        <f t="shared" ref="D76:I76" si="6">D73</f>
        <v>13978.66</v>
      </c>
      <c r="E76" s="77">
        <f t="shared" si="6"/>
        <v>14486.915000000001</v>
      </c>
      <c r="F76" s="77">
        <f t="shared" si="6"/>
        <v>14562.035</v>
      </c>
      <c r="G76" s="77">
        <f t="shared" si="6"/>
        <v>15162.955000000002</v>
      </c>
      <c r="H76" s="77">
        <f t="shared" si="6"/>
        <v>16759.689999999999</v>
      </c>
      <c r="I76" s="77">
        <f t="shared" si="6"/>
        <v>17914.669999999998</v>
      </c>
    </row>
    <row r="77" spans="2:9" x14ac:dyDescent="0.3">
      <c r="B77" t="str">
        <f>B63</f>
        <v>Average Shareholder Equity</v>
      </c>
      <c r="C77" s="77">
        <f>C63</f>
        <v>5780.130000000001</v>
      </c>
      <c r="D77" s="77">
        <f t="shared" ref="D77:I77" si="7">D63</f>
        <v>6762.6149999999998</v>
      </c>
      <c r="E77" s="77">
        <f t="shared" si="7"/>
        <v>7582.6399999999994</v>
      </c>
      <c r="F77" s="77">
        <f t="shared" si="7"/>
        <v>8668.6299999999992</v>
      </c>
      <c r="G77" s="77">
        <f t="shared" si="7"/>
        <v>10497.415000000001</v>
      </c>
      <c r="H77" s="77">
        <f t="shared" si="7"/>
        <v>12675.08</v>
      </c>
      <c r="I77" s="77">
        <f t="shared" si="7"/>
        <v>13196.400000000001</v>
      </c>
    </row>
    <row r="78" spans="2:9" x14ac:dyDescent="0.3">
      <c r="B78" s="146" t="s">
        <v>1098</v>
      </c>
      <c r="C78" s="149">
        <f t="shared" ref="C78:H78" si="8">C76/C77</f>
        <v>2.318634701987671</v>
      </c>
      <c r="D78" s="149">
        <f t="shared" si="8"/>
        <v>2.0670495067366694</v>
      </c>
      <c r="E78" s="149">
        <f t="shared" si="8"/>
        <v>1.9105370952596987</v>
      </c>
      <c r="F78" s="149">
        <f t="shared" si="8"/>
        <v>1.6798542560935235</v>
      </c>
      <c r="G78" s="149">
        <f t="shared" si="8"/>
        <v>1.4444465613677273</v>
      </c>
      <c r="H78" s="149">
        <f t="shared" si="8"/>
        <v>1.3222551652533947</v>
      </c>
      <c r="I78" s="149">
        <f>I76/I77</f>
        <v>1.3575422084811006</v>
      </c>
    </row>
    <row r="80" spans="2:9" x14ac:dyDescent="0.3">
      <c r="B80" s="146" t="s">
        <v>1099</v>
      </c>
      <c r="C80" s="147">
        <f t="shared" ref="C80:H80" si="9">C78*C74*C70</f>
        <v>0.28272374496767366</v>
      </c>
      <c r="D80" s="147">
        <f t="shared" si="9"/>
        <v>0.34624623758708734</v>
      </c>
      <c r="E80" s="147">
        <f t="shared" si="9"/>
        <v>0.19736925398014415</v>
      </c>
      <c r="F80" s="147">
        <f t="shared" si="9"/>
        <v>0.19851118342806187</v>
      </c>
      <c r="G80" s="147">
        <f t="shared" si="9"/>
        <v>0.16988849159531183</v>
      </c>
      <c r="H80" s="147">
        <f t="shared" si="9"/>
        <v>0.13431552305784261</v>
      </c>
      <c r="I80" s="147">
        <f>I78*I74*I70</f>
        <v>-4.247749386196234E-2</v>
      </c>
    </row>
    <row r="82" spans="2:9" ht="15.6" x14ac:dyDescent="0.3">
      <c r="B82" s="250" t="s">
        <v>1100</v>
      </c>
      <c r="C82" s="250"/>
      <c r="D82" s="250"/>
      <c r="E82" s="250"/>
      <c r="F82" s="250"/>
      <c r="G82" s="250"/>
      <c r="H82" s="250"/>
      <c r="I82" s="250"/>
    </row>
    <row r="83" spans="2:9" x14ac:dyDescent="0.3">
      <c r="C83" s="70">
        <f t="shared" ref="C83:H84" si="10">C67</f>
        <v>43190</v>
      </c>
      <c r="D83" s="70">
        <f t="shared" si="10"/>
        <v>43555</v>
      </c>
      <c r="E83" s="70">
        <f t="shared" si="10"/>
        <v>43921</v>
      </c>
      <c r="F83" s="70">
        <f t="shared" si="10"/>
        <v>44286</v>
      </c>
      <c r="G83" s="70">
        <f t="shared" si="10"/>
        <v>44651</v>
      </c>
      <c r="H83" s="70">
        <f t="shared" si="10"/>
        <v>45016</v>
      </c>
      <c r="I83" s="70">
        <f>I67</f>
        <v>45382</v>
      </c>
    </row>
    <row r="84" spans="2:9" x14ac:dyDescent="0.3">
      <c r="B84" t="s">
        <v>72</v>
      </c>
      <c r="C84" s="77">
        <f t="shared" si="10"/>
        <v>1634.18</v>
      </c>
      <c r="D84" s="77">
        <f t="shared" si="10"/>
        <v>2341.5300000000002</v>
      </c>
      <c r="E84" s="77">
        <f t="shared" si="10"/>
        <v>1496.58</v>
      </c>
      <c r="F84" s="77">
        <f t="shared" si="10"/>
        <v>1720.82</v>
      </c>
      <c r="G84" s="77">
        <f t="shared" si="10"/>
        <v>1783.39</v>
      </c>
      <c r="H84" s="77">
        <f t="shared" si="10"/>
        <v>1702.46</v>
      </c>
      <c r="I84" s="77">
        <f>I68</f>
        <v>-560.54999999999995</v>
      </c>
    </row>
    <row r="85" spans="2:9" x14ac:dyDescent="0.3">
      <c r="B85" t="str">
        <f>B76</f>
        <v>Average Total Asset</v>
      </c>
      <c r="C85" s="77">
        <f t="shared" ref="C85:H85" si="11">C73</f>
        <v>13402.01</v>
      </c>
      <c r="D85" s="77">
        <f t="shared" si="11"/>
        <v>13978.66</v>
      </c>
      <c r="E85" s="77">
        <f t="shared" si="11"/>
        <v>14486.915000000001</v>
      </c>
      <c r="F85" s="77">
        <f t="shared" si="11"/>
        <v>14562.035</v>
      </c>
      <c r="G85" s="77">
        <f t="shared" si="11"/>
        <v>15162.955000000002</v>
      </c>
      <c r="H85" s="77">
        <f t="shared" si="11"/>
        <v>16759.689999999999</v>
      </c>
      <c r="I85" s="77">
        <f>I73</f>
        <v>17914.669999999998</v>
      </c>
    </row>
    <row r="86" spans="2:9" x14ac:dyDescent="0.3">
      <c r="B86" s="146" t="s">
        <v>1100</v>
      </c>
      <c r="C86" s="147">
        <f>C84/C85</f>
        <v>0.12193544102712951</v>
      </c>
      <c r="D86" s="147">
        <f t="shared" ref="D86:I86" si="12">D84/D85</f>
        <v>0.16750747210390698</v>
      </c>
      <c r="E86" s="147">
        <f t="shared" si="12"/>
        <v>0.10330563822594388</v>
      </c>
      <c r="F86" s="147">
        <f t="shared" si="12"/>
        <v>0.11817167037436732</v>
      </c>
      <c r="G86" s="147">
        <f t="shared" si="12"/>
        <v>0.11761493719397043</v>
      </c>
      <c r="H86" s="147">
        <f t="shared" si="12"/>
        <v>0.10158063782802666</v>
      </c>
      <c r="I86" s="147">
        <f t="shared" si="12"/>
        <v>-3.1289998643569766E-2</v>
      </c>
    </row>
    <row r="88" spans="2:9" ht="15.6" x14ac:dyDescent="0.3">
      <c r="B88" s="250" t="s">
        <v>1101</v>
      </c>
      <c r="C88" s="250"/>
      <c r="D88" s="250"/>
      <c r="E88" s="250"/>
      <c r="F88" s="250"/>
      <c r="G88" s="250"/>
      <c r="H88" s="250"/>
      <c r="I88" s="250"/>
    </row>
    <row r="89" spans="2:9" x14ac:dyDescent="0.3">
      <c r="C89" s="70">
        <f>C83</f>
        <v>43190</v>
      </c>
      <c r="D89" s="70">
        <f t="shared" ref="D89:I89" si="13">D83</f>
        <v>43555</v>
      </c>
      <c r="E89" s="70">
        <f t="shared" si="13"/>
        <v>43921</v>
      </c>
      <c r="F89" s="70">
        <f t="shared" si="13"/>
        <v>44286</v>
      </c>
      <c r="G89" s="70">
        <f t="shared" si="13"/>
        <v>44651</v>
      </c>
      <c r="H89" s="70">
        <f t="shared" si="13"/>
        <v>45016</v>
      </c>
      <c r="I89" s="70">
        <f t="shared" si="13"/>
        <v>45382</v>
      </c>
    </row>
    <row r="90" spans="2:9" x14ac:dyDescent="0.3">
      <c r="B90" t="str">
        <f>B84</f>
        <v>Net Profit</v>
      </c>
      <c r="C90" s="77">
        <f t="shared" ref="C90:H90" si="14">C84</f>
        <v>1634.18</v>
      </c>
      <c r="D90" s="77">
        <f t="shared" si="14"/>
        <v>2341.5300000000002</v>
      </c>
      <c r="E90" s="77">
        <f t="shared" si="14"/>
        <v>1496.58</v>
      </c>
      <c r="F90" s="77">
        <f t="shared" si="14"/>
        <v>1720.82</v>
      </c>
      <c r="G90" s="77">
        <f t="shared" si="14"/>
        <v>1783.39</v>
      </c>
      <c r="H90" s="77">
        <f t="shared" si="14"/>
        <v>1702.46</v>
      </c>
      <c r="I90" s="77">
        <f>I84</f>
        <v>-560.54999999999995</v>
      </c>
    </row>
    <row r="91" spans="2:9" x14ac:dyDescent="0.3">
      <c r="B91" t="s">
        <v>348</v>
      </c>
      <c r="C91" s="77">
        <f t="shared" ref="C91:H91" si="15">C72</f>
        <v>9847.43</v>
      </c>
      <c r="D91" s="77">
        <f t="shared" si="15"/>
        <v>10314.34</v>
      </c>
      <c r="E91" s="77">
        <f t="shared" si="15"/>
        <v>9910.7999999999993</v>
      </c>
      <c r="F91" s="77">
        <f t="shared" si="15"/>
        <v>11028.62</v>
      </c>
      <c r="G91" s="77">
        <f t="shared" si="15"/>
        <v>12276.5</v>
      </c>
      <c r="H91" s="77">
        <f t="shared" si="15"/>
        <v>13315.97</v>
      </c>
      <c r="I91" s="77">
        <f>I72</f>
        <v>14096.11</v>
      </c>
    </row>
    <row r="92" spans="2:9" x14ac:dyDescent="0.3">
      <c r="B92" s="146" t="s">
        <v>1095</v>
      </c>
      <c r="C92" s="147">
        <f t="shared" ref="C92:H92" si="16">C90/C91</f>
        <v>0.16594989758749237</v>
      </c>
      <c r="D92" s="147">
        <f t="shared" si="16"/>
        <v>0.22701694921827284</v>
      </c>
      <c r="E92" s="147">
        <f t="shared" si="16"/>
        <v>0.15100496428139001</v>
      </c>
      <c r="F92" s="147">
        <f t="shared" si="16"/>
        <v>0.15603221436589526</v>
      </c>
      <c r="G92" s="147">
        <f t="shared" si="16"/>
        <v>0.14526860261475177</v>
      </c>
      <c r="H92" s="147">
        <f t="shared" si="16"/>
        <v>0.12785099395688035</v>
      </c>
      <c r="I92" s="147">
        <f>I90/I91</f>
        <v>-3.9766290132525917E-2</v>
      </c>
    </row>
    <row r="94" spans="2:9" x14ac:dyDescent="0.3">
      <c r="B94" t="s">
        <v>348</v>
      </c>
      <c r="C94" s="77">
        <f t="shared" ref="C94:H94" si="17">C91</f>
        <v>9847.43</v>
      </c>
      <c r="D94" s="77">
        <f t="shared" si="17"/>
        <v>10314.34</v>
      </c>
      <c r="E94" s="77">
        <f t="shared" si="17"/>
        <v>9910.7999999999993</v>
      </c>
      <c r="F94" s="77">
        <f t="shared" si="17"/>
        <v>11028.62</v>
      </c>
      <c r="G94" s="77">
        <f t="shared" si="17"/>
        <v>12276.5</v>
      </c>
      <c r="H94" s="77">
        <f t="shared" si="17"/>
        <v>13315.97</v>
      </c>
      <c r="I94" s="77">
        <f>I91</f>
        <v>14096.11</v>
      </c>
    </row>
    <row r="95" spans="2:9" x14ac:dyDescent="0.3">
      <c r="B95" t="s">
        <v>1096</v>
      </c>
      <c r="C95" s="77">
        <f t="shared" ref="C95:H95" si="18">C85</f>
        <v>13402.01</v>
      </c>
      <c r="D95" s="77">
        <f t="shared" si="18"/>
        <v>13978.66</v>
      </c>
      <c r="E95" s="77">
        <f t="shared" si="18"/>
        <v>14486.915000000001</v>
      </c>
      <c r="F95" s="77">
        <f t="shared" si="18"/>
        <v>14562.035</v>
      </c>
      <c r="G95" s="77">
        <f t="shared" si="18"/>
        <v>15162.955000000002</v>
      </c>
      <c r="H95" s="77">
        <f t="shared" si="18"/>
        <v>16759.689999999999</v>
      </c>
      <c r="I95" s="77">
        <f>I85</f>
        <v>17914.669999999998</v>
      </c>
    </row>
    <row r="96" spans="2:9" x14ac:dyDescent="0.3">
      <c r="B96" s="146" t="s">
        <v>1097</v>
      </c>
      <c r="C96" s="148">
        <f t="shared" ref="C96:H96" si="19">C94/C95</f>
        <v>0.73477261992790632</v>
      </c>
      <c r="D96" s="148">
        <f t="shared" si="19"/>
        <v>0.73786328589435612</v>
      </c>
      <c r="E96" s="148">
        <f t="shared" si="19"/>
        <v>0.68412080832944755</v>
      </c>
      <c r="F96" s="148">
        <f t="shared" si="19"/>
        <v>0.75735431208618853</v>
      </c>
      <c r="G96" s="148">
        <f t="shared" si="19"/>
        <v>0.80963769924793672</v>
      </c>
      <c r="H96" s="148">
        <f t="shared" si="19"/>
        <v>0.79452364572375744</v>
      </c>
      <c r="I96" s="148">
        <f>I94/I95</f>
        <v>0.78684731563573329</v>
      </c>
    </row>
    <row r="98" spans="2:9" x14ac:dyDescent="0.3">
      <c r="B98" s="146" t="s">
        <v>1102</v>
      </c>
      <c r="C98" s="147">
        <f>C96*C92</f>
        <v>0.12193544102712951</v>
      </c>
      <c r="D98" s="147">
        <f t="shared" ref="D98:I98" si="20">D96*D92</f>
        <v>0.16750747210390698</v>
      </c>
      <c r="E98" s="147">
        <f t="shared" si="20"/>
        <v>0.10330563822594389</v>
      </c>
      <c r="F98" s="147">
        <f t="shared" si="20"/>
        <v>0.11817167037436731</v>
      </c>
      <c r="G98" s="147">
        <f t="shared" si="20"/>
        <v>0.11761493719397043</v>
      </c>
      <c r="H98" s="147">
        <f t="shared" si="20"/>
        <v>0.10158063782802666</v>
      </c>
      <c r="I98" s="147">
        <f t="shared" si="20"/>
        <v>-3.1289998643569766E-2</v>
      </c>
    </row>
    <row r="113" spans="2:9" ht="11.25" customHeight="1" x14ac:dyDescent="0.3">
      <c r="B113" s="142"/>
      <c r="C113" s="142"/>
      <c r="D113" s="142"/>
      <c r="E113" s="142"/>
      <c r="F113" s="142"/>
      <c r="G113" s="142"/>
      <c r="H113" s="142"/>
      <c r="I113" s="142"/>
    </row>
  </sheetData>
  <mergeCells count="5">
    <mergeCell ref="B9:I12"/>
    <mergeCell ref="B60:I60"/>
    <mergeCell ref="B66:I66"/>
    <mergeCell ref="B82:I82"/>
    <mergeCell ref="B88:I88"/>
  </mergeCells>
  <pageMargins left="0.39370078740157483" right="0.23622047244094491" top="0.35433070866141736" bottom="0.23622047244094491" header="0.15748031496062992" footer="0"/>
  <pageSetup paperSize="9" scale="93" orientation="portrait" r:id="rId1"/>
  <headerFooter>
    <oddFooter>&amp;RPage &amp;P</oddFooter>
  </headerFooter>
  <rowBreaks count="1" manualBreakCount="1">
    <brk id="54"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0C1D7-0B4C-4549-95D6-E963C6A56324}">
  <dimension ref="B1:I97"/>
  <sheetViews>
    <sheetView showGridLines="0" zoomScale="64" zoomScaleNormal="89" zoomScaleSheetLayoutView="140" workbookViewId="0">
      <selection activeCell="I97" sqref="I97"/>
    </sheetView>
  </sheetViews>
  <sheetFormatPr defaultRowHeight="14.4" x14ac:dyDescent="0.3"/>
  <cols>
    <col min="1" max="1" width="1.88671875" customWidth="1"/>
    <col min="2" max="2" width="35.6640625" customWidth="1"/>
    <col min="3" max="3" width="9.44140625" bestFit="1" customWidth="1"/>
    <col min="4" max="9" width="10.5546875" bestFit="1" customWidth="1"/>
  </cols>
  <sheetData>
    <row r="1" spans="2:9" ht="10.5" customHeight="1" x14ac:dyDescent="0.3">
      <c r="B1" s="142"/>
      <c r="C1" s="142"/>
      <c r="D1" s="142"/>
      <c r="E1" s="142"/>
      <c r="F1" s="142"/>
      <c r="G1" s="142"/>
      <c r="H1" s="142"/>
      <c r="I1" s="142"/>
    </row>
    <row r="3" spans="2:9" ht="26.25" customHeight="1" x14ac:dyDescent="0.55000000000000004">
      <c r="B3" s="143" t="str">
        <f>'Data Sheet'!B1</f>
        <v>GODREJ CONSUMER PRODUCTS LTD</v>
      </c>
    </row>
    <row r="4" spans="2:9" x14ac:dyDescent="0.3">
      <c r="B4" s="75" t="str">
        <f>CONCATENATE("  ","(",VLOOKUP(B3,'List of Stocks'!A2:C5442,3,1)," | ","BSE Code: ",VLOOKUP(B3,'List of Stocks'!A2:B5442,2,1),")")</f>
        <v xml:space="preserve">  (GODREJCP | BSE Code: 532424)</v>
      </c>
    </row>
    <row r="5" spans="2:9" ht="21.75" customHeight="1" x14ac:dyDescent="0.35">
      <c r="B5" s="144" t="str">
        <f>CONCATENATE("  ","INR "&amp; 'Data Sheet'!B8)</f>
        <v xml:space="preserve">  INR 1343.75</v>
      </c>
    </row>
    <row r="6" spans="2:9" x14ac:dyDescent="0.3">
      <c r="B6" s="75" t="s">
        <v>9329</v>
      </c>
    </row>
    <row r="7" spans="2:9" ht="15" customHeight="1" thickBot="1" x14ac:dyDescent="0.35">
      <c r="B7" s="37"/>
      <c r="C7" s="37"/>
      <c r="D7" s="37"/>
      <c r="E7" s="37"/>
      <c r="F7" s="37"/>
      <c r="G7" s="37"/>
      <c r="H7" s="37"/>
      <c r="I7" s="37"/>
    </row>
    <row r="8" spans="2:9" ht="29.25" customHeight="1" x14ac:dyDescent="0.3">
      <c r="B8" s="251" t="s">
        <v>9337</v>
      </c>
      <c r="C8" s="252"/>
      <c r="D8" s="252"/>
      <c r="E8" s="252"/>
      <c r="F8" s="252"/>
      <c r="G8" s="252"/>
      <c r="H8" s="252"/>
      <c r="I8" s="252"/>
    </row>
    <row r="9" spans="2:9" x14ac:dyDescent="0.3">
      <c r="B9" s="249" t="s">
        <v>9330</v>
      </c>
      <c r="C9" s="249"/>
      <c r="D9" s="249"/>
      <c r="E9" s="249"/>
      <c r="F9" s="249"/>
      <c r="G9" s="249"/>
      <c r="H9" s="249"/>
      <c r="I9" s="249"/>
    </row>
    <row r="10" spans="2:9" x14ac:dyDescent="0.3">
      <c r="B10" s="249"/>
      <c r="C10" s="249"/>
      <c r="D10" s="249"/>
      <c r="E10" s="249"/>
      <c r="F10" s="249"/>
      <c r="G10" s="249"/>
      <c r="H10" s="249"/>
      <c r="I10" s="249"/>
    </row>
    <row r="11" spans="2:9" ht="27.6" customHeight="1" x14ac:dyDescent="0.3">
      <c r="B11" s="249"/>
      <c r="C11" s="249"/>
      <c r="D11" s="249"/>
      <c r="E11" s="249"/>
      <c r="F11" s="249"/>
      <c r="G11" s="249"/>
      <c r="H11" s="249"/>
      <c r="I11" s="249"/>
    </row>
    <row r="12" spans="2:9" ht="44.25" customHeight="1" x14ac:dyDescent="0.3">
      <c r="B12" s="249"/>
      <c r="C12" s="249"/>
      <c r="D12" s="249"/>
      <c r="E12" s="249"/>
      <c r="F12" s="249"/>
      <c r="G12" s="249"/>
      <c r="H12" s="249"/>
      <c r="I12" s="249"/>
    </row>
    <row r="13" spans="2:9" ht="1.2" customHeight="1" x14ac:dyDescent="0.3">
      <c r="B13" s="140"/>
      <c r="C13" s="140"/>
      <c r="D13" s="140"/>
      <c r="E13" s="140"/>
      <c r="F13" s="140"/>
      <c r="G13" s="140"/>
      <c r="H13" s="140"/>
      <c r="I13" s="140"/>
    </row>
    <row r="14" spans="2:9" ht="21.75" customHeight="1" x14ac:dyDescent="0.35">
      <c r="B14" s="145" t="s">
        <v>1090</v>
      </c>
      <c r="C14" s="140"/>
      <c r="D14" s="140"/>
      <c r="E14" s="140"/>
      <c r="F14" s="140"/>
      <c r="G14" s="140"/>
      <c r="H14" s="140"/>
      <c r="I14" s="140"/>
    </row>
    <row r="15" spans="2:9" ht="6" customHeight="1" x14ac:dyDescent="0.3">
      <c r="B15" s="140"/>
      <c r="C15" s="140"/>
      <c r="D15" s="140"/>
      <c r="E15" s="140"/>
      <c r="F15" s="140"/>
      <c r="G15" s="140"/>
      <c r="H15" s="140"/>
      <c r="I15" s="140"/>
    </row>
    <row r="16" spans="2:9" x14ac:dyDescent="0.3">
      <c r="B16" s="140"/>
      <c r="C16" s="140"/>
      <c r="D16" s="140"/>
      <c r="E16" s="140"/>
      <c r="F16" s="140"/>
      <c r="G16" s="140"/>
      <c r="H16" s="140"/>
      <c r="I16" s="140"/>
    </row>
    <row r="29" spans="6:6" x14ac:dyDescent="0.3">
      <c r="F29" t="s">
        <v>1081</v>
      </c>
    </row>
    <row r="53" spans="2:9" ht="28.5" customHeight="1" x14ac:dyDescent="0.3"/>
    <row r="54" spans="2:9" ht="11.25" customHeight="1" x14ac:dyDescent="0.3">
      <c r="B54" s="142"/>
      <c r="C54" s="142"/>
      <c r="D54" s="142"/>
      <c r="E54" s="142"/>
      <c r="F54" s="142"/>
      <c r="G54" s="142"/>
      <c r="H54" s="142"/>
      <c r="I54" s="142"/>
    </row>
    <row r="55" spans="2:9" ht="1.5" customHeight="1" x14ac:dyDescent="0.3"/>
    <row r="56" spans="2:9" ht="11.25" customHeight="1" x14ac:dyDescent="0.3">
      <c r="B56" s="142"/>
      <c r="C56" s="142"/>
      <c r="D56" s="142"/>
      <c r="E56" s="142"/>
      <c r="F56" s="142"/>
      <c r="G56" s="142"/>
      <c r="H56" s="142"/>
      <c r="I56" s="142"/>
    </row>
    <row r="60" spans="2:9" ht="15.6" x14ac:dyDescent="0.3">
      <c r="B60" s="250" t="s">
        <v>9338</v>
      </c>
      <c r="C60" s="250"/>
      <c r="D60" s="250"/>
      <c r="E60" s="250"/>
      <c r="F60" s="250"/>
      <c r="G60" s="250"/>
      <c r="H60" s="250"/>
      <c r="I60" s="250"/>
    </row>
    <row r="61" spans="2:9" x14ac:dyDescent="0.3">
      <c r="C61" s="70">
        <f>'Data Sheet'!E16</f>
        <v>43190</v>
      </c>
      <c r="D61" s="70">
        <f>'Data Sheet'!F16</f>
        <v>43555</v>
      </c>
      <c r="E61" s="70">
        <f>'Data Sheet'!G16</f>
        <v>43921</v>
      </c>
      <c r="F61" s="70">
        <f>'Data Sheet'!H16</f>
        <v>44286</v>
      </c>
      <c r="G61" s="70">
        <f>'Data Sheet'!I16</f>
        <v>44651</v>
      </c>
      <c r="H61" s="70">
        <f>'Data Sheet'!J16</f>
        <v>45016</v>
      </c>
      <c r="I61" s="70">
        <f>'Data Sheet'!K16</f>
        <v>45382</v>
      </c>
    </row>
    <row r="62" spans="2:9" x14ac:dyDescent="0.3">
      <c r="B62" t="s">
        <v>9339</v>
      </c>
      <c r="C62" s="77">
        <f>'Data Sheet'!E65-'Data Sheet'!E60</f>
        <v>369.71999999999935</v>
      </c>
      <c r="D62" s="77">
        <f>'Data Sheet'!F65-'Data Sheet'!F60</f>
        <v>1410.67</v>
      </c>
      <c r="E62" s="77">
        <f>'Data Sheet'!G65-'Data Sheet'!G60</f>
        <v>1512.9099999999999</v>
      </c>
      <c r="F62" s="77">
        <f>'Data Sheet'!H65-'Data Sheet'!H60</f>
        <v>1661.5699999999997</v>
      </c>
      <c r="G62" s="77">
        <f>'Data Sheet'!I65-'Data Sheet'!I60</f>
        <v>2909.1</v>
      </c>
      <c r="H62" s="77">
        <f>'Data Sheet'!J65-'Data Sheet'!J60</f>
        <v>1915.75</v>
      </c>
      <c r="I62" s="77">
        <f>'Data Sheet'!K65-'Data Sheet'!K60</f>
        <v>1793.5000000000005</v>
      </c>
    </row>
    <row r="63" spans="2:9" x14ac:dyDescent="0.3">
      <c r="B63" t="s">
        <v>85</v>
      </c>
      <c r="C63" s="77">
        <f>'Data Sheet'!E66</f>
        <v>13863.77</v>
      </c>
      <c r="D63" s="77">
        <f>'Data Sheet'!F66</f>
        <v>14093.55</v>
      </c>
      <c r="E63" s="77">
        <f>'Data Sheet'!G66</f>
        <v>14880.28</v>
      </c>
      <c r="F63" s="77">
        <f>'Data Sheet'!H66</f>
        <v>14243.79</v>
      </c>
      <c r="G63" s="77">
        <f>'Data Sheet'!I66</f>
        <v>16082.12</v>
      </c>
      <c r="H63" s="77">
        <f>'Data Sheet'!J66</f>
        <v>17437.259999999998</v>
      </c>
      <c r="I63" s="77">
        <f>'Data Sheet'!K66</f>
        <v>18392.080000000002</v>
      </c>
    </row>
    <row r="64" spans="2:9" x14ac:dyDescent="0.3">
      <c r="B64" s="146" t="s">
        <v>9340</v>
      </c>
      <c r="C64" s="147">
        <f>C62/C63</f>
        <v>2.66680708061371E-2</v>
      </c>
      <c r="D64" s="147">
        <f t="shared" ref="D64:I64" si="0">D62/D63</f>
        <v>0.10009330509346476</v>
      </c>
      <c r="E64" s="147">
        <f t="shared" si="0"/>
        <v>0.10167214595424279</v>
      </c>
      <c r="F64" s="147">
        <f t="shared" si="0"/>
        <v>0.11665223932675219</v>
      </c>
      <c r="G64" s="147">
        <f t="shared" si="0"/>
        <v>0.18089033037932808</v>
      </c>
      <c r="H64" s="147">
        <f t="shared" si="0"/>
        <v>0.10986531140787029</v>
      </c>
      <c r="I64" s="147">
        <f t="shared" si="0"/>
        <v>9.7514799848630512E-2</v>
      </c>
    </row>
    <row r="66" spans="2:9" ht="15.6" x14ac:dyDescent="0.3">
      <c r="B66" s="250" t="s">
        <v>9341</v>
      </c>
      <c r="C66" s="250"/>
      <c r="D66" s="250"/>
      <c r="E66" s="250"/>
      <c r="F66" s="250"/>
      <c r="G66" s="250"/>
      <c r="H66" s="250"/>
      <c r="I66" s="250"/>
    </row>
    <row r="67" spans="2:9" x14ac:dyDescent="0.3">
      <c r="C67" s="70">
        <f>C61</f>
        <v>43190</v>
      </c>
      <c r="D67" s="70">
        <f t="shared" ref="D67:I67" si="1">D61</f>
        <v>43555</v>
      </c>
      <c r="E67" s="70">
        <f t="shared" si="1"/>
        <v>43921</v>
      </c>
      <c r="F67" s="70">
        <f t="shared" si="1"/>
        <v>44286</v>
      </c>
      <c r="G67" s="70">
        <f t="shared" si="1"/>
        <v>44651</v>
      </c>
      <c r="H67" s="70">
        <f t="shared" si="1"/>
        <v>45016</v>
      </c>
      <c r="I67" s="70">
        <f t="shared" si="1"/>
        <v>45382</v>
      </c>
    </row>
    <row r="68" spans="2:9" x14ac:dyDescent="0.3">
      <c r="B68" t="s">
        <v>79</v>
      </c>
      <c r="C68" s="77">
        <f>HistoricalFS!F47*HistoricalFS!F41*HistoricalFS!F39</f>
        <v>669.60000000000105</v>
      </c>
      <c r="D68" s="77">
        <f>HistoricalFS!G47*HistoricalFS!G41*HistoricalFS!G39</f>
        <v>957.38</v>
      </c>
      <c r="E68" s="77">
        <f>HistoricalFS!H47*HistoricalFS!H41*HistoricalFS!H39</f>
        <v>646.67999999999984</v>
      </c>
      <c r="F68" s="77">
        <f>HistoricalFS!I47*HistoricalFS!I41*HistoricalFS!I39</f>
        <v>1698.2200000000012</v>
      </c>
      <c r="G68" s="77">
        <f>HistoricalFS!J47*HistoricalFS!J41*HistoricalFS!J39</f>
        <v>1705.1199999999992</v>
      </c>
      <c r="H68" s="77">
        <f>HistoricalFS!K47*HistoricalFS!K41*HistoricalFS!K39</f>
        <v>1588.159999999998</v>
      </c>
      <c r="I68" s="77">
        <f>HistoricalFS!L47*HistoricalFS!L41*HistoricalFS!L39</f>
        <v>1648.01</v>
      </c>
    </row>
    <row r="69" spans="2:9" x14ac:dyDescent="0.3">
      <c r="B69" t="s">
        <v>85</v>
      </c>
      <c r="C69" s="77">
        <f>C$63</f>
        <v>13863.77</v>
      </c>
      <c r="D69" s="77">
        <f t="shared" ref="D69:I69" si="2">D$63</f>
        <v>14093.55</v>
      </c>
      <c r="E69" s="77">
        <f t="shared" si="2"/>
        <v>14880.28</v>
      </c>
      <c r="F69" s="77">
        <f t="shared" si="2"/>
        <v>14243.79</v>
      </c>
      <c r="G69" s="77">
        <f t="shared" si="2"/>
        <v>16082.12</v>
      </c>
      <c r="H69" s="77">
        <f t="shared" si="2"/>
        <v>17437.259999999998</v>
      </c>
      <c r="I69" s="77">
        <f t="shared" si="2"/>
        <v>18392.080000000002</v>
      </c>
    </row>
    <row r="70" spans="2:9" x14ac:dyDescent="0.3">
      <c r="B70" s="146" t="s">
        <v>9342</v>
      </c>
      <c r="C70" s="147">
        <f t="shared" ref="C70:H70" si="3">C68/C69</f>
        <v>4.8298550827083904E-2</v>
      </c>
      <c r="D70" s="147">
        <f t="shared" si="3"/>
        <v>6.7930365308953383E-2</v>
      </c>
      <c r="E70" s="147">
        <f t="shared" si="3"/>
        <v>4.3458859645114194E-2</v>
      </c>
      <c r="F70" s="147">
        <f t="shared" si="3"/>
        <v>0.11922529045991279</v>
      </c>
      <c r="G70" s="147">
        <f t="shared" si="3"/>
        <v>0.10602582246619222</v>
      </c>
      <c r="H70" s="147">
        <f t="shared" si="3"/>
        <v>9.1078529539617925E-2</v>
      </c>
      <c r="I70" s="147">
        <f>I68/I69</f>
        <v>8.9604329689736001E-2</v>
      </c>
    </row>
    <row r="72" spans="2:9" ht="15.6" x14ac:dyDescent="0.3">
      <c r="B72" s="250" t="s">
        <v>9343</v>
      </c>
      <c r="C72" s="250"/>
      <c r="D72" s="250"/>
      <c r="E72" s="250"/>
      <c r="F72" s="250"/>
      <c r="G72" s="250"/>
      <c r="H72" s="250"/>
      <c r="I72" s="250"/>
    </row>
    <row r="73" spans="2:9" s="199" customFormat="1" ht="15.6" x14ac:dyDescent="0.3">
      <c r="B73" s="198"/>
      <c r="C73" s="70">
        <f>C67</f>
        <v>43190</v>
      </c>
      <c r="D73" s="70">
        <f t="shared" ref="D73:I73" si="4">D67</f>
        <v>43555</v>
      </c>
      <c r="E73" s="70">
        <f t="shared" si="4"/>
        <v>43921</v>
      </c>
      <c r="F73" s="70">
        <f t="shared" si="4"/>
        <v>44286</v>
      </c>
      <c r="G73" s="70">
        <f t="shared" si="4"/>
        <v>44651</v>
      </c>
      <c r="H73" s="70">
        <f t="shared" si="4"/>
        <v>45016</v>
      </c>
      <c r="I73" s="70">
        <f t="shared" si="4"/>
        <v>45382</v>
      </c>
    </row>
    <row r="74" spans="2:9" x14ac:dyDescent="0.3">
      <c r="B74" t="s">
        <v>301</v>
      </c>
      <c r="C74" s="77">
        <f>HistoricalFS!F30+HistoricalFS!F24</f>
        <v>1928.7200000000012</v>
      </c>
      <c r="D74" s="77">
        <f>HistoricalFS!G30+HistoricalFS!G24</f>
        <v>1961.5900000000001</v>
      </c>
      <c r="E74" s="77">
        <f>HistoricalFS!H30+HistoricalFS!H24</f>
        <v>1956.4699999999998</v>
      </c>
      <c r="F74" s="77">
        <f>HistoricalFS!I30+HistoricalFS!I24</f>
        <v>2195.4100000000012</v>
      </c>
      <c r="G74" s="77">
        <f>HistoricalFS!J30+HistoricalFS!J24</f>
        <v>2199.2499999999995</v>
      </c>
      <c r="H74" s="77">
        <f>HistoricalFS!K30+HistoricalFS!K24</f>
        <v>2206.909999999998</v>
      </c>
      <c r="I74" s="77">
        <f>HistoricalFS!L30+HistoricalFS!L24</f>
        <v>2716.36</v>
      </c>
    </row>
    <row r="75" spans="2:9" x14ac:dyDescent="0.3">
      <c r="B75" t="s">
        <v>85</v>
      </c>
      <c r="C75" s="77">
        <f>C$63</f>
        <v>13863.77</v>
      </c>
      <c r="D75" s="77">
        <f t="shared" ref="D75:I75" si="5">D$63</f>
        <v>14093.55</v>
      </c>
      <c r="E75" s="77">
        <f t="shared" si="5"/>
        <v>14880.28</v>
      </c>
      <c r="F75" s="77">
        <f t="shared" si="5"/>
        <v>14243.79</v>
      </c>
      <c r="G75" s="77">
        <f t="shared" si="5"/>
        <v>16082.12</v>
      </c>
      <c r="H75" s="77">
        <f t="shared" si="5"/>
        <v>17437.259999999998</v>
      </c>
      <c r="I75" s="77">
        <f t="shared" si="5"/>
        <v>18392.080000000002</v>
      </c>
    </row>
    <row r="76" spans="2:9" x14ac:dyDescent="0.3">
      <c r="B76" s="146" t="s">
        <v>9344</v>
      </c>
      <c r="C76" s="147">
        <f t="shared" ref="C76:H76" si="6">C74/C75</f>
        <v>0.13911944586501371</v>
      </c>
      <c r="D76" s="147">
        <f t="shared" si="6"/>
        <v>0.13918352721635077</v>
      </c>
      <c r="E76" s="147">
        <f t="shared" si="6"/>
        <v>0.13148072482507048</v>
      </c>
      <c r="F76" s="147">
        <f t="shared" si="6"/>
        <v>0.15413102832883671</v>
      </c>
      <c r="G76" s="147">
        <f t="shared" si="6"/>
        <v>0.13675124921341214</v>
      </c>
      <c r="H76" s="147">
        <f t="shared" si="6"/>
        <v>0.1265628888942413</v>
      </c>
      <c r="I76" s="147">
        <f>I74/I75</f>
        <v>0.14769183257141116</v>
      </c>
    </row>
    <row r="78" spans="2:9" ht="15.6" x14ac:dyDescent="0.3">
      <c r="B78" s="250" t="s">
        <v>9345</v>
      </c>
      <c r="C78" s="250"/>
      <c r="D78" s="250"/>
      <c r="E78" s="250"/>
      <c r="F78" s="250"/>
      <c r="G78" s="250"/>
      <c r="H78" s="250"/>
      <c r="I78" s="250"/>
    </row>
    <row r="79" spans="2:9" s="199" customFormat="1" ht="15.6" x14ac:dyDescent="0.3">
      <c r="B79" s="198"/>
      <c r="C79" s="70">
        <f>C67</f>
        <v>43190</v>
      </c>
      <c r="D79" s="70">
        <f t="shared" ref="D79:I79" si="7">D67</f>
        <v>43555</v>
      </c>
      <c r="E79" s="70">
        <f t="shared" si="7"/>
        <v>43921</v>
      </c>
      <c r="F79" s="70">
        <f t="shared" si="7"/>
        <v>44286</v>
      </c>
      <c r="G79" s="70">
        <f t="shared" si="7"/>
        <v>44651</v>
      </c>
      <c r="H79" s="70">
        <f t="shared" si="7"/>
        <v>45016</v>
      </c>
      <c r="I79" s="70">
        <f t="shared" si="7"/>
        <v>45382</v>
      </c>
    </row>
    <row r="80" spans="2:9" x14ac:dyDescent="0.3">
      <c r="B80" t="s">
        <v>9346</v>
      </c>
      <c r="C80" s="77">
        <f>('Data Sheet'!E90*'Data Sheet'!E70)/10000000</f>
        <v>49675.735157379997</v>
      </c>
      <c r="D80" s="77">
        <f>('Data Sheet'!F90*'Data Sheet'!F70)/10000000</f>
        <v>70120.594185599999</v>
      </c>
      <c r="E80" s="77">
        <f>('Data Sheet'!G90*'Data Sheet'!G70)/10000000</f>
        <v>53247.347193920003</v>
      </c>
      <c r="F80" s="77">
        <f>('Data Sheet'!H90*'Data Sheet'!H70)/10000000</f>
        <v>74605.710909444999</v>
      </c>
      <c r="G80" s="77">
        <f>('Data Sheet'!I90*'Data Sheet'!I70)/10000000</f>
        <v>76417.48403367</v>
      </c>
      <c r="H80" s="77">
        <f>('Data Sheet'!J90*'Data Sheet'!J70)/10000000</f>
        <v>99012.247212169998</v>
      </c>
      <c r="I80" s="77">
        <f>('Data Sheet'!K90*'Data Sheet'!K70)/10000000</f>
        <v>128036.64878422</v>
      </c>
    </row>
    <row r="81" spans="2:9" x14ac:dyDescent="0.3">
      <c r="B81" t="s">
        <v>9347</v>
      </c>
      <c r="C81" s="77">
        <f>'Data Sheet'!E59</f>
        <v>3507.57</v>
      </c>
      <c r="D81" s="77">
        <f>'Data Sheet'!F59</f>
        <v>3382.05</v>
      </c>
      <c r="E81" s="77">
        <f>'Data Sheet'!G59</f>
        <v>3574.97</v>
      </c>
      <c r="F81" s="77">
        <f>'Data Sheet'!H59</f>
        <v>1863.97</v>
      </c>
      <c r="G81" s="77">
        <f>'Data Sheet'!I59</f>
        <v>1704.34</v>
      </c>
      <c r="H81" s="77">
        <f>'Data Sheet'!J59</f>
        <v>1129.58</v>
      </c>
      <c r="I81" s="77">
        <f>'Data Sheet'!K59</f>
        <v>3222.2</v>
      </c>
    </row>
    <row r="82" spans="2:9" x14ac:dyDescent="0.3">
      <c r="B82" s="146" t="s">
        <v>9348</v>
      </c>
      <c r="C82" s="147">
        <f t="shared" ref="C82:H82" si="8">C80/C81</f>
        <v>14.162435862257915</v>
      </c>
      <c r="D82" s="147">
        <f t="shared" si="8"/>
        <v>20.733163077305182</v>
      </c>
      <c r="E82" s="147">
        <f t="shared" si="8"/>
        <v>14.894487840155303</v>
      </c>
      <c r="F82" s="147">
        <f t="shared" si="8"/>
        <v>40.025167201964088</v>
      </c>
      <c r="G82" s="147">
        <f t="shared" si="8"/>
        <v>44.836994985548657</v>
      </c>
      <c r="H82" s="147">
        <f t="shared" si="8"/>
        <v>87.654037086501177</v>
      </c>
      <c r="I82" s="147">
        <f>I80/I81</f>
        <v>39.735785731556085</v>
      </c>
    </row>
    <row r="84" spans="2:9" ht="15.6" x14ac:dyDescent="0.3">
      <c r="B84" s="250" t="s">
        <v>9349</v>
      </c>
      <c r="C84" s="250"/>
      <c r="D84" s="250"/>
      <c r="E84" s="250"/>
      <c r="F84" s="250"/>
      <c r="G84" s="250"/>
      <c r="H84" s="250"/>
      <c r="I84" s="250"/>
    </row>
    <row r="85" spans="2:9" x14ac:dyDescent="0.3">
      <c r="C85" s="70">
        <f t="shared" ref="C85:I85" si="9">C67</f>
        <v>43190</v>
      </c>
      <c r="D85" s="70">
        <f t="shared" si="9"/>
        <v>43555</v>
      </c>
      <c r="E85" s="70">
        <f t="shared" si="9"/>
        <v>43921</v>
      </c>
      <c r="F85" s="70">
        <f t="shared" si="9"/>
        <v>44286</v>
      </c>
      <c r="G85" s="70">
        <f t="shared" si="9"/>
        <v>44651</v>
      </c>
      <c r="H85" s="70">
        <f t="shared" si="9"/>
        <v>45016</v>
      </c>
      <c r="I85" s="70">
        <f t="shared" si="9"/>
        <v>45382</v>
      </c>
    </row>
    <row r="86" spans="2:9" x14ac:dyDescent="0.3">
      <c r="B86" t="s">
        <v>9350</v>
      </c>
      <c r="C86" s="77">
        <f>'Data Sheet'!E17</f>
        <v>9847.43</v>
      </c>
      <c r="D86" s="77">
        <f>'Data Sheet'!F17</f>
        <v>10314.34</v>
      </c>
      <c r="E86" s="77">
        <f>'Data Sheet'!G17</f>
        <v>9910.7999999999993</v>
      </c>
      <c r="F86" s="77">
        <f>'Data Sheet'!H17</f>
        <v>11028.62</v>
      </c>
      <c r="G86" s="77">
        <f>'Data Sheet'!I17</f>
        <v>12276.5</v>
      </c>
      <c r="H86" s="77">
        <f>'Data Sheet'!J17</f>
        <v>13315.97</v>
      </c>
      <c r="I86" s="77">
        <f>'Data Sheet'!K17</f>
        <v>14096.11</v>
      </c>
    </row>
    <row r="87" spans="2:9" x14ac:dyDescent="0.3">
      <c r="B87" t="s">
        <v>85</v>
      </c>
      <c r="C87" s="77">
        <f>C75</f>
        <v>13863.77</v>
      </c>
      <c r="D87" s="77">
        <f t="shared" ref="D87:I87" si="10">D75</f>
        <v>14093.55</v>
      </c>
      <c r="E87" s="77">
        <f t="shared" si="10"/>
        <v>14880.28</v>
      </c>
      <c r="F87" s="77">
        <f t="shared" si="10"/>
        <v>14243.79</v>
      </c>
      <c r="G87" s="77">
        <f t="shared" si="10"/>
        <v>16082.12</v>
      </c>
      <c r="H87" s="77">
        <f t="shared" si="10"/>
        <v>17437.259999999998</v>
      </c>
      <c r="I87" s="77">
        <f t="shared" si="10"/>
        <v>18392.080000000002</v>
      </c>
    </row>
    <row r="88" spans="2:9" x14ac:dyDescent="0.3">
      <c r="B88" s="146" t="s">
        <v>9354</v>
      </c>
      <c r="C88" s="147">
        <f>C86/C87</f>
        <v>0.7102995794073329</v>
      </c>
      <c r="D88" s="147">
        <f t="shared" ref="D88:I88" si="11">D86/D87</f>
        <v>0.73184825682670451</v>
      </c>
      <c r="E88" s="147">
        <f t="shared" si="11"/>
        <v>0.66603585416403444</v>
      </c>
      <c r="F88" s="147">
        <f t="shared" si="11"/>
        <v>0.77427566679935611</v>
      </c>
      <c r="G88" s="147">
        <f t="shared" si="11"/>
        <v>0.7633632879247263</v>
      </c>
      <c r="H88" s="147">
        <f t="shared" si="11"/>
        <v>0.76365036708748968</v>
      </c>
      <c r="I88" s="147">
        <f t="shared" si="11"/>
        <v>0.76642282982675147</v>
      </c>
    </row>
    <row r="90" spans="2:9" ht="15.6" x14ac:dyDescent="0.3">
      <c r="B90" s="250" t="s">
        <v>9351</v>
      </c>
      <c r="C90" s="250"/>
      <c r="D90" s="250"/>
      <c r="E90" s="250"/>
      <c r="F90" s="250"/>
      <c r="G90" s="250"/>
      <c r="H90" s="250"/>
      <c r="I90" s="250"/>
    </row>
    <row r="91" spans="2:9" x14ac:dyDescent="0.3">
      <c r="C91" s="70">
        <f>C85</f>
        <v>43190</v>
      </c>
      <c r="D91" s="70">
        <f t="shared" ref="D91:I91" si="12">D85</f>
        <v>43555</v>
      </c>
      <c r="E91" s="70">
        <f t="shared" si="12"/>
        <v>43921</v>
      </c>
      <c r="F91" s="70">
        <f t="shared" si="12"/>
        <v>44286</v>
      </c>
      <c r="G91" s="70">
        <f t="shared" si="12"/>
        <v>44651</v>
      </c>
      <c r="H91" s="70">
        <f t="shared" si="12"/>
        <v>45016</v>
      </c>
      <c r="I91" s="70">
        <f t="shared" si="12"/>
        <v>45382</v>
      </c>
    </row>
    <row r="92" spans="2:9" x14ac:dyDescent="0.3">
      <c r="B92" s="146" t="s">
        <v>9352</v>
      </c>
      <c r="C92" s="197">
        <f>(C64*1.2)+(C70*1.4)+(C76*3.3)+(C82*0.6)*(C88*1)</f>
        <v>6.5944571692869021</v>
      </c>
      <c r="D92" s="197">
        <f t="shared" ref="D92:I92" si="13">(D64*1.2)+(D70*1.4)+(D76*3.3)+(D82*0.6)*(D88*1)</f>
        <v>9.7786376713364049</v>
      </c>
      <c r="E92" s="197">
        <f t="shared" si="13"/>
        <v>6.5688931291431807</v>
      </c>
      <c r="F92" s="197">
        <f t="shared" si="13"/>
        <v>19.409838301755016</v>
      </c>
      <c r="G92" s="197">
        <f t="shared" si="13"/>
        <v>21.352933218011856</v>
      </c>
      <c r="H92" s="197">
        <f t="shared" si="13"/>
        <v>40.839228407080142</v>
      </c>
      <c r="I92" s="197">
        <f t="shared" si="13"/>
        <v>19.002494876330843</v>
      </c>
    </row>
    <row r="93" spans="2:9" x14ac:dyDescent="0.3">
      <c r="B93" s="12" t="s">
        <v>9353</v>
      </c>
      <c r="C93" s="196" t="str">
        <f>IF(C92&lt;1.81," Distressed",IF(C92&gt;3,"Strong","Grey Zone"))</f>
        <v>Strong</v>
      </c>
      <c r="D93" s="196" t="str">
        <f t="shared" ref="D93:I93" si="14">IF(D92&lt;1.81," Distressed",IF(D92&gt;3,"Strong","Grey Zone"))</f>
        <v>Strong</v>
      </c>
      <c r="E93" s="196" t="str">
        <f t="shared" si="14"/>
        <v>Strong</v>
      </c>
      <c r="F93" s="196" t="str">
        <f t="shared" si="14"/>
        <v>Strong</v>
      </c>
      <c r="G93" s="196" t="str">
        <f t="shared" si="14"/>
        <v>Strong</v>
      </c>
      <c r="H93" s="196" t="str">
        <f t="shared" si="14"/>
        <v>Strong</v>
      </c>
      <c r="I93" s="196" t="str">
        <f t="shared" si="14"/>
        <v>Strong</v>
      </c>
    </row>
    <row r="97" spans="2:9" ht="11.25" customHeight="1" x14ac:dyDescent="0.3">
      <c r="B97" s="142"/>
      <c r="C97" s="142"/>
      <c r="D97" s="142"/>
      <c r="E97" s="142"/>
      <c r="F97" s="142"/>
      <c r="G97" s="142"/>
      <c r="H97" s="142"/>
      <c r="I97" s="142"/>
    </row>
  </sheetData>
  <mergeCells count="8">
    <mergeCell ref="B84:I84"/>
    <mergeCell ref="B90:I90"/>
    <mergeCell ref="B8:I8"/>
    <mergeCell ref="B9:I12"/>
    <mergeCell ref="B60:I60"/>
    <mergeCell ref="B66:I66"/>
    <mergeCell ref="B72:I72"/>
    <mergeCell ref="B78:I78"/>
  </mergeCells>
  <pageMargins left="0.39370078740157483" right="0.23622047244094491" top="0.35433070866141736" bottom="0.23622047244094491" header="0.15748031496062992" footer="0"/>
  <pageSetup paperSize="9" scale="88" orientation="portrait" r:id="rId1"/>
  <headerFooter>
    <oddFooter>&amp;RPage &amp;P</oddFooter>
  </headerFooter>
  <rowBreaks count="1" manualBreakCount="1">
    <brk id="54"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CDEAB5-1258-49C9-9C0B-A8027D874526}">
  <sheetPr>
    <tabColor theme="8" tint="-0.499984740745262"/>
  </sheetPr>
  <dimension ref="A1"/>
  <sheetViews>
    <sheetView workbookViewId="0">
      <selection activeCell="F26" sqref="F26"/>
    </sheetView>
  </sheetViews>
  <sheetFormatPr defaultRowHeight="14.4" x14ac:dyDescent="0.3"/>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8B414-43EE-4FFE-B14C-A002C9EDC0A7}">
  <dimension ref="A1:L93"/>
  <sheetViews>
    <sheetView workbookViewId="0">
      <pane xSplit="1" ySplit="1" topLeftCell="B26" activePane="bottomRight" state="frozen"/>
      <selection activeCell="C4" sqref="C4"/>
      <selection pane="topRight" activeCell="C4" sqref="C4"/>
      <selection pane="bottomLeft" activeCell="C4" sqref="C4"/>
      <selection pane="bottomRight" activeCell="K90" sqref="K90"/>
    </sheetView>
  </sheetViews>
  <sheetFormatPr defaultColWidth="10.44140625" defaultRowHeight="13.2" x14ac:dyDescent="0.25"/>
  <cols>
    <col min="1" max="1" width="26.6640625" style="2" bestFit="1" customWidth="1"/>
    <col min="2" max="11" width="11.44140625" style="2" bestFit="1" customWidth="1"/>
    <col min="12" max="16384" width="10.44140625" style="2"/>
  </cols>
  <sheetData>
    <row r="1" spans="1:11" s="1" customFormat="1" x14ac:dyDescent="0.25">
      <c r="A1" s="1" t="s">
        <v>0</v>
      </c>
      <c r="B1" s="1" t="s">
        <v>1</v>
      </c>
      <c r="E1" s="253" t="str">
        <f>IF(B2&lt;&gt;B3, "A NEW VERSION OF THE WORKSHEET IS AVAILABLE", "")</f>
        <v/>
      </c>
      <c r="F1" s="253"/>
      <c r="G1" s="253"/>
      <c r="H1" s="253"/>
      <c r="I1" s="253"/>
      <c r="J1" s="253"/>
      <c r="K1" s="253"/>
    </row>
    <row r="2" spans="1:11" x14ac:dyDescent="0.25">
      <c r="A2" s="1" t="s">
        <v>2</v>
      </c>
      <c r="B2" s="2">
        <v>2.1</v>
      </c>
      <c r="E2" s="254" t="s">
        <v>3</v>
      </c>
      <c r="F2" s="254"/>
      <c r="G2" s="254"/>
      <c r="H2" s="254"/>
      <c r="I2" s="254"/>
      <c r="J2" s="254"/>
      <c r="K2" s="254"/>
    </row>
    <row r="3" spans="1:11" x14ac:dyDescent="0.25">
      <c r="A3" s="1" t="s">
        <v>4</v>
      </c>
      <c r="B3" s="2">
        <v>2.1</v>
      </c>
    </row>
    <row r="4" spans="1:11" x14ac:dyDescent="0.25">
      <c r="A4" s="1"/>
    </row>
    <row r="5" spans="1:11" x14ac:dyDescent="0.25">
      <c r="A5" s="1" t="s">
        <v>5</v>
      </c>
    </row>
    <row r="6" spans="1:11" x14ac:dyDescent="0.25">
      <c r="A6" s="2" t="s">
        <v>6</v>
      </c>
      <c r="B6" s="2">
        <f>IF(B9&gt;0, B9/B8, 0)</f>
        <v>102.29245023255815</v>
      </c>
    </row>
    <row r="7" spans="1:11" x14ac:dyDescent="0.25">
      <c r="A7" s="2" t="s">
        <v>7</v>
      </c>
      <c r="B7" s="3">
        <v>1</v>
      </c>
    </row>
    <row r="8" spans="1:11" x14ac:dyDescent="0.25">
      <c r="A8" s="2" t="s">
        <v>8</v>
      </c>
      <c r="B8" s="3">
        <v>1343.75</v>
      </c>
    </row>
    <row r="9" spans="1:11" x14ac:dyDescent="0.25">
      <c r="A9" s="2" t="s">
        <v>9</v>
      </c>
      <c r="B9" s="3">
        <v>137455.48000000001</v>
      </c>
    </row>
    <row r="15" spans="1:11" x14ac:dyDescent="0.25">
      <c r="A15" s="1" t="s">
        <v>10</v>
      </c>
      <c r="B15" s="2">
        <f>B26+B34</f>
        <v>1473.43</v>
      </c>
      <c r="K15" s="2">
        <f>K17-K18-K20-K21-K22-K23-K19</f>
        <v>3289.2699999999995</v>
      </c>
    </row>
    <row r="16" spans="1:11" s="6" customFormat="1" x14ac:dyDescent="0.25">
      <c r="A16" s="4" t="s">
        <v>11</v>
      </c>
      <c r="B16" s="5">
        <v>42094</v>
      </c>
      <c r="C16" s="5">
        <v>42460</v>
      </c>
      <c r="D16" s="5">
        <v>42825</v>
      </c>
      <c r="E16" s="5">
        <v>43190</v>
      </c>
      <c r="F16" s="5">
        <v>43555</v>
      </c>
      <c r="G16" s="5">
        <v>43921</v>
      </c>
      <c r="H16" s="5">
        <v>44286</v>
      </c>
      <c r="I16" s="5">
        <v>44651</v>
      </c>
      <c r="J16" s="5">
        <v>45016</v>
      </c>
      <c r="K16" s="5">
        <v>45382</v>
      </c>
    </row>
    <row r="17" spans="1:11" x14ac:dyDescent="0.25">
      <c r="A17" s="2" t="s">
        <v>12</v>
      </c>
      <c r="B17" s="3">
        <v>8273.15</v>
      </c>
      <c r="C17" s="3">
        <v>8423.8799999999992</v>
      </c>
      <c r="D17" s="3">
        <v>9267.91</v>
      </c>
      <c r="E17" s="3">
        <v>9847.43</v>
      </c>
      <c r="F17" s="3">
        <v>10314.34</v>
      </c>
      <c r="G17" s="3">
        <v>9910.7999999999993</v>
      </c>
      <c r="H17" s="3">
        <v>11028.62</v>
      </c>
      <c r="I17" s="3">
        <v>12276.5</v>
      </c>
      <c r="J17" s="3">
        <v>13315.97</v>
      </c>
      <c r="K17" s="3">
        <v>14096.11</v>
      </c>
    </row>
    <row r="18" spans="1:11" ht="14.4" x14ac:dyDescent="0.3">
      <c r="A18" s="2" t="s">
        <v>13</v>
      </c>
      <c r="B18" s="7">
        <v>3806.48</v>
      </c>
      <c r="C18" s="7">
        <v>3959.14</v>
      </c>
      <c r="D18" s="7">
        <v>4265.8500000000004</v>
      </c>
      <c r="E18" s="7">
        <v>4218.3599999999997</v>
      </c>
      <c r="F18" s="7">
        <v>4399.79</v>
      </c>
      <c r="G18" s="7">
        <v>4434.83</v>
      </c>
      <c r="H18" s="7">
        <v>4971.7700000000004</v>
      </c>
      <c r="I18" s="7">
        <v>6136.63</v>
      </c>
      <c r="J18" s="7">
        <v>6489.85</v>
      </c>
      <c r="K18" s="7">
        <v>6333.43</v>
      </c>
    </row>
    <row r="19" spans="1:11" ht="14.4" x14ac:dyDescent="0.3">
      <c r="A19" s="2" t="s">
        <v>14</v>
      </c>
      <c r="B19" s="7">
        <v>-35.04</v>
      </c>
      <c r="C19" s="7">
        <v>91.9</v>
      </c>
      <c r="D19" s="7">
        <v>133.33000000000001</v>
      </c>
      <c r="E19" s="7">
        <v>-56</v>
      </c>
      <c r="F19" s="7">
        <v>-154.54</v>
      </c>
      <c r="G19" s="7">
        <v>173.15</v>
      </c>
      <c r="H19" s="7">
        <v>42.35</v>
      </c>
      <c r="I19" s="7">
        <v>61.54</v>
      </c>
      <c r="J19" s="7">
        <v>-212.94</v>
      </c>
      <c r="K19" s="7">
        <v>13.13</v>
      </c>
    </row>
    <row r="20" spans="1:11" x14ac:dyDescent="0.25">
      <c r="A20" s="2" t="s">
        <v>15</v>
      </c>
      <c r="B20" s="3">
        <v>109.92</v>
      </c>
      <c r="C20" s="3">
        <v>109.99</v>
      </c>
      <c r="D20" s="3">
        <v>89.02</v>
      </c>
      <c r="E20" s="3">
        <v>101.11</v>
      </c>
      <c r="F20" s="3">
        <v>119.29</v>
      </c>
      <c r="G20" s="3">
        <v>118.29</v>
      </c>
      <c r="H20" s="3">
        <v>106.23</v>
      </c>
      <c r="I20" s="3">
        <v>133.49</v>
      </c>
      <c r="J20" s="3">
        <v>154.63</v>
      </c>
      <c r="K20" s="3">
        <v>150.85</v>
      </c>
    </row>
    <row r="21" spans="1:11" x14ac:dyDescent="0.25">
      <c r="A21" s="2" t="s">
        <v>16</v>
      </c>
      <c r="B21" s="3">
        <v>223.97</v>
      </c>
      <c r="C21" s="3">
        <v>236.23</v>
      </c>
      <c r="D21" s="3">
        <v>302.85000000000002</v>
      </c>
      <c r="E21" s="3">
        <v>318.75</v>
      </c>
      <c r="F21" s="3">
        <v>329.8</v>
      </c>
      <c r="G21" s="3">
        <v>378.69</v>
      </c>
      <c r="H21" s="3">
        <v>397.25</v>
      </c>
      <c r="I21" s="3">
        <v>430.3</v>
      </c>
      <c r="J21" s="3">
        <v>438.91</v>
      </c>
      <c r="K21" s="3">
        <v>420.43</v>
      </c>
    </row>
    <row r="22" spans="1:11" x14ac:dyDescent="0.25">
      <c r="A22" s="2" t="s">
        <v>17</v>
      </c>
      <c r="B22" s="3">
        <v>776.95</v>
      </c>
      <c r="C22" s="3">
        <v>944.13</v>
      </c>
      <c r="D22" s="3">
        <v>988.46</v>
      </c>
      <c r="E22" s="3">
        <v>1057.4100000000001</v>
      </c>
      <c r="F22" s="3">
        <v>1068.4100000000001</v>
      </c>
      <c r="G22" s="3">
        <v>1018.82</v>
      </c>
      <c r="H22" s="3">
        <v>1123.3399999999999</v>
      </c>
      <c r="I22" s="3">
        <v>1104.1400000000001</v>
      </c>
      <c r="J22" s="3">
        <v>1111.48</v>
      </c>
      <c r="K22" s="3">
        <v>1249.3399999999999</v>
      </c>
    </row>
    <row r="23" spans="1:11" x14ac:dyDescent="0.25">
      <c r="A23" s="2" t="s">
        <v>18</v>
      </c>
      <c r="B23" s="3">
        <v>1818.85</v>
      </c>
      <c r="C23" s="3">
        <v>1464.98</v>
      </c>
      <c r="D23" s="3">
        <v>1649.39</v>
      </c>
      <c r="E23" s="3">
        <v>1775.76</v>
      </c>
      <c r="F23" s="3">
        <v>1888.86</v>
      </c>
      <c r="G23" s="3">
        <v>1770.13</v>
      </c>
      <c r="H23" s="3">
        <v>1808.73</v>
      </c>
      <c r="I23" s="3">
        <v>1836.49</v>
      </c>
      <c r="J23" s="3">
        <v>2144.44</v>
      </c>
      <c r="K23" s="3">
        <v>2639.66</v>
      </c>
    </row>
    <row r="24" spans="1:11" x14ac:dyDescent="0.25">
      <c r="A24" s="2" t="s">
        <v>19</v>
      </c>
      <c r="B24" s="3">
        <v>122.99</v>
      </c>
      <c r="C24" s="3">
        <v>143.93</v>
      </c>
      <c r="D24" s="3">
        <v>198.96</v>
      </c>
      <c r="E24" s="3">
        <v>235.64</v>
      </c>
      <c r="F24" s="3">
        <v>222.08</v>
      </c>
      <c r="G24" s="3">
        <v>209.44</v>
      </c>
      <c r="H24" s="3">
        <v>264.39</v>
      </c>
      <c r="I24" s="3">
        <v>287.81</v>
      </c>
      <c r="J24" s="3">
        <v>320.52</v>
      </c>
      <c r="K24" s="3">
        <v>358.21</v>
      </c>
    </row>
    <row r="25" spans="1:11" x14ac:dyDescent="0.25">
      <c r="A25" s="2" t="s">
        <v>20</v>
      </c>
      <c r="B25" s="3">
        <v>73.010000000000005</v>
      </c>
      <c r="C25" s="3">
        <v>-262.04000000000002</v>
      </c>
      <c r="D25" s="3">
        <v>76.180000000000007</v>
      </c>
      <c r="E25" s="3">
        <v>283.27999999999997</v>
      </c>
      <c r="F25" s="3">
        <v>361.95</v>
      </c>
      <c r="G25" s="3">
        <v>32.06</v>
      </c>
      <c r="H25" s="3">
        <v>22.6</v>
      </c>
      <c r="I25" s="3">
        <v>78.27</v>
      </c>
      <c r="J25" s="3">
        <v>114.3</v>
      </c>
      <c r="K25" s="3">
        <v>-2208.56</v>
      </c>
    </row>
    <row r="26" spans="1:11" x14ac:dyDescent="0.25">
      <c r="A26" s="2" t="s">
        <v>21</v>
      </c>
      <c r="B26" s="3">
        <v>90.78</v>
      </c>
      <c r="C26" s="3">
        <v>100.63</v>
      </c>
      <c r="D26" s="3">
        <v>141.57</v>
      </c>
      <c r="E26" s="3">
        <v>155.68</v>
      </c>
      <c r="F26" s="3">
        <v>169.98</v>
      </c>
      <c r="G26" s="3">
        <v>197.28</v>
      </c>
      <c r="H26" s="3">
        <v>203.85</v>
      </c>
      <c r="I26" s="3">
        <v>209.93</v>
      </c>
      <c r="J26" s="3">
        <v>236.29</v>
      </c>
      <c r="K26" s="3">
        <v>240.96</v>
      </c>
    </row>
    <row r="27" spans="1:11" ht="14.4" x14ac:dyDescent="0.3">
      <c r="A27" s="2" t="s">
        <v>22</v>
      </c>
      <c r="B27" s="3">
        <v>112.46</v>
      </c>
      <c r="C27" s="3">
        <v>128.04</v>
      </c>
      <c r="D27" s="3">
        <v>154.19</v>
      </c>
      <c r="E27" s="3">
        <v>173.12</v>
      </c>
      <c r="F27" s="3">
        <v>238.21</v>
      </c>
      <c r="G27" s="3">
        <v>228.13</v>
      </c>
      <c r="H27" s="3">
        <v>137.65</v>
      </c>
      <c r="I27" s="3">
        <v>122.26</v>
      </c>
      <c r="J27" s="7">
        <v>188.48</v>
      </c>
      <c r="K27" s="7">
        <v>309.57</v>
      </c>
    </row>
    <row r="28" spans="1:11" x14ac:dyDescent="0.25">
      <c r="A28" s="2" t="s">
        <v>23</v>
      </c>
      <c r="B28" s="3">
        <v>1248.72</v>
      </c>
      <c r="C28" s="3">
        <v>1166.67</v>
      </c>
      <c r="D28" s="3">
        <v>1687.13</v>
      </c>
      <c r="E28" s="3">
        <v>2038.88</v>
      </c>
      <c r="F28" s="3">
        <v>2085.33</v>
      </c>
      <c r="G28" s="3">
        <v>1760.4</v>
      </c>
      <c r="H28" s="3">
        <v>2080.36</v>
      </c>
      <c r="I28" s="3">
        <v>2155.2600000000002</v>
      </c>
      <c r="J28" s="3">
        <v>2132.73</v>
      </c>
      <c r="K28" s="3">
        <v>198.23</v>
      </c>
    </row>
    <row r="29" spans="1:11" x14ac:dyDescent="0.25">
      <c r="A29" s="2" t="s">
        <v>24</v>
      </c>
      <c r="B29" s="3">
        <v>272.29000000000002</v>
      </c>
      <c r="C29" s="3">
        <v>336.05</v>
      </c>
      <c r="D29" s="3">
        <v>379.16</v>
      </c>
      <c r="E29" s="3">
        <v>404.7</v>
      </c>
      <c r="F29" s="3">
        <v>-256.2</v>
      </c>
      <c r="G29" s="3">
        <v>263.82</v>
      </c>
      <c r="H29" s="3">
        <v>359.54</v>
      </c>
      <c r="I29" s="3">
        <v>371.87</v>
      </c>
      <c r="J29" s="3">
        <v>430.27</v>
      </c>
      <c r="K29" s="3">
        <v>758.78</v>
      </c>
    </row>
    <row r="30" spans="1:11" x14ac:dyDescent="0.25">
      <c r="A30" s="2" t="s">
        <v>25</v>
      </c>
      <c r="B30" s="3">
        <v>907.12</v>
      </c>
      <c r="C30" s="3">
        <v>827.61</v>
      </c>
      <c r="D30" s="3">
        <v>1304.08</v>
      </c>
      <c r="E30" s="3">
        <v>1634.18</v>
      </c>
      <c r="F30" s="3">
        <v>2341.5300000000002</v>
      </c>
      <c r="G30" s="3">
        <v>1496.58</v>
      </c>
      <c r="H30" s="3">
        <v>1720.82</v>
      </c>
      <c r="I30" s="3">
        <v>1783.39</v>
      </c>
      <c r="J30" s="3">
        <v>1702.46</v>
      </c>
      <c r="K30" s="3">
        <v>-560.54999999999995</v>
      </c>
    </row>
    <row r="31" spans="1:11" x14ac:dyDescent="0.25">
      <c r="A31" s="2" t="s">
        <v>26</v>
      </c>
      <c r="B31" s="3">
        <v>187.22</v>
      </c>
      <c r="C31" s="3">
        <v>195.79</v>
      </c>
      <c r="D31" s="3">
        <v>510.9</v>
      </c>
      <c r="E31" s="3">
        <v>681.3</v>
      </c>
      <c r="F31" s="3">
        <v>1022.2</v>
      </c>
      <c r="G31" s="3">
        <v>817.84</v>
      </c>
      <c r="H31" s="3"/>
      <c r="I31" s="3"/>
      <c r="J31" s="3"/>
      <c r="K31" s="3"/>
    </row>
    <row r="32" spans="1:11" x14ac:dyDescent="0.25">
      <c r="A32" s="2" t="s">
        <v>27</v>
      </c>
      <c r="B32" s="8">
        <f>B29/B28</f>
        <v>0.21805528861554233</v>
      </c>
      <c r="C32" s="8">
        <f t="shared" ref="C32:K32" si="0">C29/C28</f>
        <v>0.28804203416561663</v>
      </c>
      <c r="D32" s="8">
        <f t="shared" si="0"/>
        <v>0.22473668300605171</v>
      </c>
      <c r="E32" s="8">
        <f t="shared" si="0"/>
        <v>0.19849132857254961</v>
      </c>
      <c r="F32" s="8">
        <f t="shared" si="0"/>
        <v>-0.12285825265065961</v>
      </c>
      <c r="G32" s="8">
        <f t="shared" si="0"/>
        <v>0.14986366734832993</v>
      </c>
      <c r="H32" s="8">
        <f t="shared" si="0"/>
        <v>0.17282585706320061</v>
      </c>
      <c r="I32" s="8">
        <f t="shared" si="0"/>
        <v>0.17254066794725462</v>
      </c>
      <c r="J32" s="8">
        <f t="shared" si="0"/>
        <v>0.20174611882422996</v>
      </c>
      <c r="K32" s="8">
        <f t="shared" si="0"/>
        <v>3.8277758159713464</v>
      </c>
    </row>
    <row r="34" spans="1:11" x14ac:dyDescent="0.25">
      <c r="A34" s="2" t="s">
        <v>28</v>
      </c>
      <c r="B34" s="2">
        <f>+B30+B29+B27+B26</f>
        <v>1382.65</v>
      </c>
      <c r="C34" s="2">
        <f t="shared" ref="C34:K34" si="1">+C30+C29+C27+C26</f>
        <v>1392.33</v>
      </c>
      <c r="D34" s="2">
        <f t="shared" si="1"/>
        <v>1979</v>
      </c>
      <c r="E34" s="2">
        <f t="shared" si="1"/>
        <v>2367.6799999999998</v>
      </c>
      <c r="F34" s="2">
        <f t="shared" si="1"/>
        <v>2493.5200000000004</v>
      </c>
      <c r="G34" s="2">
        <f t="shared" si="1"/>
        <v>2185.81</v>
      </c>
      <c r="H34" s="2">
        <f t="shared" si="1"/>
        <v>2421.86</v>
      </c>
      <c r="I34" s="2">
        <f t="shared" si="1"/>
        <v>2487.4500000000003</v>
      </c>
      <c r="J34" s="2">
        <f t="shared" si="1"/>
        <v>2557.5</v>
      </c>
      <c r="K34" s="2">
        <f t="shared" si="1"/>
        <v>748.76</v>
      </c>
    </row>
    <row r="40" spans="1:11" x14ac:dyDescent="0.25">
      <c r="A40" s="1" t="s">
        <v>29</v>
      </c>
    </row>
    <row r="41" spans="1:11" s="6" customFormat="1" x14ac:dyDescent="0.25">
      <c r="A41" s="4" t="s">
        <v>11</v>
      </c>
      <c r="B41" s="5">
        <v>44651</v>
      </c>
      <c r="C41" s="5">
        <v>44742</v>
      </c>
      <c r="D41" s="5">
        <v>44834</v>
      </c>
      <c r="E41" s="5">
        <v>44926</v>
      </c>
      <c r="F41" s="5">
        <v>45016</v>
      </c>
      <c r="G41" s="5">
        <v>45107</v>
      </c>
      <c r="H41" s="5">
        <v>45199</v>
      </c>
      <c r="I41" s="5">
        <v>45291</v>
      </c>
      <c r="J41" s="5">
        <v>45382</v>
      </c>
      <c r="K41" s="5">
        <v>45473</v>
      </c>
    </row>
    <row r="42" spans="1:11" x14ac:dyDescent="0.25">
      <c r="A42" s="2" t="s">
        <v>12</v>
      </c>
      <c r="B42" s="3">
        <v>2915.82</v>
      </c>
      <c r="C42" s="3">
        <v>3124.97</v>
      </c>
      <c r="D42" s="3">
        <v>3391.92</v>
      </c>
      <c r="E42" s="3">
        <v>3598.92</v>
      </c>
      <c r="F42" s="3">
        <v>3200.16</v>
      </c>
      <c r="G42" s="3">
        <v>3448.91</v>
      </c>
      <c r="H42" s="3">
        <v>3601.95</v>
      </c>
      <c r="I42" s="3">
        <v>3659.64</v>
      </c>
      <c r="J42" s="3">
        <v>3385.61</v>
      </c>
      <c r="K42" s="3">
        <v>3331.58</v>
      </c>
    </row>
    <row r="43" spans="1:11" x14ac:dyDescent="0.25">
      <c r="A43" s="2" t="s">
        <v>30</v>
      </c>
      <c r="B43" s="3">
        <v>2452.75</v>
      </c>
      <c r="C43" s="3">
        <v>2604.17</v>
      </c>
      <c r="D43" s="3">
        <v>2849.81</v>
      </c>
      <c r="E43" s="3">
        <v>2872.28</v>
      </c>
      <c r="F43" s="3">
        <v>2559.29</v>
      </c>
      <c r="G43" s="3">
        <v>2806.07</v>
      </c>
      <c r="H43" s="3">
        <v>2897.78</v>
      </c>
      <c r="I43" s="3">
        <v>2818.92</v>
      </c>
      <c r="J43" s="3">
        <v>2629.89</v>
      </c>
      <c r="K43" s="3">
        <v>2607.15</v>
      </c>
    </row>
    <row r="44" spans="1:11" x14ac:dyDescent="0.25">
      <c r="A44" s="2" t="s">
        <v>20</v>
      </c>
      <c r="B44" s="3">
        <v>3.24</v>
      </c>
      <c r="C44" s="3">
        <v>25.69</v>
      </c>
      <c r="D44" s="3">
        <v>17.2</v>
      </c>
      <c r="E44" s="3">
        <v>35.71</v>
      </c>
      <c r="F44" s="3">
        <v>35.74</v>
      </c>
      <c r="G44" s="3">
        <v>-12.67</v>
      </c>
      <c r="H44" s="3">
        <v>53.39</v>
      </c>
      <c r="I44" s="3">
        <v>63.19</v>
      </c>
      <c r="J44" s="3">
        <v>-2311.81</v>
      </c>
      <c r="K44" s="3">
        <v>56.81</v>
      </c>
    </row>
    <row r="45" spans="1:11" x14ac:dyDescent="0.25">
      <c r="A45" s="2" t="s">
        <v>21</v>
      </c>
      <c r="B45" s="3">
        <v>49.5</v>
      </c>
      <c r="C45" s="3">
        <v>57.06</v>
      </c>
      <c r="D45" s="3">
        <v>53.32</v>
      </c>
      <c r="E45" s="3">
        <v>57.32</v>
      </c>
      <c r="F45" s="3">
        <v>68.59</v>
      </c>
      <c r="G45" s="3">
        <v>76.290000000000006</v>
      </c>
      <c r="H45" s="3">
        <v>60.88</v>
      </c>
      <c r="I45" s="3">
        <v>53.88</v>
      </c>
      <c r="J45" s="3">
        <v>49.91</v>
      </c>
      <c r="K45" s="3">
        <v>49.46</v>
      </c>
    </row>
    <row r="46" spans="1:11" ht="14.4" x14ac:dyDescent="0.3">
      <c r="A46" s="2" t="s">
        <v>22</v>
      </c>
      <c r="B46" s="7">
        <v>32.81</v>
      </c>
      <c r="C46" s="7">
        <v>35.06</v>
      </c>
      <c r="D46" s="7">
        <v>48.25</v>
      </c>
      <c r="E46" s="7">
        <v>39.92</v>
      </c>
      <c r="F46" s="7">
        <v>52.51</v>
      </c>
      <c r="G46" s="7">
        <v>74</v>
      </c>
      <c r="H46" s="7">
        <v>77.31</v>
      </c>
      <c r="I46" s="7">
        <v>66.59</v>
      </c>
      <c r="J46" s="7">
        <v>78.47</v>
      </c>
      <c r="K46" s="7">
        <v>87.75</v>
      </c>
    </row>
    <row r="47" spans="1:11" x14ac:dyDescent="0.25">
      <c r="A47" s="2" t="s">
        <v>23</v>
      </c>
      <c r="B47" s="3">
        <v>384</v>
      </c>
      <c r="C47" s="3">
        <v>454.37</v>
      </c>
      <c r="D47" s="3">
        <v>457.74</v>
      </c>
      <c r="E47" s="3">
        <v>665.11</v>
      </c>
      <c r="F47" s="3">
        <v>555.51</v>
      </c>
      <c r="G47" s="3">
        <v>479.88</v>
      </c>
      <c r="H47" s="3">
        <v>619.37</v>
      </c>
      <c r="I47" s="3">
        <v>783.44</v>
      </c>
      <c r="J47" s="3">
        <v>-1684.47</v>
      </c>
      <c r="K47" s="3">
        <v>644.03</v>
      </c>
    </row>
    <row r="48" spans="1:11" x14ac:dyDescent="0.25">
      <c r="A48" s="2" t="s">
        <v>24</v>
      </c>
      <c r="B48" s="3">
        <v>20.76</v>
      </c>
      <c r="C48" s="3">
        <v>109.25</v>
      </c>
      <c r="D48" s="3">
        <v>98.88</v>
      </c>
      <c r="E48" s="3">
        <v>118.77</v>
      </c>
      <c r="F48" s="3">
        <v>103.37</v>
      </c>
      <c r="G48" s="3">
        <v>161.06</v>
      </c>
      <c r="H48" s="3">
        <v>186.6</v>
      </c>
      <c r="I48" s="3">
        <v>202.38</v>
      </c>
      <c r="J48" s="3">
        <v>208.74</v>
      </c>
      <c r="K48" s="3">
        <v>193.34</v>
      </c>
    </row>
    <row r="49" spans="1:11" x14ac:dyDescent="0.25">
      <c r="A49" s="2" t="s">
        <v>25</v>
      </c>
      <c r="B49" s="3">
        <v>363.24</v>
      </c>
      <c r="C49" s="3">
        <v>345.12</v>
      </c>
      <c r="D49" s="3">
        <v>358.86</v>
      </c>
      <c r="E49" s="3">
        <v>546.34</v>
      </c>
      <c r="F49" s="3">
        <v>452.14</v>
      </c>
      <c r="G49" s="3">
        <v>318.82</v>
      </c>
      <c r="H49" s="3">
        <v>432.77</v>
      </c>
      <c r="I49" s="3">
        <v>581.05999999999995</v>
      </c>
      <c r="J49" s="3">
        <v>-1893.21</v>
      </c>
      <c r="K49" s="3">
        <v>450.69</v>
      </c>
    </row>
    <row r="50" spans="1:11" x14ac:dyDescent="0.25">
      <c r="A50" s="2" t="s">
        <v>31</v>
      </c>
      <c r="B50" s="3">
        <v>463.07</v>
      </c>
      <c r="C50" s="3">
        <v>520.79999999999995</v>
      </c>
      <c r="D50" s="3">
        <v>542.11</v>
      </c>
      <c r="E50" s="3">
        <v>726.64</v>
      </c>
      <c r="F50" s="3">
        <v>640.87</v>
      </c>
      <c r="G50" s="3">
        <v>642.84</v>
      </c>
      <c r="H50" s="3">
        <v>704.17</v>
      </c>
      <c r="I50" s="3">
        <v>840.72</v>
      </c>
      <c r="J50" s="3">
        <v>755.72</v>
      </c>
      <c r="K50" s="3">
        <v>724.43</v>
      </c>
    </row>
    <row r="51" spans="1:11" x14ac:dyDescent="0.25">
      <c r="A51" s="2" t="s">
        <v>28</v>
      </c>
      <c r="B51" s="2">
        <f>B49+B48+B46+B45</f>
        <v>466.31</v>
      </c>
      <c r="C51" s="2">
        <f t="shared" ref="C51:K51" si="2">C49+C48+C46+C45</f>
        <v>546.49</v>
      </c>
      <c r="D51" s="2">
        <f t="shared" si="2"/>
        <v>559.31000000000006</v>
      </c>
      <c r="E51" s="2">
        <f t="shared" si="2"/>
        <v>762.35</v>
      </c>
      <c r="F51" s="2">
        <f t="shared" si="2"/>
        <v>676.61</v>
      </c>
      <c r="G51" s="2">
        <f t="shared" si="2"/>
        <v>630.16999999999996</v>
      </c>
      <c r="H51" s="2">
        <f t="shared" si="2"/>
        <v>757.56000000000006</v>
      </c>
      <c r="I51" s="2">
        <f t="shared" si="2"/>
        <v>903.91</v>
      </c>
      <c r="J51" s="2">
        <f t="shared" si="2"/>
        <v>-1556.09</v>
      </c>
      <c r="K51" s="2">
        <f t="shared" si="2"/>
        <v>781.24</v>
      </c>
    </row>
    <row r="55" spans="1:11" x14ac:dyDescent="0.25">
      <c r="A55" s="1" t="s">
        <v>32</v>
      </c>
    </row>
    <row r="56" spans="1:11" s="6" customFormat="1" x14ac:dyDescent="0.25">
      <c r="A56" s="4" t="s">
        <v>11</v>
      </c>
      <c r="B56" s="5">
        <v>42094</v>
      </c>
      <c r="C56" s="5">
        <v>42460</v>
      </c>
      <c r="D56" s="5">
        <v>42825</v>
      </c>
      <c r="E56" s="5">
        <v>43190</v>
      </c>
      <c r="F56" s="5">
        <v>43555</v>
      </c>
      <c r="G56" s="5">
        <v>43921</v>
      </c>
      <c r="H56" s="5">
        <v>44286</v>
      </c>
      <c r="I56" s="5">
        <v>44651</v>
      </c>
      <c r="J56" s="5">
        <v>45016</v>
      </c>
      <c r="K56" s="5">
        <v>45382</v>
      </c>
    </row>
    <row r="57" spans="1:11" x14ac:dyDescent="0.25">
      <c r="A57" s="2" t="s">
        <v>33</v>
      </c>
      <c r="B57" s="3">
        <v>34.04</v>
      </c>
      <c r="C57" s="3">
        <v>34.049999999999997</v>
      </c>
      <c r="D57" s="3">
        <v>34.06</v>
      </c>
      <c r="E57" s="3">
        <v>68.13</v>
      </c>
      <c r="F57" s="3">
        <v>102.22</v>
      </c>
      <c r="G57" s="3">
        <v>102.23</v>
      </c>
      <c r="H57" s="3">
        <v>102.25</v>
      </c>
      <c r="I57" s="3">
        <v>102.26</v>
      </c>
      <c r="J57" s="3">
        <v>102.27</v>
      </c>
      <c r="K57" s="3">
        <v>102.28</v>
      </c>
    </row>
    <row r="58" spans="1:11" x14ac:dyDescent="0.25">
      <c r="A58" s="2" t="s">
        <v>34</v>
      </c>
      <c r="B58" s="3">
        <v>4276.6499999999996</v>
      </c>
      <c r="C58" s="3">
        <v>4232.91</v>
      </c>
      <c r="D58" s="3">
        <v>5267.89</v>
      </c>
      <c r="E58" s="3">
        <v>6190.18</v>
      </c>
      <c r="F58" s="3">
        <v>7164.7</v>
      </c>
      <c r="G58" s="3">
        <v>7796.13</v>
      </c>
      <c r="H58" s="3">
        <v>9336.65</v>
      </c>
      <c r="I58" s="3">
        <v>11453.67</v>
      </c>
      <c r="J58" s="3">
        <v>13691.96</v>
      </c>
      <c r="K58" s="3">
        <v>12496.29</v>
      </c>
    </row>
    <row r="59" spans="1:11" ht="14.4" x14ac:dyDescent="0.3">
      <c r="A59" s="2" t="s">
        <v>35</v>
      </c>
      <c r="B59" s="7">
        <v>2717.15</v>
      </c>
      <c r="C59" s="7">
        <v>2891.12</v>
      </c>
      <c r="D59" s="7">
        <v>4000.93</v>
      </c>
      <c r="E59" s="7">
        <v>3507.57</v>
      </c>
      <c r="F59" s="7">
        <v>3382.05</v>
      </c>
      <c r="G59" s="7">
        <v>3574.97</v>
      </c>
      <c r="H59" s="7">
        <v>1863.97</v>
      </c>
      <c r="I59" s="7">
        <v>1704.34</v>
      </c>
      <c r="J59" s="7">
        <v>1129.58</v>
      </c>
      <c r="K59" s="7">
        <v>3222.2</v>
      </c>
    </row>
    <row r="60" spans="1:11" x14ac:dyDescent="0.25">
      <c r="A60" s="2" t="s">
        <v>36</v>
      </c>
      <c r="B60" s="3">
        <v>2097.1799999999998</v>
      </c>
      <c r="C60" s="3">
        <v>2520.66</v>
      </c>
      <c r="D60" s="3">
        <v>3637.37</v>
      </c>
      <c r="E60" s="3">
        <v>4097.8900000000003</v>
      </c>
      <c r="F60" s="3">
        <v>3444.58</v>
      </c>
      <c r="G60" s="3">
        <v>3406.95</v>
      </c>
      <c r="H60" s="3">
        <v>2940.92</v>
      </c>
      <c r="I60" s="3">
        <v>2821.85</v>
      </c>
      <c r="J60" s="3">
        <v>2513.4499999999998</v>
      </c>
      <c r="K60" s="3">
        <v>2571.31</v>
      </c>
    </row>
    <row r="61" spans="1:11" s="1" customFormat="1" x14ac:dyDescent="0.25">
      <c r="A61" s="1" t="s">
        <v>37</v>
      </c>
      <c r="B61" s="3">
        <v>9125.02</v>
      </c>
      <c r="C61" s="3">
        <v>9678.74</v>
      </c>
      <c r="D61" s="3">
        <v>12940.25</v>
      </c>
      <c r="E61" s="3">
        <v>13863.77</v>
      </c>
      <c r="F61" s="3">
        <v>14093.55</v>
      </c>
      <c r="G61" s="3">
        <v>14880.28</v>
      </c>
      <c r="H61" s="3">
        <v>14243.79</v>
      </c>
      <c r="I61" s="3">
        <v>16082.12</v>
      </c>
      <c r="J61" s="3">
        <v>17437.259999999998</v>
      </c>
      <c r="K61" s="3">
        <v>18392.080000000002</v>
      </c>
    </row>
    <row r="62" spans="1:11" x14ac:dyDescent="0.25">
      <c r="A62" s="2" t="s">
        <v>38</v>
      </c>
      <c r="B62" s="3">
        <v>5550.95</v>
      </c>
      <c r="C62" s="3">
        <v>5931.41</v>
      </c>
      <c r="D62" s="3">
        <v>8082.89</v>
      </c>
      <c r="E62" s="3">
        <v>8315</v>
      </c>
      <c r="F62" s="3">
        <v>8670.26</v>
      </c>
      <c r="G62" s="3">
        <v>9231.4</v>
      </c>
      <c r="H62" s="3">
        <v>8904.77</v>
      </c>
      <c r="I62" s="3">
        <v>9219.2999999999993</v>
      </c>
      <c r="J62" s="3">
        <v>9933.66</v>
      </c>
      <c r="K62" s="3">
        <v>10440.24</v>
      </c>
    </row>
    <row r="63" spans="1:11" x14ac:dyDescent="0.25">
      <c r="A63" s="2" t="s">
        <v>39</v>
      </c>
      <c r="B63" s="3">
        <v>224.61</v>
      </c>
      <c r="C63" s="3">
        <v>43.66</v>
      </c>
      <c r="D63" s="3">
        <v>97.43</v>
      </c>
      <c r="E63" s="3">
        <v>83.88</v>
      </c>
      <c r="F63" s="3">
        <v>52.06</v>
      </c>
      <c r="G63" s="3">
        <v>57.04</v>
      </c>
      <c r="H63" s="3">
        <v>57.43</v>
      </c>
      <c r="I63" s="3">
        <v>116.44</v>
      </c>
      <c r="J63" s="3">
        <v>45.42</v>
      </c>
      <c r="K63" s="3">
        <v>83.36</v>
      </c>
    </row>
    <row r="64" spans="1:11" ht="14.4" x14ac:dyDescent="0.3">
      <c r="A64" s="2" t="s">
        <v>40</v>
      </c>
      <c r="B64" s="3">
        <v>185.69</v>
      </c>
      <c r="C64" s="7">
        <v>189.5</v>
      </c>
      <c r="D64" s="3">
        <v>933.54</v>
      </c>
      <c r="E64" s="3">
        <v>997.28</v>
      </c>
      <c r="F64" s="3">
        <v>515.98</v>
      </c>
      <c r="G64" s="3">
        <v>671.98</v>
      </c>
      <c r="H64" s="3">
        <v>679.1</v>
      </c>
      <c r="I64" s="3">
        <v>1015.43</v>
      </c>
      <c r="J64" s="3">
        <v>3028.98</v>
      </c>
      <c r="K64" s="3">
        <v>3503.67</v>
      </c>
    </row>
    <row r="65" spans="1:11" x14ac:dyDescent="0.25">
      <c r="A65" s="2" t="s">
        <v>41</v>
      </c>
      <c r="B65" s="3">
        <v>3163.77</v>
      </c>
      <c r="C65" s="3">
        <v>3514.17</v>
      </c>
      <c r="D65" s="3">
        <v>3826.39</v>
      </c>
      <c r="E65" s="3">
        <v>4467.6099999999997</v>
      </c>
      <c r="F65" s="3">
        <v>4855.25</v>
      </c>
      <c r="G65" s="3">
        <v>4919.8599999999997</v>
      </c>
      <c r="H65" s="3">
        <v>4602.49</v>
      </c>
      <c r="I65" s="3">
        <v>5730.95</v>
      </c>
      <c r="J65" s="3">
        <v>4429.2</v>
      </c>
      <c r="K65" s="3">
        <v>4364.8100000000004</v>
      </c>
    </row>
    <row r="66" spans="1:11" s="1" customFormat="1" x14ac:dyDescent="0.25">
      <c r="A66" s="1" t="s">
        <v>37</v>
      </c>
      <c r="B66" s="3">
        <v>9125.02</v>
      </c>
      <c r="C66" s="3">
        <v>9678.74</v>
      </c>
      <c r="D66" s="3">
        <v>12940.25</v>
      </c>
      <c r="E66" s="3">
        <v>13863.77</v>
      </c>
      <c r="F66" s="3">
        <v>14093.55</v>
      </c>
      <c r="G66" s="3">
        <v>14880.28</v>
      </c>
      <c r="H66" s="3">
        <v>14243.79</v>
      </c>
      <c r="I66" s="3">
        <v>16082.12</v>
      </c>
      <c r="J66" s="3">
        <v>17437.259999999998</v>
      </c>
      <c r="K66" s="3">
        <v>18392.080000000002</v>
      </c>
    </row>
    <row r="67" spans="1:11" x14ac:dyDescent="0.25">
      <c r="A67" s="2" t="s">
        <v>42</v>
      </c>
      <c r="B67" s="3">
        <v>804.58</v>
      </c>
      <c r="C67" s="3">
        <v>1118.01</v>
      </c>
      <c r="D67" s="3">
        <v>1028.74</v>
      </c>
      <c r="E67" s="3">
        <v>1245.5</v>
      </c>
      <c r="F67" s="3">
        <v>1292.9000000000001</v>
      </c>
      <c r="G67" s="3">
        <v>1157.25</v>
      </c>
      <c r="H67" s="3">
        <v>1004.5</v>
      </c>
      <c r="I67" s="3">
        <v>1116.32</v>
      </c>
      <c r="J67" s="3">
        <v>1245.28</v>
      </c>
      <c r="K67" s="3">
        <v>1535.37</v>
      </c>
    </row>
    <row r="68" spans="1:11" ht="14.4" x14ac:dyDescent="0.3">
      <c r="A68" s="2" t="s">
        <v>43</v>
      </c>
      <c r="B68" s="7">
        <v>1071.71</v>
      </c>
      <c r="C68" s="7">
        <v>1306.98</v>
      </c>
      <c r="D68" s="7">
        <v>1412.5</v>
      </c>
      <c r="E68" s="7">
        <v>1577.72</v>
      </c>
      <c r="F68" s="7">
        <v>1558.59</v>
      </c>
      <c r="G68" s="7">
        <v>1703.12</v>
      </c>
      <c r="H68" s="7">
        <v>1716.25</v>
      </c>
      <c r="I68" s="7">
        <v>2129.85</v>
      </c>
      <c r="J68" s="7">
        <v>1537.15</v>
      </c>
      <c r="K68" s="7">
        <v>1270.92</v>
      </c>
    </row>
    <row r="69" spans="1:11" x14ac:dyDescent="0.25">
      <c r="A69" s="2" t="s">
        <v>44</v>
      </c>
      <c r="B69" s="3">
        <v>894.22</v>
      </c>
      <c r="C69" s="3">
        <v>753.79</v>
      </c>
      <c r="D69" s="3">
        <v>912.66</v>
      </c>
      <c r="E69" s="3">
        <v>960.21</v>
      </c>
      <c r="F69" s="3">
        <v>894.72</v>
      </c>
      <c r="G69" s="3">
        <v>770.16</v>
      </c>
      <c r="H69" s="3">
        <v>672.21</v>
      </c>
      <c r="I69" s="3">
        <v>1107.77</v>
      </c>
      <c r="J69" s="3">
        <v>390.72</v>
      </c>
      <c r="K69" s="3">
        <v>546.94000000000005</v>
      </c>
    </row>
    <row r="70" spans="1:11" x14ac:dyDescent="0.25">
      <c r="A70" s="2" t="s">
        <v>45</v>
      </c>
      <c r="B70" s="3">
        <v>340446901</v>
      </c>
      <c r="C70" s="3">
        <v>340533823</v>
      </c>
      <c r="D70" s="3">
        <v>340600816</v>
      </c>
      <c r="E70" s="3">
        <v>681329518</v>
      </c>
      <c r="F70" s="3">
        <v>1022166096</v>
      </c>
      <c r="G70" s="3">
        <v>1022316352</v>
      </c>
      <c r="H70" s="3">
        <v>1022486273</v>
      </c>
      <c r="I70" s="3">
        <v>1022581079</v>
      </c>
      <c r="J70" s="3">
        <v>1022695318</v>
      </c>
      <c r="K70" s="3">
        <v>1022820329</v>
      </c>
    </row>
    <row r="71" spans="1:11" ht="14.4" x14ac:dyDescent="0.3">
      <c r="A71" s="2" t="s">
        <v>46</v>
      </c>
      <c r="B71" s="9"/>
      <c r="C71" s="9"/>
      <c r="E71">
        <v>340600816</v>
      </c>
      <c r="F71">
        <v>340722032</v>
      </c>
      <c r="G71" s="9"/>
      <c r="H71" s="9"/>
    </row>
    <row r="72" spans="1:11" x14ac:dyDescent="0.25">
      <c r="A72" s="2" t="s">
        <v>47</v>
      </c>
      <c r="B72" s="3">
        <v>1</v>
      </c>
      <c r="C72" s="3">
        <v>1</v>
      </c>
      <c r="D72" s="3">
        <v>1</v>
      </c>
      <c r="E72" s="3">
        <v>1</v>
      </c>
      <c r="F72" s="3">
        <v>1</v>
      </c>
      <c r="G72" s="3">
        <v>1</v>
      </c>
      <c r="H72" s="3">
        <v>1</v>
      </c>
      <c r="I72" s="3">
        <v>1</v>
      </c>
      <c r="J72" s="3">
        <v>1</v>
      </c>
      <c r="K72" s="3">
        <v>1</v>
      </c>
    </row>
    <row r="73" spans="1:11" x14ac:dyDescent="0.25">
      <c r="H73" s="2">
        <f>H62-G62+H45</f>
        <v>-265.7499999999992</v>
      </c>
      <c r="I73" s="2">
        <f t="shared" ref="I73:K73" si="3">I62-H62+I45</f>
        <v>368.40999999999883</v>
      </c>
      <c r="J73" s="2">
        <f t="shared" si="3"/>
        <v>764.27000000000055</v>
      </c>
      <c r="K73" s="2">
        <f t="shared" si="3"/>
        <v>556.04</v>
      </c>
    </row>
    <row r="80" spans="1:11" x14ac:dyDescent="0.25">
      <c r="A80" s="1" t="s">
        <v>48</v>
      </c>
    </row>
    <row r="81" spans="1:12" s="6" customFormat="1" x14ac:dyDescent="0.25">
      <c r="A81" s="4" t="s">
        <v>11</v>
      </c>
      <c r="B81" s="5">
        <v>42094</v>
      </c>
      <c r="C81" s="5">
        <v>42460</v>
      </c>
      <c r="D81" s="5">
        <v>42825</v>
      </c>
      <c r="E81" s="5">
        <v>43190</v>
      </c>
      <c r="F81" s="5">
        <v>43555</v>
      </c>
      <c r="G81" s="5">
        <v>43921</v>
      </c>
      <c r="H81" s="5">
        <v>44286</v>
      </c>
      <c r="I81" s="5">
        <v>44651</v>
      </c>
      <c r="J81" s="5">
        <v>45016</v>
      </c>
      <c r="K81" s="5">
        <v>45382</v>
      </c>
      <c r="L81" s="5"/>
    </row>
    <row r="82" spans="1:12" s="1" customFormat="1" x14ac:dyDescent="0.25">
      <c r="A82" s="2" t="s">
        <v>49</v>
      </c>
      <c r="B82" s="3">
        <v>1026.73</v>
      </c>
      <c r="C82" s="3">
        <v>847.37</v>
      </c>
      <c r="D82" s="3">
        <v>1860.22</v>
      </c>
      <c r="E82" s="3">
        <v>1723.35</v>
      </c>
      <c r="F82" s="3">
        <v>1728.85</v>
      </c>
      <c r="G82" s="3">
        <v>1588.11</v>
      </c>
      <c r="H82" s="3">
        <v>2029.63</v>
      </c>
      <c r="I82" s="3">
        <v>1450.57</v>
      </c>
      <c r="J82" s="3">
        <v>2150.65</v>
      </c>
      <c r="K82" s="3">
        <v>2069.9499999999998</v>
      </c>
    </row>
    <row r="83" spans="1:12" x14ac:dyDescent="0.25">
      <c r="A83" s="2" t="s">
        <v>50</v>
      </c>
      <c r="B83" s="3">
        <v>-1235.8599999999999</v>
      </c>
      <c r="C83" s="3">
        <v>-621.59</v>
      </c>
      <c r="D83" s="3">
        <v>-2243.25</v>
      </c>
      <c r="E83" s="3">
        <v>-336.37</v>
      </c>
      <c r="F83" s="3">
        <v>274.07</v>
      </c>
      <c r="G83" s="3">
        <v>-552.12</v>
      </c>
      <c r="H83" s="3">
        <v>-292.14999999999998</v>
      </c>
      <c r="I83" s="3">
        <v>-844.32</v>
      </c>
      <c r="J83" s="3">
        <v>-1754.46</v>
      </c>
      <c r="K83" s="3">
        <v>-3435.01</v>
      </c>
    </row>
    <row r="84" spans="1:12" x14ac:dyDescent="0.25">
      <c r="A84" s="2" t="s">
        <v>51</v>
      </c>
      <c r="B84" s="3">
        <v>-12.04</v>
      </c>
      <c r="C84" s="3">
        <v>-202.47</v>
      </c>
      <c r="D84" s="3">
        <v>664.65</v>
      </c>
      <c r="E84" s="3">
        <v>-1384.01</v>
      </c>
      <c r="F84" s="3">
        <v>-2038.73</v>
      </c>
      <c r="G84" s="3">
        <v>-1295.33</v>
      </c>
      <c r="H84" s="3">
        <v>-1816.22</v>
      </c>
      <c r="I84" s="3">
        <v>-379.52</v>
      </c>
      <c r="J84" s="3">
        <v>-794.31</v>
      </c>
      <c r="K84" s="3">
        <v>1406.34</v>
      </c>
    </row>
    <row r="85" spans="1:12" s="1" customFormat="1" x14ac:dyDescent="0.25">
      <c r="A85" s="2" t="s">
        <v>52</v>
      </c>
      <c r="B85" s="3">
        <v>-221.17</v>
      </c>
      <c r="C85" s="3">
        <v>23.31</v>
      </c>
      <c r="D85" s="3">
        <v>281.62</v>
      </c>
      <c r="E85" s="3">
        <v>2.97</v>
      </c>
      <c r="F85" s="3">
        <v>-35.81</v>
      </c>
      <c r="G85" s="3">
        <v>-259.33999999999997</v>
      </c>
      <c r="H85" s="3">
        <v>-78.739999999999995</v>
      </c>
      <c r="I85" s="3">
        <v>226.73</v>
      </c>
      <c r="J85" s="3">
        <v>-398.12</v>
      </c>
      <c r="K85" s="3">
        <v>41.28</v>
      </c>
    </row>
    <row r="90" spans="1:12" s="1" customFormat="1" x14ac:dyDescent="0.25">
      <c r="A90" s="1" t="s">
        <v>53</v>
      </c>
      <c r="B90" s="3">
        <v>346.99</v>
      </c>
      <c r="C90" s="3">
        <v>460.27</v>
      </c>
      <c r="D90" s="3">
        <v>557.14</v>
      </c>
      <c r="E90" s="3">
        <v>729.1</v>
      </c>
      <c r="F90" s="3">
        <v>686</v>
      </c>
      <c r="G90" s="3">
        <v>520.85</v>
      </c>
      <c r="H90" s="3">
        <v>729.65</v>
      </c>
      <c r="I90" s="3">
        <v>747.3</v>
      </c>
      <c r="J90" s="3">
        <v>968.15</v>
      </c>
      <c r="K90" s="3">
        <v>1251.8</v>
      </c>
    </row>
    <row r="92" spans="1:12" s="1" customFormat="1" x14ac:dyDescent="0.25">
      <c r="A92" s="1" t="s">
        <v>54</v>
      </c>
    </row>
    <row r="93" spans="1:12" x14ac:dyDescent="0.25">
      <c r="A93" s="2" t="s">
        <v>55</v>
      </c>
      <c r="B93" s="10">
        <v>102.14</v>
      </c>
      <c r="C93" s="10">
        <v>102.16</v>
      </c>
      <c r="D93" s="10">
        <v>102.18</v>
      </c>
      <c r="E93" s="10">
        <v>102.2</v>
      </c>
      <c r="F93" s="10">
        <v>102.22</v>
      </c>
      <c r="G93" s="10">
        <v>102.23</v>
      </c>
      <c r="H93" s="10">
        <v>102.25</v>
      </c>
      <c r="I93" s="10">
        <v>102.26</v>
      </c>
      <c r="J93" s="10">
        <v>102.27</v>
      </c>
      <c r="K93" s="10">
        <v>102.28</v>
      </c>
    </row>
  </sheetData>
  <mergeCells count="2">
    <mergeCell ref="E1:K1"/>
    <mergeCell ref="E2:K2"/>
  </mergeCells>
  <conditionalFormatting sqref="E1:K1">
    <cfRule type="cellIs" dxfId="0" priority="1" operator="notEqual">
      <formula>""</formula>
    </cfRule>
  </conditionalFormatting>
  <hyperlinks>
    <hyperlink ref="E1:K1" r:id="rId1" display="https://www.screener.in/excel/" xr:uid="{53704CA6-975E-49B1-B117-50092339EC09}"/>
  </hyperlinks>
  <pageMargins left="0.7" right="0.7" top="0.75" bottom="0.75" header="0.3" footer="0.3"/>
  <pageSetup paperSize="9"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8F136-2883-4DF2-819F-24376A443DD4}">
  <dimension ref="B1:AM56"/>
  <sheetViews>
    <sheetView showGridLines="0" workbookViewId="0">
      <selection activeCell="N5" sqref="N5:N8"/>
    </sheetView>
  </sheetViews>
  <sheetFormatPr defaultRowHeight="14.4" x14ac:dyDescent="0.3"/>
  <cols>
    <col min="1" max="1" width="1.88671875" customWidth="1"/>
    <col min="3" max="3" width="15.21875" bestFit="1" customWidth="1"/>
    <col min="11" max="12" width="10.33203125" bestFit="1" customWidth="1"/>
    <col min="14" max="14" width="13" customWidth="1"/>
  </cols>
  <sheetData>
    <row r="1" spans="2:36" x14ac:dyDescent="0.3">
      <c r="O1" s="122" t="s">
        <v>251</v>
      </c>
      <c r="P1" s="122"/>
      <c r="Q1" t="s">
        <v>256</v>
      </c>
      <c r="S1" t="s">
        <v>254</v>
      </c>
      <c r="U1" t="s">
        <v>257</v>
      </c>
      <c r="W1" s="122" t="s">
        <v>250</v>
      </c>
      <c r="X1" s="122"/>
      <c r="AA1" t="s">
        <v>253</v>
      </c>
    </row>
    <row r="2" spans="2:36" x14ac:dyDescent="0.3">
      <c r="B2" t="s">
        <v>244</v>
      </c>
      <c r="C2" t="s">
        <v>210</v>
      </c>
      <c r="D2" t="s">
        <v>245</v>
      </c>
      <c r="E2" t="s">
        <v>246</v>
      </c>
      <c r="F2" t="s">
        <v>247</v>
      </c>
      <c r="G2" t="s">
        <v>248</v>
      </c>
      <c r="K2" s="89" t="s">
        <v>162</v>
      </c>
      <c r="L2" s="88" t="s">
        <v>249</v>
      </c>
      <c r="O2" t="s">
        <v>165</v>
      </c>
      <c r="P2" t="s">
        <v>169</v>
      </c>
      <c r="Q2" t="s">
        <v>165</v>
      </c>
      <c r="R2" t="s">
        <v>169</v>
      </c>
      <c r="S2" t="s">
        <v>165</v>
      </c>
      <c r="T2" t="s">
        <v>169</v>
      </c>
      <c r="U2" t="s">
        <v>165</v>
      </c>
      <c r="V2" t="s">
        <v>169</v>
      </c>
      <c r="W2" t="s">
        <v>165</v>
      </c>
      <c r="X2" t="s">
        <v>169</v>
      </c>
      <c r="Y2" s="123" t="s">
        <v>252</v>
      </c>
      <c r="AA2" t="s">
        <v>165</v>
      </c>
      <c r="AB2" t="s">
        <v>169</v>
      </c>
    </row>
    <row r="3" spans="2:36" x14ac:dyDescent="0.3">
      <c r="B3">
        <v>1</v>
      </c>
      <c r="C3" t="s">
        <v>242</v>
      </c>
      <c r="D3">
        <v>1336.15</v>
      </c>
      <c r="E3">
        <v>136678</v>
      </c>
      <c r="F3">
        <v>3222.2</v>
      </c>
      <c r="G3">
        <v>0.26</v>
      </c>
      <c r="K3" s="105">
        <v>45208</v>
      </c>
      <c r="L3" s="86"/>
      <c r="O3">
        <v>533.79</v>
      </c>
      <c r="Q3">
        <v>231.94</v>
      </c>
      <c r="S3">
        <v>501.56</v>
      </c>
      <c r="U3">
        <v>367.68</v>
      </c>
      <c r="W3">
        <v>371.17</v>
      </c>
      <c r="Y3" s="124">
        <v>1</v>
      </c>
      <c r="AA3" s="79">
        <v>2008.29</v>
      </c>
      <c r="AE3" t="s">
        <v>178</v>
      </c>
    </row>
    <row r="4" spans="2:36" ht="15" thickBot="1" x14ac:dyDescent="0.35">
      <c r="B4">
        <v>2</v>
      </c>
      <c r="C4" t="s">
        <v>243</v>
      </c>
      <c r="D4">
        <v>571.4</v>
      </c>
      <c r="E4">
        <v>101269.87</v>
      </c>
      <c r="F4">
        <v>1365.09</v>
      </c>
      <c r="G4">
        <v>0.14000000000000001</v>
      </c>
      <c r="K4" s="105">
        <v>45215</v>
      </c>
      <c r="L4" s="86">
        <v>5.2933027314270298E-3</v>
      </c>
      <c r="O4">
        <v>519.88</v>
      </c>
      <c r="P4" s="86">
        <f t="shared" ref="P4" si="0">O4/O3-1</f>
        <v>-2.6058937035163598E-2</v>
      </c>
      <c r="Q4">
        <v>235.29</v>
      </c>
      <c r="R4" s="86">
        <f t="shared" ref="R4:R56" si="1">Q4/Q3-1</f>
        <v>1.4443390532034028E-2</v>
      </c>
      <c r="S4">
        <v>501.37</v>
      </c>
      <c r="T4" s="86">
        <f>(S4/S3-1)</f>
        <v>-3.7881808756679014E-4</v>
      </c>
      <c r="U4">
        <v>364.71</v>
      </c>
      <c r="V4" s="86">
        <f>(U4/U3-1)</f>
        <v>-8.0776762402089419E-3</v>
      </c>
      <c r="W4">
        <v>369.86</v>
      </c>
      <c r="X4" s="86">
        <f t="shared" ref="X4:X35" si="2">W4/W3-1</f>
        <v>-3.5293800684322862E-3</v>
      </c>
      <c r="Y4" s="124">
        <v>2</v>
      </c>
      <c r="AA4" s="79">
        <v>2068.66</v>
      </c>
      <c r="AB4" s="86">
        <f t="shared" ref="AB4:AB56" si="3">AA4/AA3-1</f>
        <v>3.006039964347762E-2</v>
      </c>
    </row>
    <row r="5" spans="2:36" x14ac:dyDescent="0.3">
      <c r="B5">
        <v>3</v>
      </c>
      <c r="C5" t="s">
        <v>254</v>
      </c>
      <c r="D5">
        <v>700.85</v>
      </c>
      <c r="E5">
        <v>30592.1</v>
      </c>
      <c r="F5">
        <v>93.95</v>
      </c>
      <c r="G5">
        <v>0.04</v>
      </c>
      <c r="K5" s="105">
        <v>45222</v>
      </c>
      <c r="L5" s="86">
        <v>-9.1528003455443319E-4</v>
      </c>
      <c r="M5" t="s">
        <v>258</v>
      </c>
      <c r="N5" s="92">
        <f>((_xlfn.COVARIANCE.S($L$4:$L$56,$P$4:$P$56)/_xlfn.VAR.S($L$4:$L$56)))</f>
        <v>0.690292209817012</v>
      </c>
      <c r="O5">
        <v>519.63</v>
      </c>
      <c r="P5" s="86">
        <f t="shared" ref="P5" si="4">O5/O4-1</f>
        <v>-4.808802031237569E-4</v>
      </c>
      <c r="Q5">
        <v>236.67</v>
      </c>
      <c r="R5" s="86">
        <f t="shared" si="1"/>
        <v>5.8651026392961825E-3</v>
      </c>
      <c r="S5">
        <v>496.55</v>
      </c>
      <c r="T5" s="86">
        <f t="shared" ref="T5:T56" si="5">(S5/S4-1)</f>
        <v>-9.6136585755031145E-3</v>
      </c>
      <c r="U5">
        <v>359.25</v>
      </c>
      <c r="V5" s="86">
        <f t="shared" ref="V5:V56" si="6">(U5/U4-1)</f>
        <v>-1.4970798716788636E-2</v>
      </c>
      <c r="W5">
        <v>367.96</v>
      </c>
      <c r="X5" s="86">
        <f t="shared" si="2"/>
        <v>-5.1370788947170398E-3</v>
      </c>
      <c r="Y5" s="124">
        <v>3</v>
      </c>
      <c r="AA5" s="79">
        <v>2039.01</v>
      </c>
      <c r="AB5" s="86">
        <f t="shared" si="3"/>
        <v>-1.4332949832258524E-2</v>
      </c>
      <c r="AE5" s="96" t="s">
        <v>179</v>
      </c>
      <c r="AF5" s="96"/>
    </row>
    <row r="6" spans="2:36" x14ac:dyDescent="0.3">
      <c r="B6">
        <v>4</v>
      </c>
      <c r="C6" t="s">
        <v>255</v>
      </c>
      <c r="D6">
        <v>512.1</v>
      </c>
      <c r="E6">
        <v>18804.75</v>
      </c>
      <c r="F6">
        <v>50.56</v>
      </c>
      <c r="G6">
        <v>0.03</v>
      </c>
      <c r="K6" s="105">
        <v>45229</v>
      </c>
      <c r="L6" s="86">
        <v>3.3886092497092068E-2</v>
      </c>
      <c r="M6" t="s">
        <v>259</v>
      </c>
      <c r="N6" s="92">
        <f>((_xlfn.COVARIANCE.S($L$4:$L$56,R$4:R$56)/_xlfn.VAR.S($L$4:$L$56)))</f>
        <v>0.41363446043263175</v>
      </c>
      <c r="O6">
        <v>530.47</v>
      </c>
      <c r="P6" s="86">
        <f t="shared" ref="P6" si="7">O6/O5-1</f>
        <v>2.0860997248042024E-2</v>
      </c>
      <c r="Q6">
        <v>231.99</v>
      </c>
      <c r="R6" s="86">
        <f t="shared" si="1"/>
        <v>-1.9774369375079148E-2</v>
      </c>
      <c r="S6">
        <v>500.43</v>
      </c>
      <c r="T6" s="86">
        <f t="shared" si="5"/>
        <v>7.8139160205417113E-3</v>
      </c>
      <c r="U6">
        <v>359.54</v>
      </c>
      <c r="V6" s="86">
        <f t="shared" si="6"/>
        <v>8.0723729993037452E-4</v>
      </c>
      <c r="W6">
        <v>380.1</v>
      </c>
      <c r="X6" s="86">
        <f t="shared" si="2"/>
        <v>3.2992716599630434E-2</v>
      </c>
      <c r="Y6" s="124">
        <v>4</v>
      </c>
      <c r="AA6" s="79">
        <v>2062.98</v>
      </c>
      <c r="AB6" s="86">
        <f t="shared" si="3"/>
        <v>1.175570497447298E-2</v>
      </c>
      <c r="AE6" s="93" t="s">
        <v>180</v>
      </c>
      <c r="AF6" s="93">
        <v>0.7570339471149391</v>
      </c>
    </row>
    <row r="7" spans="2:36" x14ac:dyDescent="0.3">
      <c r="B7">
        <v>5</v>
      </c>
      <c r="C7" t="s">
        <v>256</v>
      </c>
      <c r="D7">
        <v>228.98</v>
      </c>
      <c r="E7">
        <v>3269.69</v>
      </c>
      <c r="F7">
        <v>8.75</v>
      </c>
      <c r="G7">
        <v>0.01</v>
      </c>
      <c r="K7" s="105">
        <v>45236</v>
      </c>
      <c r="L7" s="86">
        <v>-3.566272737228815E-2</v>
      </c>
      <c r="M7" t="s">
        <v>260</v>
      </c>
      <c r="N7" s="92">
        <f>((_xlfn.COVARIANCE.S($L$4:$L$56,T$4:T$56)/_xlfn.VAR.S($L$4:$L$56)))</f>
        <v>0.58255316530926149</v>
      </c>
      <c r="O7">
        <v>528.34</v>
      </c>
      <c r="P7" s="86">
        <f t="shared" ref="P7" si="8">O7/O6-1</f>
        <v>-4.0153071804248652E-3</v>
      </c>
      <c r="Q7">
        <v>222.91</v>
      </c>
      <c r="R7" s="86">
        <f t="shared" si="1"/>
        <v>-3.9139618086986516E-2</v>
      </c>
      <c r="S7">
        <v>504.61</v>
      </c>
      <c r="T7" s="86">
        <f t="shared" si="5"/>
        <v>8.3528165777431163E-3</v>
      </c>
      <c r="U7">
        <v>411.01</v>
      </c>
      <c r="V7" s="86">
        <f t="shared" si="6"/>
        <v>0.14315514268231611</v>
      </c>
      <c r="W7">
        <v>402.94</v>
      </c>
      <c r="X7" s="86">
        <f t="shared" si="2"/>
        <v>6.0089450144698686E-2</v>
      </c>
      <c r="Y7" s="124">
        <v>5</v>
      </c>
      <c r="AA7" s="79">
        <v>2065.33</v>
      </c>
      <c r="AB7" s="86">
        <f t="shared" si="3"/>
        <v>1.1391288330473426E-3</v>
      </c>
      <c r="AE7" s="93" t="s">
        <v>181</v>
      </c>
      <c r="AF7" s="93">
        <v>0.5731003970844244</v>
      </c>
    </row>
    <row r="8" spans="2:36" x14ac:dyDescent="0.3">
      <c r="K8" s="105">
        <v>45243</v>
      </c>
      <c r="L8" s="86">
        <v>1.786101446432431E-2</v>
      </c>
      <c r="M8" t="s">
        <v>261</v>
      </c>
      <c r="N8" s="92">
        <f>((_xlfn.COVARIANCE.S($L$4:$L$56,V$4:V$56)/_xlfn.VAR.S($L$4:$L$56)))</f>
        <v>0.47654061646755935</v>
      </c>
      <c r="O8">
        <v>538.39</v>
      </c>
      <c r="P8" s="86">
        <f t="shared" ref="P8" si="9">O8/O7-1</f>
        <v>1.9021841995684463E-2</v>
      </c>
      <c r="Q8">
        <v>222.52</v>
      </c>
      <c r="R8" s="86">
        <f t="shared" si="1"/>
        <v>-1.749585034318768E-3</v>
      </c>
      <c r="S8">
        <v>484.2</v>
      </c>
      <c r="T8" s="86">
        <f t="shared" si="5"/>
        <v>-4.0447077941380472E-2</v>
      </c>
      <c r="U8">
        <v>449.03</v>
      </c>
      <c r="V8" s="86">
        <f t="shared" si="6"/>
        <v>9.2503832023551613E-2</v>
      </c>
      <c r="W8">
        <v>416.68</v>
      </c>
      <c r="X8" s="86">
        <f t="shared" si="2"/>
        <v>3.4099369633195931E-2</v>
      </c>
      <c r="Y8" s="124">
        <v>6</v>
      </c>
      <c r="AA8" s="79">
        <v>2144.69</v>
      </c>
      <c r="AB8" s="86">
        <f t="shared" si="3"/>
        <v>3.8424852202795678E-2</v>
      </c>
      <c r="AE8" s="93" t="s">
        <v>182</v>
      </c>
      <c r="AF8" s="93">
        <v>0.56472981663509936</v>
      </c>
    </row>
    <row r="9" spans="2:36" x14ac:dyDescent="0.3">
      <c r="K9" s="105">
        <v>45250</v>
      </c>
      <c r="L9" s="86">
        <v>1.2587611193946469E-2</v>
      </c>
      <c r="O9">
        <v>535.05999999999995</v>
      </c>
      <c r="P9" s="86">
        <f t="shared" ref="P9" si="10">O9/O8-1</f>
        <v>-6.1851074499899017E-3</v>
      </c>
      <c r="Q9">
        <v>219.91</v>
      </c>
      <c r="R9" s="86">
        <f t="shared" si="1"/>
        <v>-1.172928276110019E-2</v>
      </c>
      <c r="S9">
        <v>499.33</v>
      </c>
      <c r="T9" s="86">
        <f t="shared" si="5"/>
        <v>3.1247418422139628E-2</v>
      </c>
      <c r="U9">
        <v>436.43</v>
      </c>
      <c r="V9" s="86">
        <f t="shared" si="6"/>
        <v>-2.8060485936351576E-2</v>
      </c>
      <c r="W9">
        <v>426.54</v>
      </c>
      <c r="X9" s="86">
        <f t="shared" si="2"/>
        <v>2.3663242776231108E-2</v>
      </c>
      <c r="Y9" s="124">
        <v>7</v>
      </c>
      <c r="AA9" s="79">
        <v>2174.0500000000002</v>
      </c>
      <c r="AB9" s="86">
        <f t="shared" si="3"/>
        <v>1.3689624141484336E-2</v>
      </c>
      <c r="AE9" s="93" t="s">
        <v>183</v>
      </c>
      <c r="AF9" s="93">
        <v>2.0182788862623077E-2</v>
      </c>
    </row>
    <row r="10" spans="2:36" ht="15" thickBot="1" x14ac:dyDescent="0.35">
      <c r="K10" s="105">
        <v>45257</v>
      </c>
      <c r="L10" s="86">
        <v>1.5756786537113099E-2</v>
      </c>
      <c r="O10">
        <v>538.84</v>
      </c>
      <c r="P10" s="86">
        <f t="shared" ref="P10" si="11">O10/O9-1</f>
        <v>7.0646282659889703E-3</v>
      </c>
      <c r="Q10">
        <v>218.48</v>
      </c>
      <c r="R10" s="86">
        <f t="shared" si="1"/>
        <v>-6.5026601791642324E-3</v>
      </c>
      <c r="S10">
        <v>511.33</v>
      </c>
      <c r="T10" s="86">
        <f t="shared" si="5"/>
        <v>2.4032203152223985E-2</v>
      </c>
      <c r="U10">
        <v>440.79</v>
      </c>
      <c r="V10" s="86">
        <f t="shared" si="6"/>
        <v>9.9901473317600686E-3</v>
      </c>
      <c r="W10">
        <v>434.89</v>
      </c>
      <c r="X10" s="86">
        <f t="shared" si="2"/>
        <v>1.9576124161860387E-2</v>
      </c>
      <c r="Y10" s="124">
        <v>8</v>
      </c>
      <c r="AA10" s="79">
        <v>2257.39</v>
      </c>
      <c r="AB10" s="86">
        <f t="shared" si="3"/>
        <v>3.8333984958947465E-2</v>
      </c>
      <c r="AE10" s="94" t="s">
        <v>184</v>
      </c>
      <c r="AF10" s="94">
        <v>53</v>
      </c>
    </row>
    <row r="11" spans="2:36" x14ac:dyDescent="0.3">
      <c r="K11" s="105">
        <v>45264</v>
      </c>
      <c r="L11" s="86">
        <v>-3.7572852874174778E-3</v>
      </c>
      <c r="O11">
        <v>545.16999999999996</v>
      </c>
      <c r="P11" s="86">
        <f t="shared" ref="P11" si="12">O11/O10-1</f>
        <v>1.1747457501299019E-2</v>
      </c>
      <c r="Q11">
        <v>215.77</v>
      </c>
      <c r="R11" s="86">
        <f t="shared" si="1"/>
        <v>-1.2403881362138325E-2</v>
      </c>
      <c r="S11">
        <v>493.63</v>
      </c>
      <c r="T11" s="86">
        <f t="shared" si="5"/>
        <v>-3.4615610271253372E-2</v>
      </c>
      <c r="U11">
        <v>450.07</v>
      </c>
      <c r="V11" s="86">
        <f t="shared" si="6"/>
        <v>2.1053109190317221E-2</v>
      </c>
      <c r="W11">
        <v>426.06</v>
      </c>
      <c r="X11" s="86">
        <f t="shared" si="2"/>
        <v>-2.0303984915725826E-2</v>
      </c>
      <c r="Y11" s="124">
        <v>9</v>
      </c>
      <c r="AA11" s="79">
        <v>2271.81</v>
      </c>
      <c r="AB11" s="86">
        <f t="shared" si="3"/>
        <v>6.3879081594231391E-3</v>
      </c>
    </row>
    <row r="12" spans="2:36" ht="15" thickBot="1" x14ac:dyDescent="0.35">
      <c r="K12" s="105">
        <v>45271</v>
      </c>
      <c r="L12" s="86">
        <v>2.0163924689671431E-2</v>
      </c>
      <c r="O12">
        <v>537.4</v>
      </c>
      <c r="P12" s="86">
        <f t="shared" ref="P12" si="13">O12/O11-1</f>
        <v>-1.425243502026885E-2</v>
      </c>
      <c r="Q12">
        <v>217.49</v>
      </c>
      <c r="R12" s="86">
        <f t="shared" si="1"/>
        <v>7.9714510821708995E-3</v>
      </c>
      <c r="S12">
        <v>494.13</v>
      </c>
      <c r="T12" s="86">
        <f t="shared" si="5"/>
        <v>1.0129044020825706E-3</v>
      </c>
      <c r="U12">
        <v>458.86</v>
      </c>
      <c r="V12" s="86">
        <f t="shared" si="6"/>
        <v>1.953029528739969E-2</v>
      </c>
      <c r="W12">
        <v>438.86</v>
      </c>
      <c r="X12" s="86">
        <f t="shared" si="2"/>
        <v>3.0042716988217588E-2</v>
      </c>
      <c r="Y12" s="124">
        <v>10</v>
      </c>
      <c r="AA12" s="79">
        <v>2362.8200000000002</v>
      </c>
      <c r="AB12" s="86">
        <f t="shared" si="3"/>
        <v>4.0060568445424716E-2</v>
      </c>
      <c r="AE12" t="s">
        <v>185</v>
      </c>
    </row>
    <row r="13" spans="2:36" x14ac:dyDescent="0.3">
      <c r="K13" s="105">
        <v>45278</v>
      </c>
      <c r="L13" s="86">
        <v>3.0797892469362154E-2</v>
      </c>
      <c r="O13">
        <v>527.04</v>
      </c>
      <c r="P13" s="86">
        <f t="shared" ref="P13" si="14">O13/O12-1</f>
        <v>-1.9278005210271676E-2</v>
      </c>
      <c r="Q13">
        <v>211.67</v>
      </c>
      <c r="R13" s="86">
        <f t="shared" si="1"/>
        <v>-2.6759851027633563E-2</v>
      </c>
      <c r="S13">
        <v>490.46</v>
      </c>
      <c r="T13" s="86">
        <f t="shared" si="5"/>
        <v>-7.4271952724991319E-3</v>
      </c>
      <c r="U13">
        <v>475.74</v>
      </c>
      <c r="V13" s="86">
        <f t="shared" si="6"/>
        <v>3.6786819509218471E-2</v>
      </c>
      <c r="W13">
        <v>494.6</v>
      </c>
      <c r="X13" s="86">
        <f t="shared" si="2"/>
        <v>0.12701089185617276</v>
      </c>
      <c r="Y13" s="124">
        <v>11</v>
      </c>
      <c r="AA13" s="79">
        <v>2383.5700000000002</v>
      </c>
      <c r="AB13" s="86">
        <f t="shared" si="3"/>
        <v>8.7818792798435297E-3</v>
      </c>
      <c r="AE13" s="95"/>
      <c r="AF13" s="95" t="s">
        <v>189</v>
      </c>
      <c r="AG13" s="95" t="s">
        <v>190</v>
      </c>
      <c r="AH13" s="95" t="s">
        <v>191</v>
      </c>
      <c r="AI13" s="95" t="s">
        <v>192</v>
      </c>
      <c r="AJ13" s="95" t="s">
        <v>193</v>
      </c>
    </row>
    <row r="14" spans="2:36" x14ac:dyDescent="0.3">
      <c r="K14" s="105">
        <v>45285</v>
      </c>
      <c r="L14" s="86">
        <v>5.3015541310139191E-2</v>
      </c>
      <c r="O14">
        <v>554.82000000000005</v>
      </c>
      <c r="P14" s="86">
        <f t="shared" ref="P14" si="15">O14/O13-1</f>
        <v>5.2709471766849036E-2</v>
      </c>
      <c r="Q14">
        <v>216.55</v>
      </c>
      <c r="R14" s="86">
        <f t="shared" si="1"/>
        <v>2.3054755043227848E-2</v>
      </c>
      <c r="S14">
        <v>558.86</v>
      </c>
      <c r="T14" s="86">
        <f t="shared" si="5"/>
        <v>0.13946091424377127</v>
      </c>
      <c r="U14">
        <v>475.39</v>
      </c>
      <c r="V14" s="86">
        <f t="shared" si="6"/>
        <v>-7.3569596838618523E-4</v>
      </c>
      <c r="W14">
        <v>493.93</v>
      </c>
      <c r="X14" s="86">
        <f t="shared" si="2"/>
        <v>-1.3546300040436776E-3</v>
      </c>
      <c r="Y14" s="124">
        <v>12</v>
      </c>
      <c r="AA14" s="79">
        <v>2505.44</v>
      </c>
      <c r="AB14" s="86">
        <f t="shared" si="3"/>
        <v>5.1129188570085971E-2</v>
      </c>
      <c r="AE14" s="93" t="s">
        <v>186</v>
      </c>
      <c r="AF14" s="93">
        <v>1</v>
      </c>
      <c r="AG14" s="93">
        <v>2.7889291947531543E-2</v>
      </c>
      <c r="AH14" s="93">
        <v>2.7889291947531543E-2</v>
      </c>
      <c r="AI14" s="93">
        <v>68.46602819887336</v>
      </c>
      <c r="AJ14" s="93">
        <v>5.4238380259966659E-11</v>
      </c>
    </row>
    <row r="15" spans="2:36" x14ac:dyDescent="0.3">
      <c r="K15" s="105">
        <v>45292</v>
      </c>
      <c r="L15" s="86">
        <v>7.8371251061547298E-2</v>
      </c>
      <c r="O15">
        <v>566.62</v>
      </c>
      <c r="P15" s="86">
        <f t="shared" ref="P15" si="16">O15/O14-1</f>
        <v>2.1268159042572288E-2</v>
      </c>
      <c r="Q15">
        <v>224.34</v>
      </c>
      <c r="R15" s="86">
        <f t="shared" si="1"/>
        <v>3.5973216347263914E-2</v>
      </c>
      <c r="S15">
        <v>559.9</v>
      </c>
      <c r="T15" s="86">
        <f t="shared" si="5"/>
        <v>1.8609311813333473E-3</v>
      </c>
      <c r="U15">
        <v>514.15</v>
      </c>
      <c r="V15" s="86">
        <f t="shared" si="6"/>
        <v>8.1533057068932768E-2</v>
      </c>
      <c r="W15">
        <v>510.8</v>
      </c>
      <c r="X15" s="86">
        <f t="shared" si="2"/>
        <v>3.4154637296782919E-2</v>
      </c>
      <c r="Y15" s="124">
        <v>13</v>
      </c>
      <c r="AA15" s="79">
        <v>2490.54</v>
      </c>
      <c r="AB15" s="86">
        <f t="shared" si="3"/>
        <v>-5.9470591991825916E-3</v>
      </c>
      <c r="AE15" s="93" t="s">
        <v>187</v>
      </c>
      <c r="AF15" s="93">
        <v>51</v>
      </c>
      <c r="AG15" s="93">
        <v>2.0774593279934327E-2</v>
      </c>
      <c r="AH15" s="93">
        <v>4.073449662732221E-4</v>
      </c>
      <c r="AI15" s="93"/>
      <c r="AJ15" s="93"/>
    </row>
    <row r="16" spans="2:36" ht="15" thickBot="1" x14ac:dyDescent="0.35">
      <c r="K16" s="105">
        <v>45299</v>
      </c>
      <c r="L16" s="86">
        <v>-5.2755487764440501E-2</v>
      </c>
      <c r="O16">
        <v>547.36</v>
      </c>
      <c r="P16" s="86">
        <f t="shared" ref="P16" si="17">O16/O15-1</f>
        <v>-3.3991034555786892E-2</v>
      </c>
      <c r="Q16">
        <v>223.16</v>
      </c>
      <c r="R16" s="86">
        <f t="shared" si="1"/>
        <v>-5.2598734064367436E-3</v>
      </c>
      <c r="S16">
        <v>520.20000000000005</v>
      </c>
      <c r="T16" s="86">
        <f t="shared" si="5"/>
        <v>-7.0905518842650395E-2</v>
      </c>
      <c r="U16">
        <v>501.84</v>
      </c>
      <c r="V16" s="86">
        <f t="shared" si="6"/>
        <v>-2.3942429252163722E-2</v>
      </c>
      <c r="W16">
        <v>505.17</v>
      </c>
      <c r="X16" s="86">
        <f t="shared" si="2"/>
        <v>-1.1021926389976455E-2</v>
      </c>
      <c r="Y16" s="124">
        <v>14</v>
      </c>
      <c r="AA16" s="79">
        <v>2427.84</v>
      </c>
      <c r="AB16" s="86">
        <f t="shared" si="3"/>
        <v>-2.5175263195933328E-2</v>
      </c>
      <c r="AE16" s="94" t="s">
        <v>37</v>
      </c>
      <c r="AF16" s="94">
        <v>52</v>
      </c>
      <c r="AG16" s="94">
        <v>4.866388522746587E-2</v>
      </c>
      <c r="AH16" s="94"/>
      <c r="AI16" s="94"/>
      <c r="AJ16" s="94"/>
    </row>
    <row r="17" spans="11:39" ht="15" thickBot="1" x14ac:dyDescent="0.35">
      <c r="K17" s="105">
        <v>45306</v>
      </c>
      <c r="L17" s="86">
        <v>-5.4083382924353662E-3</v>
      </c>
      <c r="O17">
        <v>539.99</v>
      </c>
      <c r="P17" s="86">
        <f t="shared" ref="P17" si="18">O17/O16-1</f>
        <v>-1.3464630225080376E-2</v>
      </c>
      <c r="Q17">
        <v>218.77</v>
      </c>
      <c r="R17" s="86">
        <f t="shared" si="1"/>
        <v>-1.9671984226563799E-2</v>
      </c>
      <c r="S17">
        <v>496.06</v>
      </c>
      <c r="T17" s="86">
        <f t="shared" si="5"/>
        <v>-4.6405228758169992E-2</v>
      </c>
      <c r="U17">
        <v>526.21</v>
      </c>
      <c r="V17" s="86">
        <f t="shared" si="6"/>
        <v>4.8561294436473945E-2</v>
      </c>
      <c r="W17">
        <v>506.09</v>
      </c>
      <c r="X17" s="86">
        <f t="shared" si="2"/>
        <v>1.8211691113880768E-3</v>
      </c>
      <c r="Y17" s="124">
        <v>15</v>
      </c>
      <c r="AA17" s="79">
        <v>2466.52</v>
      </c>
      <c r="AB17" s="86">
        <f t="shared" si="3"/>
        <v>1.5931857124027893E-2</v>
      </c>
    </row>
    <row r="18" spans="11:39" x14ac:dyDescent="0.3">
      <c r="K18" s="105">
        <v>45313</v>
      </c>
      <c r="L18" s="86">
        <v>7.0039595248569952E-3</v>
      </c>
      <c r="O18">
        <v>529.33000000000004</v>
      </c>
      <c r="P18" s="86">
        <f t="shared" ref="P18" si="19">O18/O17-1</f>
        <v>-1.9741106316783608E-2</v>
      </c>
      <c r="Q18">
        <v>213.74</v>
      </c>
      <c r="R18" s="86">
        <f t="shared" si="1"/>
        <v>-2.2992183571787672E-2</v>
      </c>
      <c r="S18">
        <v>488.23</v>
      </c>
      <c r="T18" s="86">
        <f t="shared" si="5"/>
        <v>-1.5784380921662677E-2</v>
      </c>
      <c r="U18">
        <v>542.59</v>
      </c>
      <c r="V18" s="86">
        <f t="shared" si="6"/>
        <v>3.1128256779612729E-2</v>
      </c>
      <c r="W18">
        <v>502.11</v>
      </c>
      <c r="X18" s="86">
        <f t="shared" si="2"/>
        <v>-7.8642138750023571E-3</v>
      </c>
      <c r="Y18" s="124">
        <v>16</v>
      </c>
      <c r="AA18" s="79">
        <v>2468.65</v>
      </c>
      <c r="AB18" s="86">
        <f t="shared" si="3"/>
        <v>8.6356486061345272E-4</v>
      </c>
      <c r="AE18" s="95"/>
      <c r="AF18" s="95" t="s">
        <v>194</v>
      </c>
      <c r="AG18" s="95" t="s">
        <v>183</v>
      </c>
      <c r="AH18" s="95" t="s">
        <v>195</v>
      </c>
      <c r="AI18" s="95" t="s">
        <v>196</v>
      </c>
      <c r="AJ18" s="95" t="s">
        <v>197</v>
      </c>
      <c r="AK18" s="95" t="s">
        <v>198</v>
      </c>
      <c r="AL18" s="95" t="s">
        <v>199</v>
      </c>
      <c r="AM18" s="95" t="s">
        <v>200</v>
      </c>
    </row>
    <row r="19" spans="11:39" x14ac:dyDescent="0.3">
      <c r="K19" s="105">
        <v>45320</v>
      </c>
      <c r="L19" s="86">
        <v>6.8739842371074555E-2</v>
      </c>
      <c r="O19">
        <v>542.33000000000004</v>
      </c>
      <c r="P19" s="86">
        <f t="shared" ref="P19" si="20">O19/O18-1</f>
        <v>2.455934861050757E-2</v>
      </c>
      <c r="Q19">
        <v>218.38</v>
      </c>
      <c r="R19" s="86">
        <f t="shared" si="1"/>
        <v>2.1708617947038489E-2</v>
      </c>
      <c r="S19">
        <v>497.1</v>
      </c>
      <c r="T19" s="86">
        <f t="shared" si="5"/>
        <v>1.8167666878315503E-2</v>
      </c>
      <c r="U19">
        <v>505.96</v>
      </c>
      <c r="V19" s="86">
        <f t="shared" si="6"/>
        <v>-6.7509537588234303E-2</v>
      </c>
      <c r="W19">
        <v>513.42999999999995</v>
      </c>
      <c r="X19" s="86">
        <f t="shared" si="2"/>
        <v>2.254486068789685E-2</v>
      </c>
      <c r="Y19" s="124">
        <v>17</v>
      </c>
      <c r="AA19" s="79">
        <v>2517.38</v>
      </c>
      <c r="AB19" s="86">
        <f t="shared" si="3"/>
        <v>1.9739533753265981E-2</v>
      </c>
      <c r="AE19" s="93" t="s">
        <v>188</v>
      </c>
      <c r="AF19" s="93">
        <v>-2.9898854486871355E-3</v>
      </c>
      <c r="AG19" s="93">
        <v>2.8273349225519892E-3</v>
      </c>
      <c r="AH19" s="93">
        <v>-1.0574924904858551</v>
      </c>
      <c r="AI19" s="93">
        <v>0.29527027433188696</v>
      </c>
      <c r="AJ19" s="93">
        <v>-8.6659971524496865E-3</v>
      </c>
      <c r="AK19" s="93">
        <v>2.6862262550754164E-3</v>
      </c>
      <c r="AL19" s="93">
        <v>-8.6659971524496865E-3</v>
      </c>
      <c r="AM19" s="93">
        <v>2.6862262550754164E-3</v>
      </c>
    </row>
    <row r="20" spans="11:39" ht="15" thickBot="1" x14ac:dyDescent="0.35">
      <c r="K20" s="105">
        <v>45327</v>
      </c>
      <c r="L20" s="86">
        <v>-1.4716342498344415E-2</v>
      </c>
      <c r="O20">
        <v>536.9</v>
      </c>
      <c r="P20" s="86">
        <f t="shared" ref="P20" si="21">O20/O19-1</f>
        <v>-1.0012354101746279E-2</v>
      </c>
      <c r="Q20">
        <v>209.31</v>
      </c>
      <c r="R20" s="86">
        <f t="shared" si="1"/>
        <v>-4.1533107427420113E-2</v>
      </c>
      <c r="S20">
        <v>480.35</v>
      </c>
      <c r="T20" s="86">
        <f t="shared" si="5"/>
        <v>-3.3695433514383422E-2</v>
      </c>
      <c r="U20">
        <v>442.33</v>
      </c>
      <c r="V20" s="86">
        <f t="shared" si="6"/>
        <v>-0.1257609297177642</v>
      </c>
      <c r="W20">
        <v>547.08000000000004</v>
      </c>
      <c r="X20" s="86">
        <f t="shared" si="2"/>
        <v>6.5539606178057541E-2</v>
      </c>
      <c r="Y20" s="124">
        <v>18</v>
      </c>
      <c r="AA20" s="79">
        <v>2509.85</v>
      </c>
      <c r="AB20" s="86">
        <f t="shared" si="3"/>
        <v>-2.9912051418539143E-3</v>
      </c>
      <c r="AE20" s="94" t="s">
        <v>201</v>
      </c>
      <c r="AF20" s="94">
        <v>0.69029220981701211</v>
      </c>
      <c r="AG20" s="94">
        <v>8.3424844330846487E-2</v>
      </c>
      <c r="AH20" s="94">
        <v>8.2744201125440444</v>
      </c>
      <c r="AI20" s="94">
        <v>5.4238380259966052E-11</v>
      </c>
      <c r="AJ20" s="94">
        <v>0.52280984629727967</v>
      </c>
      <c r="AK20" s="94">
        <v>0.85777457333674456</v>
      </c>
      <c r="AL20" s="94">
        <v>0.52280984629727967</v>
      </c>
      <c r="AM20" s="94">
        <v>0.85777457333674456</v>
      </c>
    </row>
    <row r="21" spans="11:39" x14ac:dyDescent="0.3">
      <c r="K21" s="105">
        <v>45334</v>
      </c>
      <c r="L21" s="86">
        <v>1.8628695659389294E-2</v>
      </c>
      <c r="O21">
        <v>542.17999999999995</v>
      </c>
      <c r="P21" s="86">
        <f t="shared" ref="P21" si="22">O21/O20-1</f>
        <v>9.8342335630470235E-3</v>
      </c>
      <c r="Q21">
        <v>209.11</v>
      </c>
      <c r="R21" s="86">
        <f t="shared" si="1"/>
        <v>-9.5552051980307695E-4</v>
      </c>
      <c r="S21">
        <v>456.01</v>
      </c>
      <c r="T21" s="86">
        <f t="shared" si="5"/>
        <v>-5.0671385448110784E-2</v>
      </c>
      <c r="U21">
        <v>468.54</v>
      </c>
      <c r="V21" s="86">
        <f t="shared" si="6"/>
        <v>5.9254402821423025E-2</v>
      </c>
      <c r="W21">
        <v>568.26</v>
      </c>
      <c r="X21" s="86">
        <f t="shared" si="2"/>
        <v>3.871463040140366E-2</v>
      </c>
      <c r="Y21" s="124">
        <v>19</v>
      </c>
      <c r="AA21" s="79">
        <v>2554.86</v>
      </c>
      <c r="AB21" s="86">
        <f t="shared" si="3"/>
        <v>1.7933342630037652E-2</v>
      </c>
    </row>
    <row r="22" spans="11:39" x14ac:dyDescent="0.3">
      <c r="K22" s="105">
        <v>45341</v>
      </c>
      <c r="L22" s="86">
        <v>7.7306570651201056E-3</v>
      </c>
      <c r="O22">
        <v>533.02</v>
      </c>
      <c r="P22" s="86">
        <f t="shared" ref="P22" si="23">O22/O21-1</f>
        <v>-1.6894758198384263E-2</v>
      </c>
      <c r="Q22">
        <v>239.3</v>
      </c>
      <c r="R22" s="86">
        <f t="shared" si="1"/>
        <v>0.14437377456840905</v>
      </c>
      <c r="S22">
        <v>458.35</v>
      </c>
      <c r="T22" s="86">
        <f t="shared" si="5"/>
        <v>5.1314664152102285E-3</v>
      </c>
      <c r="U22">
        <v>466.26</v>
      </c>
      <c r="V22" s="86">
        <f t="shared" si="6"/>
        <v>-4.8661800486619056E-3</v>
      </c>
      <c r="W22">
        <v>604.78</v>
      </c>
      <c r="X22" s="86">
        <f t="shared" si="2"/>
        <v>6.4266356949283843E-2</v>
      </c>
      <c r="Y22" s="124">
        <v>20</v>
      </c>
      <c r="AA22" s="79">
        <v>2521.98</v>
      </c>
      <c r="AB22" s="86">
        <f t="shared" si="3"/>
        <v>-1.2869589723116026E-2</v>
      </c>
    </row>
    <row r="23" spans="11:39" x14ac:dyDescent="0.3">
      <c r="K23" s="105">
        <v>45348</v>
      </c>
      <c r="L23" s="86">
        <v>1.3192462835571295E-2</v>
      </c>
      <c r="O23">
        <v>538.79</v>
      </c>
      <c r="P23" s="86">
        <f t="shared" ref="P23" si="24">O23/O22-1</f>
        <v>1.0825109751979145E-2</v>
      </c>
      <c r="Q23">
        <v>238.7</v>
      </c>
      <c r="R23" s="86">
        <f t="shared" si="1"/>
        <v>-2.507312996239075E-3</v>
      </c>
      <c r="S23">
        <v>455</v>
      </c>
      <c r="T23" s="86">
        <f t="shared" si="5"/>
        <v>-7.3088251336315135E-3</v>
      </c>
      <c r="U23">
        <v>449.13</v>
      </c>
      <c r="V23" s="86">
        <f t="shared" si="6"/>
        <v>-3.6739158409471062E-2</v>
      </c>
      <c r="W23">
        <v>566.17999999999995</v>
      </c>
      <c r="X23" s="86">
        <f t="shared" si="2"/>
        <v>-6.3824861933264976E-2</v>
      </c>
      <c r="Y23" s="124">
        <v>21</v>
      </c>
      <c r="AA23" s="79">
        <v>2510.35</v>
      </c>
      <c r="AB23" s="86">
        <f t="shared" si="3"/>
        <v>-4.6114560781608249E-3</v>
      </c>
    </row>
    <row r="24" spans="11:39" x14ac:dyDescent="0.3">
      <c r="K24" s="105">
        <v>45355</v>
      </c>
      <c r="L24" s="86">
        <v>-2.6192964679788489E-2</v>
      </c>
      <c r="O24">
        <v>532.97</v>
      </c>
      <c r="P24" s="86">
        <f t="shared" ref="P24" si="25">O24/O23-1</f>
        <v>-1.0801982219417416E-2</v>
      </c>
      <c r="Q24">
        <v>227.6</v>
      </c>
      <c r="R24" s="86">
        <f t="shared" si="1"/>
        <v>-4.6501885211562621E-2</v>
      </c>
      <c r="S24">
        <v>450.2</v>
      </c>
      <c r="T24" s="86">
        <f t="shared" si="5"/>
        <v>-1.0549450549450556E-2</v>
      </c>
      <c r="U24">
        <v>426.35</v>
      </c>
      <c r="V24" s="86">
        <f t="shared" si="6"/>
        <v>-5.0720281432992564E-2</v>
      </c>
      <c r="W24">
        <v>568.38</v>
      </c>
      <c r="X24" s="86">
        <f t="shared" si="2"/>
        <v>3.8856900632309177E-3</v>
      </c>
      <c r="Y24" s="124">
        <v>22</v>
      </c>
      <c r="AA24" s="79">
        <v>2553.9699999999998</v>
      </c>
      <c r="AB24" s="86">
        <f t="shared" si="3"/>
        <v>1.7376063098771155E-2</v>
      </c>
    </row>
    <row r="25" spans="11:39" x14ac:dyDescent="0.3">
      <c r="K25" s="105">
        <v>45362</v>
      </c>
      <c r="L25" s="86">
        <v>-1.7459199056170882E-2</v>
      </c>
      <c r="O25">
        <v>524.29999999999995</v>
      </c>
      <c r="P25" s="86">
        <f t="shared" ref="P25" si="26">O25/O24-1</f>
        <v>-1.6267332120006861E-2</v>
      </c>
      <c r="Q25">
        <v>213.45</v>
      </c>
      <c r="R25" s="86">
        <f t="shared" si="1"/>
        <v>-6.2170474516695995E-2</v>
      </c>
      <c r="S25">
        <v>423.05</v>
      </c>
      <c r="T25" s="86">
        <f t="shared" si="5"/>
        <v>-6.0306530430919492E-2</v>
      </c>
      <c r="U25">
        <v>424.27</v>
      </c>
      <c r="V25" s="86">
        <f t="shared" si="6"/>
        <v>-4.8786208514132179E-3</v>
      </c>
      <c r="W25">
        <v>572.71</v>
      </c>
      <c r="X25" s="86">
        <f t="shared" si="2"/>
        <v>7.6181427917942912E-3</v>
      </c>
      <c r="Y25" s="124">
        <v>23</v>
      </c>
      <c r="AA25" s="79">
        <v>2702.39</v>
      </c>
      <c r="AB25" s="86">
        <f t="shared" si="3"/>
        <v>5.8113446908147015E-2</v>
      </c>
    </row>
    <row r="26" spans="11:39" x14ac:dyDescent="0.3">
      <c r="K26" s="105">
        <v>45369</v>
      </c>
      <c r="L26" s="86">
        <v>7.379612257661039E-3</v>
      </c>
      <c r="O26">
        <v>518.58000000000004</v>
      </c>
      <c r="P26" s="86">
        <f t="shared" ref="P26" si="27">O26/O25-1</f>
        <v>-1.0909784474537276E-2</v>
      </c>
      <c r="Q26">
        <v>219.1</v>
      </c>
      <c r="R26" s="86">
        <f t="shared" si="1"/>
        <v>2.6469899273834585E-2</v>
      </c>
      <c r="S26">
        <v>424.25</v>
      </c>
      <c r="T26" s="86">
        <f t="shared" si="5"/>
        <v>2.8365441437181449E-3</v>
      </c>
      <c r="U26">
        <v>421.14</v>
      </c>
      <c r="V26" s="86">
        <f t="shared" si="6"/>
        <v>-7.3773776133122526E-3</v>
      </c>
      <c r="W26">
        <v>560.01</v>
      </c>
      <c r="X26" s="86">
        <f t="shared" si="2"/>
        <v>-2.2175271952646236E-2</v>
      </c>
      <c r="Y26" s="124">
        <v>24</v>
      </c>
      <c r="AA26" s="79">
        <v>2682.08</v>
      </c>
      <c r="AB26" s="86">
        <f t="shared" si="3"/>
        <v>-7.5155695513970944E-3</v>
      </c>
    </row>
    <row r="27" spans="11:39" x14ac:dyDescent="0.3">
      <c r="K27" s="105">
        <v>45376</v>
      </c>
      <c r="L27" s="86">
        <v>2.4683387136826607E-2</v>
      </c>
      <c r="O27">
        <v>520.91999999999996</v>
      </c>
      <c r="P27" s="86">
        <f t="shared" ref="P27" si="28">O27/O26-1</f>
        <v>4.5123221103782196E-3</v>
      </c>
      <c r="Q27">
        <v>212.05</v>
      </c>
      <c r="R27" s="86">
        <f t="shared" si="1"/>
        <v>-3.2177088087631089E-2</v>
      </c>
      <c r="S27">
        <v>429.35</v>
      </c>
      <c r="T27" s="86">
        <f t="shared" si="5"/>
        <v>1.2021213906894479E-2</v>
      </c>
      <c r="U27">
        <v>436.72</v>
      </c>
      <c r="V27" s="86">
        <f t="shared" si="6"/>
        <v>3.6994823574108437E-2</v>
      </c>
      <c r="W27">
        <v>558.5</v>
      </c>
      <c r="X27" s="86">
        <f t="shared" si="2"/>
        <v>-2.6963804217782217E-3</v>
      </c>
      <c r="Y27" s="124">
        <v>25</v>
      </c>
      <c r="AA27" s="79">
        <v>2684.36</v>
      </c>
      <c r="AB27" s="86">
        <f t="shared" si="3"/>
        <v>8.50086500029823E-4</v>
      </c>
    </row>
    <row r="28" spans="11:39" x14ac:dyDescent="0.3">
      <c r="K28" s="105">
        <v>45383</v>
      </c>
      <c r="L28" s="86">
        <v>-3.3313945973891701E-2</v>
      </c>
      <c r="O28">
        <v>505.73</v>
      </c>
      <c r="P28" s="86">
        <f t="shared" ref="P28" si="29">O28/O27-1</f>
        <v>-2.9159947784688556E-2</v>
      </c>
      <c r="Q28">
        <v>230.75</v>
      </c>
      <c r="R28" s="86">
        <f t="shared" si="1"/>
        <v>8.8186748408394244E-2</v>
      </c>
      <c r="S28">
        <v>446.6</v>
      </c>
      <c r="T28" s="86">
        <f t="shared" si="5"/>
        <v>4.0177011761965753E-2</v>
      </c>
      <c r="U28">
        <v>441.09</v>
      </c>
      <c r="V28" s="86">
        <f t="shared" si="6"/>
        <v>1.000641143066483E-2</v>
      </c>
      <c r="W28">
        <v>596.49</v>
      </c>
      <c r="X28" s="86">
        <f t="shared" si="2"/>
        <v>6.8021486123545305E-2</v>
      </c>
      <c r="Y28" s="124">
        <v>26</v>
      </c>
      <c r="AA28" s="79">
        <v>2703.18</v>
      </c>
      <c r="AB28" s="86">
        <f t="shared" si="3"/>
        <v>7.0109821335437861E-3</v>
      </c>
    </row>
    <row r="29" spans="11:39" x14ac:dyDescent="0.3">
      <c r="K29" s="105">
        <v>45390</v>
      </c>
      <c r="L29" s="86">
        <v>-8.5570077213624751E-3</v>
      </c>
      <c r="O29">
        <v>498.47</v>
      </c>
      <c r="P29" s="86">
        <f t="shared" ref="P29" si="30">O29/O28-1</f>
        <v>-1.4355486128962092E-2</v>
      </c>
      <c r="Q29">
        <v>228.5</v>
      </c>
      <c r="R29" s="86">
        <f t="shared" si="1"/>
        <v>-9.750812567713929E-3</v>
      </c>
      <c r="S29">
        <v>454.25</v>
      </c>
      <c r="T29" s="86">
        <f t="shared" si="5"/>
        <v>1.7129422301836117E-2</v>
      </c>
      <c r="U29">
        <v>431.81</v>
      </c>
      <c r="V29" s="86">
        <f t="shared" si="6"/>
        <v>-2.103879026955946E-2</v>
      </c>
      <c r="W29">
        <v>553.87</v>
      </c>
      <c r="X29" s="86">
        <f t="shared" si="2"/>
        <v>-7.1451323576254389E-2</v>
      </c>
      <c r="Y29" s="124">
        <v>27</v>
      </c>
      <c r="AA29" s="79">
        <v>2636.38</v>
      </c>
      <c r="AB29" s="86">
        <f t="shared" si="3"/>
        <v>-2.471163592509551E-2</v>
      </c>
    </row>
    <row r="30" spans="11:39" x14ac:dyDescent="0.3">
      <c r="K30" s="105">
        <v>45397</v>
      </c>
      <c r="L30" s="86">
        <v>-2.5749300428171584E-2</v>
      </c>
      <c r="O30">
        <v>502.05</v>
      </c>
      <c r="P30" s="86">
        <f t="shared" ref="P30" si="31">O30/O29-1</f>
        <v>7.1819768491583336E-3</v>
      </c>
      <c r="Q30">
        <v>225.65</v>
      </c>
      <c r="R30" s="86">
        <f t="shared" si="1"/>
        <v>-1.2472647702406969E-2</v>
      </c>
      <c r="S30">
        <v>441.95</v>
      </c>
      <c r="T30" s="86">
        <f t="shared" si="5"/>
        <v>-2.7077600440286176E-2</v>
      </c>
      <c r="U30">
        <v>407.14</v>
      </c>
      <c r="V30" s="86">
        <f t="shared" si="6"/>
        <v>-5.7131608809430134E-2</v>
      </c>
      <c r="W30">
        <v>557.97</v>
      </c>
      <c r="X30" s="86">
        <f t="shared" si="2"/>
        <v>7.4024590607904006E-3</v>
      </c>
      <c r="Y30" s="124">
        <v>28</v>
      </c>
      <c r="AA30" s="79">
        <v>2624.24</v>
      </c>
      <c r="AB30" s="86">
        <f t="shared" si="3"/>
        <v>-4.6047990046959031E-3</v>
      </c>
    </row>
    <row r="31" spans="11:39" x14ac:dyDescent="0.3">
      <c r="K31" s="105">
        <v>45404</v>
      </c>
      <c r="L31" s="86">
        <v>2.8783015684883395E-2</v>
      </c>
      <c r="O31">
        <v>506.83</v>
      </c>
      <c r="P31" s="86">
        <f t="shared" ref="P31" si="32">O31/O30-1</f>
        <v>9.5209640474056556E-3</v>
      </c>
      <c r="Q31">
        <v>230.1</v>
      </c>
      <c r="R31" s="86">
        <f t="shared" si="1"/>
        <v>1.9720806558829906E-2</v>
      </c>
      <c r="S31">
        <v>480.2</v>
      </c>
      <c r="T31" s="86">
        <f t="shared" si="5"/>
        <v>8.6548252064713171E-2</v>
      </c>
      <c r="U31">
        <v>417.37</v>
      </c>
      <c r="V31" s="86">
        <f t="shared" si="6"/>
        <v>2.5126492115734145E-2</v>
      </c>
      <c r="W31">
        <v>583.39</v>
      </c>
      <c r="X31" s="86">
        <f t="shared" si="2"/>
        <v>4.5558004910658312E-2</v>
      </c>
      <c r="Y31" s="124">
        <v>29</v>
      </c>
      <c r="AA31" s="79">
        <v>2827.77</v>
      </c>
      <c r="AB31" s="86">
        <f t="shared" si="3"/>
        <v>7.7557692893942765E-2</v>
      </c>
    </row>
    <row r="32" spans="11:39" x14ac:dyDescent="0.3">
      <c r="K32" s="105">
        <v>45411</v>
      </c>
      <c r="L32" s="86">
        <v>4.0499175888862649E-2</v>
      </c>
      <c r="O32">
        <v>529.48</v>
      </c>
      <c r="P32" s="86">
        <f t="shared" ref="P32" si="33">O32/O31-1</f>
        <v>4.4689540871692746E-2</v>
      </c>
      <c r="Q32">
        <v>253.85</v>
      </c>
      <c r="R32" s="86">
        <f t="shared" si="1"/>
        <v>0.10321599304650153</v>
      </c>
      <c r="S32">
        <v>495.45</v>
      </c>
      <c r="T32" s="86">
        <f t="shared" si="5"/>
        <v>3.1757600999583468E-2</v>
      </c>
      <c r="U32">
        <v>420.1</v>
      </c>
      <c r="V32" s="86">
        <f t="shared" si="6"/>
        <v>6.5409588614420144E-3</v>
      </c>
      <c r="W32">
        <v>602.16999999999996</v>
      </c>
      <c r="X32" s="86">
        <f t="shared" si="2"/>
        <v>3.2191158573167122E-2</v>
      </c>
      <c r="Y32" s="124">
        <v>30</v>
      </c>
      <c r="AA32" s="79">
        <v>2772.31</v>
      </c>
      <c r="AB32" s="86">
        <f t="shared" si="3"/>
        <v>-1.9612627618229239E-2</v>
      </c>
    </row>
    <row r="33" spans="11:28" x14ac:dyDescent="0.3">
      <c r="K33" s="105">
        <v>45418</v>
      </c>
      <c r="L33" s="86">
        <v>5.574952316296522E-2</v>
      </c>
      <c r="O33">
        <v>548.45000000000005</v>
      </c>
      <c r="P33" s="86">
        <f t="shared" ref="P33" si="34">O33/O32-1</f>
        <v>3.5827604442094207E-2</v>
      </c>
      <c r="Q33">
        <v>244.95</v>
      </c>
      <c r="R33" s="86">
        <f t="shared" si="1"/>
        <v>-3.5060074847350853E-2</v>
      </c>
      <c r="S33">
        <v>522.79999999999995</v>
      </c>
      <c r="T33" s="86">
        <f t="shared" si="5"/>
        <v>5.5202341305883529E-2</v>
      </c>
      <c r="U33">
        <v>456.92</v>
      </c>
      <c r="V33" s="86">
        <f t="shared" si="6"/>
        <v>8.7645798619376381E-2</v>
      </c>
      <c r="W33">
        <v>584.83000000000004</v>
      </c>
      <c r="X33" s="86">
        <f t="shared" si="2"/>
        <v>-2.8795854991115366E-2</v>
      </c>
      <c r="Y33" s="124">
        <v>31</v>
      </c>
      <c r="AA33" s="79">
        <v>2773.3</v>
      </c>
      <c r="AB33" s="86">
        <f t="shared" si="3"/>
        <v>3.5710292139046196E-4</v>
      </c>
    </row>
    <row r="34" spans="11:28" x14ac:dyDescent="0.3">
      <c r="K34" s="105">
        <v>45425</v>
      </c>
      <c r="L34" s="86">
        <v>-1.631325116741944E-2</v>
      </c>
      <c r="O34">
        <v>537.70000000000005</v>
      </c>
      <c r="P34" s="86">
        <f t="shared" ref="P34" si="35">O34/O33-1</f>
        <v>-1.9600692861701186E-2</v>
      </c>
      <c r="Q34">
        <v>241.7</v>
      </c>
      <c r="R34" s="86">
        <f t="shared" si="1"/>
        <v>-1.3268013880383789E-2</v>
      </c>
      <c r="S34">
        <v>516.65</v>
      </c>
      <c r="T34" s="86">
        <f t="shared" si="5"/>
        <v>-1.1763580719204247E-2</v>
      </c>
      <c r="U34">
        <v>444.42</v>
      </c>
      <c r="V34" s="86">
        <f t="shared" si="6"/>
        <v>-2.735708657970759E-2</v>
      </c>
      <c r="W34">
        <v>602.39</v>
      </c>
      <c r="X34" s="86">
        <f t="shared" si="2"/>
        <v>3.0025819468905368E-2</v>
      </c>
      <c r="Y34" s="124">
        <v>32</v>
      </c>
      <c r="AA34" s="79">
        <v>2665.89</v>
      </c>
      <c r="AB34" s="86">
        <f t="shared" si="3"/>
        <v>-3.8730032812894444E-2</v>
      </c>
    </row>
    <row r="35" spans="11:28" x14ac:dyDescent="0.3">
      <c r="K35" s="105">
        <v>45432</v>
      </c>
      <c r="L35" s="86">
        <v>1.6015688838045383E-2</v>
      </c>
      <c r="O35">
        <v>555.72</v>
      </c>
      <c r="P35" s="86">
        <f t="shared" ref="P35" si="36">O35/O34-1</f>
        <v>3.3513111400409024E-2</v>
      </c>
      <c r="Q35">
        <v>239</v>
      </c>
      <c r="R35" s="86">
        <f t="shared" si="1"/>
        <v>-1.1170872983036761E-2</v>
      </c>
      <c r="S35">
        <v>544.79999999999995</v>
      </c>
      <c r="T35" s="86">
        <f t="shared" si="5"/>
        <v>5.4485628568663458E-2</v>
      </c>
      <c r="U35">
        <v>413.94</v>
      </c>
      <c r="V35" s="86">
        <f t="shared" si="6"/>
        <v>-6.8583772107465912E-2</v>
      </c>
      <c r="W35">
        <v>598.82000000000005</v>
      </c>
      <c r="X35" s="86">
        <f t="shared" si="2"/>
        <v>-5.9263932004182118E-3</v>
      </c>
      <c r="Y35" s="124">
        <v>33</v>
      </c>
      <c r="AA35" s="79">
        <v>2658.07</v>
      </c>
      <c r="AB35" s="86">
        <f t="shared" si="3"/>
        <v>-2.9333543394512995E-3</v>
      </c>
    </row>
    <row r="36" spans="11:28" x14ac:dyDescent="0.3">
      <c r="K36" s="105">
        <v>45439</v>
      </c>
      <c r="L36" s="86">
        <v>-3.0523066553306166E-2</v>
      </c>
      <c r="O36">
        <v>542.78</v>
      </c>
      <c r="P36" s="86">
        <f t="shared" ref="P36" si="37">O36/O35-1</f>
        <v>-2.3285107608148059E-2</v>
      </c>
      <c r="Q36">
        <v>230.05</v>
      </c>
      <c r="R36" s="86">
        <f t="shared" si="1"/>
        <v>-3.7447698744769831E-2</v>
      </c>
      <c r="S36">
        <v>625.5</v>
      </c>
      <c r="T36" s="86">
        <f t="shared" si="5"/>
        <v>0.14812775330396488</v>
      </c>
      <c r="U36">
        <v>397.56</v>
      </c>
      <c r="V36" s="86">
        <f t="shared" si="6"/>
        <v>-3.9570952311929308E-2</v>
      </c>
      <c r="W36">
        <v>570.24</v>
      </c>
      <c r="X36" s="86">
        <f t="shared" ref="X36:X56" si="38">W36/W35-1</f>
        <v>-4.7727196820413598E-2</v>
      </c>
      <c r="Y36" s="124">
        <v>34</v>
      </c>
      <c r="AA36" s="79">
        <v>2657.35</v>
      </c>
      <c r="AB36" s="86">
        <f t="shared" si="3"/>
        <v>-2.7087322756746968E-4</v>
      </c>
    </row>
    <row r="37" spans="11:28" x14ac:dyDescent="0.3">
      <c r="K37" s="105">
        <v>45446</v>
      </c>
      <c r="L37" s="86">
        <v>0.12401637012925448</v>
      </c>
      <c r="O37">
        <v>610.49</v>
      </c>
      <c r="P37" s="86">
        <f t="shared" ref="P37" si="39">O37/O36-1</f>
        <v>0.12474667452743282</v>
      </c>
      <c r="Q37">
        <v>254.2</v>
      </c>
      <c r="R37" s="86">
        <f t="shared" si="1"/>
        <v>0.10497717887415758</v>
      </c>
      <c r="S37">
        <v>722.25</v>
      </c>
      <c r="T37" s="86">
        <f t="shared" si="5"/>
        <v>0.15467625899280568</v>
      </c>
      <c r="U37">
        <v>445.86</v>
      </c>
      <c r="V37" s="86">
        <f t="shared" si="6"/>
        <v>0.12149109568367034</v>
      </c>
      <c r="W37">
        <v>606.92999999999995</v>
      </c>
      <c r="X37" s="86">
        <f t="shared" si="38"/>
        <v>6.4341329966329797E-2</v>
      </c>
      <c r="Y37" s="124">
        <v>35</v>
      </c>
      <c r="AA37" s="79">
        <v>2963.5</v>
      </c>
      <c r="AB37" s="86">
        <f t="shared" si="3"/>
        <v>0.11520876060737195</v>
      </c>
    </row>
    <row r="38" spans="11:28" x14ac:dyDescent="0.3">
      <c r="K38" s="105">
        <v>45453</v>
      </c>
      <c r="L38" s="86">
        <v>-2.4474762597614497E-2</v>
      </c>
      <c r="O38">
        <v>606.04999999999995</v>
      </c>
      <c r="P38" s="86">
        <f t="shared" ref="P38" si="40">O38/O37-1</f>
        <v>-7.2728464020705985E-3</v>
      </c>
      <c r="Q38">
        <v>263.48</v>
      </c>
      <c r="R38" s="86">
        <f t="shared" si="1"/>
        <v>3.6506687647521741E-2</v>
      </c>
      <c r="S38">
        <v>710</v>
      </c>
      <c r="T38" s="86">
        <f t="shared" si="5"/>
        <v>-1.6960886119764651E-2</v>
      </c>
      <c r="U38">
        <v>447.3</v>
      </c>
      <c r="V38" s="86">
        <f t="shared" si="6"/>
        <v>3.2297133629390906E-3</v>
      </c>
      <c r="W38">
        <v>655.15</v>
      </c>
      <c r="X38" s="86">
        <f t="shared" si="38"/>
        <v>7.9449030365940088E-2</v>
      </c>
      <c r="Y38" s="124">
        <v>36</v>
      </c>
      <c r="AA38" s="79">
        <v>2952.6</v>
      </c>
      <c r="AB38" s="86">
        <f t="shared" si="3"/>
        <v>-3.6780833473932795E-3</v>
      </c>
    </row>
    <row r="39" spans="11:28" x14ac:dyDescent="0.3">
      <c r="K39" s="105">
        <v>45460</v>
      </c>
      <c r="L39" s="86">
        <v>-2.5917413014187041E-2</v>
      </c>
      <c r="O39">
        <v>587.42999999999995</v>
      </c>
      <c r="P39" s="86">
        <f t="shared" ref="P39" si="41">O39/O38-1</f>
        <v>-3.0723537661909051E-2</v>
      </c>
      <c r="Q39">
        <v>269.57</v>
      </c>
      <c r="R39" s="86">
        <f t="shared" si="1"/>
        <v>2.3113708820403644E-2</v>
      </c>
      <c r="S39">
        <v>701.05</v>
      </c>
      <c r="T39" s="86">
        <f t="shared" si="5"/>
        <v>-1.2605633802816985E-2</v>
      </c>
      <c r="U39">
        <v>441.74</v>
      </c>
      <c r="V39" s="86">
        <f t="shared" si="6"/>
        <v>-1.2430136373798306E-2</v>
      </c>
      <c r="W39">
        <v>636.89</v>
      </c>
      <c r="X39" s="86">
        <f t="shared" si="38"/>
        <v>-2.7871479813783129E-2</v>
      </c>
      <c r="Y39" s="124">
        <v>37</v>
      </c>
      <c r="AA39" s="79">
        <v>2826.25</v>
      </c>
      <c r="AB39" s="86">
        <f t="shared" si="3"/>
        <v>-4.27927927927928E-2</v>
      </c>
    </row>
    <row r="40" spans="11:28" x14ac:dyDescent="0.3">
      <c r="K40" s="105">
        <v>45467</v>
      </c>
      <c r="L40" s="86">
        <v>1.4002514978918468E-2</v>
      </c>
      <c r="O40">
        <v>598.14</v>
      </c>
      <c r="P40" s="86">
        <f t="shared" ref="P40" si="42">O40/O39-1</f>
        <v>1.8231959552627686E-2</v>
      </c>
      <c r="Q40">
        <v>263.93</v>
      </c>
      <c r="R40" s="86">
        <f t="shared" si="1"/>
        <v>-2.0922209444671047E-2</v>
      </c>
      <c r="S40">
        <v>689.3</v>
      </c>
      <c r="T40" s="86">
        <f t="shared" si="5"/>
        <v>-1.6760573425575909E-2</v>
      </c>
      <c r="U40">
        <v>428.43</v>
      </c>
      <c r="V40" s="86">
        <f t="shared" si="6"/>
        <v>-3.0130846199121653E-2</v>
      </c>
      <c r="W40">
        <v>651.25</v>
      </c>
      <c r="X40" s="86">
        <f t="shared" si="38"/>
        <v>2.2547064642245873E-2</v>
      </c>
      <c r="Y40" s="124">
        <v>38</v>
      </c>
      <c r="AA40" s="79">
        <v>2843.15</v>
      </c>
      <c r="AB40" s="86">
        <f t="shared" si="3"/>
        <v>5.9796550199027187E-3</v>
      </c>
    </row>
    <row r="41" spans="11:28" x14ac:dyDescent="0.3">
      <c r="K41" s="105">
        <v>45474</v>
      </c>
      <c r="L41" s="86">
        <v>-1.4881495152571089E-3</v>
      </c>
      <c r="O41">
        <v>603.86</v>
      </c>
      <c r="P41" s="86">
        <f t="shared" ref="P41" si="43">O41/O40-1</f>
        <v>9.5629785668907008E-3</v>
      </c>
      <c r="Q41">
        <v>263.75</v>
      </c>
      <c r="R41" s="86">
        <f t="shared" si="1"/>
        <v>-6.819990148902999E-4</v>
      </c>
      <c r="S41">
        <v>724.2</v>
      </c>
      <c r="T41" s="86">
        <f t="shared" si="5"/>
        <v>5.0631075003626957E-2</v>
      </c>
      <c r="U41">
        <v>467.99</v>
      </c>
      <c r="V41" s="86">
        <f t="shared" si="6"/>
        <v>9.2337137922180901E-2</v>
      </c>
      <c r="W41">
        <v>645.12</v>
      </c>
      <c r="X41" s="86">
        <f t="shared" si="38"/>
        <v>-9.4126679462571694E-3</v>
      </c>
      <c r="Y41" s="124">
        <v>39</v>
      </c>
      <c r="AA41" s="79">
        <v>2910.5</v>
      </c>
      <c r="AB41" s="86">
        <f t="shared" si="3"/>
        <v>2.3688514499762503E-2</v>
      </c>
    </row>
    <row r="42" spans="11:28" x14ac:dyDescent="0.3">
      <c r="K42" s="105">
        <v>45481</v>
      </c>
      <c r="L42" s="86">
        <v>5.1023166446277468E-2</v>
      </c>
      <c r="O42">
        <v>627.30999999999995</v>
      </c>
      <c r="P42" s="86">
        <f t="shared" ref="P42" si="44">O42/O41-1</f>
        <v>3.8833504454674816E-2</v>
      </c>
      <c r="Q42">
        <v>266.95</v>
      </c>
      <c r="R42" s="86">
        <f t="shared" si="1"/>
        <v>1.2132701421800896E-2</v>
      </c>
      <c r="S42">
        <v>763.55</v>
      </c>
      <c r="T42" s="86">
        <f t="shared" si="5"/>
        <v>5.4335818834575944E-2</v>
      </c>
      <c r="U42">
        <v>488.3</v>
      </c>
      <c r="V42" s="86">
        <f t="shared" si="6"/>
        <v>4.3398363212889146E-2</v>
      </c>
      <c r="W42">
        <v>633.27</v>
      </c>
      <c r="X42" s="86">
        <f t="shared" si="38"/>
        <v>-1.8368675595238138E-2</v>
      </c>
      <c r="Y42" s="124">
        <v>40</v>
      </c>
      <c r="AA42" s="79">
        <v>3034.8</v>
      </c>
      <c r="AB42" s="86">
        <f t="shared" si="3"/>
        <v>4.2707438584435709E-2</v>
      </c>
    </row>
    <row r="43" spans="11:28" x14ac:dyDescent="0.3">
      <c r="K43" s="105">
        <v>45488</v>
      </c>
      <c r="L43" s="86">
        <v>5.5469439675244203E-3</v>
      </c>
      <c r="O43">
        <v>630.20000000000005</v>
      </c>
      <c r="P43" s="86">
        <f t="shared" ref="P43" si="45">O43/O42-1</f>
        <v>4.6069726291628754E-3</v>
      </c>
      <c r="Q43">
        <v>269.75</v>
      </c>
      <c r="R43" s="86">
        <f t="shared" si="1"/>
        <v>1.0488855590934598E-2</v>
      </c>
      <c r="S43">
        <v>799.8</v>
      </c>
      <c r="T43" s="86">
        <f t="shared" si="5"/>
        <v>4.7475607360356165E-2</v>
      </c>
      <c r="U43">
        <v>495.9</v>
      </c>
      <c r="V43" s="86">
        <f t="shared" si="6"/>
        <v>1.5564202334630295E-2</v>
      </c>
      <c r="W43">
        <v>623.36</v>
      </c>
      <c r="X43" s="86">
        <f t="shared" si="38"/>
        <v>-1.5648933314383995E-2</v>
      </c>
      <c r="Y43" s="124">
        <v>41</v>
      </c>
      <c r="AA43" s="79">
        <v>3120.95</v>
      </c>
      <c r="AB43" s="86">
        <f t="shared" si="3"/>
        <v>2.8387373138262673E-2</v>
      </c>
    </row>
    <row r="44" spans="11:28" x14ac:dyDescent="0.3">
      <c r="K44" s="105">
        <v>45495</v>
      </c>
      <c r="L44" s="86">
        <v>1.0742356267411601E-2</v>
      </c>
      <c r="O44">
        <v>632.45000000000005</v>
      </c>
      <c r="P44" s="86">
        <f t="shared" ref="P44" si="46">O44/O43-1</f>
        <v>3.5702951443985498E-3</v>
      </c>
      <c r="Q44">
        <v>275.14999999999998</v>
      </c>
      <c r="R44" s="86">
        <f t="shared" si="1"/>
        <v>2.0018535681186167E-2</v>
      </c>
      <c r="S44">
        <v>797.1</v>
      </c>
      <c r="T44" s="86">
        <f t="shared" si="5"/>
        <v>-3.3758439609901103E-3</v>
      </c>
      <c r="U44">
        <v>548.45000000000005</v>
      </c>
      <c r="V44" s="86">
        <f t="shared" si="6"/>
        <v>0.1059689453518855</v>
      </c>
      <c r="W44">
        <v>670.1</v>
      </c>
      <c r="X44" s="86">
        <f t="shared" si="38"/>
        <v>7.4980749486653009E-2</v>
      </c>
      <c r="Y44" s="124">
        <v>42</v>
      </c>
      <c r="AA44" s="79">
        <v>3165.2</v>
      </c>
      <c r="AB44" s="86">
        <f t="shared" si="3"/>
        <v>1.417837517422571E-2</v>
      </c>
    </row>
    <row r="45" spans="11:28" x14ac:dyDescent="0.3">
      <c r="K45" s="105">
        <v>45502</v>
      </c>
      <c r="L45" s="86">
        <v>-5.6902506582773293E-3</v>
      </c>
      <c r="O45">
        <v>627.54999999999995</v>
      </c>
      <c r="P45" s="86">
        <f t="shared" ref="P45" si="47">O45/O44-1</f>
        <v>-7.7476480354179422E-3</v>
      </c>
      <c r="Q45">
        <v>263.39999999999998</v>
      </c>
      <c r="R45" s="86">
        <f t="shared" si="1"/>
        <v>-4.2703979647464974E-2</v>
      </c>
      <c r="S45">
        <v>779.25</v>
      </c>
      <c r="T45" s="86">
        <f t="shared" si="5"/>
        <v>-2.2393677079412866E-2</v>
      </c>
      <c r="U45">
        <v>518.65</v>
      </c>
      <c r="V45" s="86">
        <f t="shared" si="6"/>
        <v>-5.4334943932901947E-2</v>
      </c>
      <c r="W45">
        <v>628.41</v>
      </c>
      <c r="X45" s="86">
        <f t="shared" si="38"/>
        <v>-6.2214594836591641E-2</v>
      </c>
      <c r="Y45" s="124">
        <v>43</v>
      </c>
      <c r="AA45" s="79">
        <v>3365.45</v>
      </c>
      <c r="AB45" s="86">
        <f t="shared" si="3"/>
        <v>6.3266144319474193E-2</v>
      </c>
    </row>
    <row r="46" spans="11:28" x14ac:dyDescent="0.3">
      <c r="K46" s="105">
        <v>45509</v>
      </c>
      <c r="L46" s="86">
        <v>-9.8360881258469091E-3</v>
      </c>
      <c r="O46">
        <v>623.95000000000005</v>
      </c>
      <c r="P46" s="86">
        <f t="shared" ref="P46" si="48">O46/O45-1</f>
        <v>-5.7365946936497325E-3</v>
      </c>
      <c r="Q46">
        <v>271.25</v>
      </c>
      <c r="R46" s="86">
        <f t="shared" si="1"/>
        <v>2.9802581624905233E-2</v>
      </c>
      <c r="S46">
        <v>797.5</v>
      </c>
      <c r="T46" s="86">
        <f t="shared" si="5"/>
        <v>2.3419955085017596E-2</v>
      </c>
      <c r="U46">
        <v>544.95000000000005</v>
      </c>
      <c r="V46" s="86">
        <f t="shared" si="6"/>
        <v>5.0708570326810198E-2</v>
      </c>
      <c r="W46">
        <v>602.92999999999995</v>
      </c>
      <c r="X46" s="86">
        <f t="shared" si="38"/>
        <v>-4.0546776785856387E-2</v>
      </c>
      <c r="Y46" s="124">
        <v>44</v>
      </c>
      <c r="AA46" s="79">
        <v>3452.4</v>
      </c>
      <c r="AB46" s="86">
        <f t="shared" si="3"/>
        <v>2.5836069470650314E-2</v>
      </c>
    </row>
    <row r="47" spans="11:28" x14ac:dyDescent="0.3">
      <c r="K47" s="105">
        <v>45516</v>
      </c>
      <c r="L47" s="86">
        <v>-2.7508978624967817E-2</v>
      </c>
      <c r="O47">
        <v>617.6</v>
      </c>
      <c r="P47" s="86">
        <f t="shared" ref="P47" si="49">O47/O46-1</f>
        <v>-1.0177097523840106E-2</v>
      </c>
      <c r="Q47">
        <v>273.75</v>
      </c>
      <c r="R47" s="86">
        <f t="shared" si="1"/>
        <v>9.2165898617511122E-3</v>
      </c>
      <c r="S47">
        <v>824.35</v>
      </c>
      <c r="T47" s="86">
        <f t="shared" si="5"/>
        <v>3.3667711598746042E-2</v>
      </c>
      <c r="U47">
        <v>555.95000000000005</v>
      </c>
      <c r="V47" s="86">
        <f t="shared" si="6"/>
        <v>2.0185338104413253E-2</v>
      </c>
      <c r="W47">
        <v>568.74</v>
      </c>
      <c r="X47" s="86">
        <f t="shared" si="38"/>
        <v>-5.6706416996997855E-2</v>
      </c>
      <c r="Y47" s="124">
        <v>45</v>
      </c>
      <c r="AA47" s="79">
        <v>3534.65</v>
      </c>
      <c r="AB47" s="86">
        <f t="shared" si="3"/>
        <v>2.3824006488240013E-2</v>
      </c>
    </row>
    <row r="48" spans="11:28" x14ac:dyDescent="0.3">
      <c r="K48" s="105">
        <v>45523</v>
      </c>
      <c r="L48" s="86">
        <v>2.0301015050752325E-2</v>
      </c>
      <c r="O48">
        <v>643.25</v>
      </c>
      <c r="P48" s="86">
        <f t="shared" ref="P48" si="50">O48/O47-1</f>
        <v>4.1531735751295207E-2</v>
      </c>
      <c r="Q48">
        <v>272.45</v>
      </c>
      <c r="R48" s="86">
        <f t="shared" si="1"/>
        <v>-4.7488584474886242E-3</v>
      </c>
      <c r="S48">
        <v>809.1</v>
      </c>
      <c r="T48" s="86">
        <f t="shared" si="5"/>
        <v>-1.8499423788439384E-2</v>
      </c>
      <c r="U48">
        <v>555.70000000000005</v>
      </c>
      <c r="V48" s="86">
        <f t="shared" si="6"/>
        <v>-4.4968072668405412E-4</v>
      </c>
      <c r="W48">
        <v>632.84</v>
      </c>
      <c r="X48" s="86">
        <f t="shared" si="38"/>
        <v>0.11270527833456412</v>
      </c>
      <c r="Y48" s="124">
        <v>46</v>
      </c>
      <c r="AA48" s="79">
        <v>3531.45</v>
      </c>
      <c r="AB48" s="86">
        <f t="shared" si="3"/>
        <v>-9.0532301642320956E-4</v>
      </c>
    </row>
    <row r="49" spans="11:28" x14ac:dyDescent="0.3">
      <c r="K49" s="105">
        <v>45530</v>
      </c>
      <c r="L49" s="86">
        <v>3.7000735113942751E-2</v>
      </c>
      <c r="O49">
        <v>637.15</v>
      </c>
      <c r="P49" s="86">
        <f t="shared" ref="P49" si="51">O49/O48-1</f>
        <v>-9.483093664982567E-3</v>
      </c>
      <c r="Q49">
        <v>264.05</v>
      </c>
      <c r="R49" s="86">
        <f t="shared" si="1"/>
        <v>-3.0831345200954208E-2</v>
      </c>
      <c r="S49">
        <v>813.2</v>
      </c>
      <c r="T49" s="86">
        <f t="shared" si="5"/>
        <v>5.0673587937215547E-3</v>
      </c>
      <c r="U49">
        <v>539.79999999999995</v>
      </c>
      <c r="V49" s="86">
        <f t="shared" si="6"/>
        <v>-2.8612560734209258E-2</v>
      </c>
      <c r="W49">
        <v>600.36</v>
      </c>
      <c r="X49" s="86">
        <f t="shared" si="38"/>
        <v>-5.1324189368560758E-2</v>
      </c>
      <c r="Y49" s="124">
        <v>47</v>
      </c>
      <c r="AA49" s="79">
        <v>3640.35</v>
      </c>
      <c r="AB49" s="86">
        <f t="shared" si="3"/>
        <v>3.0837191521896123E-2</v>
      </c>
    </row>
    <row r="50" spans="11:28" x14ac:dyDescent="0.3">
      <c r="K50" s="105">
        <v>45537</v>
      </c>
      <c r="L50" s="86">
        <v>-2.5486092357547951E-2</v>
      </c>
      <c r="O50">
        <v>644.4</v>
      </c>
      <c r="P50" s="86">
        <f t="shared" ref="P50" si="52">O50/O49-1</f>
        <v>1.137879620183635E-2</v>
      </c>
      <c r="Q50">
        <v>268.75</v>
      </c>
      <c r="R50" s="86">
        <f t="shared" si="1"/>
        <v>1.7799659155462999E-2</v>
      </c>
      <c r="S50">
        <v>832.7</v>
      </c>
      <c r="T50" s="86">
        <f t="shared" si="5"/>
        <v>2.3979340875553312E-2</v>
      </c>
      <c r="U50">
        <v>546.4</v>
      </c>
      <c r="V50" s="86">
        <f t="shared" si="6"/>
        <v>1.2226750648388407E-2</v>
      </c>
      <c r="W50">
        <v>597.29999999999995</v>
      </c>
      <c r="X50" s="86">
        <f t="shared" si="38"/>
        <v>-5.0969418348991713E-3</v>
      </c>
      <c r="Y50" s="124">
        <v>48</v>
      </c>
      <c r="AA50" s="79">
        <v>3654.6</v>
      </c>
      <c r="AB50" s="86">
        <f t="shared" si="3"/>
        <v>3.9144587745683079E-3</v>
      </c>
    </row>
    <row r="51" spans="11:28" x14ac:dyDescent="0.3">
      <c r="K51" s="105">
        <v>45544</v>
      </c>
      <c r="L51" s="86">
        <v>3.3149745401641839E-2</v>
      </c>
      <c r="O51">
        <v>660.9</v>
      </c>
      <c r="P51" s="86">
        <f t="shared" ref="P51" si="53">O51/O50-1</f>
        <v>2.5605214152700118E-2</v>
      </c>
      <c r="Q51">
        <v>266.35000000000002</v>
      </c>
      <c r="R51" s="86">
        <f t="shared" si="1"/>
        <v>-8.930232558139406E-3</v>
      </c>
      <c r="S51">
        <v>788.05</v>
      </c>
      <c r="T51" s="86">
        <f t="shared" si="5"/>
        <v>-5.3620751771346287E-2</v>
      </c>
      <c r="U51">
        <v>556.9</v>
      </c>
      <c r="V51" s="86">
        <f t="shared" si="6"/>
        <v>1.9216691068814074E-2</v>
      </c>
      <c r="W51">
        <v>646.65</v>
      </c>
      <c r="X51" s="86">
        <f t="shared" si="38"/>
        <v>8.2621798091411458E-2</v>
      </c>
      <c r="Y51" s="124">
        <v>49</v>
      </c>
      <c r="AA51" s="79">
        <v>3624.75</v>
      </c>
      <c r="AB51" s="86">
        <f t="shared" si="3"/>
        <v>-8.1677885404695116E-3</v>
      </c>
    </row>
    <row r="52" spans="11:28" x14ac:dyDescent="0.3">
      <c r="K52" s="105">
        <v>45551</v>
      </c>
      <c r="L52" s="86">
        <v>-2.3268289411922494E-2</v>
      </c>
      <c r="O52">
        <v>667.55</v>
      </c>
      <c r="P52" s="86">
        <f t="shared" ref="P52" si="54">O52/O51-1</f>
        <v>1.0062036616734771E-2</v>
      </c>
      <c r="Q52">
        <v>256.2</v>
      </c>
      <c r="R52" s="86">
        <f t="shared" si="1"/>
        <v>-3.8107752956636154E-2</v>
      </c>
      <c r="S52">
        <v>747.55</v>
      </c>
      <c r="T52" s="86">
        <f t="shared" si="5"/>
        <v>-5.1392678129560276E-2</v>
      </c>
      <c r="U52">
        <v>536.5</v>
      </c>
      <c r="V52" s="86">
        <f t="shared" si="6"/>
        <v>-3.6631352127850514E-2</v>
      </c>
      <c r="W52">
        <v>654.45000000000005</v>
      </c>
      <c r="X52" s="86">
        <f t="shared" si="38"/>
        <v>1.2062166550684372E-2</v>
      </c>
      <c r="Y52" s="124">
        <v>50</v>
      </c>
      <c r="AA52" s="79">
        <v>3660.25</v>
      </c>
      <c r="AB52" s="86">
        <f t="shared" si="3"/>
        <v>9.7937788813020621E-3</v>
      </c>
    </row>
    <row r="53" spans="11:28" x14ac:dyDescent="0.3">
      <c r="K53" s="105">
        <v>45558</v>
      </c>
      <c r="L53" s="86">
        <v>-4.6649732253192244E-2</v>
      </c>
      <c r="O53">
        <v>633</v>
      </c>
      <c r="P53" s="86">
        <f t="shared" ref="P53" si="55">O53/O52-1</f>
        <v>-5.1756422739869579E-2</v>
      </c>
      <c r="Q53">
        <v>249.05</v>
      </c>
      <c r="R53" s="86">
        <f t="shared" si="1"/>
        <v>-2.7907884465261379E-2</v>
      </c>
      <c r="S53">
        <v>751.65</v>
      </c>
      <c r="T53" s="86">
        <f t="shared" si="5"/>
        <v>5.4845829710388205E-3</v>
      </c>
      <c r="U53">
        <v>543.25</v>
      </c>
      <c r="V53" s="86">
        <f t="shared" si="6"/>
        <v>1.2581547064305587E-2</v>
      </c>
      <c r="W53">
        <v>608.54999999999995</v>
      </c>
      <c r="X53" s="86">
        <f t="shared" si="38"/>
        <v>-7.0135228054091336E-2</v>
      </c>
      <c r="Y53" s="124">
        <v>51</v>
      </c>
      <c r="AA53" s="79">
        <v>3764.05</v>
      </c>
      <c r="AB53" s="86">
        <f t="shared" si="3"/>
        <v>2.8358718666757765E-2</v>
      </c>
    </row>
    <row r="54" spans="11:28" x14ac:dyDescent="0.3">
      <c r="K54" s="105">
        <v>45565</v>
      </c>
      <c r="L54" s="86">
        <v>-3.2693623303208241E-2</v>
      </c>
      <c r="O54">
        <v>572.45000000000005</v>
      </c>
      <c r="P54" s="86">
        <f t="shared" ref="P54" si="56">O54/O53-1</f>
        <v>-9.5655608214849863E-2</v>
      </c>
      <c r="Q54">
        <v>240.22</v>
      </c>
      <c r="R54" s="86">
        <f t="shared" si="1"/>
        <v>-3.5454727966271915E-2</v>
      </c>
      <c r="S54">
        <v>742.85</v>
      </c>
      <c r="T54" s="86">
        <f t="shared" si="5"/>
        <v>-1.1707576664671038E-2</v>
      </c>
      <c r="U54">
        <v>539.6</v>
      </c>
      <c r="V54" s="86">
        <f t="shared" si="6"/>
        <v>-6.718821905200123E-3</v>
      </c>
      <c r="W54">
        <v>578.9</v>
      </c>
      <c r="X54" s="86">
        <f t="shared" si="38"/>
        <v>-4.8722372853504226E-2</v>
      </c>
      <c r="Y54" s="124">
        <v>52</v>
      </c>
      <c r="AA54" s="79">
        <v>3740.05</v>
      </c>
      <c r="AB54" s="86">
        <f t="shared" si="3"/>
        <v>-6.3761108380601117E-3</v>
      </c>
    </row>
    <row r="55" spans="11:28" x14ac:dyDescent="0.3">
      <c r="K55" s="105">
        <v>45572</v>
      </c>
      <c r="L55" s="86">
        <v>-2.0509957193374229E-2</v>
      </c>
      <c r="O55">
        <v>570.85</v>
      </c>
      <c r="P55" s="86">
        <f t="shared" ref="P55" si="57">O55/O54-1</f>
        <v>-2.7950039304742713E-3</v>
      </c>
      <c r="Q55">
        <v>229.99</v>
      </c>
      <c r="R55" s="86">
        <f t="shared" si="1"/>
        <v>-4.2585962867371485E-2</v>
      </c>
      <c r="S55">
        <v>730.25</v>
      </c>
      <c r="T55" s="86">
        <f t="shared" si="5"/>
        <v>-1.6961701554822683E-2</v>
      </c>
      <c r="U55">
        <v>527.25</v>
      </c>
      <c r="V55" s="86">
        <f t="shared" si="6"/>
        <v>-2.2887323943661997E-2</v>
      </c>
      <c r="W55">
        <v>592.35</v>
      </c>
      <c r="X55" s="86">
        <f t="shared" si="38"/>
        <v>2.3233719122473628E-2</v>
      </c>
      <c r="Y55" s="124">
        <v>53</v>
      </c>
      <c r="AA55" s="79">
        <v>3689.65</v>
      </c>
      <c r="AB55" s="86">
        <f t="shared" si="3"/>
        <v>-1.3475755671715661E-2</v>
      </c>
    </row>
    <row r="56" spans="11:28" x14ac:dyDescent="0.3">
      <c r="K56" s="105">
        <v>45579</v>
      </c>
      <c r="L56" s="86">
        <v>1.5543056927871168E-2</v>
      </c>
      <c r="O56">
        <v>567.29999999999995</v>
      </c>
      <c r="P56" s="86">
        <f t="shared" ref="P56" si="58">O56/O55-1</f>
        <v>-6.2187965314882687E-3</v>
      </c>
      <c r="Q56">
        <v>226.96</v>
      </c>
      <c r="R56" s="86">
        <f t="shared" si="1"/>
        <v>-1.3174485847210704E-2</v>
      </c>
      <c r="S56">
        <v>724.6</v>
      </c>
      <c r="T56" s="86">
        <f t="shared" si="5"/>
        <v>-7.7370763437178969E-3</v>
      </c>
      <c r="U56">
        <v>521.54999999999995</v>
      </c>
      <c r="V56" s="86">
        <f t="shared" si="6"/>
        <v>-1.0810810810810922E-2</v>
      </c>
      <c r="W56">
        <v>588.75</v>
      </c>
      <c r="X56" s="86">
        <f t="shared" si="38"/>
        <v>-6.0774879716384289E-3</v>
      </c>
      <c r="Y56" s="124">
        <v>54</v>
      </c>
      <c r="AA56" s="79">
        <v>3522.45</v>
      </c>
      <c r="AB56" s="86">
        <f t="shared" si="3"/>
        <v>-4.5315951377501995E-2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5331A-BDD7-4BA4-B330-A42F092009EB}">
  <dimension ref="B2:N33"/>
  <sheetViews>
    <sheetView workbookViewId="0">
      <selection activeCell="L24" sqref="L24"/>
    </sheetView>
  </sheetViews>
  <sheetFormatPr defaultRowHeight="14.4" x14ac:dyDescent="0.3"/>
  <cols>
    <col min="2" max="2" width="28" bestFit="1" customWidth="1"/>
    <col min="3" max="12" width="7.33203125" bestFit="1" customWidth="1"/>
  </cols>
  <sheetData>
    <row r="2" spans="2:14" x14ac:dyDescent="0.3">
      <c r="C2" s="11">
        <v>42064</v>
      </c>
      <c r="D2" s="11">
        <v>42430</v>
      </c>
      <c r="E2" s="11">
        <v>42795</v>
      </c>
      <c r="F2" s="11">
        <v>43160</v>
      </c>
      <c r="G2" s="11">
        <v>43525</v>
      </c>
      <c r="H2" s="11">
        <v>43891</v>
      </c>
      <c r="I2" s="11">
        <v>44256</v>
      </c>
      <c r="J2" s="11">
        <v>44621</v>
      </c>
      <c r="K2" s="11">
        <v>44986</v>
      </c>
      <c r="L2" s="11">
        <v>45352</v>
      </c>
    </row>
    <row r="3" spans="2:14" x14ac:dyDescent="0.3">
      <c r="B3" t="s">
        <v>112</v>
      </c>
      <c r="C3" s="23">
        <v>1027</v>
      </c>
      <c r="D3" s="23">
        <v>847</v>
      </c>
      <c r="E3" s="23">
        <v>1860</v>
      </c>
      <c r="F3" s="23">
        <v>1723</v>
      </c>
      <c r="G3" s="23">
        <v>1729</v>
      </c>
      <c r="H3" s="23">
        <v>1588</v>
      </c>
      <c r="I3" s="23">
        <v>2030</v>
      </c>
      <c r="J3" s="23">
        <v>1451</v>
      </c>
      <c r="K3" s="23">
        <v>2151</v>
      </c>
      <c r="L3" s="23">
        <v>2070</v>
      </c>
    </row>
    <row r="4" spans="2:14" x14ac:dyDescent="0.3">
      <c r="B4" t="s">
        <v>87</v>
      </c>
      <c r="C4" s="23">
        <v>1397</v>
      </c>
      <c r="D4" s="23">
        <v>1669</v>
      </c>
      <c r="E4" s="23">
        <v>1947</v>
      </c>
      <c r="F4" s="23">
        <v>2147</v>
      </c>
      <c r="G4" s="23">
        <v>2181</v>
      </c>
      <c r="H4" s="23">
        <v>2185</v>
      </c>
      <c r="I4" s="23">
        <v>2472</v>
      </c>
      <c r="J4" s="23">
        <v>2434</v>
      </c>
      <c r="K4" s="23">
        <v>2476</v>
      </c>
      <c r="L4" s="23">
        <v>2900</v>
      </c>
    </row>
    <row r="5" spans="2:14" x14ac:dyDescent="0.3">
      <c r="B5" t="s">
        <v>42</v>
      </c>
      <c r="C5" s="23">
        <v>-81</v>
      </c>
      <c r="D5">
        <v>-323</v>
      </c>
      <c r="E5" s="23">
        <v>166</v>
      </c>
      <c r="F5" s="23">
        <v>-245</v>
      </c>
      <c r="G5" s="23">
        <v>-174</v>
      </c>
      <c r="H5" s="23">
        <v>130</v>
      </c>
      <c r="I5" s="23">
        <v>81</v>
      </c>
      <c r="J5" s="23">
        <v>-89</v>
      </c>
      <c r="K5" s="23">
        <v>-165</v>
      </c>
      <c r="L5">
        <v>-479</v>
      </c>
    </row>
    <row r="6" spans="2:14" x14ac:dyDescent="0.3">
      <c r="B6" t="s">
        <v>43</v>
      </c>
      <c r="C6" s="23">
        <v>26</v>
      </c>
      <c r="D6" s="23">
        <v>-235</v>
      </c>
      <c r="E6" s="23">
        <v>46</v>
      </c>
      <c r="F6" s="23">
        <v>-165</v>
      </c>
      <c r="G6" s="23">
        <v>-20</v>
      </c>
      <c r="H6" s="23">
        <v>-169</v>
      </c>
      <c r="I6" s="23">
        <v>-70</v>
      </c>
      <c r="J6" s="23">
        <v>-384</v>
      </c>
      <c r="K6" s="23">
        <v>555</v>
      </c>
      <c r="L6">
        <v>-71</v>
      </c>
    </row>
    <row r="7" spans="2:14" x14ac:dyDescent="0.3">
      <c r="B7" t="s">
        <v>88</v>
      </c>
      <c r="C7" s="23">
        <v>0</v>
      </c>
      <c r="D7" s="23">
        <v>17</v>
      </c>
      <c r="E7" s="23">
        <v>196</v>
      </c>
      <c r="F7" s="23">
        <v>613</v>
      </c>
      <c r="G7" s="23">
        <v>274</v>
      </c>
      <c r="H7" s="23">
        <v>-95</v>
      </c>
      <c r="I7" s="23">
        <v>-473</v>
      </c>
      <c r="J7" s="23">
        <v>83</v>
      </c>
      <c r="K7" s="23">
        <v>-370</v>
      </c>
      <c r="L7" s="23">
        <v>91</v>
      </c>
    </row>
    <row r="8" spans="2:14" x14ac:dyDescent="0.3">
      <c r="B8" t="s">
        <v>89</v>
      </c>
      <c r="C8">
        <v>8</v>
      </c>
      <c r="D8">
        <v>1</v>
      </c>
      <c r="E8">
        <v>-3</v>
      </c>
      <c r="F8">
        <v>1</v>
      </c>
      <c r="G8">
        <v>-1</v>
      </c>
      <c r="H8">
        <v>-3</v>
      </c>
      <c r="I8">
        <v>1</v>
      </c>
      <c r="J8">
        <v>0</v>
      </c>
      <c r="K8">
        <v>0</v>
      </c>
      <c r="L8">
        <v>0</v>
      </c>
    </row>
    <row r="9" spans="2:14" x14ac:dyDescent="0.3">
      <c r="B9" t="s">
        <v>90</v>
      </c>
      <c r="C9">
        <v>-39</v>
      </c>
      <c r="D9" s="23">
        <v>75</v>
      </c>
      <c r="E9">
        <v>-65</v>
      </c>
      <c r="F9" s="23">
        <v>-219</v>
      </c>
      <c r="G9" s="23">
        <v>-79</v>
      </c>
      <c r="H9">
        <v>-116</v>
      </c>
      <c r="I9" s="23">
        <v>416</v>
      </c>
      <c r="J9">
        <v>-146</v>
      </c>
      <c r="K9" s="23">
        <v>74</v>
      </c>
      <c r="L9" s="23">
        <v>3</v>
      </c>
    </row>
    <row r="10" spans="2:14" x14ac:dyDescent="0.3">
      <c r="B10" t="s">
        <v>91</v>
      </c>
      <c r="C10">
        <v>-87</v>
      </c>
      <c r="D10" s="23">
        <v>-465</v>
      </c>
      <c r="E10" s="23">
        <v>341</v>
      </c>
      <c r="F10" s="23">
        <v>-16</v>
      </c>
      <c r="G10" s="23">
        <v>1</v>
      </c>
      <c r="H10" s="23">
        <v>-253</v>
      </c>
      <c r="I10" s="23">
        <v>-45</v>
      </c>
      <c r="J10" s="23">
        <v>-536</v>
      </c>
      <c r="K10">
        <v>93</v>
      </c>
      <c r="L10" s="23">
        <v>-456</v>
      </c>
      <c r="N10" s="23"/>
    </row>
    <row r="11" spans="2:14" x14ac:dyDescent="0.3">
      <c r="B11" t="s">
        <v>92</v>
      </c>
      <c r="C11" s="23">
        <v>-257</v>
      </c>
      <c r="D11" s="23">
        <v>-336</v>
      </c>
      <c r="E11" s="23">
        <v>-407</v>
      </c>
      <c r="F11" s="23">
        <v>-393</v>
      </c>
      <c r="G11" s="23">
        <v>-435</v>
      </c>
      <c r="H11" s="23">
        <v>-344</v>
      </c>
      <c r="I11" s="23">
        <v>-397</v>
      </c>
      <c r="J11" s="23">
        <v>-448</v>
      </c>
      <c r="K11" s="23">
        <v>-418</v>
      </c>
      <c r="L11" s="23">
        <v>-374</v>
      </c>
    </row>
    <row r="12" spans="2:14" x14ac:dyDescent="0.3">
      <c r="B12" t="s">
        <v>113</v>
      </c>
      <c r="C12" s="23">
        <v>-1236</v>
      </c>
      <c r="D12">
        <v>-622</v>
      </c>
      <c r="E12" s="23">
        <v>-2243</v>
      </c>
      <c r="F12">
        <v>-336</v>
      </c>
      <c r="G12">
        <v>274</v>
      </c>
      <c r="H12">
        <v>-552</v>
      </c>
      <c r="I12">
        <v>-292</v>
      </c>
      <c r="J12">
        <v>-844</v>
      </c>
      <c r="K12" s="23">
        <v>-1754</v>
      </c>
      <c r="L12" s="23">
        <v>-3435</v>
      </c>
    </row>
    <row r="13" spans="2:14" x14ac:dyDescent="0.3">
      <c r="B13" t="s">
        <v>93</v>
      </c>
      <c r="C13">
        <v>-213</v>
      </c>
      <c r="D13">
        <v>-208</v>
      </c>
      <c r="E13" s="23">
        <v>-180</v>
      </c>
      <c r="F13" s="23">
        <v>-311</v>
      </c>
      <c r="G13">
        <v>-208</v>
      </c>
      <c r="H13">
        <v>-152</v>
      </c>
      <c r="I13">
        <v>-164</v>
      </c>
      <c r="J13" s="23">
        <v>0</v>
      </c>
      <c r="K13" s="23">
        <v>0</v>
      </c>
      <c r="L13" s="23">
        <v>0</v>
      </c>
    </row>
    <row r="14" spans="2:14" x14ac:dyDescent="0.3">
      <c r="B14" t="s">
        <v>94</v>
      </c>
      <c r="C14">
        <v>0</v>
      </c>
      <c r="D14">
        <v>0</v>
      </c>
      <c r="E14">
        <v>0</v>
      </c>
      <c r="F14">
        <v>0</v>
      </c>
      <c r="G14" s="23">
        <v>0</v>
      </c>
      <c r="H14" s="23">
        <v>0</v>
      </c>
      <c r="I14" s="23">
        <v>0</v>
      </c>
      <c r="J14">
        <v>3</v>
      </c>
      <c r="K14">
        <v>8</v>
      </c>
      <c r="L14">
        <v>31</v>
      </c>
    </row>
    <row r="15" spans="2:14" x14ac:dyDescent="0.3">
      <c r="B15" t="s">
        <v>95</v>
      </c>
      <c r="C15">
        <v>-40</v>
      </c>
      <c r="D15">
        <v>0</v>
      </c>
      <c r="E15">
        <v>-574</v>
      </c>
      <c r="F15">
        <v>-309</v>
      </c>
      <c r="G15">
        <v>0</v>
      </c>
      <c r="H15">
        <v>0</v>
      </c>
      <c r="I15">
        <v>-139</v>
      </c>
      <c r="J15" s="23">
        <v>-452</v>
      </c>
      <c r="K15">
        <v>-227</v>
      </c>
      <c r="L15">
        <v>-307</v>
      </c>
    </row>
    <row r="16" spans="2:14" x14ac:dyDescent="0.3">
      <c r="B16" t="s">
        <v>96</v>
      </c>
      <c r="C16">
        <v>0</v>
      </c>
      <c r="D16">
        <v>92</v>
      </c>
      <c r="E16">
        <v>0</v>
      </c>
      <c r="F16">
        <v>349</v>
      </c>
      <c r="G16">
        <v>195</v>
      </c>
      <c r="H16" s="23">
        <v>270</v>
      </c>
      <c r="I16">
        <v>35</v>
      </c>
      <c r="J16">
        <v>0</v>
      </c>
      <c r="K16">
        <v>0</v>
      </c>
      <c r="L16">
        <v>0</v>
      </c>
    </row>
    <row r="17" spans="2:12" x14ac:dyDescent="0.3">
      <c r="B17" t="s">
        <v>97</v>
      </c>
      <c r="C17">
        <v>31</v>
      </c>
      <c r="D17">
        <v>43</v>
      </c>
      <c r="E17">
        <v>41</v>
      </c>
      <c r="F17">
        <v>66</v>
      </c>
      <c r="G17">
        <v>92</v>
      </c>
      <c r="H17">
        <v>57</v>
      </c>
      <c r="I17">
        <v>59</v>
      </c>
      <c r="J17">
        <v>59</v>
      </c>
      <c r="K17">
        <v>111</v>
      </c>
      <c r="L17">
        <v>231</v>
      </c>
    </row>
    <row r="18" spans="2:12" x14ac:dyDescent="0.3">
      <c r="B18" t="s">
        <v>98</v>
      </c>
      <c r="C18">
        <v>-630</v>
      </c>
      <c r="D18">
        <v>-647</v>
      </c>
      <c r="E18">
        <v>0</v>
      </c>
      <c r="F18">
        <v>0</v>
      </c>
      <c r="G18">
        <v>0</v>
      </c>
      <c r="H18">
        <v>0</v>
      </c>
      <c r="I18">
        <v>0</v>
      </c>
      <c r="J18">
        <v>0</v>
      </c>
      <c r="K18">
        <v>0</v>
      </c>
      <c r="L18">
        <v>0</v>
      </c>
    </row>
    <row r="19" spans="2:12" x14ac:dyDescent="0.3">
      <c r="B19" t="s">
        <v>99</v>
      </c>
      <c r="C19">
        <v>0</v>
      </c>
      <c r="D19">
        <v>0</v>
      </c>
      <c r="E19">
        <v>0</v>
      </c>
      <c r="F19">
        <v>0</v>
      </c>
      <c r="G19">
        <v>0</v>
      </c>
      <c r="H19">
        <v>0</v>
      </c>
      <c r="I19">
        <v>0</v>
      </c>
      <c r="J19">
        <v>0</v>
      </c>
      <c r="K19">
        <v>0</v>
      </c>
      <c r="L19">
        <v>0</v>
      </c>
    </row>
    <row r="20" spans="2:12" x14ac:dyDescent="0.3">
      <c r="B20" t="s">
        <v>100</v>
      </c>
      <c r="C20">
        <v>0</v>
      </c>
      <c r="D20">
        <v>0</v>
      </c>
      <c r="E20">
        <v>0</v>
      </c>
      <c r="F20">
        <v>0</v>
      </c>
      <c r="G20">
        <v>0</v>
      </c>
      <c r="H20">
        <v>0</v>
      </c>
      <c r="I20">
        <v>0</v>
      </c>
      <c r="J20">
        <v>0</v>
      </c>
      <c r="K20">
        <v>0</v>
      </c>
      <c r="L20">
        <v>372</v>
      </c>
    </row>
    <row r="21" spans="2:12" x14ac:dyDescent="0.3">
      <c r="B21" t="s">
        <v>101</v>
      </c>
      <c r="C21">
        <v>0</v>
      </c>
      <c r="D21">
        <v>0</v>
      </c>
      <c r="E21" s="23">
        <v>-1431</v>
      </c>
      <c r="F21">
        <v>0</v>
      </c>
      <c r="G21">
        <v>0</v>
      </c>
      <c r="H21">
        <v>0</v>
      </c>
      <c r="I21">
        <v>0</v>
      </c>
      <c r="J21">
        <v>-387</v>
      </c>
      <c r="K21">
        <v>-988</v>
      </c>
      <c r="L21">
        <v>0</v>
      </c>
    </row>
    <row r="22" spans="2:12" x14ac:dyDescent="0.3">
      <c r="B22" t="s">
        <v>102</v>
      </c>
      <c r="C22" s="23">
        <v>-385</v>
      </c>
      <c r="D22" s="23">
        <v>99</v>
      </c>
      <c r="E22">
        <v>-99</v>
      </c>
      <c r="F22" s="23">
        <v>-131</v>
      </c>
      <c r="G22" s="23">
        <v>195</v>
      </c>
      <c r="H22" s="23">
        <v>-727</v>
      </c>
      <c r="I22" s="23">
        <v>-84</v>
      </c>
      <c r="J22" s="23">
        <v>-67</v>
      </c>
      <c r="K22" s="23">
        <v>-658</v>
      </c>
      <c r="L22" s="23">
        <v>-3762</v>
      </c>
    </row>
    <row r="23" spans="2:12" x14ac:dyDescent="0.3">
      <c r="B23" t="s">
        <v>114</v>
      </c>
      <c r="C23" s="23">
        <v>-12</v>
      </c>
      <c r="D23" s="23">
        <v>-202</v>
      </c>
      <c r="E23" s="23">
        <v>665</v>
      </c>
      <c r="F23" s="23">
        <v>-1384</v>
      </c>
      <c r="G23" s="23">
        <v>-2039</v>
      </c>
      <c r="H23" s="23">
        <v>-1295</v>
      </c>
      <c r="I23" s="23">
        <v>-1816</v>
      </c>
      <c r="J23" s="23">
        <v>-380</v>
      </c>
      <c r="K23" s="23">
        <v>-794</v>
      </c>
      <c r="L23" s="23">
        <v>1406</v>
      </c>
    </row>
    <row r="24" spans="2:12" x14ac:dyDescent="0.3">
      <c r="B24" t="s">
        <v>103</v>
      </c>
      <c r="C24">
        <v>0</v>
      </c>
      <c r="D24">
        <v>0</v>
      </c>
      <c r="E24">
        <v>0</v>
      </c>
      <c r="F24" s="23">
        <v>0</v>
      </c>
      <c r="G24">
        <v>0</v>
      </c>
      <c r="H24">
        <v>0</v>
      </c>
      <c r="I24">
        <v>0</v>
      </c>
      <c r="J24" s="23">
        <v>0</v>
      </c>
      <c r="K24" s="23">
        <v>0</v>
      </c>
      <c r="L24">
        <v>0</v>
      </c>
    </row>
    <row r="25" spans="2:12" x14ac:dyDescent="0.3">
      <c r="B25" t="s">
        <v>122</v>
      </c>
      <c r="C25">
        <v>0</v>
      </c>
      <c r="D25">
        <v>0</v>
      </c>
      <c r="E25">
        <v>0</v>
      </c>
      <c r="F25">
        <v>0</v>
      </c>
      <c r="G25">
        <v>0</v>
      </c>
      <c r="H25">
        <v>0</v>
      </c>
      <c r="I25">
        <v>0</v>
      </c>
      <c r="J25">
        <v>0</v>
      </c>
      <c r="K25">
        <v>0</v>
      </c>
      <c r="L25">
        <v>0</v>
      </c>
    </row>
    <row r="26" spans="2:12" x14ac:dyDescent="0.3">
      <c r="B26" t="s">
        <v>104</v>
      </c>
      <c r="C26" s="23">
        <v>-50</v>
      </c>
      <c r="D26" s="23">
        <v>-278</v>
      </c>
      <c r="E26" s="23">
        <v>0</v>
      </c>
      <c r="F26" s="23">
        <v>0</v>
      </c>
      <c r="G26" s="23">
        <v>0</v>
      </c>
      <c r="H26" s="23">
        <v>0</v>
      </c>
      <c r="I26" s="23">
        <v>0</v>
      </c>
      <c r="J26" s="23">
        <v>0</v>
      </c>
      <c r="K26" s="23">
        <v>0</v>
      </c>
      <c r="L26" s="23">
        <v>0</v>
      </c>
    </row>
    <row r="27" spans="2:12" x14ac:dyDescent="0.3">
      <c r="B27" t="s">
        <v>105</v>
      </c>
      <c r="C27" s="23">
        <v>368</v>
      </c>
      <c r="D27" s="23">
        <v>0</v>
      </c>
      <c r="E27" s="23">
        <v>0</v>
      </c>
      <c r="F27" s="23">
        <v>0</v>
      </c>
      <c r="G27" s="23">
        <v>0</v>
      </c>
      <c r="H27" s="23">
        <v>247</v>
      </c>
      <c r="I27" s="23">
        <v>737</v>
      </c>
      <c r="J27" s="23">
        <v>535</v>
      </c>
      <c r="K27" s="23">
        <v>0</v>
      </c>
      <c r="L27" s="23">
        <v>2681</v>
      </c>
    </row>
    <row r="28" spans="2:12" x14ac:dyDescent="0.3">
      <c r="B28" t="s">
        <v>106</v>
      </c>
      <c r="C28">
        <v>0</v>
      </c>
      <c r="D28">
        <v>0</v>
      </c>
      <c r="E28">
        <v>0</v>
      </c>
      <c r="F28">
        <v>0</v>
      </c>
      <c r="G28">
        <v>-345</v>
      </c>
      <c r="H28">
        <v>-375</v>
      </c>
      <c r="I28" s="23">
        <v>-2357</v>
      </c>
      <c r="J28">
        <v>-755</v>
      </c>
      <c r="K28">
        <v>-634</v>
      </c>
      <c r="L28">
        <v>-416</v>
      </c>
    </row>
    <row r="29" spans="2:12" x14ac:dyDescent="0.3">
      <c r="B29" t="s">
        <v>108</v>
      </c>
      <c r="C29" s="23">
        <v>-119</v>
      </c>
      <c r="D29" s="23">
        <v>-119</v>
      </c>
      <c r="E29" s="23">
        <v>-124</v>
      </c>
      <c r="F29" s="23">
        <v>-158</v>
      </c>
      <c r="G29" s="23">
        <v>-215</v>
      </c>
      <c r="H29" s="23">
        <v>-156</v>
      </c>
      <c r="I29" s="23">
        <v>-166</v>
      </c>
      <c r="J29" s="23">
        <v>-119</v>
      </c>
      <c r="K29" s="23">
        <v>-119</v>
      </c>
      <c r="L29" s="23">
        <v>-267</v>
      </c>
    </row>
    <row r="30" spans="2:12" x14ac:dyDescent="0.3">
      <c r="B30" t="s">
        <v>109</v>
      </c>
      <c r="C30" s="23">
        <v>-179</v>
      </c>
      <c r="D30">
        <v>-187</v>
      </c>
      <c r="E30">
        <v>-196</v>
      </c>
      <c r="F30">
        <v>-613</v>
      </c>
      <c r="G30" s="23">
        <v>-1227</v>
      </c>
      <c r="H30">
        <v>-818</v>
      </c>
      <c r="I30">
        <v>0</v>
      </c>
      <c r="J30">
        <v>0</v>
      </c>
      <c r="K30">
        <v>0</v>
      </c>
      <c r="L30">
        <v>-511</v>
      </c>
    </row>
    <row r="31" spans="2:12" x14ac:dyDescent="0.3">
      <c r="B31" t="s">
        <v>110</v>
      </c>
      <c r="C31">
        <v>0</v>
      </c>
      <c r="D31">
        <v>0</v>
      </c>
      <c r="E31">
        <v>0</v>
      </c>
      <c r="F31">
        <v>0</v>
      </c>
      <c r="G31">
        <v>0</v>
      </c>
      <c r="H31">
        <v>-25</v>
      </c>
      <c r="I31">
        <v>-31</v>
      </c>
      <c r="J31" s="23">
        <v>-41</v>
      </c>
      <c r="K31" s="23">
        <v>-41</v>
      </c>
      <c r="L31" s="23">
        <v>-80</v>
      </c>
    </row>
    <row r="32" spans="2:12" x14ac:dyDescent="0.3">
      <c r="B32" t="s">
        <v>111</v>
      </c>
      <c r="C32" s="23">
        <v>-32</v>
      </c>
      <c r="D32">
        <v>381</v>
      </c>
      <c r="E32">
        <v>984</v>
      </c>
      <c r="F32">
        <v>-613</v>
      </c>
      <c r="G32">
        <v>-253</v>
      </c>
      <c r="H32">
        <v>-168</v>
      </c>
      <c r="I32">
        <v>0</v>
      </c>
      <c r="J32">
        <v>0</v>
      </c>
      <c r="K32">
        <v>0</v>
      </c>
      <c r="L32" s="23">
        <v>0</v>
      </c>
    </row>
    <row r="33" spans="2:12" x14ac:dyDescent="0.3">
      <c r="B33" t="s">
        <v>52</v>
      </c>
      <c r="C33" s="23">
        <v>-221</v>
      </c>
      <c r="D33" s="23">
        <v>23</v>
      </c>
      <c r="E33" s="23">
        <v>282</v>
      </c>
      <c r="F33" s="23">
        <v>3</v>
      </c>
      <c r="G33" s="23">
        <v>-36</v>
      </c>
      <c r="H33">
        <v>-259</v>
      </c>
      <c r="I33" s="23">
        <v>-79</v>
      </c>
      <c r="J33" s="23">
        <v>227</v>
      </c>
      <c r="K33" s="23">
        <v>-398</v>
      </c>
      <c r="L33" s="23">
        <v>41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94BE0-56D9-4F9B-B405-610591A96EC2}">
  <dimension ref="B1:N76"/>
  <sheetViews>
    <sheetView showGridLines="0" workbookViewId="0">
      <selection activeCell="O9" sqref="O9"/>
    </sheetView>
  </sheetViews>
  <sheetFormatPr defaultRowHeight="14.4" x14ac:dyDescent="0.3"/>
  <cols>
    <col min="1" max="1" width="1.88671875" customWidth="1"/>
    <col min="2" max="2" width="22.77734375" bestFit="1" customWidth="1"/>
  </cols>
  <sheetData>
    <row r="1" spans="2:14" x14ac:dyDescent="0.3">
      <c r="B1" s="74"/>
      <c r="C1" s="125">
        <v>41334</v>
      </c>
      <c r="D1" s="125">
        <v>41699</v>
      </c>
      <c r="E1" s="125">
        <v>42064</v>
      </c>
      <c r="F1" s="125">
        <v>42430</v>
      </c>
      <c r="G1" s="125">
        <v>42795</v>
      </c>
      <c r="H1" s="125">
        <v>43160</v>
      </c>
      <c r="I1" s="125">
        <v>43525</v>
      </c>
      <c r="J1" s="125">
        <v>43891</v>
      </c>
      <c r="K1" s="125">
        <v>44256</v>
      </c>
      <c r="L1" s="125">
        <v>44621</v>
      </c>
      <c r="M1" s="125">
        <v>44986</v>
      </c>
      <c r="N1" s="125">
        <v>45352</v>
      </c>
    </row>
    <row r="2" spans="2:14" x14ac:dyDescent="0.3">
      <c r="B2" s="12" t="s">
        <v>262</v>
      </c>
      <c r="C2" s="126">
        <v>34</v>
      </c>
      <c r="D2" s="126">
        <v>34</v>
      </c>
      <c r="E2" s="126">
        <v>34</v>
      </c>
      <c r="F2" s="126">
        <v>34</v>
      </c>
      <c r="G2" s="126">
        <v>34</v>
      </c>
      <c r="H2" s="126">
        <v>68</v>
      </c>
      <c r="I2" s="126">
        <v>102</v>
      </c>
      <c r="J2" s="126">
        <v>102</v>
      </c>
      <c r="K2" s="126">
        <v>102</v>
      </c>
      <c r="L2" s="126">
        <v>102</v>
      </c>
      <c r="M2" s="126">
        <v>102</v>
      </c>
      <c r="N2" s="126">
        <v>102</v>
      </c>
    </row>
    <row r="3" spans="2:14" x14ac:dyDescent="0.3">
      <c r="B3" s="12" t="s">
        <v>34</v>
      </c>
      <c r="C3" s="126">
        <v>3279</v>
      </c>
      <c r="D3" s="126">
        <v>3741</v>
      </c>
      <c r="E3" s="126">
        <v>4277</v>
      </c>
      <c r="F3" s="126">
        <v>4233</v>
      </c>
      <c r="G3" s="126">
        <v>5268</v>
      </c>
      <c r="H3" s="126">
        <v>6190</v>
      </c>
      <c r="I3" s="126">
        <v>7165</v>
      </c>
      <c r="J3" s="126">
        <v>7796</v>
      </c>
      <c r="K3" s="126">
        <v>9337</v>
      </c>
      <c r="L3" s="126">
        <v>11454</v>
      </c>
      <c r="M3" s="126">
        <v>13692</v>
      </c>
      <c r="N3" s="126">
        <v>12496</v>
      </c>
    </row>
    <row r="4" spans="2:14" x14ac:dyDescent="0.3">
      <c r="B4" s="12" t="s">
        <v>263</v>
      </c>
      <c r="C4" s="126">
        <v>2456</v>
      </c>
      <c r="D4" s="126">
        <v>2373</v>
      </c>
      <c r="E4" s="126">
        <v>2717</v>
      </c>
      <c r="F4" s="126">
        <v>2891</v>
      </c>
      <c r="G4" s="126">
        <v>4001</v>
      </c>
      <c r="H4" s="126">
        <v>3508</v>
      </c>
      <c r="I4" s="126">
        <v>3382</v>
      </c>
      <c r="J4" s="126">
        <v>3575</v>
      </c>
      <c r="K4" s="126">
        <v>1864</v>
      </c>
      <c r="L4" s="126">
        <v>1704</v>
      </c>
      <c r="M4" s="126">
        <v>1130</v>
      </c>
      <c r="N4" s="126">
        <v>3222</v>
      </c>
    </row>
    <row r="5" spans="2:14" x14ac:dyDescent="0.3">
      <c r="B5" t="s">
        <v>264</v>
      </c>
      <c r="C5" s="126">
        <v>1866</v>
      </c>
      <c r="D5" s="126">
        <v>1591</v>
      </c>
      <c r="E5" s="126">
        <v>2023</v>
      </c>
      <c r="F5" s="126">
        <v>2449</v>
      </c>
      <c r="G5" s="126">
        <v>3108</v>
      </c>
      <c r="H5" s="126">
        <v>2380</v>
      </c>
      <c r="I5" s="126">
        <v>2605</v>
      </c>
      <c r="J5" s="126">
        <v>2145</v>
      </c>
      <c r="K5" s="126">
        <v>480</v>
      </c>
      <c r="L5" s="126">
        <v>381</v>
      </c>
      <c r="M5" s="126">
        <v>189</v>
      </c>
      <c r="N5" s="126">
        <v>0</v>
      </c>
    </row>
    <row r="6" spans="2:14" x14ac:dyDescent="0.3">
      <c r="B6" t="s">
        <v>265</v>
      </c>
      <c r="C6" s="126">
        <v>82</v>
      </c>
      <c r="D6" s="126">
        <v>111</v>
      </c>
      <c r="E6" s="126">
        <v>147</v>
      </c>
      <c r="F6" s="126">
        <v>182</v>
      </c>
      <c r="G6" s="126">
        <v>233</v>
      </c>
      <c r="H6" s="126">
        <v>154</v>
      </c>
      <c r="I6" s="126">
        <v>271</v>
      </c>
      <c r="J6" s="126">
        <v>519</v>
      </c>
      <c r="K6" s="126">
        <v>1288</v>
      </c>
      <c r="L6" s="126">
        <v>1227</v>
      </c>
      <c r="M6" s="126">
        <v>845</v>
      </c>
      <c r="N6" s="126">
        <v>3155</v>
      </c>
    </row>
    <row r="7" spans="2:14" x14ac:dyDescent="0.3">
      <c r="B7" t="s">
        <v>266</v>
      </c>
      <c r="C7" s="126">
        <v>0</v>
      </c>
      <c r="D7" s="126">
        <v>0</v>
      </c>
      <c r="E7" s="126">
        <v>0</v>
      </c>
      <c r="F7" s="126">
        <v>0</v>
      </c>
      <c r="G7" s="126">
        <v>0</v>
      </c>
      <c r="H7" s="126">
        <v>0</v>
      </c>
      <c r="I7" s="126">
        <v>0</v>
      </c>
      <c r="J7" s="126">
        <v>57</v>
      </c>
      <c r="K7" s="126">
        <v>96</v>
      </c>
      <c r="L7" s="126">
        <v>97</v>
      </c>
      <c r="M7" s="126">
        <v>96</v>
      </c>
      <c r="N7" s="126">
        <v>68</v>
      </c>
    </row>
    <row r="8" spans="2:14" x14ac:dyDescent="0.3">
      <c r="B8" t="s">
        <v>267</v>
      </c>
      <c r="C8" s="126">
        <v>508</v>
      </c>
      <c r="D8" s="126">
        <v>671</v>
      </c>
      <c r="E8" s="126">
        <v>547</v>
      </c>
      <c r="F8" s="126">
        <v>260</v>
      </c>
      <c r="G8" s="126">
        <v>660</v>
      </c>
      <c r="H8" s="126">
        <v>973</v>
      </c>
      <c r="I8" s="126">
        <v>506</v>
      </c>
      <c r="J8" s="126">
        <v>855</v>
      </c>
      <c r="K8" s="126">
        <v>0</v>
      </c>
      <c r="L8" s="126">
        <v>0</v>
      </c>
      <c r="M8" s="126">
        <v>0</v>
      </c>
      <c r="N8" s="126">
        <v>0</v>
      </c>
    </row>
    <row r="9" spans="2:14" x14ac:dyDescent="0.3">
      <c r="B9" s="12" t="s">
        <v>268</v>
      </c>
      <c r="C9" s="126">
        <v>1926</v>
      </c>
      <c r="D9" s="126">
        <v>2171</v>
      </c>
      <c r="E9" s="126">
        <v>2097</v>
      </c>
      <c r="F9" s="126">
        <v>2521</v>
      </c>
      <c r="G9" s="126">
        <v>3637</v>
      </c>
      <c r="H9" s="126">
        <v>4098</v>
      </c>
      <c r="I9" s="126">
        <v>3445</v>
      </c>
      <c r="J9" s="126">
        <v>3407</v>
      </c>
      <c r="K9" s="126">
        <v>2941</v>
      </c>
      <c r="L9" s="126">
        <v>2822</v>
      </c>
      <c r="M9" s="126">
        <v>2513</v>
      </c>
      <c r="N9" s="126">
        <v>2571</v>
      </c>
    </row>
    <row r="10" spans="2:14" x14ac:dyDescent="0.3">
      <c r="B10" t="s">
        <v>269</v>
      </c>
      <c r="C10" s="126">
        <v>210</v>
      </c>
      <c r="D10" s="126">
        <v>225</v>
      </c>
      <c r="E10" s="126">
        <v>162</v>
      </c>
      <c r="F10" s="126">
        <v>10</v>
      </c>
      <c r="G10" s="126">
        <v>0</v>
      </c>
      <c r="H10" s="126">
        <v>0</v>
      </c>
      <c r="I10" s="126">
        <v>0</v>
      </c>
      <c r="J10" s="126">
        <v>0</v>
      </c>
      <c r="K10" s="126">
        <v>0</v>
      </c>
      <c r="L10" s="126">
        <v>0</v>
      </c>
      <c r="M10" s="126">
        <v>0</v>
      </c>
      <c r="N10" s="126">
        <v>0</v>
      </c>
    </row>
    <row r="11" spans="2:14" x14ac:dyDescent="0.3">
      <c r="B11" t="s">
        <v>270</v>
      </c>
      <c r="C11" s="126">
        <v>1035</v>
      </c>
      <c r="D11" s="126">
        <v>1234</v>
      </c>
      <c r="E11" s="126">
        <v>1088</v>
      </c>
      <c r="F11" s="126">
        <v>1485</v>
      </c>
      <c r="G11" s="126">
        <v>1724</v>
      </c>
      <c r="H11" s="126">
        <v>2353</v>
      </c>
      <c r="I11" s="126">
        <v>2540</v>
      </c>
      <c r="J11" s="126">
        <v>2480</v>
      </c>
      <c r="K11" s="126">
        <v>2012</v>
      </c>
      <c r="L11" s="126">
        <v>2163</v>
      </c>
      <c r="M11" s="126">
        <v>1823</v>
      </c>
      <c r="N11" s="126">
        <v>1675</v>
      </c>
    </row>
    <row r="12" spans="2:14" x14ac:dyDescent="0.3">
      <c r="B12" t="s">
        <v>271</v>
      </c>
      <c r="C12" s="126">
        <v>0</v>
      </c>
      <c r="D12" s="126">
        <v>0</v>
      </c>
      <c r="E12" s="126">
        <v>0</v>
      </c>
      <c r="F12" s="126">
        <v>0</v>
      </c>
      <c r="G12" s="126">
        <v>0</v>
      </c>
      <c r="H12" s="126">
        <v>0</v>
      </c>
      <c r="I12" s="126">
        <v>0</v>
      </c>
      <c r="J12" s="126">
        <v>25</v>
      </c>
      <c r="K12" s="126">
        <v>27</v>
      </c>
      <c r="L12" s="126">
        <v>30</v>
      </c>
      <c r="M12" s="126">
        <v>38</v>
      </c>
      <c r="N12" s="126">
        <v>30</v>
      </c>
    </row>
    <row r="13" spans="2:14" x14ac:dyDescent="0.3">
      <c r="B13" t="s">
        <v>272</v>
      </c>
      <c r="C13" s="127">
        <v>681</v>
      </c>
      <c r="D13" s="127">
        <v>712</v>
      </c>
      <c r="E13" s="127">
        <v>847</v>
      </c>
      <c r="F13" s="127">
        <v>1026</v>
      </c>
      <c r="G13" s="127">
        <v>1913</v>
      </c>
      <c r="H13" s="127">
        <v>1745</v>
      </c>
      <c r="I13" s="127">
        <v>905</v>
      </c>
      <c r="J13" s="127">
        <v>901</v>
      </c>
      <c r="K13" s="127">
        <v>901</v>
      </c>
      <c r="L13" s="127">
        <v>629</v>
      </c>
      <c r="M13" s="127">
        <v>652</v>
      </c>
      <c r="N13" s="127">
        <v>865</v>
      </c>
    </row>
    <row r="14" spans="2:14" x14ac:dyDescent="0.3">
      <c r="B14" s="128" t="s">
        <v>81</v>
      </c>
      <c r="C14" s="128">
        <v>7695</v>
      </c>
      <c r="D14" s="128">
        <v>8320</v>
      </c>
      <c r="E14" s="128">
        <v>9125</v>
      </c>
      <c r="F14" s="128">
        <v>9679</v>
      </c>
      <c r="G14" s="128">
        <v>12940</v>
      </c>
      <c r="H14" s="128">
        <v>13864</v>
      </c>
      <c r="I14" s="128">
        <v>14094</v>
      </c>
      <c r="J14" s="128">
        <v>14880</v>
      </c>
      <c r="K14" s="128">
        <v>14244</v>
      </c>
      <c r="L14" s="128">
        <v>16082</v>
      </c>
      <c r="M14" s="128">
        <v>17437</v>
      </c>
      <c r="N14" s="128">
        <v>18392</v>
      </c>
    </row>
    <row r="15" spans="2:14" x14ac:dyDescent="0.3">
      <c r="B15" s="129"/>
      <c r="C15" s="129"/>
      <c r="D15" s="129"/>
      <c r="E15" s="129"/>
      <c r="F15" s="129"/>
      <c r="G15" s="129"/>
      <c r="H15" s="129"/>
      <c r="I15" s="129"/>
      <c r="J15" s="129"/>
      <c r="K15" s="129"/>
      <c r="L15" s="129"/>
      <c r="M15" s="129"/>
      <c r="N15" s="129"/>
    </row>
    <row r="16" spans="2:14" x14ac:dyDescent="0.3">
      <c r="B16" s="12" t="s">
        <v>273</v>
      </c>
      <c r="C16" s="23">
        <v>4496</v>
      </c>
      <c r="D16" s="23">
        <v>5121</v>
      </c>
      <c r="E16" s="23">
        <v>5551</v>
      </c>
      <c r="F16" s="23">
        <v>5931</v>
      </c>
      <c r="G16" s="23">
        <v>8083</v>
      </c>
      <c r="H16" s="23">
        <v>8315</v>
      </c>
      <c r="I16" s="23">
        <v>8670</v>
      </c>
      <c r="J16" s="23">
        <v>9231</v>
      </c>
      <c r="K16" s="23">
        <v>8905</v>
      </c>
      <c r="L16" s="23">
        <v>9219</v>
      </c>
      <c r="M16" s="23">
        <v>9934</v>
      </c>
      <c r="N16" s="23">
        <v>10440</v>
      </c>
    </row>
    <row r="17" spans="2:14" x14ac:dyDescent="0.3">
      <c r="B17" t="s">
        <v>274</v>
      </c>
      <c r="C17" s="126">
        <v>50</v>
      </c>
      <c r="D17" s="126">
        <v>61</v>
      </c>
      <c r="E17" s="126">
        <v>54</v>
      </c>
      <c r="F17" s="126">
        <v>86</v>
      </c>
      <c r="G17" s="126">
        <v>108</v>
      </c>
      <c r="H17" s="126">
        <v>118</v>
      </c>
      <c r="I17" s="126">
        <v>147</v>
      </c>
      <c r="J17" s="126">
        <v>146</v>
      </c>
      <c r="K17" s="126">
        <v>144</v>
      </c>
      <c r="L17" s="126">
        <v>147</v>
      </c>
      <c r="M17" s="126">
        <v>145</v>
      </c>
      <c r="N17" s="126">
        <v>157</v>
      </c>
    </row>
    <row r="18" spans="2:14" x14ac:dyDescent="0.3">
      <c r="B18" t="s">
        <v>275</v>
      </c>
      <c r="C18" s="126">
        <v>237</v>
      </c>
      <c r="D18" s="126">
        <v>217</v>
      </c>
      <c r="E18" s="126">
        <v>249</v>
      </c>
      <c r="F18" s="126">
        <v>390</v>
      </c>
      <c r="G18" s="126">
        <v>430</v>
      </c>
      <c r="H18" s="126">
        <v>537</v>
      </c>
      <c r="I18" s="126">
        <v>627</v>
      </c>
      <c r="J18" s="126">
        <v>699</v>
      </c>
      <c r="K18" s="126">
        <v>757</v>
      </c>
      <c r="L18" s="126">
        <v>812</v>
      </c>
      <c r="M18" s="126">
        <v>854</v>
      </c>
      <c r="N18" s="126">
        <v>791</v>
      </c>
    </row>
    <row r="19" spans="2:14" x14ac:dyDescent="0.3">
      <c r="B19" t="s">
        <v>276</v>
      </c>
      <c r="C19" s="126">
        <v>451</v>
      </c>
      <c r="D19" s="126">
        <v>507</v>
      </c>
      <c r="E19" s="126">
        <v>547</v>
      </c>
      <c r="F19" s="126">
        <v>343</v>
      </c>
      <c r="G19" s="126">
        <v>435</v>
      </c>
      <c r="H19" s="126">
        <v>517</v>
      </c>
      <c r="I19" s="126">
        <v>634</v>
      </c>
      <c r="J19" s="126">
        <v>713</v>
      </c>
      <c r="K19" s="126">
        <v>809</v>
      </c>
      <c r="L19" s="126">
        <v>942</v>
      </c>
      <c r="M19" s="126">
        <v>1178</v>
      </c>
      <c r="N19" s="126">
        <v>1186</v>
      </c>
    </row>
    <row r="20" spans="2:14" x14ac:dyDescent="0.3">
      <c r="B20" t="s">
        <v>277</v>
      </c>
      <c r="C20" s="126">
        <v>0</v>
      </c>
      <c r="D20" s="126">
        <v>0</v>
      </c>
      <c r="E20" s="126">
        <v>0</v>
      </c>
      <c r="F20" s="126">
        <v>0</v>
      </c>
      <c r="G20" s="126">
        <v>0</v>
      </c>
      <c r="H20" s="126">
        <v>0</v>
      </c>
      <c r="I20" s="126">
        <v>0</v>
      </c>
      <c r="J20" s="126">
        <v>0</v>
      </c>
      <c r="K20" s="126">
        <v>1</v>
      </c>
      <c r="L20" s="126">
        <v>2</v>
      </c>
      <c r="M20" s="126">
        <v>12</v>
      </c>
      <c r="N20" s="126">
        <v>17</v>
      </c>
    </row>
    <row r="21" spans="2:14" x14ac:dyDescent="0.3">
      <c r="B21" t="s">
        <v>278</v>
      </c>
      <c r="C21" s="126">
        <v>26</v>
      </c>
      <c r="D21" s="126">
        <v>19</v>
      </c>
      <c r="E21" s="126">
        <v>19</v>
      </c>
      <c r="F21" s="126">
        <v>14</v>
      </c>
      <c r="G21" s="126">
        <v>17</v>
      </c>
      <c r="H21" s="126">
        <v>24</v>
      </c>
      <c r="I21" s="126">
        <v>30</v>
      </c>
      <c r="J21" s="126">
        <v>33</v>
      </c>
      <c r="K21" s="126">
        <v>36</v>
      </c>
      <c r="L21" s="126">
        <v>41</v>
      </c>
      <c r="M21" s="126">
        <v>51</v>
      </c>
      <c r="N21" s="126">
        <v>47</v>
      </c>
    </row>
    <row r="22" spans="2:14" x14ac:dyDescent="0.3">
      <c r="B22" t="s">
        <v>279</v>
      </c>
      <c r="C22" s="126">
        <v>22</v>
      </c>
      <c r="D22" s="126">
        <v>27</v>
      </c>
      <c r="E22" s="126">
        <v>34</v>
      </c>
      <c r="F22" s="126">
        <v>24</v>
      </c>
      <c r="G22" s="126">
        <v>38</v>
      </c>
      <c r="H22" s="126">
        <v>47</v>
      </c>
      <c r="I22" s="126">
        <v>55</v>
      </c>
      <c r="J22" s="126">
        <v>59</v>
      </c>
      <c r="K22" s="126">
        <v>64</v>
      </c>
      <c r="L22" s="126">
        <v>75</v>
      </c>
      <c r="M22" s="126">
        <v>78</v>
      </c>
      <c r="N22" s="126">
        <v>67</v>
      </c>
    </row>
    <row r="23" spans="2:14" x14ac:dyDescent="0.3">
      <c r="B23" t="s">
        <v>280</v>
      </c>
      <c r="C23" s="126">
        <v>25</v>
      </c>
      <c r="D23" s="126">
        <v>27</v>
      </c>
      <c r="E23" s="126">
        <v>29</v>
      </c>
      <c r="F23" s="126">
        <v>21</v>
      </c>
      <c r="G23" s="126">
        <v>25</v>
      </c>
      <c r="H23" s="126">
        <v>32</v>
      </c>
      <c r="I23" s="126">
        <v>35</v>
      </c>
      <c r="J23" s="126">
        <v>35</v>
      </c>
      <c r="K23" s="126">
        <v>37</v>
      </c>
      <c r="L23" s="126">
        <v>36</v>
      </c>
      <c r="M23" s="126">
        <v>35</v>
      </c>
      <c r="N23" s="126">
        <v>30</v>
      </c>
    </row>
    <row r="24" spans="2:14" x14ac:dyDescent="0.3">
      <c r="B24" t="s">
        <v>281</v>
      </c>
      <c r="C24" s="126">
        <v>41</v>
      </c>
      <c r="D24" s="126">
        <v>47</v>
      </c>
      <c r="E24" s="126">
        <v>49</v>
      </c>
      <c r="F24" s="126">
        <v>41</v>
      </c>
      <c r="G24" s="126">
        <v>47</v>
      </c>
      <c r="H24" s="126">
        <v>47</v>
      </c>
      <c r="I24" s="126">
        <v>48</v>
      </c>
      <c r="J24" s="126">
        <v>44</v>
      </c>
      <c r="K24" s="126">
        <v>60</v>
      </c>
      <c r="L24" s="126">
        <v>65</v>
      </c>
      <c r="M24" s="126">
        <v>63</v>
      </c>
      <c r="N24" s="126">
        <v>31</v>
      </c>
    </row>
    <row r="25" spans="2:14" x14ac:dyDescent="0.3">
      <c r="B25" t="s">
        <v>282</v>
      </c>
      <c r="C25" s="126">
        <v>4180</v>
      </c>
      <c r="D25" s="126">
        <v>4843</v>
      </c>
      <c r="E25" s="126">
        <v>5285</v>
      </c>
      <c r="F25" s="126">
        <v>5050</v>
      </c>
      <c r="G25" s="126">
        <v>7123</v>
      </c>
      <c r="H25" s="126">
        <v>7245</v>
      </c>
      <c r="I25" s="126">
        <v>7433</v>
      </c>
      <c r="J25" s="126">
        <v>8036</v>
      </c>
      <c r="K25" s="126">
        <v>7753</v>
      </c>
      <c r="L25" s="126">
        <v>8083</v>
      </c>
      <c r="M25" s="126">
        <v>8687</v>
      </c>
      <c r="N25" s="126">
        <v>10696</v>
      </c>
    </row>
    <row r="26" spans="2:14" x14ac:dyDescent="0.3">
      <c r="B26" t="s">
        <v>283</v>
      </c>
      <c r="C26" s="126">
        <v>36</v>
      </c>
      <c r="D26" s="126">
        <v>56</v>
      </c>
      <c r="E26" s="126">
        <v>67</v>
      </c>
      <c r="F26" s="126">
        <v>55</v>
      </c>
      <c r="G26" s="126">
        <v>67</v>
      </c>
      <c r="H26" s="126">
        <v>107</v>
      </c>
      <c r="I26" s="126">
        <v>119</v>
      </c>
      <c r="J26" s="126">
        <v>126</v>
      </c>
      <c r="K26" s="126">
        <v>130</v>
      </c>
      <c r="L26" s="126">
        <v>144</v>
      </c>
      <c r="M26" s="126">
        <v>145</v>
      </c>
      <c r="N26" s="126">
        <v>151</v>
      </c>
    </row>
    <row r="27" spans="2:14" x14ac:dyDescent="0.3">
      <c r="B27" s="131" t="s">
        <v>284</v>
      </c>
      <c r="C27" s="132">
        <v>5066</v>
      </c>
      <c r="D27" s="132">
        <v>5804</v>
      </c>
      <c r="E27" s="132">
        <v>6333</v>
      </c>
      <c r="F27" s="132">
        <v>6024</v>
      </c>
      <c r="G27" s="132">
        <v>8291</v>
      </c>
      <c r="H27" s="132">
        <v>8674</v>
      </c>
      <c r="I27" s="132">
        <v>9127</v>
      </c>
      <c r="J27" s="132">
        <v>9892</v>
      </c>
      <c r="K27" s="132">
        <v>9791</v>
      </c>
      <c r="L27" s="132">
        <v>10347</v>
      </c>
      <c r="M27" s="132">
        <v>11248</v>
      </c>
      <c r="N27" s="132">
        <v>13172</v>
      </c>
    </row>
    <row r="28" spans="2:14" x14ac:dyDescent="0.3">
      <c r="B28" s="12" t="s">
        <v>285</v>
      </c>
      <c r="C28" s="23">
        <v>570</v>
      </c>
      <c r="D28" s="23">
        <v>682</v>
      </c>
      <c r="E28" s="23">
        <v>782</v>
      </c>
      <c r="F28" s="23">
        <v>93</v>
      </c>
      <c r="G28" s="23">
        <v>208</v>
      </c>
      <c r="H28" s="23">
        <v>359</v>
      </c>
      <c r="I28" s="23">
        <v>457</v>
      </c>
      <c r="J28" s="23">
        <v>661</v>
      </c>
      <c r="K28" s="23">
        <v>886</v>
      </c>
      <c r="L28" s="23">
        <v>1127</v>
      </c>
      <c r="M28" s="23">
        <v>1315</v>
      </c>
      <c r="N28" s="23">
        <v>2732</v>
      </c>
    </row>
    <row r="29" spans="2:14" x14ac:dyDescent="0.3">
      <c r="B29" s="12" t="s">
        <v>38</v>
      </c>
      <c r="C29" s="126">
        <f>C27-C28</f>
        <v>4496</v>
      </c>
      <c r="D29" s="126">
        <f t="shared" ref="D29:N29" si="0">D27-D28</f>
        <v>5122</v>
      </c>
      <c r="E29" s="126">
        <f t="shared" si="0"/>
        <v>5551</v>
      </c>
      <c r="F29" s="126">
        <f t="shared" si="0"/>
        <v>5931</v>
      </c>
      <c r="G29" s="126">
        <f t="shared" si="0"/>
        <v>8083</v>
      </c>
      <c r="H29" s="126">
        <f t="shared" si="0"/>
        <v>8315</v>
      </c>
      <c r="I29" s="126">
        <f t="shared" si="0"/>
        <v>8670</v>
      </c>
      <c r="J29" s="126">
        <f t="shared" si="0"/>
        <v>9231</v>
      </c>
      <c r="K29" s="126">
        <f t="shared" si="0"/>
        <v>8905</v>
      </c>
      <c r="L29" s="126">
        <f t="shared" si="0"/>
        <v>9220</v>
      </c>
      <c r="M29" s="126">
        <f t="shared" si="0"/>
        <v>9933</v>
      </c>
      <c r="N29" s="126">
        <f t="shared" si="0"/>
        <v>10440</v>
      </c>
    </row>
    <row r="30" spans="2:14" x14ac:dyDescent="0.3">
      <c r="B30" s="12"/>
      <c r="C30" s="23"/>
      <c r="D30" s="23"/>
      <c r="E30" s="23"/>
      <c r="F30" s="23"/>
      <c r="G30" s="23"/>
      <c r="H30" s="23"/>
      <c r="I30" s="23"/>
      <c r="J30" s="23"/>
      <c r="K30" s="23"/>
      <c r="L30" s="23"/>
      <c r="M30" s="23"/>
      <c r="N30" s="23"/>
    </row>
    <row r="31" spans="2:14" x14ac:dyDescent="0.3">
      <c r="B31" s="12" t="s">
        <v>286</v>
      </c>
      <c r="C31" s="126">
        <v>141</v>
      </c>
      <c r="D31" s="126">
        <v>167</v>
      </c>
      <c r="E31" s="126">
        <v>225</v>
      </c>
      <c r="F31" s="126">
        <v>44</v>
      </c>
      <c r="G31" s="126">
        <v>97</v>
      </c>
      <c r="H31" s="126">
        <v>84</v>
      </c>
      <c r="I31" s="126">
        <v>52</v>
      </c>
      <c r="J31" s="126">
        <v>57</v>
      </c>
      <c r="K31" s="126">
        <v>57</v>
      </c>
      <c r="L31" s="126">
        <v>116</v>
      </c>
      <c r="M31" s="126">
        <v>45</v>
      </c>
      <c r="N31" s="126">
        <v>83</v>
      </c>
    </row>
    <row r="32" spans="2:14" x14ac:dyDescent="0.3">
      <c r="B32" s="12" t="s">
        <v>40</v>
      </c>
      <c r="C32" s="126">
        <v>121</v>
      </c>
      <c r="D32" s="126">
        <v>136</v>
      </c>
      <c r="E32" s="126">
        <v>186</v>
      </c>
      <c r="F32" s="126">
        <v>190</v>
      </c>
      <c r="G32" s="126">
        <v>934</v>
      </c>
      <c r="H32" s="126">
        <v>997</v>
      </c>
      <c r="I32" s="126">
        <v>516</v>
      </c>
      <c r="J32" s="126">
        <v>672</v>
      </c>
      <c r="K32" s="126">
        <v>679</v>
      </c>
      <c r="L32" s="126">
        <v>1015</v>
      </c>
      <c r="M32" s="126">
        <v>3029</v>
      </c>
      <c r="N32" s="126">
        <v>3504</v>
      </c>
    </row>
    <row r="33" spans="2:14" x14ac:dyDescent="0.3">
      <c r="L33" s="23"/>
      <c r="M33" s="23"/>
      <c r="N33" s="23"/>
    </row>
    <row r="34" spans="2:14" x14ac:dyDescent="0.3">
      <c r="B34" s="12" t="s">
        <v>287</v>
      </c>
      <c r="C34" s="127">
        <v>2937</v>
      </c>
      <c r="D34" s="127">
        <v>2895</v>
      </c>
      <c r="E34" s="127">
        <v>3164</v>
      </c>
      <c r="F34" s="127">
        <v>3514</v>
      </c>
      <c r="G34" s="127">
        <v>3826</v>
      </c>
      <c r="H34" s="127">
        <v>4468</v>
      </c>
      <c r="I34" s="127">
        <v>4855</v>
      </c>
      <c r="J34" s="127">
        <v>4920</v>
      </c>
      <c r="K34" s="127">
        <v>4602</v>
      </c>
      <c r="L34" s="127">
        <v>5731</v>
      </c>
      <c r="M34" s="127">
        <v>4429</v>
      </c>
      <c r="N34" s="127">
        <v>4365</v>
      </c>
    </row>
    <row r="35" spans="2:14" x14ac:dyDescent="0.3">
      <c r="B35" t="s">
        <v>288</v>
      </c>
      <c r="C35" s="126">
        <v>1047</v>
      </c>
      <c r="D35" s="126">
        <v>1082</v>
      </c>
      <c r="E35" s="126">
        <v>1072</v>
      </c>
      <c r="F35" s="126">
        <v>1307</v>
      </c>
      <c r="G35" s="126">
        <v>1412</v>
      </c>
      <c r="H35" s="126">
        <v>1578</v>
      </c>
      <c r="I35" s="126">
        <v>1559</v>
      </c>
      <c r="J35" s="126">
        <v>1703</v>
      </c>
      <c r="K35" s="126">
        <v>1716</v>
      </c>
      <c r="L35" s="126">
        <v>2130</v>
      </c>
      <c r="M35" s="126">
        <v>1537</v>
      </c>
      <c r="N35" s="126">
        <v>1271</v>
      </c>
    </row>
    <row r="36" spans="2:14" x14ac:dyDescent="0.3">
      <c r="B36" t="s">
        <v>289</v>
      </c>
      <c r="C36" s="126">
        <v>729</v>
      </c>
      <c r="D36" s="126">
        <v>732</v>
      </c>
      <c r="E36" s="126">
        <v>805</v>
      </c>
      <c r="F36" s="126">
        <v>1118</v>
      </c>
      <c r="G36" s="126">
        <v>1029</v>
      </c>
      <c r="H36" s="126">
        <v>1246</v>
      </c>
      <c r="I36" s="126">
        <v>1293</v>
      </c>
      <c r="J36" s="126">
        <v>1157</v>
      </c>
      <c r="K36" s="126">
        <v>1004</v>
      </c>
      <c r="L36" s="126">
        <v>1116</v>
      </c>
      <c r="M36" s="126">
        <v>1245</v>
      </c>
      <c r="N36" s="126">
        <v>1535</v>
      </c>
    </row>
    <row r="37" spans="2:14" x14ac:dyDescent="0.3">
      <c r="B37" t="s">
        <v>290</v>
      </c>
      <c r="C37" s="126">
        <v>748</v>
      </c>
      <c r="D37" s="126">
        <v>705</v>
      </c>
      <c r="E37" s="126">
        <v>894</v>
      </c>
      <c r="F37" s="126">
        <v>754</v>
      </c>
      <c r="G37" s="126">
        <v>913</v>
      </c>
      <c r="H37" s="126">
        <v>960</v>
      </c>
      <c r="I37" s="126">
        <v>895</v>
      </c>
      <c r="J37" s="126">
        <v>770</v>
      </c>
      <c r="K37" s="126">
        <v>672</v>
      </c>
      <c r="L37" s="126">
        <v>1108</v>
      </c>
      <c r="M37" s="126">
        <v>391</v>
      </c>
      <c r="N37" s="126">
        <v>547</v>
      </c>
    </row>
    <row r="38" spans="2:14" x14ac:dyDescent="0.3">
      <c r="B38" t="s">
        <v>291</v>
      </c>
      <c r="C38" s="126">
        <v>0</v>
      </c>
      <c r="D38" s="126">
        <v>0</v>
      </c>
      <c r="E38" s="126">
        <v>0</v>
      </c>
      <c r="F38" s="126">
        <v>0</v>
      </c>
      <c r="G38" s="126">
        <v>0</v>
      </c>
      <c r="H38" s="126">
        <v>0</v>
      </c>
      <c r="I38" s="126">
        <v>0</v>
      </c>
      <c r="J38" s="126">
        <v>0</v>
      </c>
      <c r="K38" s="126">
        <v>0</v>
      </c>
      <c r="L38" s="126">
        <v>0</v>
      </c>
      <c r="M38" s="126">
        <v>0</v>
      </c>
      <c r="N38" s="126">
        <v>0</v>
      </c>
    </row>
    <row r="39" spans="2:14" x14ac:dyDescent="0.3">
      <c r="B39" t="s">
        <v>292</v>
      </c>
      <c r="C39" s="133">
        <v>414</v>
      </c>
      <c r="D39" s="133">
        <v>376</v>
      </c>
      <c r="E39" s="133">
        <v>393</v>
      </c>
      <c r="F39" s="133">
        <v>335</v>
      </c>
      <c r="G39" s="133">
        <v>472</v>
      </c>
      <c r="H39" s="133">
        <v>684</v>
      </c>
      <c r="I39" s="133">
        <v>1109</v>
      </c>
      <c r="J39" s="133">
        <v>1289</v>
      </c>
      <c r="K39" s="133">
        <v>1209</v>
      </c>
      <c r="L39" s="133">
        <v>1377</v>
      </c>
      <c r="M39" s="133">
        <v>1256</v>
      </c>
      <c r="N39" s="133">
        <v>1012</v>
      </c>
    </row>
    <row r="40" spans="2:14" x14ac:dyDescent="0.3">
      <c r="B40" s="128" t="s">
        <v>85</v>
      </c>
      <c r="C40" s="134">
        <v>7695</v>
      </c>
      <c r="D40" s="134">
        <v>8320</v>
      </c>
      <c r="E40" s="134">
        <v>9125</v>
      </c>
      <c r="F40" s="134">
        <v>9679</v>
      </c>
      <c r="G40" s="134">
        <v>12940</v>
      </c>
      <c r="H40" s="134">
        <v>13864</v>
      </c>
      <c r="I40" s="134">
        <v>14094</v>
      </c>
      <c r="J40" s="134">
        <v>14880</v>
      </c>
      <c r="K40" s="134">
        <v>14244</v>
      </c>
      <c r="L40" s="134">
        <v>16082</v>
      </c>
      <c r="M40" s="134">
        <v>17437</v>
      </c>
      <c r="N40" s="134">
        <v>18392</v>
      </c>
    </row>
    <row r="43" spans="2:14" x14ac:dyDescent="0.3">
      <c r="C43" s="11">
        <v>41334</v>
      </c>
      <c r="D43" s="11">
        <v>41699</v>
      </c>
      <c r="E43" s="11">
        <v>42064</v>
      </c>
      <c r="F43" s="11">
        <v>42430</v>
      </c>
      <c r="G43" s="11">
        <v>42795</v>
      </c>
      <c r="H43" s="11">
        <v>43160</v>
      </c>
      <c r="I43" s="11">
        <v>43525</v>
      </c>
      <c r="J43" s="11">
        <v>43891</v>
      </c>
      <c r="K43" s="11">
        <v>44256</v>
      </c>
      <c r="L43" s="11">
        <v>44621</v>
      </c>
      <c r="M43" s="11">
        <v>44986</v>
      </c>
      <c r="N43" s="11">
        <v>45352</v>
      </c>
    </row>
    <row r="44" spans="2:14" x14ac:dyDescent="0.3">
      <c r="B44" t="s">
        <v>112</v>
      </c>
      <c r="C44">
        <v>820</v>
      </c>
      <c r="D44" s="23">
        <v>1116</v>
      </c>
      <c r="E44" s="23">
        <v>1027</v>
      </c>
      <c r="F44">
        <v>847</v>
      </c>
      <c r="G44" s="23">
        <v>1860</v>
      </c>
      <c r="H44" s="23">
        <v>1723</v>
      </c>
      <c r="I44" s="23">
        <v>1729</v>
      </c>
      <c r="J44" s="23">
        <v>1588</v>
      </c>
      <c r="K44" s="23">
        <v>2030</v>
      </c>
      <c r="L44" s="23">
        <v>1451</v>
      </c>
      <c r="M44" s="23">
        <v>2151</v>
      </c>
      <c r="N44" s="23">
        <v>2070</v>
      </c>
    </row>
    <row r="45" spans="2:14" x14ac:dyDescent="0.3">
      <c r="B45" t="s">
        <v>87</v>
      </c>
      <c r="C45">
        <v>996</v>
      </c>
      <c r="D45" s="23">
        <v>1168</v>
      </c>
      <c r="E45" s="23">
        <v>1397</v>
      </c>
      <c r="F45" s="23">
        <v>1669</v>
      </c>
      <c r="G45" s="23">
        <v>1947</v>
      </c>
      <c r="H45" s="23">
        <v>2147</v>
      </c>
      <c r="I45" s="23">
        <v>2181</v>
      </c>
      <c r="J45" s="23">
        <v>2185</v>
      </c>
      <c r="K45" s="23">
        <v>2472</v>
      </c>
      <c r="L45" s="23">
        <v>2434</v>
      </c>
      <c r="M45" s="23">
        <v>2476</v>
      </c>
      <c r="N45" s="23">
        <v>2900</v>
      </c>
    </row>
    <row r="46" spans="2:14" x14ac:dyDescent="0.3">
      <c r="B46" t="s">
        <v>42</v>
      </c>
      <c r="C46">
        <v>-218</v>
      </c>
      <c r="D46">
        <v>13</v>
      </c>
      <c r="E46">
        <v>-81</v>
      </c>
      <c r="F46">
        <v>-323</v>
      </c>
      <c r="G46">
        <v>166</v>
      </c>
      <c r="H46">
        <v>-245</v>
      </c>
      <c r="I46">
        <v>-174</v>
      </c>
      <c r="J46">
        <v>130</v>
      </c>
      <c r="K46">
        <v>81</v>
      </c>
      <c r="L46">
        <v>-89</v>
      </c>
      <c r="M46">
        <v>-165</v>
      </c>
      <c r="N46">
        <v>-479</v>
      </c>
    </row>
    <row r="47" spans="2:14" x14ac:dyDescent="0.3">
      <c r="B47" t="s">
        <v>43</v>
      </c>
      <c r="C47">
        <v>-263</v>
      </c>
      <c r="D47">
        <v>-35</v>
      </c>
      <c r="E47">
        <v>26</v>
      </c>
      <c r="F47">
        <v>-235</v>
      </c>
      <c r="G47">
        <v>46</v>
      </c>
      <c r="H47">
        <v>-165</v>
      </c>
      <c r="I47">
        <v>-20</v>
      </c>
      <c r="J47">
        <v>-169</v>
      </c>
      <c r="K47">
        <v>-70</v>
      </c>
      <c r="L47">
        <v>-384</v>
      </c>
      <c r="M47">
        <v>555</v>
      </c>
      <c r="N47">
        <v>-71</v>
      </c>
    </row>
    <row r="48" spans="2:14" x14ac:dyDescent="0.3">
      <c r="B48" t="s">
        <v>88</v>
      </c>
      <c r="C48">
        <v>0</v>
      </c>
      <c r="D48">
        <v>0</v>
      </c>
      <c r="E48">
        <v>0</v>
      </c>
      <c r="F48">
        <v>17</v>
      </c>
      <c r="G48">
        <v>196</v>
      </c>
      <c r="H48">
        <v>613</v>
      </c>
      <c r="I48">
        <v>274</v>
      </c>
      <c r="J48">
        <v>-95</v>
      </c>
      <c r="K48">
        <v>-473</v>
      </c>
      <c r="L48">
        <v>83</v>
      </c>
      <c r="M48">
        <v>-370</v>
      </c>
      <c r="N48">
        <v>91</v>
      </c>
    </row>
    <row r="49" spans="2:14" x14ac:dyDescent="0.3">
      <c r="B49" t="s">
        <v>89</v>
      </c>
      <c r="C49">
        <v>-60</v>
      </c>
      <c r="D49">
        <v>-15</v>
      </c>
      <c r="E49">
        <v>8</v>
      </c>
      <c r="F49">
        <v>1</v>
      </c>
      <c r="G49">
        <v>-3</v>
      </c>
      <c r="H49">
        <v>1</v>
      </c>
      <c r="I49">
        <v>-1</v>
      </c>
      <c r="J49">
        <v>-3</v>
      </c>
      <c r="K49">
        <v>1</v>
      </c>
      <c r="L49">
        <v>0</v>
      </c>
      <c r="M49">
        <v>0</v>
      </c>
      <c r="N49">
        <v>0</v>
      </c>
    </row>
    <row r="50" spans="2:14" x14ac:dyDescent="0.3">
      <c r="B50" t="s">
        <v>90</v>
      </c>
      <c r="C50">
        <v>484</v>
      </c>
      <c r="D50">
        <v>224</v>
      </c>
      <c r="E50">
        <v>-39</v>
      </c>
      <c r="F50">
        <v>75</v>
      </c>
      <c r="G50">
        <v>-65</v>
      </c>
      <c r="H50">
        <v>-219</v>
      </c>
      <c r="I50">
        <v>-79</v>
      </c>
      <c r="J50">
        <v>-116</v>
      </c>
      <c r="K50">
        <v>416</v>
      </c>
      <c r="L50">
        <v>-146</v>
      </c>
      <c r="M50">
        <v>74</v>
      </c>
      <c r="N50">
        <v>3</v>
      </c>
    </row>
    <row r="51" spans="2:14" x14ac:dyDescent="0.3">
      <c r="B51" t="s">
        <v>91</v>
      </c>
      <c r="C51">
        <v>-57</v>
      </c>
      <c r="D51">
        <v>186</v>
      </c>
      <c r="E51">
        <v>-87</v>
      </c>
      <c r="F51">
        <v>-465</v>
      </c>
      <c r="G51">
        <v>341</v>
      </c>
      <c r="H51">
        <v>-16</v>
      </c>
      <c r="I51">
        <v>1</v>
      </c>
      <c r="J51">
        <v>-253</v>
      </c>
      <c r="K51">
        <v>-45</v>
      </c>
      <c r="L51">
        <v>-536</v>
      </c>
      <c r="M51">
        <v>93</v>
      </c>
      <c r="N51">
        <v>-456</v>
      </c>
    </row>
    <row r="52" spans="2:14" x14ac:dyDescent="0.3">
      <c r="B52" t="s">
        <v>92</v>
      </c>
      <c r="C52">
        <v>-207</v>
      </c>
      <c r="D52">
        <v>-238</v>
      </c>
      <c r="E52">
        <v>-257</v>
      </c>
      <c r="F52">
        <v>-336</v>
      </c>
      <c r="G52">
        <v>-407</v>
      </c>
      <c r="H52">
        <v>-393</v>
      </c>
      <c r="I52">
        <v>-435</v>
      </c>
      <c r="J52">
        <v>-344</v>
      </c>
      <c r="K52">
        <v>-397</v>
      </c>
      <c r="L52">
        <v>-448</v>
      </c>
      <c r="M52">
        <v>-418</v>
      </c>
      <c r="N52">
        <v>-374</v>
      </c>
    </row>
    <row r="53" spans="2:14" x14ac:dyDescent="0.3">
      <c r="B53" t="s">
        <v>314</v>
      </c>
      <c r="C53">
        <v>0</v>
      </c>
      <c r="D53">
        <v>0</v>
      </c>
      <c r="E53">
        <v>0</v>
      </c>
      <c r="F53">
        <v>0</v>
      </c>
      <c r="G53">
        <v>-20</v>
      </c>
      <c r="H53">
        <v>-15</v>
      </c>
      <c r="I53">
        <v>-18</v>
      </c>
      <c r="J53">
        <v>0</v>
      </c>
      <c r="K53">
        <v>0</v>
      </c>
      <c r="L53">
        <v>0</v>
      </c>
      <c r="M53">
        <v>0</v>
      </c>
      <c r="N53">
        <v>0</v>
      </c>
    </row>
    <row r="54" spans="2:14" x14ac:dyDescent="0.3">
      <c r="B54" t="s">
        <v>315</v>
      </c>
      <c r="C54">
        <v>88</v>
      </c>
      <c r="D54">
        <v>-1</v>
      </c>
      <c r="E54">
        <v>-26</v>
      </c>
      <c r="F54">
        <v>-21</v>
      </c>
      <c r="G54">
        <v>0</v>
      </c>
      <c r="H54">
        <v>0</v>
      </c>
      <c r="I54">
        <v>0</v>
      </c>
      <c r="J54">
        <v>0</v>
      </c>
      <c r="K54">
        <v>0</v>
      </c>
      <c r="L54">
        <v>0</v>
      </c>
      <c r="M54">
        <v>0</v>
      </c>
      <c r="N54">
        <v>0</v>
      </c>
    </row>
    <row r="55" spans="2:14" x14ac:dyDescent="0.3">
      <c r="B55" t="s">
        <v>113</v>
      </c>
      <c r="C55">
        <v>-865</v>
      </c>
      <c r="D55">
        <v>-494</v>
      </c>
      <c r="E55" s="23">
        <v>-1236</v>
      </c>
      <c r="F55">
        <v>-622</v>
      </c>
      <c r="G55" s="23">
        <v>-2243</v>
      </c>
      <c r="H55">
        <v>-336</v>
      </c>
      <c r="I55">
        <v>274</v>
      </c>
      <c r="J55">
        <v>-552</v>
      </c>
      <c r="K55">
        <v>-292</v>
      </c>
      <c r="L55">
        <v>-844</v>
      </c>
      <c r="M55" s="23">
        <v>-1754</v>
      </c>
      <c r="N55" s="23">
        <v>-3435</v>
      </c>
    </row>
    <row r="56" spans="2:14" x14ac:dyDescent="0.3">
      <c r="B56" t="s">
        <v>93</v>
      </c>
      <c r="C56">
        <v>-264</v>
      </c>
      <c r="D56">
        <v>-133</v>
      </c>
      <c r="E56">
        <v>-213</v>
      </c>
      <c r="F56">
        <v>-208</v>
      </c>
      <c r="G56">
        <v>-180</v>
      </c>
      <c r="H56">
        <v>-311</v>
      </c>
      <c r="I56">
        <v>-208</v>
      </c>
      <c r="J56">
        <v>-152</v>
      </c>
      <c r="K56">
        <v>-164</v>
      </c>
      <c r="L56">
        <v>0</v>
      </c>
      <c r="M56">
        <v>0</v>
      </c>
      <c r="N56">
        <v>0</v>
      </c>
    </row>
    <row r="57" spans="2:14" x14ac:dyDescent="0.3">
      <c r="B57" t="s">
        <v>94</v>
      </c>
      <c r="C57">
        <v>0</v>
      </c>
      <c r="D57">
        <v>0</v>
      </c>
      <c r="E57">
        <v>0</v>
      </c>
      <c r="F57">
        <v>0</v>
      </c>
      <c r="G57">
        <v>0</v>
      </c>
      <c r="H57">
        <v>0</v>
      </c>
      <c r="I57">
        <v>0</v>
      </c>
      <c r="J57">
        <v>0</v>
      </c>
      <c r="K57">
        <v>0</v>
      </c>
      <c r="L57">
        <v>3</v>
      </c>
      <c r="M57">
        <v>8</v>
      </c>
      <c r="N57">
        <v>31</v>
      </c>
    </row>
    <row r="58" spans="2:14" x14ac:dyDescent="0.3">
      <c r="B58" t="s">
        <v>95</v>
      </c>
      <c r="C58">
        <v>-50</v>
      </c>
      <c r="D58">
        <v>0</v>
      </c>
      <c r="E58">
        <v>-40</v>
      </c>
      <c r="F58">
        <v>0</v>
      </c>
      <c r="G58">
        <v>-574</v>
      </c>
      <c r="H58">
        <v>-309</v>
      </c>
      <c r="I58">
        <v>0</v>
      </c>
      <c r="J58">
        <v>0</v>
      </c>
      <c r="K58">
        <v>-139</v>
      </c>
      <c r="L58">
        <v>-452</v>
      </c>
      <c r="M58">
        <v>-227</v>
      </c>
      <c r="N58">
        <v>-307</v>
      </c>
    </row>
    <row r="59" spans="2:14" x14ac:dyDescent="0.3">
      <c r="B59" t="s">
        <v>96</v>
      </c>
      <c r="C59">
        <v>0</v>
      </c>
      <c r="D59">
        <v>32</v>
      </c>
      <c r="E59">
        <v>0</v>
      </c>
      <c r="F59">
        <v>92</v>
      </c>
      <c r="G59">
        <v>0</v>
      </c>
      <c r="H59">
        <v>349</v>
      </c>
      <c r="I59">
        <v>195</v>
      </c>
      <c r="J59">
        <v>270</v>
      </c>
      <c r="K59">
        <v>35</v>
      </c>
      <c r="L59">
        <v>0</v>
      </c>
      <c r="M59">
        <v>0</v>
      </c>
      <c r="N59">
        <v>0</v>
      </c>
    </row>
    <row r="60" spans="2:14" x14ac:dyDescent="0.3">
      <c r="B60" t="s">
        <v>97</v>
      </c>
      <c r="C60">
        <v>55</v>
      </c>
      <c r="D60">
        <v>34</v>
      </c>
      <c r="E60">
        <v>31</v>
      </c>
      <c r="F60">
        <v>43</v>
      </c>
      <c r="G60">
        <v>41</v>
      </c>
      <c r="H60">
        <v>66</v>
      </c>
      <c r="I60">
        <v>92</v>
      </c>
      <c r="J60">
        <v>57</v>
      </c>
      <c r="K60">
        <v>59</v>
      </c>
      <c r="L60">
        <v>59</v>
      </c>
      <c r="M60">
        <v>111</v>
      </c>
      <c r="N60">
        <v>231</v>
      </c>
    </row>
    <row r="61" spans="2:14" x14ac:dyDescent="0.3">
      <c r="B61" t="s">
        <v>98</v>
      </c>
      <c r="C61">
        <v>-691</v>
      </c>
      <c r="D61">
        <v>-482</v>
      </c>
      <c r="E61">
        <v>-630</v>
      </c>
      <c r="F61">
        <v>-647</v>
      </c>
      <c r="G61">
        <v>0</v>
      </c>
      <c r="H61">
        <v>0</v>
      </c>
      <c r="I61">
        <v>0</v>
      </c>
      <c r="J61">
        <v>0</v>
      </c>
      <c r="K61">
        <v>0</v>
      </c>
      <c r="L61">
        <v>0</v>
      </c>
      <c r="M61">
        <v>0</v>
      </c>
      <c r="N61">
        <v>0</v>
      </c>
    </row>
    <row r="62" spans="2:14" x14ac:dyDescent="0.3">
      <c r="B62" t="s">
        <v>99</v>
      </c>
      <c r="C62">
        <v>0</v>
      </c>
      <c r="D62">
        <v>-34</v>
      </c>
      <c r="E62">
        <v>0</v>
      </c>
      <c r="F62">
        <v>0</v>
      </c>
      <c r="G62">
        <v>0</v>
      </c>
      <c r="H62">
        <v>0</v>
      </c>
      <c r="I62">
        <v>0</v>
      </c>
      <c r="J62">
        <v>0</v>
      </c>
      <c r="K62">
        <v>0</v>
      </c>
      <c r="L62">
        <v>0</v>
      </c>
      <c r="M62">
        <v>0</v>
      </c>
      <c r="N62">
        <v>0</v>
      </c>
    </row>
    <row r="63" spans="2:14" x14ac:dyDescent="0.3">
      <c r="B63" t="s">
        <v>100</v>
      </c>
      <c r="C63">
        <v>0</v>
      </c>
      <c r="D63">
        <v>0</v>
      </c>
      <c r="E63">
        <v>0</v>
      </c>
      <c r="F63">
        <v>0</v>
      </c>
      <c r="G63">
        <v>0</v>
      </c>
      <c r="H63">
        <v>0</v>
      </c>
      <c r="I63">
        <v>0</v>
      </c>
      <c r="J63">
        <v>0</v>
      </c>
      <c r="K63">
        <v>0</v>
      </c>
      <c r="L63">
        <v>0</v>
      </c>
      <c r="M63">
        <v>0</v>
      </c>
      <c r="N63">
        <v>372</v>
      </c>
    </row>
    <row r="64" spans="2:14" x14ac:dyDescent="0.3">
      <c r="B64" t="s">
        <v>101</v>
      </c>
      <c r="C64">
        <v>0</v>
      </c>
      <c r="D64">
        <v>0</v>
      </c>
      <c r="E64">
        <v>0</v>
      </c>
      <c r="F64">
        <v>0</v>
      </c>
      <c r="G64" s="23">
        <v>-1431</v>
      </c>
      <c r="H64">
        <v>0</v>
      </c>
      <c r="I64">
        <v>0</v>
      </c>
      <c r="J64">
        <v>0</v>
      </c>
      <c r="K64">
        <v>0</v>
      </c>
      <c r="L64">
        <v>-387</v>
      </c>
      <c r="M64">
        <v>-988</v>
      </c>
      <c r="N64">
        <v>0</v>
      </c>
    </row>
    <row r="65" spans="2:14" x14ac:dyDescent="0.3">
      <c r="B65" t="s">
        <v>102</v>
      </c>
      <c r="C65">
        <v>84</v>
      </c>
      <c r="D65">
        <v>90</v>
      </c>
      <c r="E65">
        <v>-385</v>
      </c>
      <c r="F65">
        <v>99</v>
      </c>
      <c r="G65">
        <v>-99</v>
      </c>
      <c r="H65">
        <v>-131</v>
      </c>
      <c r="I65">
        <v>195</v>
      </c>
      <c r="J65">
        <v>-727</v>
      </c>
      <c r="K65">
        <v>-84</v>
      </c>
      <c r="L65">
        <v>-67</v>
      </c>
      <c r="M65">
        <v>-658</v>
      </c>
      <c r="N65" s="23">
        <v>-3762</v>
      </c>
    </row>
    <row r="66" spans="2:14" x14ac:dyDescent="0.3">
      <c r="B66" t="s">
        <v>114</v>
      </c>
      <c r="C66">
        <v>282</v>
      </c>
      <c r="D66">
        <v>-620</v>
      </c>
      <c r="E66">
        <v>-12</v>
      </c>
      <c r="F66">
        <v>-202</v>
      </c>
      <c r="G66">
        <v>665</v>
      </c>
      <c r="H66" s="23">
        <v>-1384</v>
      </c>
      <c r="I66" s="23">
        <v>-2039</v>
      </c>
      <c r="J66" s="23">
        <v>-1295</v>
      </c>
      <c r="K66" s="23">
        <v>-1816</v>
      </c>
      <c r="L66">
        <v>-380</v>
      </c>
      <c r="M66">
        <v>-794</v>
      </c>
      <c r="N66" s="23">
        <v>1406</v>
      </c>
    </row>
    <row r="67" spans="2:14" x14ac:dyDescent="0.3">
      <c r="B67" t="s">
        <v>103</v>
      </c>
      <c r="C67">
        <v>0</v>
      </c>
      <c r="D67">
        <v>0</v>
      </c>
      <c r="E67">
        <v>0</v>
      </c>
      <c r="F67">
        <v>0</v>
      </c>
      <c r="G67">
        <v>0</v>
      </c>
      <c r="H67">
        <v>0</v>
      </c>
      <c r="I67">
        <v>0</v>
      </c>
      <c r="J67">
        <v>0</v>
      </c>
      <c r="K67">
        <v>0</v>
      </c>
      <c r="L67">
        <v>0</v>
      </c>
      <c r="M67">
        <v>0</v>
      </c>
      <c r="N67">
        <v>0</v>
      </c>
    </row>
    <row r="68" spans="2:14" x14ac:dyDescent="0.3">
      <c r="B68" t="s">
        <v>122</v>
      </c>
      <c r="C68">
        <v>299</v>
      </c>
      <c r="D68">
        <v>0</v>
      </c>
      <c r="E68">
        <v>0</v>
      </c>
      <c r="F68">
        <v>0</v>
      </c>
      <c r="G68">
        <v>0</v>
      </c>
      <c r="H68">
        <v>0</v>
      </c>
      <c r="I68">
        <v>0</v>
      </c>
      <c r="J68">
        <v>0</v>
      </c>
      <c r="K68">
        <v>0</v>
      </c>
      <c r="L68">
        <v>0</v>
      </c>
      <c r="M68">
        <v>0</v>
      </c>
      <c r="N68">
        <v>0</v>
      </c>
    </row>
    <row r="69" spans="2:14" x14ac:dyDescent="0.3">
      <c r="B69" t="s">
        <v>104</v>
      </c>
      <c r="C69">
        <v>-250</v>
      </c>
      <c r="D69">
        <v>-50</v>
      </c>
      <c r="E69">
        <v>-50</v>
      </c>
      <c r="F69">
        <v>-278</v>
      </c>
      <c r="G69">
        <v>0</v>
      </c>
      <c r="H69">
        <v>0</v>
      </c>
      <c r="I69">
        <v>0</v>
      </c>
      <c r="J69">
        <v>0</v>
      </c>
      <c r="K69">
        <v>0</v>
      </c>
      <c r="L69">
        <v>0</v>
      </c>
      <c r="M69">
        <v>0</v>
      </c>
      <c r="N69">
        <v>0</v>
      </c>
    </row>
    <row r="70" spans="2:14" x14ac:dyDescent="0.3">
      <c r="B70" t="s">
        <v>105</v>
      </c>
      <c r="C70">
        <v>508</v>
      </c>
      <c r="D70">
        <v>0</v>
      </c>
      <c r="E70">
        <v>368</v>
      </c>
      <c r="F70">
        <v>0</v>
      </c>
      <c r="G70">
        <v>0</v>
      </c>
      <c r="H70">
        <v>0</v>
      </c>
      <c r="I70">
        <v>0</v>
      </c>
      <c r="J70">
        <v>247</v>
      </c>
      <c r="K70">
        <v>737</v>
      </c>
      <c r="L70">
        <v>535</v>
      </c>
      <c r="M70">
        <v>0</v>
      </c>
      <c r="N70" s="23">
        <v>2681</v>
      </c>
    </row>
    <row r="71" spans="2:14" x14ac:dyDescent="0.3">
      <c r="B71" t="s">
        <v>106</v>
      </c>
      <c r="C71">
        <v>-4</v>
      </c>
      <c r="D71">
        <v>-271</v>
      </c>
      <c r="E71">
        <v>0</v>
      </c>
      <c r="F71">
        <v>0</v>
      </c>
      <c r="G71">
        <v>0</v>
      </c>
      <c r="H71">
        <v>0</v>
      </c>
      <c r="I71">
        <v>-345</v>
      </c>
      <c r="J71">
        <v>-375</v>
      </c>
      <c r="K71" s="23">
        <v>-2357</v>
      </c>
      <c r="L71">
        <v>-755</v>
      </c>
      <c r="M71">
        <v>-634</v>
      </c>
      <c r="N71">
        <v>-416</v>
      </c>
    </row>
    <row r="72" spans="2:14" x14ac:dyDescent="0.3">
      <c r="B72" t="s">
        <v>108</v>
      </c>
      <c r="C72">
        <v>-84</v>
      </c>
      <c r="D72">
        <v>-100</v>
      </c>
      <c r="E72">
        <v>-119</v>
      </c>
      <c r="F72">
        <v>-119</v>
      </c>
      <c r="G72">
        <v>-124</v>
      </c>
      <c r="H72">
        <v>-158</v>
      </c>
      <c r="I72">
        <v>-215</v>
      </c>
      <c r="J72">
        <v>-156</v>
      </c>
      <c r="K72">
        <v>-166</v>
      </c>
      <c r="L72">
        <v>-119</v>
      </c>
      <c r="M72">
        <v>-119</v>
      </c>
      <c r="N72">
        <v>-267</v>
      </c>
    </row>
    <row r="73" spans="2:14" x14ac:dyDescent="0.3">
      <c r="B73" t="s">
        <v>109</v>
      </c>
      <c r="C73">
        <v>-162</v>
      </c>
      <c r="D73">
        <v>-170</v>
      </c>
      <c r="E73">
        <v>-179</v>
      </c>
      <c r="F73">
        <v>-187</v>
      </c>
      <c r="G73">
        <v>-196</v>
      </c>
      <c r="H73">
        <v>-613</v>
      </c>
      <c r="I73" s="23">
        <v>-1227</v>
      </c>
      <c r="J73">
        <v>-818</v>
      </c>
      <c r="K73">
        <v>0</v>
      </c>
      <c r="L73">
        <v>0</v>
      </c>
      <c r="M73">
        <v>0</v>
      </c>
      <c r="N73">
        <v>-511</v>
      </c>
    </row>
    <row r="74" spans="2:14" x14ac:dyDescent="0.3">
      <c r="B74" t="s">
        <v>110</v>
      </c>
      <c r="C74">
        <v>0</v>
      </c>
      <c r="D74">
        <v>0</v>
      </c>
      <c r="E74">
        <v>0</v>
      </c>
      <c r="F74">
        <v>0</v>
      </c>
      <c r="G74">
        <v>0</v>
      </c>
      <c r="H74">
        <v>0</v>
      </c>
      <c r="I74">
        <v>0</v>
      </c>
      <c r="J74">
        <v>-25</v>
      </c>
      <c r="K74">
        <v>-31</v>
      </c>
      <c r="L74">
        <v>-41</v>
      </c>
      <c r="M74">
        <v>-41</v>
      </c>
      <c r="N74">
        <v>-80</v>
      </c>
    </row>
    <row r="75" spans="2:14" x14ac:dyDescent="0.3">
      <c r="B75" t="s">
        <v>111</v>
      </c>
      <c r="C75">
        <v>-26</v>
      </c>
      <c r="D75">
        <v>-29</v>
      </c>
      <c r="E75">
        <v>-32</v>
      </c>
      <c r="F75">
        <v>381</v>
      </c>
      <c r="G75">
        <v>984</v>
      </c>
      <c r="H75">
        <v>-613</v>
      </c>
      <c r="I75">
        <v>-253</v>
      </c>
      <c r="J75">
        <v>-168</v>
      </c>
      <c r="K75">
        <v>0</v>
      </c>
      <c r="L75">
        <v>0</v>
      </c>
      <c r="M75">
        <v>0</v>
      </c>
      <c r="N75">
        <v>0</v>
      </c>
    </row>
    <row r="76" spans="2:14" x14ac:dyDescent="0.3">
      <c r="B76" t="s">
        <v>52</v>
      </c>
      <c r="C76">
        <v>237</v>
      </c>
      <c r="D76">
        <v>1</v>
      </c>
      <c r="E76">
        <v>-221</v>
      </c>
      <c r="F76">
        <v>23</v>
      </c>
      <c r="G76">
        <v>282</v>
      </c>
      <c r="H76">
        <v>3</v>
      </c>
      <c r="I76">
        <v>-36</v>
      </c>
      <c r="J76">
        <v>-259</v>
      </c>
      <c r="K76">
        <v>-79</v>
      </c>
      <c r="L76">
        <v>227</v>
      </c>
      <c r="M76">
        <v>-398</v>
      </c>
      <c r="N76">
        <v>41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1D0165-055C-4215-BCCB-5451035A2D62}">
  <dimension ref="A2:D5442"/>
  <sheetViews>
    <sheetView topLeftCell="A5418" workbookViewId="0">
      <selection activeCell="A1461" sqref="A1461"/>
    </sheetView>
  </sheetViews>
  <sheetFormatPr defaultColWidth="9.109375" defaultRowHeight="14.4" x14ac:dyDescent="0.3"/>
  <cols>
    <col min="1" max="1" width="59.6640625" style="141" bestFit="1" customWidth="1"/>
    <col min="2" max="2" width="10" style="141" bestFit="1" customWidth="1"/>
    <col min="3" max="3" width="14.5546875" style="141" bestFit="1" customWidth="1"/>
    <col min="4" max="4" width="28.109375" style="141" bestFit="1" customWidth="1"/>
    <col min="5" max="6" width="9.109375" style="141"/>
    <col min="7" max="7" width="49.88671875" style="141" bestFit="1" customWidth="1"/>
    <col min="8" max="8" width="7" style="141" bestFit="1" customWidth="1"/>
    <col min="9" max="9" width="13.5546875" style="141" bestFit="1" customWidth="1"/>
    <col min="10" max="10" width="7.5546875" style="141" bestFit="1" customWidth="1"/>
    <col min="11" max="11" width="14.33203125" style="141" bestFit="1" customWidth="1"/>
    <col min="12" max="16384" width="9.109375" style="141"/>
  </cols>
  <sheetData>
    <row r="2" spans="1:4" x14ac:dyDescent="0.3">
      <c r="A2" s="141" t="s">
        <v>1103</v>
      </c>
      <c r="B2" s="141" t="s">
        <v>1104</v>
      </c>
      <c r="C2" s="141" t="s">
        <v>1105</v>
      </c>
      <c r="D2" s="141" t="s">
        <v>1106</v>
      </c>
    </row>
    <row r="3" spans="1:4" x14ac:dyDescent="0.3">
      <c r="A3" s="141" t="s">
        <v>1107</v>
      </c>
      <c r="B3" s="141">
        <v>533022</v>
      </c>
      <c r="C3" s="141" t="s">
        <v>1108</v>
      </c>
      <c r="D3" s="141" t="s">
        <v>1109</v>
      </c>
    </row>
    <row r="4" spans="1:4" x14ac:dyDescent="0.3">
      <c r="A4" s="141" t="s">
        <v>1110</v>
      </c>
      <c r="B4" s="141">
        <v>526921</v>
      </c>
      <c r="C4" s="141" t="s">
        <v>1111</v>
      </c>
      <c r="D4" s="141" t="s">
        <v>1112</v>
      </c>
    </row>
    <row r="5" spans="1:4" x14ac:dyDescent="0.3">
      <c r="A5" s="141" t="s">
        <v>1113</v>
      </c>
      <c r="B5" s="141">
        <v>532628</v>
      </c>
      <c r="C5" s="141" t="s">
        <v>1114</v>
      </c>
      <c r="D5" s="141" t="s">
        <v>1115</v>
      </c>
    </row>
    <row r="6" spans="1:4" x14ac:dyDescent="0.3">
      <c r="A6" s="141" t="s">
        <v>1116</v>
      </c>
      <c r="B6" s="141">
        <v>523395</v>
      </c>
      <c r="C6" s="141" t="s">
        <v>1117</v>
      </c>
      <c r="D6" s="141" t="s">
        <v>1118</v>
      </c>
    </row>
    <row r="7" spans="1:4" x14ac:dyDescent="0.3">
      <c r="A7" s="141" t="s">
        <v>1119</v>
      </c>
      <c r="B7" s="141">
        <v>523395</v>
      </c>
      <c r="C7" s="141" t="s">
        <v>1120</v>
      </c>
      <c r="D7" s="141" t="s">
        <v>1118</v>
      </c>
    </row>
    <row r="8" spans="1:4" x14ac:dyDescent="0.3">
      <c r="A8" s="141" t="s">
        <v>1121</v>
      </c>
      <c r="B8" s="141">
        <v>516092</v>
      </c>
      <c r="C8" s="141" t="s">
        <v>1122</v>
      </c>
      <c r="D8" s="141" t="s">
        <v>1123</v>
      </c>
    </row>
    <row r="9" spans="1:4" x14ac:dyDescent="0.3">
      <c r="A9" s="141" t="s">
        <v>1124</v>
      </c>
      <c r="B9" s="141">
        <v>540776</v>
      </c>
      <c r="C9" s="141" t="s">
        <v>1125</v>
      </c>
      <c r="D9" s="141" t="s">
        <v>1112</v>
      </c>
    </row>
    <row r="10" spans="1:4" x14ac:dyDescent="0.3">
      <c r="A10" s="141" t="s">
        <v>1126</v>
      </c>
      <c r="B10" s="141">
        <v>526881</v>
      </c>
      <c r="C10" s="141" t="s">
        <v>1127</v>
      </c>
      <c r="D10" s="141" t="s">
        <v>1115</v>
      </c>
    </row>
    <row r="11" spans="1:4" x14ac:dyDescent="0.3">
      <c r="A11" s="141" t="s">
        <v>1128</v>
      </c>
      <c r="B11" s="141">
        <v>540615</v>
      </c>
      <c r="C11" s="141" t="s">
        <v>1129</v>
      </c>
      <c r="D11" s="141" t="s">
        <v>1130</v>
      </c>
    </row>
    <row r="12" spans="1:4" x14ac:dyDescent="0.3">
      <c r="A12" s="141" t="s">
        <v>1131</v>
      </c>
      <c r="B12" s="141">
        <v>540874</v>
      </c>
      <c r="C12" s="141" t="s">
        <v>1129</v>
      </c>
      <c r="D12" s="141" t="s">
        <v>1132</v>
      </c>
    </row>
    <row r="13" spans="1:4" x14ac:dyDescent="0.3">
      <c r="A13" s="141" t="s">
        <v>1133</v>
      </c>
      <c r="B13" s="141">
        <v>512161</v>
      </c>
      <c r="C13" s="141" t="s">
        <v>1134</v>
      </c>
      <c r="D13" s="141" t="s">
        <v>1135</v>
      </c>
    </row>
    <row r="14" spans="1:4" x14ac:dyDescent="0.3">
      <c r="A14" s="141" t="s">
        <v>1136</v>
      </c>
      <c r="B14" s="141">
        <v>540697</v>
      </c>
      <c r="C14" s="141" t="s">
        <v>1129</v>
      </c>
      <c r="D14" s="141" t="s">
        <v>1137</v>
      </c>
    </row>
    <row r="15" spans="1:4" x14ac:dyDescent="0.3">
      <c r="A15" s="141" t="s">
        <v>1138</v>
      </c>
      <c r="B15" s="141" t="s">
        <v>1129</v>
      </c>
      <c r="C15" s="141" t="s">
        <v>1139</v>
      </c>
      <c r="D15" s="141" t="s">
        <v>1140</v>
      </c>
    </row>
    <row r="16" spans="1:4" x14ac:dyDescent="0.3">
      <c r="A16" s="141" t="s">
        <v>1141</v>
      </c>
      <c r="B16" s="141">
        <v>539620</v>
      </c>
      <c r="C16" s="141" t="s">
        <v>1129</v>
      </c>
      <c r="D16" s="141" t="s">
        <v>1142</v>
      </c>
    </row>
    <row r="17" spans="1:4" x14ac:dyDescent="0.3">
      <c r="A17" s="141" t="s">
        <v>1143</v>
      </c>
      <c r="B17" s="141">
        <v>539300</v>
      </c>
      <c r="C17" s="141" t="s">
        <v>1129</v>
      </c>
      <c r="D17" s="141" t="s">
        <v>1144</v>
      </c>
    </row>
    <row r="18" spans="1:4" x14ac:dyDescent="0.3">
      <c r="A18" s="141" t="s">
        <v>1145</v>
      </c>
      <c r="B18" s="141">
        <v>530499</v>
      </c>
      <c r="C18" s="141" t="s">
        <v>1129</v>
      </c>
      <c r="D18" s="141" t="s">
        <v>1146</v>
      </c>
    </row>
    <row r="19" spans="1:4" x14ac:dyDescent="0.3">
      <c r="A19" s="141" t="s">
        <v>1147</v>
      </c>
      <c r="B19" s="141">
        <v>538351</v>
      </c>
      <c r="C19" s="141" t="s">
        <v>1148</v>
      </c>
      <c r="D19" s="141" t="s">
        <v>1149</v>
      </c>
    </row>
    <row r="20" spans="1:4" x14ac:dyDescent="0.3">
      <c r="A20" s="141" t="s">
        <v>1150</v>
      </c>
      <c r="B20" s="141">
        <v>542012</v>
      </c>
      <c r="C20" s="141" t="s">
        <v>1129</v>
      </c>
      <c r="D20" s="141" t="s">
        <v>1151</v>
      </c>
    </row>
    <row r="21" spans="1:4" x14ac:dyDescent="0.3">
      <c r="A21" s="141" t="s">
        <v>1152</v>
      </c>
      <c r="B21" s="141">
        <v>533292</v>
      </c>
      <c r="C21" s="141" t="s">
        <v>1153</v>
      </c>
      <c r="D21" s="141" t="s">
        <v>1154</v>
      </c>
    </row>
    <row r="22" spans="1:4" x14ac:dyDescent="0.3">
      <c r="A22" s="141" t="s">
        <v>1155</v>
      </c>
      <c r="B22" s="141">
        <v>531611</v>
      </c>
      <c r="C22" s="141" t="s">
        <v>1129</v>
      </c>
      <c r="D22" s="141" t="s">
        <v>1146</v>
      </c>
    </row>
    <row r="23" spans="1:4" x14ac:dyDescent="0.3">
      <c r="A23" s="141" t="s">
        <v>1156</v>
      </c>
      <c r="B23" s="141">
        <v>531611</v>
      </c>
      <c r="C23" s="141" t="s">
        <v>1129</v>
      </c>
      <c r="D23" s="141" t="s">
        <v>1146</v>
      </c>
    </row>
    <row r="24" spans="1:4" x14ac:dyDescent="0.3">
      <c r="A24" s="141" t="s">
        <v>1157</v>
      </c>
      <c r="B24" s="141" t="s">
        <v>1129</v>
      </c>
      <c r="C24" s="141" t="s">
        <v>1158</v>
      </c>
      <c r="D24" s="141" t="s">
        <v>1140</v>
      </c>
    </row>
    <row r="25" spans="1:4" x14ac:dyDescent="0.3">
      <c r="A25" s="141" t="s">
        <v>1159</v>
      </c>
      <c r="B25" s="141">
        <v>539096</v>
      </c>
      <c r="C25" s="141" t="s">
        <v>1129</v>
      </c>
      <c r="D25" s="141" t="s">
        <v>1144</v>
      </c>
    </row>
    <row r="26" spans="1:4" x14ac:dyDescent="0.3">
      <c r="A26" s="141" t="s">
        <v>1160</v>
      </c>
      <c r="B26" s="141">
        <v>538812</v>
      </c>
      <c r="C26" s="141" t="s">
        <v>1129</v>
      </c>
      <c r="D26" s="141" t="s">
        <v>1161</v>
      </c>
    </row>
    <row r="27" spans="1:4" x14ac:dyDescent="0.3">
      <c r="A27" s="141" t="s">
        <v>1162</v>
      </c>
      <c r="B27" s="141">
        <v>539632</v>
      </c>
      <c r="C27" s="141" t="s">
        <v>1129</v>
      </c>
      <c r="D27" s="141" t="s">
        <v>1163</v>
      </c>
    </row>
    <row r="28" spans="1:4" x14ac:dyDescent="0.3">
      <c r="A28" s="141" t="s">
        <v>1164</v>
      </c>
      <c r="B28" s="141">
        <v>542377</v>
      </c>
      <c r="C28" s="141" t="s">
        <v>1165</v>
      </c>
      <c r="D28" s="141" t="s">
        <v>1146</v>
      </c>
    </row>
    <row r="29" spans="1:4" x14ac:dyDescent="0.3">
      <c r="A29" s="141" t="s">
        <v>1166</v>
      </c>
      <c r="B29" s="141">
        <v>524412</v>
      </c>
      <c r="C29" s="141" t="s">
        <v>1129</v>
      </c>
      <c r="D29" s="141" t="s">
        <v>1167</v>
      </c>
    </row>
    <row r="30" spans="1:4" x14ac:dyDescent="0.3">
      <c r="A30" s="141" t="s">
        <v>1168</v>
      </c>
      <c r="B30" s="141" t="s">
        <v>1129</v>
      </c>
      <c r="C30" s="141" t="s">
        <v>1169</v>
      </c>
      <c r="D30" s="141" t="s">
        <v>1140</v>
      </c>
    </row>
    <row r="31" spans="1:4" x14ac:dyDescent="0.3">
      <c r="A31" s="141" t="s">
        <v>1170</v>
      </c>
      <c r="B31" s="141">
        <v>542580</v>
      </c>
      <c r="C31" s="141" t="s">
        <v>1171</v>
      </c>
      <c r="D31" s="141" t="s">
        <v>1172</v>
      </c>
    </row>
    <row r="32" spans="1:4" x14ac:dyDescent="0.3">
      <c r="A32" s="141" t="s">
        <v>1173</v>
      </c>
      <c r="B32" s="141">
        <v>524348</v>
      </c>
      <c r="C32" s="141" t="s">
        <v>1174</v>
      </c>
      <c r="D32" s="141" t="s">
        <v>1167</v>
      </c>
    </row>
    <row r="33" spans="1:4" x14ac:dyDescent="0.3">
      <c r="A33" s="141" t="s">
        <v>1175</v>
      </c>
      <c r="B33" s="141">
        <v>524208</v>
      </c>
      <c r="C33" s="141" t="s">
        <v>1176</v>
      </c>
      <c r="D33" s="141" t="s">
        <v>1177</v>
      </c>
    </row>
    <row r="34" spans="1:4" x14ac:dyDescent="0.3">
      <c r="A34" s="141" t="s">
        <v>1178</v>
      </c>
      <c r="B34" s="141">
        <v>526488</v>
      </c>
      <c r="C34" s="141" t="s">
        <v>1129</v>
      </c>
      <c r="D34" s="141" t="s">
        <v>1144</v>
      </c>
    </row>
    <row r="35" spans="1:4" x14ac:dyDescent="0.3">
      <c r="A35" s="141" t="s">
        <v>1179</v>
      </c>
      <c r="B35" s="141">
        <v>514274</v>
      </c>
      <c r="C35" s="141" t="s">
        <v>1180</v>
      </c>
      <c r="D35" s="141" t="s">
        <v>1144</v>
      </c>
    </row>
    <row r="36" spans="1:4" x14ac:dyDescent="0.3">
      <c r="A36" s="141" t="s">
        <v>1181</v>
      </c>
      <c r="B36" s="141" t="s">
        <v>1129</v>
      </c>
      <c r="C36" s="141" t="s">
        <v>1182</v>
      </c>
      <c r="D36" s="141" t="s">
        <v>1140</v>
      </c>
    </row>
    <row r="37" spans="1:4" x14ac:dyDescent="0.3">
      <c r="A37" s="141" t="s">
        <v>1183</v>
      </c>
      <c r="B37" s="141">
        <v>519319</v>
      </c>
      <c r="C37" s="141" t="s">
        <v>1129</v>
      </c>
      <c r="D37" s="141" t="s">
        <v>1135</v>
      </c>
    </row>
    <row r="38" spans="1:4" x14ac:dyDescent="0.3">
      <c r="A38" s="141" t="s">
        <v>1184</v>
      </c>
      <c r="B38" s="141">
        <v>512038</v>
      </c>
      <c r="C38" s="141" t="s">
        <v>1129</v>
      </c>
      <c r="D38" s="141" t="s">
        <v>1151</v>
      </c>
    </row>
    <row r="39" spans="1:4" x14ac:dyDescent="0.3">
      <c r="A39" s="141" t="s">
        <v>1185</v>
      </c>
      <c r="B39" s="141">
        <v>541988</v>
      </c>
      <c r="C39" s="141" t="s">
        <v>1186</v>
      </c>
      <c r="D39" s="141" t="s">
        <v>1187</v>
      </c>
    </row>
    <row r="40" spans="1:4" x14ac:dyDescent="0.3">
      <c r="A40" s="141" t="s">
        <v>1188</v>
      </c>
      <c r="B40" s="141">
        <v>539528</v>
      </c>
      <c r="C40" s="141" t="s">
        <v>1129</v>
      </c>
      <c r="D40" s="141" t="s">
        <v>1189</v>
      </c>
    </row>
    <row r="41" spans="1:4" x14ac:dyDescent="0.3">
      <c r="A41" s="141" t="s">
        <v>1190</v>
      </c>
      <c r="B41" s="141">
        <v>523204</v>
      </c>
      <c r="C41" s="141" t="s">
        <v>1191</v>
      </c>
      <c r="D41" s="141" t="s">
        <v>1192</v>
      </c>
    </row>
    <row r="42" spans="1:4" x14ac:dyDescent="0.3">
      <c r="A42" s="141" t="s">
        <v>1193</v>
      </c>
      <c r="B42" s="141">
        <v>512165</v>
      </c>
      <c r="C42" s="141" t="s">
        <v>1129</v>
      </c>
      <c r="D42" s="141" t="s">
        <v>1151</v>
      </c>
    </row>
    <row r="43" spans="1:4" x14ac:dyDescent="0.3">
      <c r="A43" s="141" t="s">
        <v>1194</v>
      </c>
      <c r="B43" s="141">
        <v>500002</v>
      </c>
      <c r="C43" s="141" t="s">
        <v>1195</v>
      </c>
      <c r="D43" s="141" t="s">
        <v>1172</v>
      </c>
    </row>
    <row r="44" spans="1:4" x14ac:dyDescent="0.3">
      <c r="A44" s="141" t="s">
        <v>1196</v>
      </c>
      <c r="B44" s="141">
        <v>500488</v>
      </c>
      <c r="C44" s="141" t="s">
        <v>1197</v>
      </c>
      <c r="D44" s="141" t="s">
        <v>1167</v>
      </c>
    </row>
    <row r="45" spans="1:4" x14ac:dyDescent="0.3">
      <c r="A45" s="141" t="s">
        <v>1198</v>
      </c>
      <c r="B45" s="141">
        <v>500488</v>
      </c>
      <c r="C45" s="141" t="s">
        <v>1199</v>
      </c>
      <c r="D45" s="141" t="s">
        <v>1167</v>
      </c>
    </row>
    <row r="46" spans="1:4" x14ac:dyDescent="0.3">
      <c r="A46" s="141" t="s">
        <v>1200</v>
      </c>
      <c r="B46" s="141">
        <v>520123</v>
      </c>
      <c r="C46" s="141" t="s">
        <v>1129</v>
      </c>
      <c r="D46" s="141" t="s">
        <v>1201</v>
      </c>
    </row>
    <row r="47" spans="1:4" x14ac:dyDescent="0.3">
      <c r="A47" s="141" t="s">
        <v>1202</v>
      </c>
      <c r="B47" s="141">
        <v>513119</v>
      </c>
      <c r="C47" s="141" t="s">
        <v>1129</v>
      </c>
      <c r="D47" s="141" t="s">
        <v>1203</v>
      </c>
    </row>
    <row r="48" spans="1:4" x14ac:dyDescent="0.3">
      <c r="A48" s="141" t="s">
        <v>1204</v>
      </c>
      <c r="B48" s="141">
        <v>520123</v>
      </c>
      <c r="C48" s="141" t="s">
        <v>1129</v>
      </c>
      <c r="D48" s="141" t="s">
        <v>1201</v>
      </c>
    </row>
    <row r="49" spans="1:4" x14ac:dyDescent="0.3">
      <c r="A49" s="141" t="s">
        <v>1205</v>
      </c>
      <c r="B49" s="141">
        <v>532682</v>
      </c>
      <c r="C49" s="141" t="s">
        <v>1206</v>
      </c>
      <c r="D49" s="141" t="s">
        <v>1207</v>
      </c>
    </row>
    <row r="50" spans="1:4" x14ac:dyDescent="0.3">
      <c r="A50" s="141" t="s">
        <v>1208</v>
      </c>
      <c r="B50" s="141">
        <v>539560</v>
      </c>
      <c r="C50" s="141" t="s">
        <v>1129</v>
      </c>
      <c r="D50" s="141" t="s">
        <v>1209</v>
      </c>
    </row>
    <row r="51" spans="1:4" x14ac:dyDescent="0.3">
      <c r="A51" s="141" t="s">
        <v>1210</v>
      </c>
      <c r="B51" s="141">
        <v>532057</v>
      </c>
      <c r="C51" s="141" t="s">
        <v>1129</v>
      </c>
      <c r="D51" s="141" t="s">
        <v>1146</v>
      </c>
    </row>
    <row r="52" spans="1:4" x14ac:dyDescent="0.3">
      <c r="A52" s="141" t="s">
        <v>1211</v>
      </c>
      <c r="B52" s="141">
        <v>538952</v>
      </c>
      <c r="C52" s="141" t="s">
        <v>1129</v>
      </c>
      <c r="D52" s="141" t="s">
        <v>1146</v>
      </c>
    </row>
    <row r="53" spans="1:4" x14ac:dyDescent="0.3">
      <c r="A53" s="141" t="s">
        <v>1212</v>
      </c>
      <c r="B53" s="141">
        <v>538935</v>
      </c>
      <c r="C53" s="141" t="s">
        <v>1129</v>
      </c>
      <c r="D53" s="141" t="s">
        <v>1213</v>
      </c>
    </row>
    <row r="54" spans="1:4" x14ac:dyDescent="0.3">
      <c r="A54" s="141" t="s">
        <v>1214</v>
      </c>
      <c r="B54" s="141">
        <v>539544</v>
      </c>
      <c r="C54" s="141" t="s">
        <v>1129</v>
      </c>
      <c r="D54" s="141" t="s">
        <v>1215</v>
      </c>
    </row>
    <row r="55" spans="1:4" x14ac:dyDescent="0.3">
      <c r="A55" s="141" t="s">
        <v>1216</v>
      </c>
      <c r="B55" s="141">
        <v>511756</v>
      </c>
      <c r="C55" s="141" t="s">
        <v>1129</v>
      </c>
      <c r="D55" s="141" t="s">
        <v>1146</v>
      </c>
    </row>
    <row r="56" spans="1:4" x14ac:dyDescent="0.3">
      <c r="A56" s="141" t="s">
        <v>1217</v>
      </c>
      <c r="B56" s="141">
        <v>511756</v>
      </c>
      <c r="C56" s="141" t="s">
        <v>1129</v>
      </c>
      <c r="D56" s="141" t="s">
        <v>1146</v>
      </c>
    </row>
    <row r="57" spans="1:4" x14ac:dyDescent="0.3">
      <c r="A57" s="141" t="s">
        <v>1218</v>
      </c>
      <c r="B57" s="141" t="s">
        <v>1129</v>
      </c>
      <c r="C57" s="141" t="s">
        <v>1219</v>
      </c>
      <c r="D57" s="141" t="s">
        <v>1220</v>
      </c>
    </row>
    <row r="58" spans="1:4" x14ac:dyDescent="0.3">
      <c r="A58" s="141" t="s">
        <v>1221</v>
      </c>
      <c r="B58" s="141">
        <v>531161</v>
      </c>
      <c r="C58" s="141" t="s">
        <v>1129</v>
      </c>
      <c r="D58" s="141" t="s">
        <v>1222</v>
      </c>
    </row>
    <row r="59" spans="1:4" x14ac:dyDescent="0.3">
      <c r="A59" s="141" t="s">
        <v>1223</v>
      </c>
      <c r="B59" s="141">
        <v>500410</v>
      </c>
      <c r="C59" s="141" t="s">
        <v>1224</v>
      </c>
      <c r="D59" s="141" t="s">
        <v>1142</v>
      </c>
    </row>
    <row r="60" spans="1:4" x14ac:dyDescent="0.3">
      <c r="A60" s="141" t="s">
        <v>1225</v>
      </c>
      <c r="B60" s="141">
        <v>517494</v>
      </c>
      <c r="C60" s="141" t="s">
        <v>1129</v>
      </c>
      <c r="D60" s="141" t="s">
        <v>1226</v>
      </c>
    </row>
    <row r="61" spans="1:4" x14ac:dyDescent="0.3">
      <c r="A61" s="141" t="s">
        <v>1227</v>
      </c>
      <c r="B61" s="141">
        <v>532268</v>
      </c>
      <c r="C61" s="141" t="s">
        <v>1228</v>
      </c>
      <c r="D61" s="141" t="s">
        <v>1115</v>
      </c>
    </row>
    <row r="62" spans="1:4" x14ac:dyDescent="0.3">
      <c r="A62" s="141" t="s">
        <v>1229</v>
      </c>
      <c r="B62" s="141" t="s">
        <v>1129</v>
      </c>
      <c r="C62" s="141" t="s">
        <v>1230</v>
      </c>
      <c r="D62" s="141" t="s">
        <v>1140</v>
      </c>
    </row>
    <row r="63" spans="1:4" x14ac:dyDescent="0.3">
      <c r="A63" s="141" t="s">
        <v>1231</v>
      </c>
      <c r="B63" s="141" t="s">
        <v>1129</v>
      </c>
      <c r="C63" s="141" t="s">
        <v>1232</v>
      </c>
      <c r="D63" s="141" t="s">
        <v>1140</v>
      </c>
    </row>
    <row r="64" spans="1:4" x14ac:dyDescent="0.3">
      <c r="A64" s="141" t="s">
        <v>1233</v>
      </c>
      <c r="B64" s="141">
        <v>530093</v>
      </c>
      <c r="C64" s="141" t="s">
        <v>1129</v>
      </c>
      <c r="D64" s="141" t="s">
        <v>1234</v>
      </c>
    </row>
    <row r="65" spans="1:4" x14ac:dyDescent="0.3">
      <c r="A65" s="141" t="s">
        <v>1235</v>
      </c>
      <c r="B65" s="141" t="s">
        <v>1129</v>
      </c>
      <c r="C65" s="141" t="s">
        <v>1236</v>
      </c>
      <c r="D65" s="141" t="s">
        <v>1140</v>
      </c>
    </row>
    <row r="66" spans="1:4" x14ac:dyDescent="0.3">
      <c r="A66" s="141" t="s">
        <v>1237</v>
      </c>
      <c r="B66" s="141">
        <v>539661</v>
      </c>
      <c r="C66" s="141" t="s">
        <v>1129</v>
      </c>
      <c r="D66" s="141" t="s">
        <v>1163</v>
      </c>
    </row>
    <row r="67" spans="1:4" x14ac:dyDescent="0.3">
      <c r="A67" s="141" t="s">
        <v>1238</v>
      </c>
      <c r="B67" s="141">
        <v>531525</v>
      </c>
      <c r="C67" s="141" t="s">
        <v>1129</v>
      </c>
      <c r="D67" s="141" t="s">
        <v>1222</v>
      </c>
    </row>
    <row r="68" spans="1:4" x14ac:dyDescent="0.3">
      <c r="A68" s="141" t="s">
        <v>1239</v>
      </c>
      <c r="B68" s="141">
        <v>538570</v>
      </c>
      <c r="C68" s="141" t="s">
        <v>1240</v>
      </c>
      <c r="D68" s="141" t="s">
        <v>1112</v>
      </c>
    </row>
    <row r="69" spans="1:4" x14ac:dyDescent="0.3">
      <c r="A69" s="141" t="s">
        <v>1241</v>
      </c>
      <c r="B69" s="141">
        <v>517356</v>
      </c>
      <c r="C69" s="141" t="s">
        <v>1129</v>
      </c>
      <c r="D69" s="141" t="s">
        <v>1226</v>
      </c>
    </row>
    <row r="70" spans="1:4" x14ac:dyDescent="0.3">
      <c r="A70" s="141" t="s">
        <v>1242</v>
      </c>
      <c r="B70" s="141">
        <v>530043</v>
      </c>
      <c r="C70" s="141" t="s">
        <v>1129</v>
      </c>
      <c r="D70" s="141" t="s">
        <v>1243</v>
      </c>
    </row>
    <row r="71" spans="1:4" x14ac:dyDescent="0.3">
      <c r="A71" s="141" t="s">
        <v>1244</v>
      </c>
      <c r="B71" s="141">
        <v>539391</v>
      </c>
      <c r="C71" s="141" t="s">
        <v>1129</v>
      </c>
      <c r="D71" s="141" t="s">
        <v>1146</v>
      </c>
    </row>
    <row r="72" spans="1:4" x14ac:dyDescent="0.3">
      <c r="A72" s="141" t="s">
        <v>1245</v>
      </c>
      <c r="B72" s="141">
        <v>513149</v>
      </c>
      <c r="C72" s="141" t="s">
        <v>1246</v>
      </c>
      <c r="D72" s="141" t="s">
        <v>1247</v>
      </c>
    </row>
    <row r="73" spans="1:4" x14ac:dyDescent="0.3">
      <c r="A73" s="141" t="s">
        <v>1248</v>
      </c>
      <c r="B73" s="141">
        <v>524091</v>
      </c>
      <c r="C73" s="141" t="s">
        <v>1129</v>
      </c>
      <c r="D73" s="141" t="s">
        <v>1249</v>
      </c>
    </row>
    <row r="74" spans="1:4" x14ac:dyDescent="0.3">
      <c r="A74" s="141" t="s">
        <v>1250</v>
      </c>
      <c r="B74" s="141">
        <v>532762</v>
      </c>
      <c r="C74" s="141" t="s">
        <v>1251</v>
      </c>
      <c r="D74" s="141" t="s">
        <v>1252</v>
      </c>
    </row>
    <row r="75" spans="1:4" x14ac:dyDescent="0.3">
      <c r="A75" s="141" t="s">
        <v>1253</v>
      </c>
      <c r="B75" s="141">
        <v>511706</v>
      </c>
      <c r="C75" s="141" t="s">
        <v>1129</v>
      </c>
      <c r="D75" s="141" t="s">
        <v>1112</v>
      </c>
    </row>
    <row r="76" spans="1:4" x14ac:dyDescent="0.3">
      <c r="A76" s="141" t="s">
        <v>1254</v>
      </c>
      <c r="B76" s="141">
        <v>511706</v>
      </c>
      <c r="C76" s="141" t="s">
        <v>1129</v>
      </c>
      <c r="D76" s="141" t="s">
        <v>1112</v>
      </c>
    </row>
    <row r="77" spans="1:4" x14ac:dyDescent="0.3">
      <c r="A77" s="141" t="s">
        <v>1255</v>
      </c>
      <c r="B77" s="141">
        <v>541144</v>
      </c>
      <c r="C77" s="141" t="s">
        <v>1129</v>
      </c>
      <c r="D77" s="141" t="s">
        <v>1243</v>
      </c>
    </row>
    <row r="78" spans="1:4" x14ac:dyDescent="0.3">
      <c r="A78" s="141" t="s">
        <v>1256</v>
      </c>
      <c r="B78" s="141">
        <v>512599</v>
      </c>
      <c r="C78" s="141" t="s">
        <v>1257</v>
      </c>
      <c r="D78" s="141" t="s">
        <v>1151</v>
      </c>
    </row>
    <row r="79" spans="1:4" x14ac:dyDescent="0.3">
      <c r="A79" s="141" t="s">
        <v>1258</v>
      </c>
      <c r="B79" s="141">
        <v>542066</v>
      </c>
      <c r="C79" s="141" t="s">
        <v>1259</v>
      </c>
      <c r="D79" s="141" t="s">
        <v>1260</v>
      </c>
    </row>
    <row r="80" spans="1:4" x14ac:dyDescent="0.3">
      <c r="A80" s="141" t="s">
        <v>1261</v>
      </c>
      <c r="B80" s="141">
        <v>541450</v>
      </c>
      <c r="C80" s="141" t="s">
        <v>1262</v>
      </c>
      <c r="D80" s="141" t="s">
        <v>1172</v>
      </c>
    </row>
    <row r="81" spans="1:4" x14ac:dyDescent="0.3">
      <c r="A81" s="141" t="s">
        <v>1263</v>
      </c>
      <c r="B81" s="141">
        <v>532921</v>
      </c>
      <c r="C81" s="141" t="s">
        <v>1264</v>
      </c>
      <c r="D81" s="141" t="s">
        <v>1265</v>
      </c>
    </row>
    <row r="82" spans="1:4" x14ac:dyDescent="0.3">
      <c r="A82" s="141" t="s">
        <v>1266</v>
      </c>
      <c r="B82" s="141">
        <v>533096</v>
      </c>
      <c r="C82" s="141" t="s">
        <v>1267</v>
      </c>
      <c r="D82" s="141" t="s">
        <v>1268</v>
      </c>
    </row>
    <row r="83" spans="1:4" x14ac:dyDescent="0.3">
      <c r="A83" s="141" t="s">
        <v>1269</v>
      </c>
      <c r="B83" s="141">
        <v>539254</v>
      </c>
      <c r="C83" s="141" t="s">
        <v>1270</v>
      </c>
      <c r="D83" s="141" t="s">
        <v>1268</v>
      </c>
    </row>
    <row r="84" spans="1:4" x14ac:dyDescent="0.3">
      <c r="A84" s="141" t="s">
        <v>1271</v>
      </c>
      <c r="B84" s="141">
        <v>538563</v>
      </c>
      <c r="C84" s="141" t="s">
        <v>1129</v>
      </c>
      <c r="D84" s="141" t="s">
        <v>1151</v>
      </c>
    </row>
    <row r="85" spans="1:4" x14ac:dyDescent="0.3">
      <c r="A85" s="141" t="s">
        <v>1272</v>
      </c>
      <c r="B85" s="141">
        <v>526711</v>
      </c>
      <c r="C85" s="141" t="s">
        <v>1129</v>
      </c>
      <c r="D85" s="141" t="s">
        <v>1273</v>
      </c>
    </row>
    <row r="86" spans="1:4" x14ac:dyDescent="0.3">
      <c r="A86" s="141" t="s">
        <v>1274</v>
      </c>
      <c r="B86" s="141">
        <v>523411</v>
      </c>
      <c r="C86" s="141" t="s">
        <v>1129</v>
      </c>
      <c r="D86" s="141" t="s">
        <v>1275</v>
      </c>
    </row>
    <row r="87" spans="1:4" x14ac:dyDescent="0.3">
      <c r="A87" s="141" t="s">
        <v>1276</v>
      </c>
      <c r="B87" s="141">
        <v>539506</v>
      </c>
      <c r="C87" s="141" t="s">
        <v>1129</v>
      </c>
      <c r="D87" s="141" t="s">
        <v>1146</v>
      </c>
    </row>
    <row r="88" spans="1:4" x14ac:dyDescent="0.3">
      <c r="A88" s="141" t="s">
        <v>1277</v>
      </c>
      <c r="B88" s="141">
        <v>507852</v>
      </c>
      <c r="C88" s="141" t="s">
        <v>1129</v>
      </c>
      <c r="D88" s="141" t="s">
        <v>1243</v>
      </c>
    </row>
    <row r="89" spans="1:4" x14ac:dyDescent="0.3">
      <c r="A89" s="141" t="s">
        <v>1278</v>
      </c>
      <c r="B89" s="141">
        <v>541865</v>
      </c>
      <c r="C89" s="141" t="s">
        <v>1129</v>
      </c>
      <c r="D89" s="141" t="s">
        <v>1163</v>
      </c>
    </row>
    <row r="90" spans="1:4" x14ac:dyDescent="0.3">
      <c r="A90" s="141" t="s">
        <v>1279</v>
      </c>
      <c r="B90" s="141">
        <v>519183</v>
      </c>
      <c r="C90" s="141" t="s">
        <v>1280</v>
      </c>
      <c r="D90" s="141" t="s">
        <v>1189</v>
      </c>
    </row>
    <row r="91" spans="1:4" x14ac:dyDescent="0.3">
      <c r="A91" s="141" t="s">
        <v>1281</v>
      </c>
      <c r="B91" s="141">
        <v>539493</v>
      </c>
      <c r="C91" s="141" t="s">
        <v>1129</v>
      </c>
      <c r="D91" s="141" t="s">
        <v>1146</v>
      </c>
    </row>
    <row r="92" spans="1:4" x14ac:dyDescent="0.3">
      <c r="A92" s="141" t="s">
        <v>1282</v>
      </c>
      <c r="B92" s="141">
        <v>539189</v>
      </c>
      <c r="C92" s="141" t="s">
        <v>1129</v>
      </c>
      <c r="D92" s="141" t="s">
        <v>1215</v>
      </c>
    </row>
    <row r="93" spans="1:4" x14ac:dyDescent="0.3">
      <c r="A93" s="141" t="s">
        <v>1283</v>
      </c>
      <c r="B93" s="141">
        <v>780018</v>
      </c>
      <c r="C93" s="141" t="s">
        <v>1129</v>
      </c>
      <c r="D93" s="141" t="s">
        <v>1220</v>
      </c>
    </row>
    <row r="94" spans="1:4" x14ac:dyDescent="0.3">
      <c r="A94" s="141" t="s">
        <v>1284</v>
      </c>
      <c r="B94" s="141">
        <v>538365</v>
      </c>
      <c r="C94" s="141" t="s">
        <v>1285</v>
      </c>
      <c r="D94" s="141" t="s">
        <v>1161</v>
      </c>
    </row>
    <row r="95" spans="1:4" x14ac:dyDescent="0.3">
      <c r="A95" s="141" t="s">
        <v>1286</v>
      </c>
      <c r="B95" s="141">
        <v>532727</v>
      </c>
      <c r="C95" s="141" t="s">
        <v>1287</v>
      </c>
      <c r="D95" s="141" t="s">
        <v>1161</v>
      </c>
    </row>
    <row r="96" spans="1:4" x14ac:dyDescent="0.3">
      <c r="A96" s="141" t="s">
        <v>1288</v>
      </c>
      <c r="B96" s="141">
        <v>531592</v>
      </c>
      <c r="C96" s="141" t="s">
        <v>1129</v>
      </c>
      <c r="D96" s="141" t="s">
        <v>1289</v>
      </c>
    </row>
    <row r="97" spans="1:4" x14ac:dyDescent="0.3">
      <c r="A97" s="141" t="s">
        <v>1290</v>
      </c>
      <c r="B97" s="141">
        <v>532056</v>
      </c>
      <c r="C97" s="141" t="s">
        <v>1129</v>
      </c>
      <c r="D97" s="141" t="s">
        <v>1149</v>
      </c>
    </row>
    <row r="98" spans="1:4" x14ac:dyDescent="0.3">
      <c r="A98" s="141" t="s">
        <v>1291</v>
      </c>
      <c r="B98" s="141">
        <v>514113</v>
      </c>
      <c r="C98" s="141" t="s">
        <v>1129</v>
      </c>
      <c r="D98" s="141" t="s">
        <v>1144</v>
      </c>
    </row>
    <row r="99" spans="1:4" x14ac:dyDescent="0.3">
      <c r="A99" s="141" t="s">
        <v>1292</v>
      </c>
      <c r="B99" s="141">
        <v>534707</v>
      </c>
      <c r="C99" s="141" t="s">
        <v>1129</v>
      </c>
      <c r="D99" s="141" t="s">
        <v>1243</v>
      </c>
    </row>
    <row r="100" spans="1:4" x14ac:dyDescent="0.3">
      <c r="A100" s="141" t="s">
        <v>1293</v>
      </c>
      <c r="B100" s="141">
        <v>540691</v>
      </c>
      <c r="C100" s="141" t="s">
        <v>1294</v>
      </c>
      <c r="D100" s="141" t="s">
        <v>1295</v>
      </c>
    </row>
    <row r="101" spans="1:4" x14ac:dyDescent="0.3">
      <c r="A101" s="141" t="s">
        <v>1296</v>
      </c>
      <c r="B101" s="141">
        <v>535755</v>
      </c>
      <c r="C101" s="141" t="s">
        <v>1297</v>
      </c>
      <c r="D101" s="141" t="s">
        <v>1298</v>
      </c>
    </row>
    <row r="102" spans="1:4" x14ac:dyDescent="0.3">
      <c r="A102" s="141" t="s">
        <v>1299</v>
      </c>
      <c r="B102" s="141">
        <v>532974</v>
      </c>
      <c r="C102" s="141" t="s">
        <v>1300</v>
      </c>
      <c r="D102" s="141" t="s">
        <v>1112</v>
      </c>
    </row>
    <row r="103" spans="1:4" x14ac:dyDescent="0.3">
      <c r="A103" s="141" t="s">
        <v>1301</v>
      </c>
      <c r="B103" s="141">
        <v>540146</v>
      </c>
      <c r="C103" s="141" t="s">
        <v>1129</v>
      </c>
      <c r="D103" s="141" t="s">
        <v>1163</v>
      </c>
    </row>
    <row r="104" spans="1:4" x14ac:dyDescent="0.3">
      <c r="A104" s="141" t="s">
        <v>1302</v>
      </c>
      <c r="B104" s="141">
        <v>513513</v>
      </c>
      <c r="C104" s="141" t="s">
        <v>1129</v>
      </c>
      <c r="D104" s="141" t="s">
        <v>1161</v>
      </c>
    </row>
    <row r="105" spans="1:4" x14ac:dyDescent="0.3">
      <c r="A105" s="141" t="s">
        <v>1303</v>
      </c>
      <c r="B105" s="141">
        <v>521141</v>
      </c>
      <c r="C105" s="141" t="s">
        <v>1129</v>
      </c>
      <c r="D105" s="141" t="s">
        <v>1144</v>
      </c>
    </row>
    <row r="106" spans="1:4" x14ac:dyDescent="0.3">
      <c r="A106" s="141" t="s">
        <v>1304</v>
      </c>
      <c r="B106" s="141">
        <v>540205</v>
      </c>
      <c r="C106" s="141" t="s">
        <v>1129</v>
      </c>
      <c r="D106" s="141" t="s">
        <v>1151</v>
      </c>
    </row>
    <row r="107" spans="1:4" x14ac:dyDescent="0.3">
      <c r="A107" s="141" t="s">
        <v>1305</v>
      </c>
      <c r="B107" s="141">
        <v>539056</v>
      </c>
      <c r="C107" s="141" t="s">
        <v>1306</v>
      </c>
      <c r="D107" s="141" t="s">
        <v>1307</v>
      </c>
    </row>
    <row r="108" spans="1:4" x14ac:dyDescent="0.3">
      <c r="A108" s="141" t="s">
        <v>1308</v>
      </c>
      <c r="B108" s="141">
        <v>511359</v>
      </c>
      <c r="C108" s="141" t="s">
        <v>1129</v>
      </c>
      <c r="D108" s="141" t="s">
        <v>1146</v>
      </c>
    </row>
    <row r="109" spans="1:4" x14ac:dyDescent="0.3">
      <c r="A109" s="141" t="s">
        <v>1309</v>
      </c>
      <c r="B109" s="141">
        <v>530431</v>
      </c>
      <c r="C109" s="141" t="s">
        <v>1129</v>
      </c>
      <c r="D109" s="141" t="s">
        <v>1151</v>
      </c>
    </row>
    <row r="110" spans="1:4" x14ac:dyDescent="0.3">
      <c r="A110" s="141" t="s">
        <v>1310</v>
      </c>
      <c r="B110" s="141">
        <v>523120</v>
      </c>
      <c r="C110" s="141" t="s">
        <v>1129</v>
      </c>
      <c r="D110" s="141" t="s">
        <v>1311</v>
      </c>
    </row>
    <row r="111" spans="1:4" x14ac:dyDescent="0.3">
      <c r="A111" s="141" t="s">
        <v>1312</v>
      </c>
      <c r="B111" s="141">
        <v>517041</v>
      </c>
      <c r="C111" s="141" t="s">
        <v>1313</v>
      </c>
      <c r="D111" s="141" t="s">
        <v>1314</v>
      </c>
    </row>
    <row r="112" spans="1:4" x14ac:dyDescent="0.3">
      <c r="A112" s="141" t="s">
        <v>1315</v>
      </c>
      <c r="B112" s="141">
        <v>532172</v>
      </c>
      <c r="C112" s="141" t="s">
        <v>1316</v>
      </c>
      <c r="D112" s="141" t="s">
        <v>1115</v>
      </c>
    </row>
    <row r="113" spans="1:4" x14ac:dyDescent="0.3">
      <c r="A113" s="141" t="s">
        <v>1317</v>
      </c>
      <c r="B113" s="141">
        <v>523031</v>
      </c>
      <c r="C113" s="141" t="s">
        <v>1129</v>
      </c>
      <c r="D113" s="141" t="s">
        <v>1318</v>
      </c>
    </row>
    <row r="114" spans="1:4" x14ac:dyDescent="0.3">
      <c r="A114" s="141" t="s">
        <v>1319</v>
      </c>
      <c r="B114" s="141">
        <v>521048</v>
      </c>
      <c r="C114" s="141" t="s">
        <v>1129</v>
      </c>
      <c r="D114" s="141" t="s">
        <v>1144</v>
      </c>
    </row>
    <row r="115" spans="1:4" x14ac:dyDescent="0.3">
      <c r="A115" s="141" t="s">
        <v>1320</v>
      </c>
      <c r="B115" s="141">
        <v>534612</v>
      </c>
      <c r="C115" s="141" t="s">
        <v>1129</v>
      </c>
      <c r="D115" s="141" t="s">
        <v>1268</v>
      </c>
    </row>
    <row r="116" spans="1:4" x14ac:dyDescent="0.3">
      <c r="A116" s="141" t="s">
        <v>1321</v>
      </c>
      <c r="B116" s="141">
        <v>506947</v>
      </c>
      <c r="C116" s="141" t="s">
        <v>1129</v>
      </c>
      <c r="D116" s="141" t="s">
        <v>1177</v>
      </c>
    </row>
    <row r="117" spans="1:4" x14ac:dyDescent="0.3">
      <c r="A117" s="141" t="s">
        <v>1322</v>
      </c>
      <c r="B117" s="141">
        <v>531047</v>
      </c>
      <c r="C117" s="141" t="s">
        <v>1129</v>
      </c>
      <c r="D117" s="141" t="s">
        <v>1146</v>
      </c>
    </row>
    <row r="118" spans="1:4" x14ac:dyDescent="0.3">
      <c r="A118" s="141" t="s">
        <v>1323</v>
      </c>
      <c r="B118" s="141">
        <v>539982</v>
      </c>
      <c r="C118" s="141" t="s">
        <v>1129</v>
      </c>
      <c r="D118" s="141" t="s">
        <v>1324</v>
      </c>
    </row>
    <row r="119" spans="1:4" x14ac:dyDescent="0.3">
      <c r="A119" s="141" t="s">
        <v>1325</v>
      </c>
      <c r="B119" s="141">
        <v>540025</v>
      </c>
      <c r="C119" s="141" t="s">
        <v>1326</v>
      </c>
      <c r="D119" s="141" t="s">
        <v>1327</v>
      </c>
    </row>
    <row r="120" spans="1:4" x14ac:dyDescent="0.3">
      <c r="A120" s="141" t="s">
        <v>1328</v>
      </c>
      <c r="B120" s="141">
        <v>523269</v>
      </c>
      <c r="C120" s="141" t="s">
        <v>1329</v>
      </c>
      <c r="D120" s="141" t="s">
        <v>1330</v>
      </c>
    </row>
    <row r="121" spans="1:4" x14ac:dyDescent="0.3">
      <c r="A121" s="141" t="s">
        <v>1331</v>
      </c>
      <c r="B121" s="141">
        <v>523269</v>
      </c>
      <c r="C121" s="141" t="s">
        <v>1329</v>
      </c>
      <c r="D121" s="141" t="s">
        <v>1330</v>
      </c>
    </row>
    <row r="122" spans="1:4" x14ac:dyDescent="0.3">
      <c r="A122" s="141" t="s">
        <v>1332</v>
      </c>
      <c r="B122" s="141">
        <v>531429</v>
      </c>
      <c r="C122" s="141" t="s">
        <v>1129</v>
      </c>
      <c r="D122" s="141" t="s">
        <v>1222</v>
      </c>
    </row>
    <row r="123" spans="1:4" x14ac:dyDescent="0.3">
      <c r="A123" s="141" t="s">
        <v>1333</v>
      </c>
      <c r="B123" s="141">
        <v>539773</v>
      </c>
      <c r="C123" s="141" t="s">
        <v>1129</v>
      </c>
      <c r="D123" s="141" t="s">
        <v>1146</v>
      </c>
    </row>
    <row r="124" spans="1:4" x14ac:dyDescent="0.3">
      <c r="A124" s="141" t="s">
        <v>1334</v>
      </c>
      <c r="B124" s="141">
        <v>531686</v>
      </c>
      <c r="C124" s="141" t="s">
        <v>1129</v>
      </c>
      <c r="D124" s="141" t="s">
        <v>1167</v>
      </c>
    </row>
    <row r="125" spans="1:4" x14ac:dyDescent="0.3">
      <c r="A125" s="141" t="s">
        <v>1335</v>
      </c>
      <c r="B125" s="141">
        <v>541152</v>
      </c>
      <c r="C125" s="141" t="s">
        <v>1129</v>
      </c>
      <c r="D125" s="141" t="s">
        <v>1151</v>
      </c>
    </row>
    <row r="126" spans="1:4" x14ac:dyDescent="0.3">
      <c r="A126" s="141" t="s">
        <v>1336</v>
      </c>
      <c r="B126" s="141">
        <v>541152</v>
      </c>
      <c r="C126" s="141" t="s">
        <v>1129</v>
      </c>
      <c r="D126" s="141" t="s">
        <v>1151</v>
      </c>
    </row>
    <row r="127" spans="1:4" x14ac:dyDescent="0.3">
      <c r="A127" s="141" t="s">
        <v>1337</v>
      </c>
      <c r="B127" s="141">
        <v>500003</v>
      </c>
      <c r="C127" s="141" t="s">
        <v>1338</v>
      </c>
      <c r="D127" s="141" t="s">
        <v>1339</v>
      </c>
    </row>
    <row r="128" spans="1:4" x14ac:dyDescent="0.3">
      <c r="A128" s="141" t="s">
        <v>1340</v>
      </c>
      <c r="B128" s="141">
        <v>541402</v>
      </c>
      <c r="C128" s="141" t="s">
        <v>1129</v>
      </c>
      <c r="D128" s="141" t="s">
        <v>1137</v>
      </c>
    </row>
    <row r="129" spans="1:4" x14ac:dyDescent="0.3">
      <c r="A129" s="141" t="s">
        <v>1341</v>
      </c>
      <c r="B129" s="141">
        <v>531921</v>
      </c>
      <c r="C129" s="141" t="s">
        <v>1342</v>
      </c>
      <c r="D129" s="141" t="s">
        <v>1343</v>
      </c>
    </row>
    <row r="130" spans="1:4" x14ac:dyDescent="0.3">
      <c r="A130" s="141" t="s">
        <v>1344</v>
      </c>
      <c r="B130" s="141">
        <v>500463</v>
      </c>
      <c r="C130" s="141" t="s">
        <v>1345</v>
      </c>
      <c r="D130" s="141" t="s">
        <v>1115</v>
      </c>
    </row>
    <row r="131" spans="1:4" x14ac:dyDescent="0.3">
      <c r="A131" s="141" t="s">
        <v>1346</v>
      </c>
      <c r="B131" s="141">
        <v>539042</v>
      </c>
      <c r="C131" s="141" t="s">
        <v>1129</v>
      </c>
      <c r="D131" s="141" t="s">
        <v>1215</v>
      </c>
    </row>
    <row r="132" spans="1:4" x14ac:dyDescent="0.3">
      <c r="A132" s="141" t="s">
        <v>1347</v>
      </c>
      <c r="B132" s="141">
        <v>516020</v>
      </c>
      <c r="C132" s="141" t="s">
        <v>1129</v>
      </c>
      <c r="D132" s="141" t="s">
        <v>1123</v>
      </c>
    </row>
    <row r="133" spans="1:4" x14ac:dyDescent="0.3">
      <c r="A133" s="141" t="s">
        <v>1348</v>
      </c>
      <c r="B133" s="141">
        <v>537492</v>
      </c>
      <c r="C133" s="141" t="s">
        <v>1129</v>
      </c>
      <c r="D133" s="141" t="s">
        <v>1151</v>
      </c>
    </row>
    <row r="134" spans="1:4" x14ac:dyDescent="0.3">
      <c r="A134" s="141" t="s">
        <v>1349</v>
      </c>
      <c r="B134" s="141">
        <v>537292</v>
      </c>
      <c r="C134" s="141" t="s">
        <v>1350</v>
      </c>
      <c r="D134" s="141" t="s">
        <v>1327</v>
      </c>
    </row>
    <row r="135" spans="1:4" x14ac:dyDescent="0.3">
      <c r="A135" s="141" t="s">
        <v>1351</v>
      </c>
      <c r="B135" s="141">
        <v>537292</v>
      </c>
      <c r="C135" s="141" t="s">
        <v>1350</v>
      </c>
      <c r="D135" s="141" t="s">
        <v>1327</v>
      </c>
    </row>
    <row r="136" spans="1:4" x14ac:dyDescent="0.3">
      <c r="A136" s="141" t="s">
        <v>1352</v>
      </c>
      <c r="B136" s="141" t="s">
        <v>1129</v>
      </c>
      <c r="C136" s="141" t="s">
        <v>1353</v>
      </c>
      <c r="D136" s="141" t="s">
        <v>1140</v>
      </c>
    </row>
    <row r="137" spans="1:4" x14ac:dyDescent="0.3">
      <c r="A137" s="141" t="s">
        <v>1354</v>
      </c>
      <c r="B137" s="141" t="s">
        <v>1129</v>
      </c>
      <c r="C137" s="141" t="s">
        <v>1353</v>
      </c>
      <c r="D137" s="141" t="s">
        <v>1140</v>
      </c>
    </row>
    <row r="138" spans="1:4" x14ac:dyDescent="0.3">
      <c r="A138" s="141" t="s">
        <v>1355</v>
      </c>
      <c r="B138" s="141">
        <v>500215</v>
      </c>
      <c r="C138" s="141" t="s">
        <v>1356</v>
      </c>
      <c r="D138" s="141" t="s">
        <v>1327</v>
      </c>
    </row>
    <row r="139" spans="1:4" x14ac:dyDescent="0.3">
      <c r="A139" s="141" t="s">
        <v>1357</v>
      </c>
      <c r="B139" s="141" t="s">
        <v>1129</v>
      </c>
      <c r="C139" s="141" t="s">
        <v>1358</v>
      </c>
      <c r="D139" s="141" t="s">
        <v>1140</v>
      </c>
    </row>
    <row r="140" spans="1:4" x14ac:dyDescent="0.3">
      <c r="A140" s="141" t="s">
        <v>1359</v>
      </c>
      <c r="B140" s="141" t="s">
        <v>1129</v>
      </c>
      <c r="C140" s="141" t="s">
        <v>1360</v>
      </c>
      <c r="D140" s="141" t="s">
        <v>1140</v>
      </c>
    </row>
    <row r="141" spans="1:4" x14ac:dyDescent="0.3">
      <c r="A141" s="141" t="s">
        <v>1361</v>
      </c>
      <c r="B141" s="141">
        <v>532811</v>
      </c>
      <c r="C141" s="141" t="s">
        <v>1362</v>
      </c>
      <c r="D141" s="141" t="s">
        <v>1215</v>
      </c>
    </row>
    <row r="142" spans="1:4" x14ac:dyDescent="0.3">
      <c r="A142" s="141" t="s">
        <v>1363</v>
      </c>
      <c r="B142" s="141">
        <v>532811</v>
      </c>
      <c r="C142" s="141" t="s">
        <v>1362</v>
      </c>
      <c r="D142" s="141" t="s">
        <v>1215</v>
      </c>
    </row>
    <row r="143" spans="1:4" x14ac:dyDescent="0.3">
      <c r="A143" s="141" t="s">
        <v>1364</v>
      </c>
      <c r="B143" s="141">
        <v>522273</v>
      </c>
      <c r="C143" s="141" t="s">
        <v>1129</v>
      </c>
      <c r="D143" s="141" t="s">
        <v>1161</v>
      </c>
    </row>
    <row r="144" spans="1:4" x14ac:dyDescent="0.3">
      <c r="A144" s="141" t="s">
        <v>1365</v>
      </c>
      <c r="B144" s="141">
        <v>532806</v>
      </c>
      <c r="C144" s="141" t="s">
        <v>1129</v>
      </c>
      <c r="D144" s="141" t="s">
        <v>1366</v>
      </c>
    </row>
    <row r="145" spans="1:4" x14ac:dyDescent="0.3">
      <c r="A145" s="141" t="s">
        <v>1367</v>
      </c>
      <c r="B145" s="141">
        <v>532683</v>
      </c>
      <c r="C145" s="141" t="s">
        <v>1368</v>
      </c>
      <c r="D145" s="141" t="s">
        <v>1314</v>
      </c>
    </row>
    <row r="146" spans="1:4" x14ac:dyDescent="0.3">
      <c r="A146" s="141" t="s">
        <v>1369</v>
      </c>
      <c r="B146" s="141">
        <v>524288</v>
      </c>
      <c r="C146" s="141" t="s">
        <v>1129</v>
      </c>
      <c r="D146" s="141" t="s">
        <v>1273</v>
      </c>
    </row>
    <row r="147" spans="1:4" x14ac:dyDescent="0.3">
      <c r="A147" s="141" t="s">
        <v>1370</v>
      </c>
      <c r="B147" s="141" t="s">
        <v>1129</v>
      </c>
      <c r="C147" s="141" t="s">
        <v>1371</v>
      </c>
      <c r="D147" s="141" t="s">
        <v>1140</v>
      </c>
    </row>
    <row r="148" spans="1:4" x14ac:dyDescent="0.3">
      <c r="A148" s="141" t="s">
        <v>1372</v>
      </c>
      <c r="B148" s="141" t="s">
        <v>1129</v>
      </c>
      <c r="C148" s="141" t="s">
        <v>1373</v>
      </c>
      <c r="D148" s="141" t="s">
        <v>1140</v>
      </c>
    </row>
    <row r="149" spans="1:4" x14ac:dyDescent="0.3">
      <c r="A149" s="141" t="s">
        <v>1374</v>
      </c>
      <c r="B149" s="141">
        <v>532975</v>
      </c>
      <c r="C149" s="141" t="s">
        <v>1129</v>
      </c>
      <c r="D149" s="141" t="s">
        <v>1275</v>
      </c>
    </row>
    <row r="150" spans="1:4" x14ac:dyDescent="0.3">
      <c r="A150" s="141" t="s">
        <v>1375</v>
      </c>
      <c r="B150" s="141">
        <v>532331</v>
      </c>
      <c r="C150" s="141" t="s">
        <v>1376</v>
      </c>
      <c r="D150" s="141" t="s">
        <v>1167</v>
      </c>
    </row>
    <row r="151" spans="1:4" x14ac:dyDescent="0.3">
      <c r="A151" s="141" t="s">
        <v>1377</v>
      </c>
      <c r="B151" s="141">
        <v>519216</v>
      </c>
      <c r="C151" s="141" t="s">
        <v>1129</v>
      </c>
      <c r="D151" s="141" t="s">
        <v>1378</v>
      </c>
    </row>
    <row r="152" spans="1:4" x14ac:dyDescent="0.3">
      <c r="A152" s="141" t="s">
        <v>1379</v>
      </c>
      <c r="B152" s="141">
        <v>511692</v>
      </c>
      <c r="C152" s="141" t="s">
        <v>1129</v>
      </c>
      <c r="D152" s="141" t="s">
        <v>1112</v>
      </c>
    </row>
    <row r="153" spans="1:4" x14ac:dyDescent="0.3">
      <c r="A153" s="141" t="s">
        <v>1380</v>
      </c>
      <c r="B153" s="141">
        <v>530713</v>
      </c>
      <c r="C153" s="141" t="s">
        <v>1129</v>
      </c>
      <c r="D153" s="141" t="s">
        <v>1115</v>
      </c>
    </row>
    <row r="154" spans="1:4" x14ac:dyDescent="0.3">
      <c r="A154" s="141" t="s">
        <v>1381</v>
      </c>
      <c r="B154" s="141">
        <v>513349</v>
      </c>
      <c r="C154" s="141" t="s">
        <v>1382</v>
      </c>
      <c r="D154" s="141" t="s">
        <v>1215</v>
      </c>
    </row>
    <row r="155" spans="1:4" x14ac:dyDescent="0.3">
      <c r="A155" s="141" t="s">
        <v>1383</v>
      </c>
      <c r="B155" s="141">
        <v>513349</v>
      </c>
      <c r="C155" s="141" t="s">
        <v>1382</v>
      </c>
      <c r="D155" s="141" t="s">
        <v>1215</v>
      </c>
    </row>
    <row r="156" spans="1:4" x14ac:dyDescent="0.3">
      <c r="A156" s="141" t="s">
        <v>1384</v>
      </c>
      <c r="B156" s="141" t="s">
        <v>1129</v>
      </c>
      <c r="C156" s="141" t="s">
        <v>1385</v>
      </c>
      <c r="D156" s="141" t="s">
        <v>1140</v>
      </c>
    </row>
    <row r="157" spans="1:4" x14ac:dyDescent="0.3">
      <c r="A157" s="141" t="s">
        <v>1386</v>
      </c>
      <c r="B157" s="141">
        <v>526628</v>
      </c>
      <c r="C157" s="141" t="s">
        <v>1129</v>
      </c>
      <c r="D157" s="141" t="s">
        <v>1307</v>
      </c>
    </row>
    <row r="158" spans="1:4" x14ac:dyDescent="0.3">
      <c r="A158" s="141" t="s">
        <v>1387</v>
      </c>
      <c r="B158" s="141">
        <v>530621</v>
      </c>
      <c r="C158" s="141" t="s">
        <v>1129</v>
      </c>
      <c r="D158" s="141" t="s">
        <v>1137</v>
      </c>
    </row>
    <row r="159" spans="1:4" x14ac:dyDescent="0.3">
      <c r="A159" s="141" t="s">
        <v>1388</v>
      </c>
      <c r="B159" s="141" t="s">
        <v>1129</v>
      </c>
      <c r="C159" s="141" t="s">
        <v>1389</v>
      </c>
      <c r="D159" s="141" t="s">
        <v>1140</v>
      </c>
    </row>
    <row r="160" spans="1:4" x14ac:dyDescent="0.3">
      <c r="A160" s="141" t="s">
        <v>1390</v>
      </c>
      <c r="B160" s="141">
        <v>538778</v>
      </c>
      <c r="C160" s="141" t="s">
        <v>1129</v>
      </c>
      <c r="D160" s="141" t="s">
        <v>1146</v>
      </c>
    </row>
    <row r="161" spans="1:4" x14ac:dyDescent="0.3">
      <c r="A161" s="141" t="s">
        <v>1391</v>
      </c>
      <c r="B161" s="141" t="s">
        <v>1129</v>
      </c>
      <c r="C161" s="141" t="s">
        <v>1392</v>
      </c>
      <c r="D161" s="141" t="s">
        <v>1140</v>
      </c>
    </row>
    <row r="162" spans="1:4" x14ac:dyDescent="0.3">
      <c r="A162" s="141" t="s">
        <v>1393</v>
      </c>
      <c r="B162" s="141">
        <v>542020</v>
      </c>
      <c r="C162" s="141" t="s">
        <v>1129</v>
      </c>
      <c r="D162" s="141" t="s">
        <v>1243</v>
      </c>
    </row>
    <row r="163" spans="1:4" x14ac:dyDescent="0.3">
      <c r="A163" s="141" t="s">
        <v>1394</v>
      </c>
      <c r="B163" s="141">
        <v>542020</v>
      </c>
      <c r="C163" s="141" t="s">
        <v>1129</v>
      </c>
      <c r="D163" s="141" t="s">
        <v>1243</v>
      </c>
    </row>
    <row r="164" spans="1:4" x14ac:dyDescent="0.3">
      <c r="A164" s="141" t="s">
        <v>1395</v>
      </c>
      <c r="B164" s="141">
        <v>540718</v>
      </c>
      <c r="C164" s="141" t="s">
        <v>1129</v>
      </c>
      <c r="D164" s="141" t="s">
        <v>1144</v>
      </c>
    </row>
    <row r="165" spans="1:4" x14ac:dyDescent="0.3">
      <c r="A165" s="141" t="s">
        <v>1396</v>
      </c>
      <c r="B165" s="141">
        <v>539017</v>
      </c>
      <c r="C165" s="141" t="s">
        <v>1129</v>
      </c>
      <c r="D165" s="141" t="s">
        <v>1187</v>
      </c>
    </row>
    <row r="166" spans="1:4" x14ac:dyDescent="0.3">
      <c r="A166" s="141" t="s">
        <v>1397</v>
      </c>
      <c r="B166" s="141">
        <v>532351</v>
      </c>
      <c r="C166" s="141" t="s">
        <v>1398</v>
      </c>
      <c r="D166" s="141" t="s">
        <v>1399</v>
      </c>
    </row>
    <row r="167" spans="1:4" x14ac:dyDescent="0.3">
      <c r="A167" s="141" t="s">
        <v>1400</v>
      </c>
      <c r="B167" s="141">
        <v>541303</v>
      </c>
      <c r="C167" s="141" t="s">
        <v>1129</v>
      </c>
      <c r="D167" s="141" t="s">
        <v>1144</v>
      </c>
    </row>
    <row r="168" spans="1:4" x14ac:dyDescent="0.3">
      <c r="A168" s="141" t="s">
        <v>1401</v>
      </c>
      <c r="B168" s="141">
        <v>524598</v>
      </c>
      <c r="C168" s="141" t="s">
        <v>1402</v>
      </c>
      <c r="D168" s="141" t="s">
        <v>1289</v>
      </c>
    </row>
    <row r="169" spans="1:4" x14ac:dyDescent="0.3">
      <c r="A169" s="141" t="s">
        <v>1403</v>
      </c>
      <c r="B169" s="141">
        <v>524598</v>
      </c>
      <c r="C169" s="141" t="s">
        <v>1402</v>
      </c>
      <c r="D169" s="141" t="s">
        <v>1289</v>
      </c>
    </row>
    <row r="170" spans="1:4" x14ac:dyDescent="0.3">
      <c r="A170" s="141" t="s">
        <v>1404</v>
      </c>
      <c r="B170" s="141">
        <v>500710</v>
      </c>
      <c r="C170" s="141" t="s">
        <v>1405</v>
      </c>
      <c r="D170" s="141" t="s">
        <v>1406</v>
      </c>
    </row>
    <row r="171" spans="1:4" x14ac:dyDescent="0.3">
      <c r="A171" s="141" t="s">
        <v>1407</v>
      </c>
      <c r="B171" s="141">
        <v>500710</v>
      </c>
      <c r="C171" s="141" t="s">
        <v>1408</v>
      </c>
      <c r="D171" s="141" t="s">
        <v>1406</v>
      </c>
    </row>
    <row r="172" spans="1:4" x14ac:dyDescent="0.3">
      <c r="A172" s="141" t="s">
        <v>1409</v>
      </c>
      <c r="B172" s="141">
        <v>535916</v>
      </c>
      <c r="C172" s="141" t="s">
        <v>1129</v>
      </c>
      <c r="D172" s="141" t="s">
        <v>1112</v>
      </c>
    </row>
    <row r="173" spans="1:4" x14ac:dyDescent="0.3">
      <c r="A173" s="141" t="s">
        <v>1410</v>
      </c>
      <c r="B173" s="141">
        <v>539115</v>
      </c>
      <c r="C173" s="141" t="s">
        <v>1129</v>
      </c>
      <c r="D173" s="141" t="s">
        <v>1132</v>
      </c>
    </row>
    <row r="174" spans="1:4" x14ac:dyDescent="0.3">
      <c r="A174" s="141" t="s">
        <v>1411</v>
      </c>
      <c r="B174" s="141">
        <v>531082</v>
      </c>
      <c r="C174" s="141" t="s">
        <v>1412</v>
      </c>
      <c r="D174" s="141" t="s">
        <v>1112</v>
      </c>
    </row>
    <row r="175" spans="1:4" x14ac:dyDescent="0.3">
      <c r="A175" s="141" t="s">
        <v>1413</v>
      </c>
      <c r="B175" s="141">
        <v>524075</v>
      </c>
      <c r="C175" s="141" t="s">
        <v>1414</v>
      </c>
      <c r="D175" s="141" t="s">
        <v>1167</v>
      </c>
    </row>
    <row r="176" spans="1:4" x14ac:dyDescent="0.3">
      <c r="A176" s="141" t="s">
        <v>1415</v>
      </c>
      <c r="B176" s="141">
        <v>531409</v>
      </c>
      <c r="C176" s="141" t="s">
        <v>1129</v>
      </c>
      <c r="D176" s="141" t="s">
        <v>1177</v>
      </c>
    </row>
    <row r="177" spans="1:4" x14ac:dyDescent="0.3">
      <c r="A177" s="141" t="s">
        <v>1416</v>
      </c>
      <c r="B177" s="141">
        <v>526707</v>
      </c>
      <c r="C177" s="141" t="s">
        <v>1417</v>
      </c>
      <c r="D177" s="141" t="s">
        <v>1151</v>
      </c>
    </row>
    <row r="178" spans="1:4" x14ac:dyDescent="0.3">
      <c r="A178" s="141" t="s">
        <v>1418</v>
      </c>
      <c r="B178" s="141">
        <v>532114</v>
      </c>
      <c r="C178" s="141" t="s">
        <v>1129</v>
      </c>
      <c r="D178" s="141" t="s">
        <v>1215</v>
      </c>
    </row>
    <row r="179" spans="1:4" x14ac:dyDescent="0.3">
      <c r="A179" s="141" t="s">
        <v>1419</v>
      </c>
      <c r="B179" s="141">
        <v>506235</v>
      </c>
      <c r="C179" s="141" t="s">
        <v>1420</v>
      </c>
      <c r="D179" s="141" t="s">
        <v>1167</v>
      </c>
    </row>
    <row r="180" spans="1:4" x14ac:dyDescent="0.3">
      <c r="A180" s="141" t="s">
        <v>1421</v>
      </c>
      <c r="B180" s="141">
        <v>533573</v>
      </c>
      <c r="C180" s="141" t="s">
        <v>1422</v>
      </c>
      <c r="D180" s="141" t="s">
        <v>1167</v>
      </c>
    </row>
    <row r="181" spans="1:4" x14ac:dyDescent="0.3">
      <c r="A181" s="141" t="s">
        <v>1423</v>
      </c>
      <c r="B181" s="141">
        <v>511463</v>
      </c>
      <c r="C181" s="141" t="s">
        <v>1129</v>
      </c>
      <c r="D181" s="141" t="s">
        <v>1118</v>
      </c>
    </row>
    <row r="182" spans="1:4" x14ac:dyDescent="0.3">
      <c r="A182" s="141" t="s">
        <v>1424</v>
      </c>
      <c r="B182" s="141">
        <v>530973</v>
      </c>
      <c r="C182" s="141" t="s">
        <v>1129</v>
      </c>
      <c r="D182" s="141" t="s">
        <v>1249</v>
      </c>
    </row>
    <row r="183" spans="1:4" x14ac:dyDescent="0.3">
      <c r="A183" s="141" t="s">
        <v>1425</v>
      </c>
      <c r="B183" s="141">
        <v>530973</v>
      </c>
      <c r="C183" s="141" t="s">
        <v>1129</v>
      </c>
      <c r="D183" s="141" t="s">
        <v>1249</v>
      </c>
    </row>
    <row r="184" spans="1:4" x14ac:dyDescent="0.3">
      <c r="A184" s="141" t="s">
        <v>1426</v>
      </c>
      <c r="B184" s="141">
        <v>517546</v>
      </c>
      <c r="C184" s="141" t="s">
        <v>1129</v>
      </c>
      <c r="D184" s="141" t="s">
        <v>1427</v>
      </c>
    </row>
    <row r="185" spans="1:4" x14ac:dyDescent="0.3">
      <c r="A185" s="141" t="s">
        <v>1428</v>
      </c>
      <c r="B185" s="141">
        <v>531156</v>
      </c>
      <c r="C185" s="141" t="s">
        <v>1129</v>
      </c>
      <c r="D185" s="141" t="s">
        <v>1146</v>
      </c>
    </row>
    <row r="186" spans="1:4" x14ac:dyDescent="0.3">
      <c r="A186" s="141" t="s">
        <v>1429</v>
      </c>
      <c r="B186" s="141">
        <v>531156</v>
      </c>
      <c r="C186" s="141" t="s">
        <v>1129</v>
      </c>
      <c r="D186" s="141" t="s">
        <v>1146</v>
      </c>
    </row>
    <row r="187" spans="1:4" x14ac:dyDescent="0.3">
      <c r="A187" s="141" t="s">
        <v>1430</v>
      </c>
      <c r="B187" s="141">
        <v>505216</v>
      </c>
      <c r="C187" s="141" t="s">
        <v>1129</v>
      </c>
      <c r="D187" s="141" t="s">
        <v>1146</v>
      </c>
    </row>
    <row r="188" spans="1:4" x14ac:dyDescent="0.3">
      <c r="A188" s="141" t="s">
        <v>1431</v>
      </c>
      <c r="B188" s="141">
        <v>505216</v>
      </c>
      <c r="C188" s="141" t="s">
        <v>1129</v>
      </c>
      <c r="D188" s="141" t="s">
        <v>1146</v>
      </c>
    </row>
    <row r="189" spans="1:4" x14ac:dyDescent="0.3">
      <c r="A189" s="141" t="s">
        <v>1432</v>
      </c>
      <c r="B189" s="141">
        <v>531147</v>
      </c>
      <c r="C189" s="141" t="s">
        <v>1433</v>
      </c>
      <c r="D189" s="141" t="s">
        <v>1434</v>
      </c>
    </row>
    <row r="190" spans="1:4" x14ac:dyDescent="0.3">
      <c r="A190" s="141" t="s">
        <v>1435</v>
      </c>
      <c r="B190" s="141">
        <v>530889</v>
      </c>
      <c r="C190" s="141" t="s">
        <v>1129</v>
      </c>
      <c r="D190" s="141" t="s">
        <v>1144</v>
      </c>
    </row>
    <row r="191" spans="1:4" x14ac:dyDescent="0.3">
      <c r="A191" s="141" t="s">
        <v>1436</v>
      </c>
      <c r="B191" s="141">
        <v>531581</v>
      </c>
      <c r="C191" s="141" t="s">
        <v>1129</v>
      </c>
      <c r="D191" s="141" t="s">
        <v>1243</v>
      </c>
    </row>
    <row r="192" spans="1:4" x14ac:dyDescent="0.3">
      <c r="A192" s="141" t="s">
        <v>1437</v>
      </c>
      <c r="B192" s="141">
        <v>530889</v>
      </c>
      <c r="C192" s="141" t="s">
        <v>1129</v>
      </c>
      <c r="D192" s="141" t="s">
        <v>1144</v>
      </c>
    </row>
    <row r="193" spans="1:4" x14ac:dyDescent="0.3">
      <c r="A193" s="141" t="s">
        <v>1438</v>
      </c>
      <c r="B193" s="141">
        <v>532166</v>
      </c>
      <c r="C193" s="141" t="s">
        <v>1129</v>
      </c>
      <c r="D193" s="141" t="s">
        <v>1146</v>
      </c>
    </row>
    <row r="194" spans="1:4" x14ac:dyDescent="0.3">
      <c r="A194" s="141" t="s">
        <v>1439</v>
      </c>
      <c r="B194" s="141">
        <v>533029</v>
      </c>
      <c r="C194" s="141" t="s">
        <v>1440</v>
      </c>
      <c r="D194" s="141" t="s">
        <v>1289</v>
      </c>
    </row>
    <row r="195" spans="1:4" x14ac:dyDescent="0.3">
      <c r="A195" s="141" t="s">
        <v>1441</v>
      </c>
      <c r="B195" s="141">
        <v>539523</v>
      </c>
      <c r="C195" s="141" t="s">
        <v>1442</v>
      </c>
      <c r="D195" s="141" t="s">
        <v>1167</v>
      </c>
    </row>
    <row r="196" spans="1:4" x14ac:dyDescent="0.3">
      <c r="A196" s="141" t="s">
        <v>1443</v>
      </c>
      <c r="B196" s="141">
        <v>506767</v>
      </c>
      <c r="C196" s="141" t="s">
        <v>1444</v>
      </c>
      <c r="D196" s="141" t="s">
        <v>1289</v>
      </c>
    </row>
    <row r="197" spans="1:4" x14ac:dyDescent="0.3">
      <c r="A197" s="141" t="s">
        <v>1445</v>
      </c>
      <c r="B197" s="141">
        <v>532480</v>
      </c>
      <c r="C197" s="141" t="s">
        <v>1446</v>
      </c>
      <c r="D197" s="141" t="s">
        <v>1447</v>
      </c>
    </row>
    <row r="198" spans="1:4" x14ac:dyDescent="0.3">
      <c r="A198" s="141" t="s">
        <v>1448</v>
      </c>
      <c r="B198" s="141">
        <v>532749</v>
      </c>
      <c r="C198" s="141" t="s">
        <v>1449</v>
      </c>
      <c r="D198" s="141" t="s">
        <v>1450</v>
      </c>
    </row>
    <row r="199" spans="1:4" x14ac:dyDescent="0.3">
      <c r="A199" s="141" t="s">
        <v>1451</v>
      </c>
      <c r="B199" s="141">
        <v>534064</v>
      </c>
      <c r="C199" s="141" t="s">
        <v>1129</v>
      </c>
      <c r="D199" s="141" t="s">
        <v>1452</v>
      </c>
    </row>
    <row r="200" spans="1:4" x14ac:dyDescent="0.3">
      <c r="A200" s="141" t="s">
        <v>1453</v>
      </c>
      <c r="B200" s="141">
        <v>532919</v>
      </c>
      <c r="C200" s="141" t="s">
        <v>1129</v>
      </c>
      <c r="D200" s="141" t="s">
        <v>1454</v>
      </c>
    </row>
    <row r="201" spans="1:4" x14ac:dyDescent="0.3">
      <c r="A201" s="141" t="s">
        <v>1455</v>
      </c>
      <c r="B201" s="141">
        <v>532875</v>
      </c>
      <c r="C201" s="141" t="s">
        <v>1456</v>
      </c>
      <c r="D201" s="141" t="s">
        <v>1115</v>
      </c>
    </row>
    <row r="202" spans="1:4" x14ac:dyDescent="0.3">
      <c r="A202" s="141" t="s">
        <v>1457</v>
      </c>
      <c r="B202" s="141">
        <v>532633</v>
      </c>
      <c r="C202" s="141" t="s">
        <v>1458</v>
      </c>
      <c r="D202" s="141" t="s">
        <v>1459</v>
      </c>
    </row>
    <row r="203" spans="1:4" x14ac:dyDescent="0.3">
      <c r="A203" s="141" t="s">
        <v>1460</v>
      </c>
      <c r="B203" s="141">
        <v>531400</v>
      </c>
      <c r="C203" s="141" t="s">
        <v>1461</v>
      </c>
      <c r="D203" s="141" t="s">
        <v>1112</v>
      </c>
    </row>
    <row r="204" spans="1:4" x14ac:dyDescent="0.3">
      <c r="A204" s="141" t="s">
        <v>1462</v>
      </c>
      <c r="B204" s="141">
        <v>506120</v>
      </c>
      <c r="C204" s="141" t="s">
        <v>1129</v>
      </c>
      <c r="D204" s="141" t="s">
        <v>1151</v>
      </c>
    </row>
    <row r="205" spans="1:4" x14ac:dyDescent="0.3">
      <c r="A205" s="141" t="s">
        <v>1463</v>
      </c>
      <c r="B205" s="141">
        <v>521070</v>
      </c>
      <c r="C205" s="141" t="s">
        <v>1464</v>
      </c>
      <c r="D205" s="141" t="s">
        <v>1144</v>
      </c>
    </row>
    <row r="206" spans="1:4" x14ac:dyDescent="0.3">
      <c r="A206" s="141" t="s">
        <v>1465</v>
      </c>
      <c r="B206" s="141">
        <v>532878</v>
      </c>
      <c r="C206" s="141" t="s">
        <v>1466</v>
      </c>
      <c r="D206" s="141" t="s">
        <v>1467</v>
      </c>
    </row>
    <row r="207" spans="1:4" x14ac:dyDescent="0.3">
      <c r="A207" s="141" t="s">
        <v>1468</v>
      </c>
      <c r="B207" s="141">
        <v>526397</v>
      </c>
      <c r="C207" s="141" t="s">
        <v>1469</v>
      </c>
      <c r="D207" s="141" t="s">
        <v>1470</v>
      </c>
    </row>
    <row r="208" spans="1:4" x14ac:dyDescent="0.3">
      <c r="A208" s="141" t="s">
        <v>1471</v>
      </c>
      <c r="B208" s="141">
        <v>526397</v>
      </c>
      <c r="C208" s="141" t="s">
        <v>1469</v>
      </c>
      <c r="D208" s="141" t="s">
        <v>1470</v>
      </c>
    </row>
    <row r="209" spans="1:4" x14ac:dyDescent="0.3">
      <c r="A209" s="141" t="s">
        <v>1472</v>
      </c>
      <c r="B209" s="141">
        <v>526519</v>
      </c>
      <c r="C209" s="141" t="s">
        <v>1129</v>
      </c>
      <c r="D209" s="141" t="s">
        <v>1215</v>
      </c>
    </row>
    <row r="210" spans="1:4" x14ac:dyDescent="0.3">
      <c r="A210" s="141" t="s">
        <v>1473</v>
      </c>
      <c r="B210" s="141">
        <v>530715</v>
      </c>
      <c r="C210" s="141" t="s">
        <v>1474</v>
      </c>
      <c r="D210" s="141" t="s">
        <v>1144</v>
      </c>
    </row>
    <row r="211" spans="1:4" x14ac:dyDescent="0.3">
      <c r="A211" s="141" t="s">
        <v>1475</v>
      </c>
      <c r="B211" s="141">
        <v>538423</v>
      </c>
      <c r="C211" s="141" t="s">
        <v>1476</v>
      </c>
      <c r="D211" s="141" t="s">
        <v>1112</v>
      </c>
    </row>
    <row r="212" spans="1:4" x14ac:dyDescent="0.3">
      <c r="A212" s="141" t="s">
        <v>1477</v>
      </c>
      <c r="B212" s="141">
        <v>539277</v>
      </c>
      <c r="C212" s="141" t="s">
        <v>1129</v>
      </c>
      <c r="D212" s="141" t="s">
        <v>1163</v>
      </c>
    </row>
    <row r="213" spans="1:4" x14ac:dyDescent="0.3">
      <c r="A213" s="141" t="s">
        <v>1478</v>
      </c>
      <c r="B213" s="141">
        <v>539277</v>
      </c>
      <c r="C213" s="141" t="s">
        <v>1129</v>
      </c>
      <c r="D213" s="141" t="s">
        <v>1163</v>
      </c>
    </row>
    <row r="214" spans="1:4" x14ac:dyDescent="0.3">
      <c r="A214" s="141" t="s">
        <v>1479</v>
      </c>
      <c r="B214" s="141">
        <v>524634</v>
      </c>
      <c r="C214" s="141" t="s">
        <v>1129</v>
      </c>
      <c r="D214" s="141" t="s">
        <v>1177</v>
      </c>
    </row>
    <row r="215" spans="1:4" x14ac:dyDescent="0.3">
      <c r="A215" s="141" t="s">
        <v>1480</v>
      </c>
      <c r="B215" s="141">
        <v>506597</v>
      </c>
      <c r="C215" s="141" t="s">
        <v>1129</v>
      </c>
      <c r="D215" s="141" t="s">
        <v>1289</v>
      </c>
    </row>
    <row r="216" spans="1:4" x14ac:dyDescent="0.3">
      <c r="A216" s="141" t="s">
        <v>1481</v>
      </c>
      <c r="B216" s="141">
        <v>512008</v>
      </c>
      <c r="C216" s="141" t="s">
        <v>1129</v>
      </c>
      <c r="D216" s="141" t="s">
        <v>1151</v>
      </c>
    </row>
    <row r="217" spans="1:4" x14ac:dyDescent="0.3">
      <c r="A217" s="141" t="s">
        <v>1482</v>
      </c>
      <c r="B217" s="141">
        <v>500008</v>
      </c>
      <c r="C217" s="141" t="s">
        <v>1483</v>
      </c>
      <c r="D217" s="141" t="s">
        <v>1484</v>
      </c>
    </row>
    <row r="218" spans="1:4" x14ac:dyDescent="0.3">
      <c r="A218" s="141" t="s">
        <v>1485</v>
      </c>
      <c r="B218" s="141">
        <v>521097</v>
      </c>
      <c r="C218" s="141" t="s">
        <v>1129</v>
      </c>
      <c r="D218" s="141" t="s">
        <v>1144</v>
      </c>
    </row>
    <row r="219" spans="1:4" x14ac:dyDescent="0.3">
      <c r="A219" s="141" t="s">
        <v>1486</v>
      </c>
      <c r="B219" s="141">
        <v>538465</v>
      </c>
      <c r="C219" s="141" t="s">
        <v>1129</v>
      </c>
      <c r="D219" s="141" t="s">
        <v>1146</v>
      </c>
    </row>
    <row r="220" spans="1:4" x14ac:dyDescent="0.3">
      <c r="A220" s="141" t="s">
        <v>1487</v>
      </c>
      <c r="B220" s="141">
        <v>531112</v>
      </c>
      <c r="C220" s="141" t="s">
        <v>1129</v>
      </c>
      <c r="D220" s="141" t="s">
        <v>1137</v>
      </c>
    </row>
    <row r="221" spans="1:4" x14ac:dyDescent="0.3">
      <c r="A221" s="141" t="s">
        <v>1488</v>
      </c>
      <c r="B221" s="141">
        <v>539196</v>
      </c>
      <c r="C221" s="141" t="s">
        <v>1129</v>
      </c>
      <c r="D221" s="141" t="s">
        <v>1427</v>
      </c>
    </row>
    <row r="222" spans="1:4" x14ac:dyDescent="0.3">
      <c r="A222" s="141" t="s">
        <v>1489</v>
      </c>
      <c r="B222" s="141">
        <v>500009</v>
      </c>
      <c r="C222" s="141" t="s">
        <v>1129</v>
      </c>
      <c r="D222" s="141" t="s">
        <v>1167</v>
      </c>
    </row>
    <row r="223" spans="1:4" x14ac:dyDescent="0.3">
      <c r="A223" s="141" t="s">
        <v>1490</v>
      </c>
      <c r="B223" s="141" t="s">
        <v>1129</v>
      </c>
      <c r="C223" s="141" t="s">
        <v>1491</v>
      </c>
      <c r="D223" s="141" t="s">
        <v>1140</v>
      </c>
    </row>
    <row r="224" spans="1:4" x14ac:dyDescent="0.3">
      <c r="A224" s="141" t="s">
        <v>1492</v>
      </c>
      <c r="B224" s="141">
        <v>519471</v>
      </c>
      <c r="C224" s="141" t="s">
        <v>1129</v>
      </c>
      <c r="D224" s="141" t="s">
        <v>1378</v>
      </c>
    </row>
    <row r="225" spans="1:4" x14ac:dyDescent="0.3">
      <c r="A225" s="141" t="s">
        <v>1493</v>
      </c>
      <c r="B225" s="141">
        <v>542524</v>
      </c>
      <c r="C225" s="141" t="s">
        <v>1494</v>
      </c>
      <c r="D225" s="141" t="s">
        <v>1495</v>
      </c>
    </row>
    <row r="226" spans="1:4" x14ac:dyDescent="0.3">
      <c r="A226" s="141" t="s">
        <v>1496</v>
      </c>
      <c r="B226" s="141">
        <v>540902</v>
      </c>
      <c r="C226" s="141" t="s">
        <v>1497</v>
      </c>
      <c r="D226" s="141" t="s">
        <v>1498</v>
      </c>
    </row>
    <row r="227" spans="1:4" x14ac:dyDescent="0.3">
      <c r="A227" s="141" t="s">
        <v>1499</v>
      </c>
      <c r="B227" s="141">
        <v>540902</v>
      </c>
      <c r="C227" s="141" t="s">
        <v>1497</v>
      </c>
      <c r="D227" s="141" t="s">
        <v>1498</v>
      </c>
    </row>
    <row r="228" spans="1:4" x14ac:dyDescent="0.3">
      <c r="A228" s="141" t="s">
        <v>1500</v>
      </c>
      <c r="B228" s="141">
        <v>531978</v>
      </c>
      <c r="C228" s="141" t="s">
        <v>1501</v>
      </c>
      <c r="D228" s="141" t="s">
        <v>1144</v>
      </c>
    </row>
    <row r="229" spans="1:4" x14ac:dyDescent="0.3">
      <c r="A229" s="141" t="s">
        <v>1502</v>
      </c>
      <c r="B229" s="141">
        <v>539223</v>
      </c>
      <c r="C229" s="141" t="s">
        <v>1129</v>
      </c>
      <c r="D229" s="141" t="s">
        <v>1123</v>
      </c>
    </row>
    <row r="230" spans="1:4" x14ac:dyDescent="0.3">
      <c r="A230" s="141" t="s">
        <v>1503</v>
      </c>
      <c r="B230" s="141">
        <v>500425</v>
      </c>
      <c r="C230" s="141" t="s">
        <v>1504</v>
      </c>
      <c r="D230" s="141" t="s">
        <v>1142</v>
      </c>
    </row>
    <row r="231" spans="1:4" x14ac:dyDescent="0.3">
      <c r="A231" s="141" t="s">
        <v>1505</v>
      </c>
      <c r="B231" s="141">
        <v>530133</v>
      </c>
      <c r="C231" s="141" t="s">
        <v>1129</v>
      </c>
      <c r="D231" s="141" t="s">
        <v>1506</v>
      </c>
    </row>
    <row r="232" spans="1:4" x14ac:dyDescent="0.3">
      <c r="A232" s="141" t="s">
        <v>1507</v>
      </c>
      <c r="B232" s="141">
        <v>530133</v>
      </c>
      <c r="C232" s="141" t="s">
        <v>1129</v>
      </c>
      <c r="D232" s="141" t="s">
        <v>1506</v>
      </c>
    </row>
    <row r="233" spans="1:4" x14ac:dyDescent="0.3">
      <c r="A233" s="141" t="s">
        <v>1508</v>
      </c>
      <c r="B233" s="141">
        <v>532828</v>
      </c>
      <c r="C233" s="141" t="s">
        <v>1509</v>
      </c>
      <c r="D233" s="141" t="s">
        <v>1314</v>
      </c>
    </row>
    <row r="234" spans="1:4" x14ac:dyDescent="0.3">
      <c r="A234" s="141" t="s">
        <v>1510</v>
      </c>
      <c r="B234" s="141">
        <v>513117</v>
      </c>
      <c r="C234" s="141" t="s">
        <v>1129</v>
      </c>
      <c r="D234" s="141" t="s">
        <v>1484</v>
      </c>
    </row>
    <row r="235" spans="1:4" x14ac:dyDescent="0.3">
      <c r="A235" s="141" t="s">
        <v>1511</v>
      </c>
      <c r="B235" s="141">
        <v>541771</v>
      </c>
      <c r="C235" s="141" t="s">
        <v>1129</v>
      </c>
      <c r="D235" s="141" t="s">
        <v>1243</v>
      </c>
    </row>
    <row r="236" spans="1:4" x14ac:dyDescent="0.3">
      <c r="A236" s="141" t="s">
        <v>1512</v>
      </c>
      <c r="B236" s="141">
        <v>506248</v>
      </c>
      <c r="C236" s="141" t="s">
        <v>1129</v>
      </c>
      <c r="D236" s="141" t="s">
        <v>1177</v>
      </c>
    </row>
    <row r="237" spans="1:4" x14ac:dyDescent="0.3">
      <c r="A237" s="141" t="s">
        <v>1513</v>
      </c>
      <c r="B237" s="141">
        <v>531300</v>
      </c>
      <c r="C237" s="141" t="s">
        <v>1129</v>
      </c>
      <c r="D237" s="141" t="s">
        <v>1144</v>
      </c>
    </row>
    <row r="238" spans="1:4" x14ac:dyDescent="0.3">
      <c r="A238" s="141" t="s">
        <v>1514</v>
      </c>
      <c r="B238" s="141">
        <v>531557</v>
      </c>
      <c r="C238" s="141" t="s">
        <v>1129</v>
      </c>
      <c r="D238" s="141" t="s">
        <v>1146</v>
      </c>
    </row>
    <row r="239" spans="1:4" x14ac:dyDescent="0.3">
      <c r="A239" s="141" t="s">
        <v>1515</v>
      </c>
      <c r="B239" s="141">
        <v>500343</v>
      </c>
      <c r="C239" s="141" t="s">
        <v>1516</v>
      </c>
      <c r="D239" s="141" t="s">
        <v>1215</v>
      </c>
    </row>
    <row r="240" spans="1:4" x14ac:dyDescent="0.3">
      <c r="A240" s="141" t="s">
        <v>1517</v>
      </c>
      <c r="B240" s="141">
        <v>531681</v>
      </c>
      <c r="C240" s="141" t="s">
        <v>1129</v>
      </c>
      <c r="D240" s="141" t="s">
        <v>1249</v>
      </c>
    </row>
    <row r="241" spans="1:4" x14ac:dyDescent="0.3">
      <c r="A241" s="141" t="s">
        <v>1518</v>
      </c>
      <c r="B241" s="141">
        <v>536737</v>
      </c>
      <c r="C241" s="141" t="s">
        <v>1129</v>
      </c>
      <c r="D241" s="141" t="s">
        <v>1146</v>
      </c>
    </row>
    <row r="242" spans="1:4" x14ac:dyDescent="0.3">
      <c r="A242" s="141" t="s">
        <v>1519</v>
      </c>
      <c r="B242" s="141">
        <v>539265</v>
      </c>
      <c r="C242" s="141" t="s">
        <v>1129</v>
      </c>
      <c r="D242" s="141" t="s">
        <v>1146</v>
      </c>
    </row>
    <row r="243" spans="1:4" x14ac:dyDescent="0.3">
      <c r="A243" s="141" t="s">
        <v>1520</v>
      </c>
      <c r="B243" s="141">
        <v>526241</v>
      </c>
      <c r="C243" s="141" t="s">
        <v>1129</v>
      </c>
      <c r="D243" s="141" t="s">
        <v>1151</v>
      </c>
    </row>
    <row r="244" spans="1:4" x14ac:dyDescent="0.3">
      <c r="A244" s="141" t="s">
        <v>1521</v>
      </c>
      <c r="B244" s="141">
        <v>531991</v>
      </c>
      <c r="C244" s="141" t="s">
        <v>1129</v>
      </c>
      <c r="D244" s="141" t="s">
        <v>1144</v>
      </c>
    </row>
    <row r="245" spans="1:4" x14ac:dyDescent="0.3">
      <c r="A245" s="141" t="s">
        <v>1522</v>
      </c>
      <c r="B245" s="141">
        <v>507525</v>
      </c>
      <c r="C245" s="141" t="s">
        <v>1129</v>
      </c>
      <c r="D245" s="141" t="s">
        <v>1189</v>
      </c>
    </row>
    <row r="246" spans="1:4" x14ac:dyDescent="0.3">
      <c r="A246" s="141" t="s">
        <v>1523</v>
      </c>
      <c r="B246" s="141">
        <v>590006</v>
      </c>
      <c r="C246" s="141" t="s">
        <v>1524</v>
      </c>
      <c r="D246" s="141" t="s">
        <v>1167</v>
      </c>
    </row>
    <row r="247" spans="1:4" x14ac:dyDescent="0.3">
      <c r="A247" s="141" t="s">
        <v>1525</v>
      </c>
      <c r="B247" s="141">
        <v>538861</v>
      </c>
      <c r="C247" s="141" t="s">
        <v>1129</v>
      </c>
      <c r="D247" s="141" t="s">
        <v>1151</v>
      </c>
    </row>
    <row r="248" spans="1:4" x14ac:dyDescent="0.3">
      <c r="A248" s="141" t="s">
        <v>1526</v>
      </c>
      <c r="B248" s="141">
        <v>501630</v>
      </c>
      <c r="C248" s="141" t="s">
        <v>1129</v>
      </c>
      <c r="D248" s="141" t="s">
        <v>1527</v>
      </c>
    </row>
    <row r="249" spans="1:4" x14ac:dyDescent="0.3">
      <c r="A249" s="141" t="s">
        <v>1528</v>
      </c>
      <c r="B249" s="141">
        <v>515055</v>
      </c>
      <c r="C249" s="141" t="s">
        <v>1529</v>
      </c>
      <c r="D249" s="141" t="s">
        <v>1215</v>
      </c>
    </row>
    <row r="250" spans="1:4" x14ac:dyDescent="0.3">
      <c r="A250" s="141" t="s">
        <v>1530</v>
      </c>
      <c r="B250" s="141">
        <v>532418</v>
      </c>
      <c r="C250" s="141" t="s">
        <v>1531</v>
      </c>
      <c r="D250" s="141" t="s">
        <v>1447</v>
      </c>
    </row>
    <row r="251" spans="1:4" x14ac:dyDescent="0.3">
      <c r="A251" s="141" t="s">
        <v>1532</v>
      </c>
      <c r="B251" s="141">
        <v>532141</v>
      </c>
      <c r="C251" s="141" t="s">
        <v>1533</v>
      </c>
      <c r="D251" s="141" t="s">
        <v>1142</v>
      </c>
    </row>
    <row r="252" spans="1:4" x14ac:dyDescent="0.3">
      <c r="A252" s="141" t="s">
        <v>1534</v>
      </c>
      <c r="B252" s="141">
        <v>500012</v>
      </c>
      <c r="C252" s="141" t="s">
        <v>1129</v>
      </c>
      <c r="D252" s="141" t="s">
        <v>1177</v>
      </c>
    </row>
    <row r="253" spans="1:4" x14ac:dyDescent="0.3">
      <c r="A253" s="141" t="s">
        <v>1535</v>
      </c>
      <c r="B253" s="141">
        <v>526173</v>
      </c>
      <c r="C253" s="141" t="s">
        <v>1129</v>
      </c>
      <c r="D253" s="141" t="s">
        <v>1536</v>
      </c>
    </row>
    <row r="254" spans="1:4" x14ac:dyDescent="0.3">
      <c r="A254" s="141" t="s">
        <v>1537</v>
      </c>
      <c r="B254" s="141">
        <v>531252</v>
      </c>
      <c r="C254" s="141" t="s">
        <v>1129</v>
      </c>
      <c r="D254" s="141" t="s">
        <v>1146</v>
      </c>
    </row>
    <row r="255" spans="1:4" x14ac:dyDescent="0.3">
      <c r="A255" s="141" t="s">
        <v>1538</v>
      </c>
      <c r="B255" s="141">
        <v>530721</v>
      </c>
      <c r="C255" s="141" t="s">
        <v>1539</v>
      </c>
      <c r="D255" s="141" t="s">
        <v>1484</v>
      </c>
    </row>
    <row r="256" spans="1:4" x14ac:dyDescent="0.3">
      <c r="A256" s="141" t="s">
        <v>1540</v>
      </c>
      <c r="B256" s="141">
        <v>540694</v>
      </c>
      <c r="C256" s="141" t="s">
        <v>1129</v>
      </c>
      <c r="D256" s="141" t="s">
        <v>1318</v>
      </c>
    </row>
    <row r="257" spans="1:4" x14ac:dyDescent="0.3">
      <c r="A257" s="141" t="s">
        <v>1541</v>
      </c>
      <c r="B257" s="141">
        <v>540694</v>
      </c>
      <c r="C257" s="141" t="s">
        <v>1129</v>
      </c>
      <c r="D257" s="141" t="s">
        <v>1318</v>
      </c>
    </row>
    <row r="258" spans="1:4" x14ac:dyDescent="0.3">
      <c r="A258" s="141" t="s">
        <v>1542</v>
      </c>
      <c r="B258" s="141">
        <v>541006</v>
      </c>
      <c r="C258" s="141" t="s">
        <v>1129</v>
      </c>
      <c r="D258" s="141" t="s">
        <v>1144</v>
      </c>
    </row>
    <row r="259" spans="1:4" x14ac:dyDescent="0.3">
      <c r="A259" s="141" t="s">
        <v>1543</v>
      </c>
      <c r="B259" s="141" t="s">
        <v>1129</v>
      </c>
      <c r="C259" s="141" t="s">
        <v>1544</v>
      </c>
      <c r="D259" s="141" t="s">
        <v>1140</v>
      </c>
    </row>
    <row r="260" spans="1:4" x14ac:dyDescent="0.3">
      <c r="A260" s="141" t="s">
        <v>1545</v>
      </c>
      <c r="B260" s="141">
        <v>519383</v>
      </c>
      <c r="C260" s="141" t="s">
        <v>1546</v>
      </c>
      <c r="D260" s="141" t="s">
        <v>1327</v>
      </c>
    </row>
    <row r="261" spans="1:4" x14ac:dyDescent="0.3">
      <c r="A261" s="141" t="s">
        <v>1547</v>
      </c>
      <c r="B261" s="141">
        <v>537785</v>
      </c>
      <c r="C261" s="141" t="s">
        <v>1129</v>
      </c>
      <c r="D261" s="141" t="s">
        <v>1163</v>
      </c>
    </row>
    <row r="262" spans="1:4" x14ac:dyDescent="0.3">
      <c r="A262" s="141" t="s">
        <v>1548</v>
      </c>
      <c r="B262" s="141">
        <v>531878</v>
      </c>
      <c r="C262" s="141" t="s">
        <v>1129</v>
      </c>
      <c r="D262" s="141" t="s">
        <v>1146</v>
      </c>
    </row>
    <row r="263" spans="1:4" x14ac:dyDescent="0.3">
      <c r="A263" s="141" t="s">
        <v>1549</v>
      </c>
      <c r="B263" s="141">
        <v>511153</v>
      </c>
      <c r="C263" s="141" t="s">
        <v>1129</v>
      </c>
      <c r="D263" s="141" t="s">
        <v>1550</v>
      </c>
    </row>
    <row r="264" spans="1:4" x14ac:dyDescent="0.3">
      <c r="A264" s="141" t="s">
        <v>1551</v>
      </c>
      <c r="B264" s="141">
        <v>518091</v>
      </c>
      <c r="C264" s="141" t="s">
        <v>1552</v>
      </c>
      <c r="D264" s="141" t="s">
        <v>1142</v>
      </c>
    </row>
    <row r="265" spans="1:4" x14ac:dyDescent="0.3">
      <c r="A265" s="141" t="s">
        <v>1553</v>
      </c>
      <c r="B265" s="141">
        <v>531223</v>
      </c>
      <c r="C265" s="141" t="s">
        <v>1129</v>
      </c>
      <c r="D265" s="141" t="s">
        <v>1144</v>
      </c>
    </row>
    <row r="266" spans="1:4" x14ac:dyDescent="0.3">
      <c r="A266" s="141" t="s">
        <v>1554</v>
      </c>
      <c r="B266" s="141">
        <v>531673</v>
      </c>
      <c r="C266" s="141" t="s">
        <v>1129</v>
      </c>
      <c r="D266" s="141" t="s">
        <v>1555</v>
      </c>
    </row>
    <row r="267" spans="1:4" x14ac:dyDescent="0.3">
      <c r="A267" s="141" t="s">
        <v>1556</v>
      </c>
      <c r="B267" s="141">
        <v>531673</v>
      </c>
      <c r="C267" s="141" t="s">
        <v>1129</v>
      </c>
      <c r="D267" s="141" t="s">
        <v>1555</v>
      </c>
    </row>
    <row r="268" spans="1:4" x14ac:dyDescent="0.3">
      <c r="A268" s="141" t="s">
        <v>1557</v>
      </c>
      <c r="B268" s="141">
        <v>532870</v>
      </c>
      <c r="C268" s="141" t="s">
        <v>1558</v>
      </c>
      <c r="D268" s="141" t="s">
        <v>1161</v>
      </c>
    </row>
    <row r="269" spans="1:4" x14ac:dyDescent="0.3">
      <c r="A269" s="141" t="s">
        <v>1559</v>
      </c>
      <c r="B269" s="141">
        <v>531519</v>
      </c>
      <c r="C269" s="141" t="s">
        <v>1129</v>
      </c>
      <c r="D269" s="141" t="s">
        <v>1112</v>
      </c>
    </row>
    <row r="270" spans="1:4" x14ac:dyDescent="0.3">
      <c r="A270" s="141" t="s">
        <v>1560</v>
      </c>
      <c r="B270" s="141">
        <v>542437</v>
      </c>
      <c r="C270" s="141" t="s">
        <v>1561</v>
      </c>
      <c r="D270" s="141" t="s">
        <v>1163</v>
      </c>
    </row>
    <row r="271" spans="1:4" x14ac:dyDescent="0.3">
      <c r="A271" s="141" t="s">
        <v>1562</v>
      </c>
      <c r="B271" s="141">
        <v>530799</v>
      </c>
      <c r="C271" s="141" t="s">
        <v>1129</v>
      </c>
      <c r="D271" s="141" t="s">
        <v>1146</v>
      </c>
    </row>
    <row r="272" spans="1:4" x14ac:dyDescent="0.3">
      <c r="A272" s="141" t="s">
        <v>1563</v>
      </c>
      <c r="B272" s="141">
        <v>531406</v>
      </c>
      <c r="C272" s="141" t="s">
        <v>1129</v>
      </c>
      <c r="D272" s="141" t="s">
        <v>1564</v>
      </c>
    </row>
    <row r="273" spans="1:4" x14ac:dyDescent="0.3">
      <c r="A273" s="141" t="s">
        <v>1565</v>
      </c>
      <c r="B273" s="141">
        <v>523007</v>
      </c>
      <c r="C273" s="141" t="s">
        <v>1129</v>
      </c>
      <c r="D273" s="141" t="s">
        <v>1215</v>
      </c>
    </row>
    <row r="274" spans="1:4" x14ac:dyDescent="0.3">
      <c r="A274" s="141" t="s">
        <v>1566</v>
      </c>
      <c r="B274" s="141">
        <v>507828</v>
      </c>
      <c r="C274" s="141" t="s">
        <v>1567</v>
      </c>
      <c r="D274" s="141" t="s">
        <v>1215</v>
      </c>
    </row>
    <row r="275" spans="1:4" x14ac:dyDescent="0.3">
      <c r="A275" s="141" t="s">
        <v>1568</v>
      </c>
      <c r="B275" s="141">
        <v>500013</v>
      </c>
      <c r="C275" s="141" t="s">
        <v>1569</v>
      </c>
      <c r="D275" s="141" t="s">
        <v>1215</v>
      </c>
    </row>
    <row r="276" spans="1:4" x14ac:dyDescent="0.3">
      <c r="A276" s="141" t="s">
        <v>1570</v>
      </c>
      <c r="B276" s="141">
        <v>512091</v>
      </c>
      <c r="C276" s="141" t="s">
        <v>1129</v>
      </c>
      <c r="D276" s="141" t="s">
        <v>1243</v>
      </c>
    </row>
    <row r="277" spans="1:4" x14ac:dyDescent="0.3">
      <c r="A277" s="141" t="s">
        <v>1571</v>
      </c>
      <c r="B277" s="141" t="s">
        <v>1129</v>
      </c>
      <c r="C277" s="141" t="s">
        <v>1572</v>
      </c>
      <c r="D277" s="141" t="s">
        <v>1220</v>
      </c>
    </row>
    <row r="278" spans="1:4" x14ac:dyDescent="0.3">
      <c r="A278" s="141" t="s">
        <v>1573</v>
      </c>
      <c r="B278" s="141">
        <v>501270</v>
      </c>
      <c r="C278" s="141" t="s">
        <v>1129</v>
      </c>
      <c r="D278" s="141" t="s">
        <v>1215</v>
      </c>
    </row>
    <row r="279" spans="1:4" x14ac:dyDescent="0.3">
      <c r="A279" s="141" t="s">
        <v>1574</v>
      </c>
      <c r="B279" s="141">
        <v>539697</v>
      </c>
      <c r="C279" s="141" t="s">
        <v>1129</v>
      </c>
      <c r="D279" s="141" t="s">
        <v>1575</v>
      </c>
    </row>
    <row r="280" spans="1:4" x14ac:dyDescent="0.3">
      <c r="A280" s="141" t="s">
        <v>1576</v>
      </c>
      <c r="B280" s="141">
        <v>538833</v>
      </c>
      <c r="C280" s="141" t="s">
        <v>1129</v>
      </c>
      <c r="D280" s="141" t="s">
        <v>1527</v>
      </c>
    </row>
    <row r="281" spans="1:4" x14ac:dyDescent="0.3">
      <c r="A281" s="141" t="s">
        <v>1577</v>
      </c>
      <c r="B281" s="141">
        <v>506260</v>
      </c>
      <c r="C281" s="141" t="s">
        <v>1129</v>
      </c>
      <c r="D281" s="141" t="s">
        <v>1167</v>
      </c>
    </row>
    <row r="282" spans="1:4" x14ac:dyDescent="0.3">
      <c r="A282" s="141" t="s">
        <v>1578</v>
      </c>
      <c r="B282" s="141">
        <v>506087</v>
      </c>
      <c r="C282" s="141" t="s">
        <v>1129</v>
      </c>
      <c r="D282" s="141" t="s">
        <v>1452</v>
      </c>
    </row>
    <row r="283" spans="1:4" x14ac:dyDescent="0.3">
      <c r="A283" s="141" t="s">
        <v>1579</v>
      </c>
      <c r="B283" s="141">
        <v>530109</v>
      </c>
      <c r="C283" s="141" t="s">
        <v>1129</v>
      </c>
      <c r="D283" s="141" t="s">
        <v>1146</v>
      </c>
    </row>
    <row r="284" spans="1:4" x14ac:dyDescent="0.3">
      <c r="A284" s="141" t="s">
        <v>1580</v>
      </c>
      <c r="B284" s="141">
        <v>532259</v>
      </c>
      <c r="C284" s="141" t="s">
        <v>1581</v>
      </c>
      <c r="D284" s="141" t="s">
        <v>1427</v>
      </c>
    </row>
    <row r="285" spans="1:4" x14ac:dyDescent="0.3">
      <c r="A285" s="141" t="s">
        <v>1582</v>
      </c>
      <c r="B285" s="141">
        <v>523694</v>
      </c>
      <c r="C285" s="141" t="s">
        <v>1583</v>
      </c>
      <c r="D285" s="141" t="s">
        <v>1314</v>
      </c>
    </row>
    <row r="286" spans="1:4" x14ac:dyDescent="0.3">
      <c r="A286" s="141" t="s">
        <v>1584</v>
      </c>
      <c r="B286" s="141">
        <v>540692</v>
      </c>
      <c r="C286" s="141" t="s">
        <v>1585</v>
      </c>
      <c r="D286" s="141" t="s">
        <v>1189</v>
      </c>
    </row>
    <row r="287" spans="1:4" x14ac:dyDescent="0.3">
      <c r="A287" s="141" t="s">
        <v>1586</v>
      </c>
      <c r="B287" s="141">
        <v>541133</v>
      </c>
      <c r="C287" s="141" t="s">
        <v>1129</v>
      </c>
      <c r="D287" s="141" t="s">
        <v>1146</v>
      </c>
    </row>
    <row r="288" spans="1:4" x14ac:dyDescent="0.3">
      <c r="A288" s="141" t="s">
        <v>1587</v>
      </c>
      <c r="B288" s="141">
        <v>506166</v>
      </c>
      <c r="C288" s="141" t="s">
        <v>1129</v>
      </c>
      <c r="D288" s="141" t="s">
        <v>1209</v>
      </c>
    </row>
    <row r="289" spans="1:4" x14ac:dyDescent="0.3">
      <c r="A289" s="141" t="s">
        <v>1588</v>
      </c>
      <c r="B289" s="141">
        <v>506166</v>
      </c>
      <c r="C289" s="141" t="s">
        <v>1129</v>
      </c>
      <c r="D289" s="141" t="s">
        <v>1209</v>
      </c>
    </row>
    <row r="290" spans="1:4" x14ac:dyDescent="0.3">
      <c r="A290" s="141" t="s">
        <v>1589</v>
      </c>
      <c r="B290" s="141">
        <v>533758</v>
      </c>
      <c r="C290" s="141" t="s">
        <v>1590</v>
      </c>
      <c r="D290" s="141" t="s">
        <v>1452</v>
      </c>
    </row>
    <row r="291" spans="1:4" x14ac:dyDescent="0.3">
      <c r="A291" s="141" t="s">
        <v>1591</v>
      </c>
      <c r="B291" s="141">
        <v>517096</v>
      </c>
      <c r="C291" s="141" t="s">
        <v>1129</v>
      </c>
      <c r="D291" s="141" t="s">
        <v>1427</v>
      </c>
    </row>
    <row r="292" spans="1:4" x14ac:dyDescent="0.3">
      <c r="A292" s="141" t="s">
        <v>1592</v>
      </c>
      <c r="B292" s="141">
        <v>511064</v>
      </c>
      <c r="C292" s="141" t="s">
        <v>1593</v>
      </c>
      <c r="D292" s="141" t="s">
        <v>1495</v>
      </c>
    </row>
    <row r="293" spans="1:4" x14ac:dyDescent="0.3">
      <c r="A293" s="141" t="s">
        <v>1594</v>
      </c>
      <c r="B293" s="141">
        <v>523537</v>
      </c>
      <c r="C293" s="141" t="s">
        <v>1129</v>
      </c>
      <c r="D293" s="141" t="s">
        <v>1144</v>
      </c>
    </row>
    <row r="294" spans="1:4" x14ac:dyDescent="0.3">
      <c r="A294" s="141" t="s">
        <v>1595</v>
      </c>
      <c r="B294" s="141">
        <v>512437</v>
      </c>
      <c r="C294" s="141" t="s">
        <v>1129</v>
      </c>
      <c r="D294" s="141" t="s">
        <v>1112</v>
      </c>
    </row>
    <row r="295" spans="1:4" x14ac:dyDescent="0.3">
      <c r="A295" s="141" t="s">
        <v>1596</v>
      </c>
      <c r="B295" s="141">
        <v>512437</v>
      </c>
      <c r="C295" s="141" t="s">
        <v>1129</v>
      </c>
      <c r="D295" s="141" t="s">
        <v>1112</v>
      </c>
    </row>
    <row r="296" spans="1:4" x14ac:dyDescent="0.3">
      <c r="A296" s="141" t="s">
        <v>1597</v>
      </c>
      <c r="B296" s="141">
        <v>508869</v>
      </c>
      <c r="C296" s="141" t="s">
        <v>1598</v>
      </c>
      <c r="D296" s="141" t="s">
        <v>1599</v>
      </c>
    </row>
    <row r="297" spans="1:4" x14ac:dyDescent="0.3">
      <c r="A297" s="141" t="s">
        <v>1600</v>
      </c>
      <c r="B297" s="141">
        <v>540879</v>
      </c>
      <c r="C297" s="141" t="s">
        <v>1601</v>
      </c>
      <c r="D297" s="141" t="s">
        <v>1602</v>
      </c>
    </row>
    <row r="298" spans="1:4" x14ac:dyDescent="0.3">
      <c r="A298" s="141" t="s">
        <v>1603</v>
      </c>
      <c r="B298" s="141">
        <v>531761</v>
      </c>
      <c r="C298" s="141" t="s">
        <v>1129</v>
      </c>
      <c r="D298" s="141" t="s">
        <v>1249</v>
      </c>
    </row>
    <row r="299" spans="1:4" x14ac:dyDescent="0.3">
      <c r="A299" s="141" t="s">
        <v>1604</v>
      </c>
      <c r="B299" s="141" t="s">
        <v>1129</v>
      </c>
      <c r="C299" s="141" t="s">
        <v>1605</v>
      </c>
      <c r="D299" s="141" t="s">
        <v>1220</v>
      </c>
    </row>
    <row r="300" spans="1:4" x14ac:dyDescent="0.3">
      <c r="A300" s="141" t="s">
        <v>1606</v>
      </c>
      <c r="B300" s="141">
        <v>538566</v>
      </c>
      <c r="C300" s="141" t="s">
        <v>1129</v>
      </c>
      <c r="D300" s="141" t="s">
        <v>1151</v>
      </c>
    </row>
    <row r="301" spans="1:4" x14ac:dyDescent="0.3">
      <c r="A301" s="141" t="s">
        <v>1607</v>
      </c>
      <c r="B301" s="141">
        <v>500877</v>
      </c>
      <c r="C301" s="141" t="s">
        <v>1608</v>
      </c>
      <c r="D301" s="141" t="s">
        <v>1609</v>
      </c>
    </row>
    <row r="302" spans="1:4" x14ac:dyDescent="0.3">
      <c r="A302" s="141" t="s">
        <v>1610</v>
      </c>
      <c r="B302" s="141">
        <v>539545</v>
      </c>
      <c r="C302" s="141" t="s">
        <v>1129</v>
      </c>
      <c r="D302" s="141" t="s">
        <v>1149</v>
      </c>
    </row>
    <row r="303" spans="1:4" x14ac:dyDescent="0.3">
      <c r="A303" s="141" t="s">
        <v>1611</v>
      </c>
      <c r="B303" s="141">
        <v>500014</v>
      </c>
      <c r="C303" s="141" t="s">
        <v>1129</v>
      </c>
      <c r="D303" s="141" t="s">
        <v>1146</v>
      </c>
    </row>
    <row r="304" spans="1:4" x14ac:dyDescent="0.3">
      <c r="A304" s="141" t="s">
        <v>1612</v>
      </c>
      <c r="B304" s="141">
        <v>532475</v>
      </c>
      <c r="C304" s="141" t="s">
        <v>1613</v>
      </c>
      <c r="D304" s="141" t="s">
        <v>1614</v>
      </c>
    </row>
    <row r="305" spans="1:4" x14ac:dyDescent="0.3">
      <c r="A305" s="141" t="s">
        <v>1615</v>
      </c>
      <c r="B305" s="141">
        <v>539469</v>
      </c>
      <c r="C305" s="141" t="s">
        <v>1129</v>
      </c>
      <c r="D305" s="141" t="s">
        <v>1151</v>
      </c>
    </row>
    <row r="306" spans="1:4" x14ac:dyDescent="0.3">
      <c r="A306" s="141" t="s">
        <v>1616</v>
      </c>
      <c r="B306" s="141">
        <v>531364</v>
      </c>
      <c r="C306" s="141" t="s">
        <v>1129</v>
      </c>
      <c r="D306" s="141" t="s">
        <v>1527</v>
      </c>
    </row>
    <row r="307" spans="1:4" x14ac:dyDescent="0.3">
      <c r="A307" s="141" t="s">
        <v>1617</v>
      </c>
      <c r="B307" s="141">
        <v>539403</v>
      </c>
      <c r="C307" s="141" t="s">
        <v>1129</v>
      </c>
      <c r="D307" s="141" t="s">
        <v>1618</v>
      </c>
    </row>
    <row r="308" spans="1:4" x14ac:dyDescent="0.3">
      <c r="A308" s="141" t="s">
        <v>1619</v>
      </c>
      <c r="B308" s="141">
        <v>540135</v>
      </c>
      <c r="C308" s="141" t="s">
        <v>1129</v>
      </c>
      <c r="D308" s="141" t="s">
        <v>1112</v>
      </c>
    </row>
    <row r="309" spans="1:4" x14ac:dyDescent="0.3">
      <c r="A309" s="141" t="s">
        <v>1620</v>
      </c>
      <c r="B309" s="141">
        <v>520121</v>
      </c>
      <c r="C309" s="141" t="s">
        <v>1129</v>
      </c>
      <c r="D309" s="141" t="s">
        <v>1249</v>
      </c>
    </row>
    <row r="310" spans="1:4" x14ac:dyDescent="0.3">
      <c r="A310" s="141" t="s">
        <v>1621</v>
      </c>
      <c r="B310" s="141">
        <v>530565</v>
      </c>
      <c r="C310" s="141" t="s">
        <v>1129</v>
      </c>
      <c r="D310" s="141" t="s">
        <v>1222</v>
      </c>
    </row>
    <row r="311" spans="1:4" x14ac:dyDescent="0.3">
      <c r="A311" s="141" t="s">
        <v>1622</v>
      </c>
      <c r="B311" s="141">
        <v>532994</v>
      </c>
      <c r="C311" s="141" t="s">
        <v>1623</v>
      </c>
      <c r="D311" s="141" t="s">
        <v>1624</v>
      </c>
    </row>
    <row r="312" spans="1:4" x14ac:dyDescent="0.3">
      <c r="A312" s="141" t="s">
        <v>1625</v>
      </c>
      <c r="B312" s="141">
        <v>532212</v>
      </c>
      <c r="C312" s="141" t="s">
        <v>1626</v>
      </c>
      <c r="D312" s="141" t="s">
        <v>1627</v>
      </c>
    </row>
    <row r="313" spans="1:4" x14ac:dyDescent="0.3">
      <c r="A313" s="141" t="s">
        <v>1628</v>
      </c>
      <c r="B313" s="141">
        <v>524640</v>
      </c>
      <c r="C313" s="141" t="s">
        <v>1129</v>
      </c>
      <c r="D313" s="141" t="s">
        <v>1177</v>
      </c>
    </row>
    <row r="314" spans="1:4" x14ac:dyDescent="0.3">
      <c r="A314" s="141" t="s">
        <v>1629</v>
      </c>
      <c r="B314" s="141">
        <v>532914</v>
      </c>
      <c r="C314" s="141" t="s">
        <v>1630</v>
      </c>
      <c r="D314" s="141" t="s">
        <v>1203</v>
      </c>
    </row>
    <row r="315" spans="1:4" x14ac:dyDescent="0.3">
      <c r="A315" s="141" t="s">
        <v>1631</v>
      </c>
      <c r="B315" s="141">
        <v>504370</v>
      </c>
      <c r="C315" s="141" t="s">
        <v>1129</v>
      </c>
      <c r="D315" s="141" t="s">
        <v>1550</v>
      </c>
    </row>
    <row r="316" spans="1:4" x14ac:dyDescent="0.3">
      <c r="A316" s="141" t="s">
        <v>1632</v>
      </c>
      <c r="B316" s="141">
        <v>526851</v>
      </c>
      <c r="C316" s="141" t="s">
        <v>1129</v>
      </c>
      <c r="D316" s="141" t="s">
        <v>1144</v>
      </c>
    </row>
    <row r="317" spans="1:4" x14ac:dyDescent="0.3">
      <c r="A317" s="141" t="s">
        <v>1633</v>
      </c>
      <c r="B317" s="141">
        <v>539151</v>
      </c>
      <c r="C317" s="141" t="s">
        <v>1129</v>
      </c>
      <c r="D317" s="141" t="s">
        <v>1434</v>
      </c>
    </row>
    <row r="318" spans="1:4" x14ac:dyDescent="0.3">
      <c r="A318" s="141" t="s">
        <v>1634</v>
      </c>
      <c r="B318" s="141">
        <v>539151</v>
      </c>
      <c r="C318" s="141" t="s">
        <v>1129</v>
      </c>
      <c r="D318" s="141" t="s">
        <v>1434</v>
      </c>
    </row>
    <row r="319" spans="1:4" x14ac:dyDescent="0.3">
      <c r="A319" s="141" t="s">
        <v>1635</v>
      </c>
      <c r="B319" s="141">
        <v>532935</v>
      </c>
      <c r="C319" s="141" t="s">
        <v>1636</v>
      </c>
      <c r="D319" s="141" t="s">
        <v>1637</v>
      </c>
    </row>
    <row r="320" spans="1:4" x14ac:dyDescent="0.3">
      <c r="A320" s="141" t="s">
        <v>1638</v>
      </c>
      <c r="B320" s="141">
        <v>511605</v>
      </c>
      <c r="C320" s="141" t="s">
        <v>1129</v>
      </c>
      <c r="D320" s="141" t="s">
        <v>1112</v>
      </c>
    </row>
    <row r="321" spans="1:4" x14ac:dyDescent="0.3">
      <c r="A321" s="141" t="s">
        <v>1639</v>
      </c>
      <c r="B321" s="141">
        <v>531381</v>
      </c>
      <c r="C321" s="141" t="s">
        <v>1640</v>
      </c>
      <c r="D321" s="141" t="s">
        <v>1215</v>
      </c>
    </row>
    <row r="322" spans="1:4" x14ac:dyDescent="0.3">
      <c r="A322" s="141" t="s">
        <v>1641</v>
      </c>
      <c r="B322" s="141">
        <v>541401</v>
      </c>
      <c r="C322" s="141" t="s">
        <v>1129</v>
      </c>
      <c r="D322" s="141" t="s">
        <v>1234</v>
      </c>
    </row>
    <row r="323" spans="1:4" x14ac:dyDescent="0.3">
      <c r="A323" s="141" t="s">
        <v>1642</v>
      </c>
      <c r="B323" s="141">
        <v>506194</v>
      </c>
      <c r="C323" s="141" t="s">
        <v>1643</v>
      </c>
      <c r="D323" s="141" t="s">
        <v>1215</v>
      </c>
    </row>
    <row r="324" spans="1:4" x14ac:dyDescent="0.3">
      <c r="A324" s="141" t="s">
        <v>1644</v>
      </c>
      <c r="B324" s="141">
        <v>526125</v>
      </c>
      <c r="C324" s="141" t="s">
        <v>1129</v>
      </c>
      <c r="D324" s="141" t="s">
        <v>1151</v>
      </c>
    </row>
    <row r="325" spans="1:4" x14ac:dyDescent="0.3">
      <c r="A325" s="141" t="s">
        <v>1645</v>
      </c>
      <c r="B325" s="141">
        <v>531017</v>
      </c>
      <c r="C325" s="141" t="s">
        <v>1129</v>
      </c>
      <c r="D325" s="141" t="s">
        <v>1550</v>
      </c>
    </row>
    <row r="326" spans="1:4" x14ac:dyDescent="0.3">
      <c r="A326" s="141" t="s">
        <v>1646</v>
      </c>
      <c r="B326" s="141">
        <v>531677</v>
      </c>
      <c r="C326" s="141" t="s">
        <v>1129</v>
      </c>
      <c r="D326" s="141" t="s">
        <v>1115</v>
      </c>
    </row>
    <row r="327" spans="1:4" x14ac:dyDescent="0.3">
      <c r="A327" s="141" t="s">
        <v>1647</v>
      </c>
      <c r="B327" s="141">
        <v>531179</v>
      </c>
      <c r="C327" s="141" t="s">
        <v>1648</v>
      </c>
      <c r="D327" s="141" t="s">
        <v>1146</v>
      </c>
    </row>
    <row r="328" spans="1:4" x14ac:dyDescent="0.3">
      <c r="A328" s="141" t="s">
        <v>1649</v>
      </c>
      <c r="B328" s="141">
        <v>538556</v>
      </c>
      <c r="C328" s="141" t="s">
        <v>1650</v>
      </c>
      <c r="D328" s="141" t="s">
        <v>1149</v>
      </c>
    </row>
    <row r="329" spans="1:4" x14ac:dyDescent="0.3">
      <c r="A329" s="141" t="s">
        <v>1651</v>
      </c>
      <c r="B329" s="141">
        <v>532397</v>
      </c>
      <c r="C329" s="141" t="s">
        <v>1129</v>
      </c>
      <c r="D329" s="141" t="s">
        <v>1123</v>
      </c>
    </row>
    <row r="330" spans="1:4" x14ac:dyDescent="0.3">
      <c r="A330" s="141" t="s">
        <v>1652</v>
      </c>
      <c r="B330" s="141">
        <v>531467</v>
      </c>
      <c r="C330" s="141" t="s">
        <v>1129</v>
      </c>
      <c r="D330" s="141" t="s">
        <v>1653</v>
      </c>
    </row>
    <row r="331" spans="1:4" x14ac:dyDescent="0.3">
      <c r="A331" s="141" t="s">
        <v>1654</v>
      </c>
      <c r="B331" s="141">
        <v>537069</v>
      </c>
      <c r="C331" s="141" t="s">
        <v>1129</v>
      </c>
      <c r="D331" s="141" t="s">
        <v>1146</v>
      </c>
    </row>
    <row r="332" spans="1:4" x14ac:dyDescent="0.3">
      <c r="A332" s="141" t="s">
        <v>1655</v>
      </c>
      <c r="B332" s="141">
        <v>513729</v>
      </c>
      <c r="C332" s="141" t="s">
        <v>1656</v>
      </c>
      <c r="D332" s="141" t="s">
        <v>1657</v>
      </c>
    </row>
    <row r="333" spans="1:4" x14ac:dyDescent="0.3">
      <c r="A333" s="141" t="s">
        <v>1658</v>
      </c>
      <c r="B333" s="141">
        <v>531560</v>
      </c>
      <c r="C333" s="141" t="s">
        <v>1129</v>
      </c>
      <c r="D333" s="141" t="s">
        <v>1550</v>
      </c>
    </row>
    <row r="334" spans="1:4" x14ac:dyDescent="0.3">
      <c r="A334" s="141" t="s">
        <v>1659</v>
      </c>
      <c r="B334" s="141">
        <v>531560</v>
      </c>
      <c r="C334" s="141" t="s">
        <v>1129</v>
      </c>
      <c r="D334" s="141" t="s">
        <v>1550</v>
      </c>
    </row>
    <row r="335" spans="1:4" x14ac:dyDescent="0.3">
      <c r="A335" s="141" t="s">
        <v>1660</v>
      </c>
      <c r="B335" s="141">
        <v>516064</v>
      </c>
      <c r="C335" s="141" t="s">
        <v>1661</v>
      </c>
      <c r="D335" s="141" t="s">
        <v>1249</v>
      </c>
    </row>
    <row r="336" spans="1:4" x14ac:dyDescent="0.3">
      <c r="A336" s="141" t="s">
        <v>1662</v>
      </c>
      <c r="B336" s="141">
        <v>533068</v>
      </c>
      <c r="C336" s="141" t="s">
        <v>1663</v>
      </c>
      <c r="D336" s="141" t="s">
        <v>1243</v>
      </c>
    </row>
    <row r="337" spans="1:4" x14ac:dyDescent="0.3">
      <c r="A337" s="141" t="s">
        <v>1664</v>
      </c>
      <c r="B337" s="141">
        <v>506074</v>
      </c>
      <c r="C337" s="141" t="s">
        <v>1665</v>
      </c>
      <c r="D337" s="141" t="s">
        <v>1450</v>
      </c>
    </row>
    <row r="338" spans="1:4" x14ac:dyDescent="0.3">
      <c r="A338" s="141" t="s">
        <v>1666</v>
      </c>
      <c r="B338" s="141">
        <v>533163</v>
      </c>
      <c r="C338" s="141" t="s">
        <v>1667</v>
      </c>
      <c r="D338" s="141" t="s">
        <v>1527</v>
      </c>
    </row>
    <row r="339" spans="1:4" x14ac:dyDescent="0.3">
      <c r="A339" s="141" t="s">
        <v>1668</v>
      </c>
      <c r="B339" s="141" t="s">
        <v>1129</v>
      </c>
      <c r="C339" s="141" t="s">
        <v>1669</v>
      </c>
      <c r="D339" s="141" t="s">
        <v>1140</v>
      </c>
    </row>
    <row r="340" spans="1:4" x14ac:dyDescent="0.3">
      <c r="A340" s="141" t="s">
        <v>1670</v>
      </c>
      <c r="B340" s="141">
        <v>517481</v>
      </c>
      <c r="C340" s="141" t="s">
        <v>1129</v>
      </c>
      <c r="D340" s="141" t="s">
        <v>1671</v>
      </c>
    </row>
    <row r="341" spans="1:4" x14ac:dyDescent="0.3">
      <c r="A341" s="141" t="s">
        <v>1672</v>
      </c>
      <c r="B341" s="141">
        <v>531297</v>
      </c>
      <c r="C341" s="141" t="s">
        <v>1129</v>
      </c>
      <c r="D341" s="141" t="s">
        <v>1213</v>
      </c>
    </row>
    <row r="342" spans="1:4" x14ac:dyDescent="0.3">
      <c r="A342" s="141" t="s">
        <v>1673</v>
      </c>
      <c r="B342" s="141">
        <v>542670</v>
      </c>
      <c r="C342" s="141" t="s">
        <v>1674</v>
      </c>
      <c r="D342" s="141" t="s">
        <v>1675</v>
      </c>
    </row>
    <row r="343" spans="1:4" x14ac:dyDescent="0.3">
      <c r="A343" s="141" t="s">
        <v>1676</v>
      </c>
      <c r="B343" s="141">
        <v>540616</v>
      </c>
      <c r="C343" s="141" t="s">
        <v>1677</v>
      </c>
      <c r="D343" s="141" t="s">
        <v>1599</v>
      </c>
    </row>
    <row r="344" spans="1:4" x14ac:dyDescent="0.3">
      <c r="A344" s="141" t="s">
        <v>1678</v>
      </c>
      <c r="B344" s="141">
        <v>522134</v>
      </c>
      <c r="C344" s="141" t="s">
        <v>1129</v>
      </c>
      <c r="D344" s="141" t="s">
        <v>1137</v>
      </c>
    </row>
    <row r="345" spans="1:4" x14ac:dyDescent="0.3">
      <c r="A345" s="141" t="s">
        <v>1679</v>
      </c>
      <c r="B345" s="141">
        <v>500016</v>
      </c>
      <c r="C345" s="141" t="s">
        <v>1129</v>
      </c>
      <c r="D345" s="141" t="s">
        <v>1330</v>
      </c>
    </row>
    <row r="346" spans="1:4" x14ac:dyDescent="0.3">
      <c r="A346" s="141" t="s">
        <v>1680</v>
      </c>
      <c r="B346" s="141" t="s">
        <v>1129</v>
      </c>
      <c r="C346" s="141" t="s">
        <v>1681</v>
      </c>
      <c r="D346" s="141" t="s">
        <v>1140</v>
      </c>
    </row>
    <row r="347" spans="1:4" x14ac:dyDescent="0.3">
      <c r="A347" s="141" t="s">
        <v>1682</v>
      </c>
      <c r="B347" s="141" t="s">
        <v>1129</v>
      </c>
      <c r="C347" s="141" t="s">
        <v>1681</v>
      </c>
      <c r="D347" s="141" t="s">
        <v>1140</v>
      </c>
    </row>
    <row r="348" spans="1:4" x14ac:dyDescent="0.3">
      <c r="A348" s="141" t="s">
        <v>1683</v>
      </c>
      <c r="B348" s="141">
        <v>542484</v>
      </c>
      <c r="C348" s="141" t="s">
        <v>1684</v>
      </c>
      <c r="D348" s="141" t="s">
        <v>1685</v>
      </c>
    </row>
    <row r="349" spans="1:4" x14ac:dyDescent="0.3">
      <c r="A349" s="141" t="s">
        <v>1686</v>
      </c>
      <c r="B349" s="141">
        <v>500101</v>
      </c>
      <c r="C349" s="141" t="s">
        <v>1687</v>
      </c>
      <c r="D349" s="141" t="s">
        <v>1144</v>
      </c>
    </row>
    <row r="350" spans="1:4" x14ac:dyDescent="0.3">
      <c r="A350" s="141" t="s">
        <v>1688</v>
      </c>
      <c r="B350" s="141">
        <v>539301</v>
      </c>
      <c r="C350" s="141" t="s">
        <v>1689</v>
      </c>
      <c r="D350" s="141" t="s">
        <v>1215</v>
      </c>
    </row>
    <row r="351" spans="1:4" x14ac:dyDescent="0.3">
      <c r="A351" s="141" t="s">
        <v>1690</v>
      </c>
      <c r="B351" s="141">
        <v>538716</v>
      </c>
      <c r="C351" s="141" t="s">
        <v>1129</v>
      </c>
      <c r="D351" s="141" t="s">
        <v>1112</v>
      </c>
    </row>
    <row r="352" spans="1:4" x14ac:dyDescent="0.3">
      <c r="A352" s="141" t="s">
        <v>1691</v>
      </c>
      <c r="B352" s="141">
        <v>530245</v>
      </c>
      <c r="C352" s="141" t="s">
        <v>1129</v>
      </c>
      <c r="D352" s="141" t="s">
        <v>1146</v>
      </c>
    </row>
    <row r="353" spans="1:4" x14ac:dyDescent="0.3">
      <c r="A353" s="141" t="s">
        <v>1692</v>
      </c>
      <c r="B353" s="141">
        <v>542176</v>
      </c>
      <c r="C353" s="141" t="s">
        <v>1693</v>
      </c>
      <c r="D353" s="141" t="s">
        <v>1112</v>
      </c>
    </row>
    <row r="354" spans="1:4" x14ac:dyDescent="0.3">
      <c r="A354" s="141" t="s">
        <v>1694</v>
      </c>
      <c r="B354" s="141">
        <v>515030</v>
      </c>
      <c r="C354" s="141" t="s">
        <v>1695</v>
      </c>
      <c r="D354" s="141" t="s">
        <v>1484</v>
      </c>
    </row>
    <row r="355" spans="1:4" x14ac:dyDescent="0.3">
      <c r="A355" s="141" t="s">
        <v>1696</v>
      </c>
      <c r="B355" s="141">
        <v>514482</v>
      </c>
      <c r="C355" s="141" t="s">
        <v>1129</v>
      </c>
      <c r="D355" s="141" t="s">
        <v>1144</v>
      </c>
    </row>
    <row r="356" spans="1:4" x14ac:dyDescent="0.3">
      <c r="A356" s="141" t="s">
        <v>1697</v>
      </c>
      <c r="B356" s="141">
        <v>532853</v>
      </c>
      <c r="C356" s="141" t="s">
        <v>1698</v>
      </c>
      <c r="D356" s="141" t="s">
        <v>1289</v>
      </c>
    </row>
    <row r="357" spans="1:4" x14ac:dyDescent="0.3">
      <c r="A357" s="141" t="s">
        <v>1699</v>
      </c>
      <c r="B357" s="141">
        <v>535467</v>
      </c>
      <c r="C357" s="141" t="s">
        <v>1700</v>
      </c>
      <c r="D357" s="141" t="s">
        <v>1243</v>
      </c>
    </row>
    <row r="358" spans="1:4" x14ac:dyDescent="0.3">
      <c r="A358" s="141" t="s">
        <v>1701</v>
      </c>
      <c r="B358" s="141">
        <v>527001</v>
      </c>
      <c r="C358" s="141" t="s">
        <v>1702</v>
      </c>
      <c r="D358" s="141" t="s">
        <v>1109</v>
      </c>
    </row>
    <row r="359" spans="1:4" x14ac:dyDescent="0.3">
      <c r="A359" s="141" t="s">
        <v>1703</v>
      </c>
      <c r="B359" s="141">
        <v>542579</v>
      </c>
      <c r="C359" s="141" t="s">
        <v>1704</v>
      </c>
      <c r="D359" s="141" t="s">
        <v>1685</v>
      </c>
    </row>
    <row r="360" spans="1:4" x14ac:dyDescent="0.3">
      <c r="A360" s="141" t="s">
        <v>1705</v>
      </c>
      <c r="B360" s="141">
        <v>540024</v>
      </c>
      <c r="C360" s="141" t="s">
        <v>1129</v>
      </c>
      <c r="D360" s="141" t="s">
        <v>1112</v>
      </c>
    </row>
    <row r="361" spans="1:4" x14ac:dyDescent="0.3">
      <c r="A361" s="141" t="s">
        <v>1706</v>
      </c>
      <c r="B361" s="141">
        <v>519174</v>
      </c>
      <c r="C361" s="141" t="s">
        <v>1129</v>
      </c>
      <c r="D361" s="141" t="s">
        <v>1378</v>
      </c>
    </row>
    <row r="362" spans="1:4" x14ac:dyDescent="0.3">
      <c r="A362" s="141" t="s">
        <v>1707</v>
      </c>
      <c r="B362" s="141">
        <v>523716</v>
      </c>
      <c r="C362" s="141" t="s">
        <v>1708</v>
      </c>
      <c r="D362" s="141" t="s">
        <v>1215</v>
      </c>
    </row>
    <row r="363" spans="1:4" x14ac:dyDescent="0.3">
      <c r="A363" s="141" t="s">
        <v>1709</v>
      </c>
      <c r="B363" s="141">
        <v>513401</v>
      </c>
      <c r="C363" s="141" t="s">
        <v>1129</v>
      </c>
      <c r="D363" s="141" t="s">
        <v>1161</v>
      </c>
    </row>
    <row r="364" spans="1:4" x14ac:dyDescent="0.3">
      <c r="A364" s="141" t="s">
        <v>1710</v>
      </c>
      <c r="B364" s="141">
        <v>590122</v>
      </c>
      <c r="C364" s="141" t="s">
        <v>1711</v>
      </c>
      <c r="D364" s="141" t="s">
        <v>1146</v>
      </c>
    </row>
    <row r="365" spans="1:4" x14ac:dyDescent="0.3">
      <c r="A365" s="141" t="s">
        <v>1712</v>
      </c>
      <c r="B365" s="141">
        <v>514286</v>
      </c>
      <c r="C365" s="141" t="s">
        <v>1713</v>
      </c>
      <c r="D365" s="141" t="s">
        <v>1144</v>
      </c>
    </row>
    <row r="366" spans="1:4" x14ac:dyDescent="0.3">
      <c r="A366" s="141" t="s">
        <v>1714</v>
      </c>
      <c r="B366" s="141">
        <v>512247</v>
      </c>
      <c r="C366" s="141" t="s">
        <v>1129</v>
      </c>
      <c r="D366" s="141" t="s">
        <v>1112</v>
      </c>
    </row>
    <row r="367" spans="1:4" x14ac:dyDescent="0.3">
      <c r="A367" s="141" t="s">
        <v>1715</v>
      </c>
      <c r="B367" s="141">
        <v>526847</v>
      </c>
      <c r="C367" s="141" t="s">
        <v>1129</v>
      </c>
      <c r="D367" s="141" t="s">
        <v>1161</v>
      </c>
    </row>
    <row r="368" spans="1:4" x14ac:dyDescent="0.3">
      <c r="A368" s="141" t="s">
        <v>1716</v>
      </c>
      <c r="B368" s="141">
        <v>530429</v>
      </c>
      <c r="C368" s="141" t="s">
        <v>1129</v>
      </c>
      <c r="D368" s="141" t="s">
        <v>1249</v>
      </c>
    </row>
    <row r="369" spans="1:4" x14ac:dyDescent="0.3">
      <c r="A369" s="141" t="s">
        <v>1717</v>
      </c>
      <c r="B369" s="141">
        <v>541702</v>
      </c>
      <c r="C369" s="141" t="s">
        <v>1129</v>
      </c>
      <c r="D369" s="141" t="s">
        <v>1151</v>
      </c>
    </row>
    <row r="370" spans="1:4" x14ac:dyDescent="0.3">
      <c r="A370" s="141" t="s">
        <v>1718</v>
      </c>
      <c r="B370" s="141">
        <v>507872</v>
      </c>
      <c r="C370" s="141" t="s">
        <v>1129</v>
      </c>
      <c r="D370" s="141" t="s">
        <v>1144</v>
      </c>
    </row>
    <row r="371" spans="1:4" x14ac:dyDescent="0.3">
      <c r="A371" s="141" t="s">
        <v>1719</v>
      </c>
      <c r="B371" s="141">
        <v>524594</v>
      </c>
      <c r="C371" s="141" t="s">
        <v>1129</v>
      </c>
      <c r="D371" s="141" t="s">
        <v>1177</v>
      </c>
    </row>
    <row r="372" spans="1:4" x14ac:dyDescent="0.3">
      <c r="A372" s="141" t="s">
        <v>1720</v>
      </c>
      <c r="B372" s="141">
        <v>500477</v>
      </c>
      <c r="C372" s="141" t="s">
        <v>1721</v>
      </c>
      <c r="D372" s="141" t="s">
        <v>1207</v>
      </c>
    </row>
    <row r="373" spans="1:4" x14ac:dyDescent="0.3">
      <c r="A373" s="141" t="s">
        <v>1722</v>
      </c>
      <c r="B373" s="141">
        <v>533271</v>
      </c>
      <c r="C373" s="141" t="s">
        <v>1723</v>
      </c>
      <c r="D373" s="141" t="s">
        <v>1724</v>
      </c>
    </row>
    <row r="374" spans="1:4" x14ac:dyDescent="0.3">
      <c r="A374" s="141" t="s">
        <v>1725</v>
      </c>
      <c r="B374" s="141">
        <v>540923</v>
      </c>
      <c r="C374" s="141" t="s">
        <v>1129</v>
      </c>
      <c r="D374" s="141" t="s">
        <v>1527</v>
      </c>
    </row>
    <row r="375" spans="1:4" x14ac:dyDescent="0.3">
      <c r="A375" s="141" t="s">
        <v>1726</v>
      </c>
      <c r="B375" s="141">
        <v>526983</v>
      </c>
      <c r="C375" s="141" t="s">
        <v>1129</v>
      </c>
      <c r="D375" s="141" t="s">
        <v>1327</v>
      </c>
    </row>
    <row r="376" spans="1:4" x14ac:dyDescent="0.3">
      <c r="A376" s="141" t="s">
        <v>1727</v>
      </c>
      <c r="B376" s="141">
        <v>526187</v>
      </c>
      <c r="C376" s="141" t="s">
        <v>1129</v>
      </c>
      <c r="D376" s="141" t="s">
        <v>1318</v>
      </c>
    </row>
    <row r="377" spans="1:4" x14ac:dyDescent="0.3">
      <c r="A377" s="141" t="s">
        <v>1728</v>
      </c>
      <c r="B377" s="141">
        <v>531568</v>
      </c>
      <c r="C377" s="141" t="s">
        <v>1129</v>
      </c>
      <c r="D377" s="141" t="s">
        <v>1123</v>
      </c>
    </row>
    <row r="378" spans="1:4" x14ac:dyDescent="0.3">
      <c r="A378" s="141" t="s">
        <v>1729</v>
      </c>
      <c r="B378" s="141">
        <v>502015</v>
      </c>
      <c r="C378" s="141" t="s">
        <v>1129</v>
      </c>
      <c r="D378" s="141" t="s">
        <v>1109</v>
      </c>
    </row>
    <row r="379" spans="1:4" x14ac:dyDescent="0.3">
      <c r="A379" s="141" t="s">
        <v>1730</v>
      </c>
      <c r="B379" s="141">
        <v>538777</v>
      </c>
      <c r="C379" s="141" t="s">
        <v>1129</v>
      </c>
      <c r="D379" s="141" t="s">
        <v>1146</v>
      </c>
    </row>
    <row r="380" spans="1:4" x14ac:dyDescent="0.3">
      <c r="A380" s="141" t="s">
        <v>1731</v>
      </c>
      <c r="B380" s="141">
        <v>530899</v>
      </c>
      <c r="C380" s="141" t="s">
        <v>1129</v>
      </c>
      <c r="D380" s="141" t="s">
        <v>1144</v>
      </c>
    </row>
    <row r="381" spans="1:4" x14ac:dyDescent="0.3">
      <c r="A381" s="141" t="s">
        <v>1732</v>
      </c>
      <c r="B381" s="141">
        <v>531392</v>
      </c>
      <c r="C381" s="141" t="s">
        <v>1129</v>
      </c>
      <c r="D381" s="141" t="s">
        <v>1327</v>
      </c>
    </row>
    <row r="382" spans="1:4" x14ac:dyDescent="0.3">
      <c r="A382" s="141" t="s">
        <v>1733</v>
      </c>
      <c r="B382" s="141">
        <v>532888</v>
      </c>
      <c r="C382" s="141" t="s">
        <v>1734</v>
      </c>
      <c r="D382" s="141" t="s">
        <v>1406</v>
      </c>
    </row>
    <row r="383" spans="1:4" x14ac:dyDescent="0.3">
      <c r="A383" s="141" t="s">
        <v>1735</v>
      </c>
      <c r="B383" s="141">
        <v>532888</v>
      </c>
      <c r="C383" s="141" t="s">
        <v>1734</v>
      </c>
      <c r="D383" s="141" t="s">
        <v>1406</v>
      </c>
    </row>
    <row r="384" spans="1:4" x14ac:dyDescent="0.3">
      <c r="A384" s="141" t="s">
        <v>1736</v>
      </c>
      <c r="B384" s="141">
        <v>533227</v>
      </c>
      <c r="C384" s="141" t="s">
        <v>1737</v>
      </c>
      <c r="D384" s="141" t="s">
        <v>1330</v>
      </c>
    </row>
    <row r="385" spans="1:4" x14ac:dyDescent="0.3">
      <c r="A385" s="141" t="s">
        <v>1738</v>
      </c>
      <c r="B385" s="141">
        <v>500023</v>
      </c>
      <c r="C385" s="141" t="s">
        <v>1739</v>
      </c>
      <c r="D385" s="141" t="s">
        <v>1330</v>
      </c>
    </row>
    <row r="386" spans="1:4" x14ac:dyDescent="0.3">
      <c r="A386" s="141" t="s">
        <v>1740</v>
      </c>
      <c r="B386" s="141">
        <v>533221</v>
      </c>
      <c r="C386" s="141" t="s">
        <v>1741</v>
      </c>
      <c r="D386" s="141" t="s">
        <v>1330</v>
      </c>
    </row>
    <row r="387" spans="1:4" x14ac:dyDescent="0.3">
      <c r="A387" s="141" t="s">
        <v>1742</v>
      </c>
      <c r="B387" s="141">
        <v>530355</v>
      </c>
      <c r="C387" s="141" t="s">
        <v>1129</v>
      </c>
      <c r="D387" s="141" t="s">
        <v>1470</v>
      </c>
    </row>
    <row r="388" spans="1:4" x14ac:dyDescent="0.3">
      <c r="A388" s="141" t="s">
        <v>1743</v>
      </c>
      <c r="B388" s="141">
        <v>500820</v>
      </c>
      <c r="C388" s="141" t="s">
        <v>1744</v>
      </c>
      <c r="D388" s="141" t="s">
        <v>1406</v>
      </c>
    </row>
    <row r="389" spans="1:4" x14ac:dyDescent="0.3">
      <c r="A389" s="141" t="s">
        <v>1745</v>
      </c>
      <c r="B389" s="141">
        <v>524434</v>
      </c>
      <c r="C389" s="141" t="s">
        <v>1129</v>
      </c>
      <c r="D389" s="141" t="s">
        <v>1177</v>
      </c>
    </row>
    <row r="390" spans="1:4" x14ac:dyDescent="0.3">
      <c r="A390" s="141" t="s">
        <v>1746</v>
      </c>
      <c r="B390" s="141">
        <v>531847</v>
      </c>
      <c r="C390" s="141" t="s">
        <v>1129</v>
      </c>
      <c r="D390" s="141" t="s">
        <v>1243</v>
      </c>
    </row>
    <row r="391" spans="1:4" x14ac:dyDescent="0.3">
      <c r="A391" s="141" t="s">
        <v>1747</v>
      </c>
      <c r="B391" s="141">
        <v>519532</v>
      </c>
      <c r="C391" s="141" t="s">
        <v>1129</v>
      </c>
      <c r="D391" s="141" t="s">
        <v>1151</v>
      </c>
    </row>
    <row r="392" spans="1:4" x14ac:dyDescent="0.3">
      <c r="A392" s="141" t="s">
        <v>1748</v>
      </c>
      <c r="B392" s="141">
        <v>506159</v>
      </c>
      <c r="C392" s="141" t="s">
        <v>1749</v>
      </c>
      <c r="D392" s="141" t="s">
        <v>1450</v>
      </c>
    </row>
    <row r="393" spans="1:4" x14ac:dyDescent="0.3">
      <c r="A393" s="141" t="s">
        <v>1750</v>
      </c>
      <c r="B393" s="141">
        <v>530723</v>
      </c>
      <c r="C393" s="141" t="s">
        <v>1129</v>
      </c>
      <c r="D393" s="141" t="s">
        <v>1112</v>
      </c>
    </row>
    <row r="394" spans="1:4" x14ac:dyDescent="0.3">
      <c r="A394" s="141" t="s">
        <v>1751</v>
      </c>
      <c r="B394" s="141" t="s">
        <v>1129</v>
      </c>
      <c r="C394" s="141" t="s">
        <v>1752</v>
      </c>
      <c r="D394" s="141" t="s">
        <v>1140</v>
      </c>
    </row>
    <row r="395" spans="1:4" x14ac:dyDescent="0.3">
      <c r="A395" s="141" t="s">
        <v>1753</v>
      </c>
      <c r="B395" s="141">
        <v>526433</v>
      </c>
      <c r="C395" s="141" t="s">
        <v>1129</v>
      </c>
      <c r="D395" s="141" t="s">
        <v>1115</v>
      </c>
    </row>
    <row r="396" spans="1:4" x14ac:dyDescent="0.3">
      <c r="A396" s="141" t="s">
        <v>1754</v>
      </c>
      <c r="B396" s="141" t="s">
        <v>1129</v>
      </c>
      <c r="C396" s="141" t="s">
        <v>1755</v>
      </c>
      <c r="D396" s="141" t="s">
        <v>1220</v>
      </c>
    </row>
    <row r="397" spans="1:4" x14ac:dyDescent="0.3">
      <c r="A397" s="141" t="s">
        <v>1756</v>
      </c>
      <c r="B397" s="141">
        <v>540788</v>
      </c>
      <c r="C397" s="141" t="s">
        <v>1129</v>
      </c>
      <c r="D397" s="141" t="s">
        <v>1318</v>
      </c>
    </row>
    <row r="398" spans="1:4" x14ac:dyDescent="0.3">
      <c r="A398" s="141" t="s">
        <v>1757</v>
      </c>
      <c r="B398" s="141">
        <v>500024</v>
      </c>
      <c r="C398" s="141" t="s">
        <v>1758</v>
      </c>
      <c r="D398" s="141" t="s">
        <v>1536</v>
      </c>
    </row>
    <row r="399" spans="1:4" x14ac:dyDescent="0.3">
      <c r="A399" s="141" t="s">
        <v>1759</v>
      </c>
      <c r="B399" s="141">
        <v>500024</v>
      </c>
      <c r="C399" s="141" t="s">
        <v>1758</v>
      </c>
      <c r="D399" s="141" t="s">
        <v>1536</v>
      </c>
    </row>
    <row r="400" spans="1:4" x14ac:dyDescent="0.3">
      <c r="A400" s="141" t="s">
        <v>1760</v>
      </c>
      <c r="B400" s="141">
        <v>507526</v>
      </c>
      <c r="C400" s="141" t="s">
        <v>1129</v>
      </c>
      <c r="D400" s="141" t="s">
        <v>1761</v>
      </c>
    </row>
    <row r="401" spans="1:4" x14ac:dyDescent="0.3">
      <c r="A401" s="141" t="s">
        <v>1762</v>
      </c>
      <c r="B401" s="141">
        <v>533138</v>
      </c>
      <c r="C401" s="141" t="s">
        <v>1763</v>
      </c>
      <c r="D401" s="141" t="s">
        <v>1273</v>
      </c>
    </row>
    <row r="402" spans="1:4" x14ac:dyDescent="0.3">
      <c r="A402" s="141" t="s">
        <v>1764</v>
      </c>
      <c r="B402" s="141">
        <v>540975</v>
      </c>
      <c r="C402" s="141" t="s">
        <v>1765</v>
      </c>
      <c r="D402" s="141" t="s">
        <v>1318</v>
      </c>
    </row>
    <row r="403" spans="1:4" x14ac:dyDescent="0.3">
      <c r="A403" s="141" t="s">
        <v>1766</v>
      </c>
      <c r="B403" s="141">
        <v>532493</v>
      </c>
      <c r="C403" s="141" t="s">
        <v>1767</v>
      </c>
      <c r="D403" s="141" t="s">
        <v>1602</v>
      </c>
    </row>
    <row r="404" spans="1:4" x14ac:dyDescent="0.3">
      <c r="A404" s="141" t="s">
        <v>1768</v>
      </c>
      <c r="B404" s="141">
        <v>532830</v>
      </c>
      <c r="C404" s="141" t="s">
        <v>1769</v>
      </c>
      <c r="D404" s="141" t="s">
        <v>1249</v>
      </c>
    </row>
    <row r="405" spans="1:4" x14ac:dyDescent="0.3">
      <c r="A405" s="141" t="s">
        <v>1770</v>
      </c>
      <c r="B405" s="141">
        <v>506820</v>
      </c>
      <c r="C405" s="141" t="s">
        <v>1771</v>
      </c>
      <c r="D405" s="141" t="s">
        <v>1167</v>
      </c>
    </row>
    <row r="406" spans="1:4" x14ac:dyDescent="0.3">
      <c r="A406" s="141" t="s">
        <v>1772</v>
      </c>
      <c r="B406" s="141">
        <v>506820</v>
      </c>
      <c r="C406" s="141" t="s">
        <v>1771</v>
      </c>
      <c r="D406" s="141" t="s">
        <v>1167</v>
      </c>
    </row>
    <row r="407" spans="1:4" x14ac:dyDescent="0.3">
      <c r="A407" s="141" t="s">
        <v>1773</v>
      </c>
      <c r="B407" s="141">
        <v>540824</v>
      </c>
      <c r="C407" s="141" t="s">
        <v>1774</v>
      </c>
      <c r="D407" s="141" t="s">
        <v>1123</v>
      </c>
    </row>
    <row r="408" spans="1:4" x14ac:dyDescent="0.3">
      <c r="A408" s="141" t="s">
        <v>1775</v>
      </c>
      <c r="B408" s="141">
        <v>512433</v>
      </c>
      <c r="C408" s="141" t="s">
        <v>1129</v>
      </c>
      <c r="D408" s="141" t="s">
        <v>1151</v>
      </c>
    </row>
    <row r="409" spans="1:4" x14ac:dyDescent="0.3">
      <c r="A409" s="141" t="s">
        <v>1776</v>
      </c>
      <c r="B409" s="141">
        <v>511144</v>
      </c>
      <c r="C409" s="141" t="s">
        <v>1129</v>
      </c>
      <c r="D409" s="141" t="s">
        <v>1115</v>
      </c>
    </row>
    <row r="410" spans="1:4" x14ac:dyDescent="0.3">
      <c r="A410" s="141" t="s">
        <v>1777</v>
      </c>
      <c r="B410" s="141">
        <v>530187</v>
      </c>
      <c r="C410" s="141" t="s">
        <v>1129</v>
      </c>
      <c r="D410" s="141" t="s">
        <v>1146</v>
      </c>
    </row>
    <row r="411" spans="1:4" x14ac:dyDescent="0.3">
      <c r="A411" s="141" t="s">
        <v>1778</v>
      </c>
      <c r="B411" s="141">
        <v>539099</v>
      </c>
      <c r="C411" s="141" t="s">
        <v>1129</v>
      </c>
      <c r="D411" s="141" t="s">
        <v>1215</v>
      </c>
    </row>
    <row r="412" spans="1:4" x14ac:dyDescent="0.3">
      <c r="A412" s="141" t="s">
        <v>1779</v>
      </c>
      <c r="B412" s="141">
        <v>517429</v>
      </c>
      <c r="C412" s="141" t="s">
        <v>1780</v>
      </c>
      <c r="D412" s="141" t="s">
        <v>1222</v>
      </c>
    </row>
    <row r="413" spans="1:4" x14ac:dyDescent="0.3">
      <c r="A413" s="141" t="s">
        <v>1781</v>
      </c>
      <c r="B413" s="141">
        <v>538713</v>
      </c>
      <c r="C413" s="141" t="s">
        <v>1129</v>
      </c>
      <c r="D413" s="141" t="s">
        <v>1222</v>
      </c>
    </row>
    <row r="414" spans="1:4" x14ac:dyDescent="0.3">
      <c r="A414" s="141" t="s">
        <v>1782</v>
      </c>
      <c r="B414" s="141">
        <v>526843</v>
      </c>
      <c r="C414" s="141" t="s">
        <v>1129</v>
      </c>
      <c r="D414" s="141" t="s">
        <v>1151</v>
      </c>
    </row>
    <row r="415" spans="1:4" x14ac:dyDescent="0.3">
      <c r="A415" s="141" t="s">
        <v>1783</v>
      </c>
      <c r="B415" s="141">
        <v>532759</v>
      </c>
      <c r="C415" s="141" t="s">
        <v>1784</v>
      </c>
      <c r="D415" s="141" t="s">
        <v>1527</v>
      </c>
    </row>
    <row r="416" spans="1:4" x14ac:dyDescent="0.3">
      <c r="A416" s="141" t="s">
        <v>1785</v>
      </c>
      <c r="B416" s="141">
        <v>505029</v>
      </c>
      <c r="C416" s="141" t="s">
        <v>1786</v>
      </c>
      <c r="D416" s="141" t="s">
        <v>1787</v>
      </c>
    </row>
    <row r="417" spans="1:4" x14ac:dyDescent="0.3">
      <c r="A417" s="141" t="s">
        <v>1788</v>
      </c>
      <c r="B417" s="141">
        <v>514394</v>
      </c>
      <c r="C417" s="141" t="s">
        <v>1129</v>
      </c>
      <c r="D417" s="141" t="s">
        <v>1243</v>
      </c>
    </row>
    <row r="418" spans="1:4" x14ac:dyDescent="0.3">
      <c r="A418" s="141" t="s">
        <v>1789</v>
      </c>
      <c r="B418" s="141">
        <v>514394</v>
      </c>
      <c r="C418" s="141" t="s">
        <v>1129</v>
      </c>
      <c r="D418" s="141" t="s">
        <v>1243</v>
      </c>
    </row>
    <row r="419" spans="1:4" x14ac:dyDescent="0.3">
      <c r="A419" s="141" t="s">
        <v>1790</v>
      </c>
      <c r="B419" s="141">
        <v>531795</v>
      </c>
      <c r="C419" s="141" t="s">
        <v>1791</v>
      </c>
      <c r="D419" s="141" t="s">
        <v>1787</v>
      </c>
    </row>
    <row r="420" spans="1:4" x14ac:dyDescent="0.3">
      <c r="A420" s="141" t="s">
        <v>1792</v>
      </c>
      <c r="B420" s="141">
        <v>500027</v>
      </c>
      <c r="C420" s="141" t="s">
        <v>1793</v>
      </c>
      <c r="D420" s="141" t="s">
        <v>1273</v>
      </c>
    </row>
    <row r="421" spans="1:4" x14ac:dyDescent="0.3">
      <c r="A421" s="141" t="s">
        <v>1794</v>
      </c>
      <c r="B421" s="141">
        <v>500028</v>
      </c>
      <c r="C421" s="141" t="s">
        <v>1129</v>
      </c>
      <c r="D421" s="141" t="s">
        <v>1527</v>
      </c>
    </row>
    <row r="422" spans="1:4" x14ac:dyDescent="0.3">
      <c r="A422" s="141" t="s">
        <v>1795</v>
      </c>
      <c r="B422" s="141">
        <v>500028</v>
      </c>
      <c r="C422" s="141" t="s">
        <v>1129</v>
      </c>
      <c r="D422" s="141" t="s">
        <v>1527</v>
      </c>
    </row>
    <row r="423" spans="1:4" x14ac:dyDescent="0.3">
      <c r="A423" s="141" t="s">
        <v>1796</v>
      </c>
      <c r="B423" s="141">
        <v>540611</v>
      </c>
      <c r="C423" s="141" t="s">
        <v>1797</v>
      </c>
      <c r="D423" s="141" t="s">
        <v>1447</v>
      </c>
    </row>
    <row r="424" spans="1:4" x14ac:dyDescent="0.3">
      <c r="A424" s="141" t="s">
        <v>1798</v>
      </c>
      <c r="B424" s="141">
        <v>532459</v>
      </c>
      <c r="C424" s="141" t="s">
        <v>1129</v>
      </c>
      <c r="D424" s="141" t="s">
        <v>1144</v>
      </c>
    </row>
    <row r="425" spans="1:4" x14ac:dyDescent="0.3">
      <c r="A425" s="141" t="s">
        <v>1799</v>
      </c>
      <c r="B425" s="141" t="s">
        <v>1129</v>
      </c>
      <c r="C425" s="141" t="s">
        <v>1800</v>
      </c>
      <c r="D425" s="141" t="s">
        <v>1140</v>
      </c>
    </row>
    <row r="426" spans="1:4" x14ac:dyDescent="0.3">
      <c r="A426" s="141" t="s">
        <v>1801</v>
      </c>
      <c r="B426" s="141">
        <v>532668</v>
      </c>
      <c r="C426" s="141" t="s">
        <v>1802</v>
      </c>
      <c r="D426" s="141" t="s">
        <v>1222</v>
      </c>
    </row>
    <row r="427" spans="1:4" x14ac:dyDescent="0.3">
      <c r="A427" s="141" t="s">
        <v>1803</v>
      </c>
      <c r="B427" s="141">
        <v>530233</v>
      </c>
      <c r="C427" s="141" t="s">
        <v>1129</v>
      </c>
      <c r="D427" s="141" t="s">
        <v>1167</v>
      </c>
    </row>
    <row r="428" spans="1:4" x14ac:dyDescent="0.3">
      <c r="A428" s="141" t="s">
        <v>1804</v>
      </c>
      <c r="B428" s="141">
        <v>524804</v>
      </c>
      <c r="C428" s="141" t="s">
        <v>1805</v>
      </c>
      <c r="D428" s="141" t="s">
        <v>1167</v>
      </c>
    </row>
    <row r="429" spans="1:4" x14ac:dyDescent="0.3">
      <c r="A429" s="141" t="s">
        <v>1806</v>
      </c>
      <c r="B429" s="141">
        <v>531336</v>
      </c>
      <c r="C429" s="141" t="s">
        <v>1129</v>
      </c>
      <c r="D429" s="141" t="s">
        <v>1807</v>
      </c>
    </row>
    <row r="430" spans="1:4" x14ac:dyDescent="0.3">
      <c r="A430" s="141" t="s">
        <v>1808</v>
      </c>
      <c r="B430" s="141">
        <v>509009</v>
      </c>
      <c r="C430" s="141" t="s">
        <v>1809</v>
      </c>
      <c r="D430" s="141" t="s">
        <v>1151</v>
      </c>
    </row>
    <row r="431" spans="1:4" x14ac:dyDescent="0.3">
      <c r="A431" s="141" t="s">
        <v>1810</v>
      </c>
      <c r="B431" s="141">
        <v>522005</v>
      </c>
      <c r="C431" s="141" t="s">
        <v>1129</v>
      </c>
      <c r="D431" s="141" t="s">
        <v>1137</v>
      </c>
    </row>
    <row r="432" spans="1:4" x14ac:dyDescent="0.3">
      <c r="A432" s="141" t="s">
        <v>1811</v>
      </c>
      <c r="B432" s="141">
        <v>539177</v>
      </c>
      <c r="C432" s="141" t="s">
        <v>1129</v>
      </c>
      <c r="D432" s="141" t="s">
        <v>1146</v>
      </c>
    </row>
    <row r="433" spans="1:4" x14ac:dyDescent="0.3">
      <c r="A433" s="141" t="s">
        <v>1812</v>
      </c>
      <c r="B433" s="141">
        <v>531994</v>
      </c>
      <c r="C433" s="141" t="s">
        <v>1129</v>
      </c>
      <c r="D433" s="141" t="s">
        <v>1484</v>
      </c>
    </row>
    <row r="434" spans="1:4" x14ac:dyDescent="0.3">
      <c r="A434" s="141" t="s">
        <v>1813</v>
      </c>
      <c r="B434" s="141">
        <v>531994</v>
      </c>
      <c r="C434" s="141" t="s">
        <v>1129</v>
      </c>
      <c r="D434" s="141" t="s">
        <v>1484</v>
      </c>
    </row>
    <row r="435" spans="1:4" x14ac:dyDescent="0.3">
      <c r="A435" s="141" t="s">
        <v>1814</v>
      </c>
      <c r="B435" s="141">
        <v>532797</v>
      </c>
      <c r="C435" s="141" t="s">
        <v>1815</v>
      </c>
      <c r="D435" s="141" t="s">
        <v>1484</v>
      </c>
    </row>
    <row r="436" spans="1:4" x14ac:dyDescent="0.3">
      <c r="A436" s="141" t="s">
        <v>1816</v>
      </c>
      <c r="B436" s="141">
        <v>500029</v>
      </c>
      <c r="C436" s="141" t="s">
        <v>1817</v>
      </c>
      <c r="D436" s="141" t="s">
        <v>1484</v>
      </c>
    </row>
    <row r="437" spans="1:4" x14ac:dyDescent="0.3">
      <c r="A437" s="141" t="s">
        <v>1818</v>
      </c>
      <c r="B437" s="141">
        <v>500029</v>
      </c>
      <c r="C437" s="141" t="s">
        <v>1817</v>
      </c>
      <c r="D437" s="141" t="s">
        <v>1484</v>
      </c>
    </row>
    <row r="438" spans="1:4" x14ac:dyDescent="0.3">
      <c r="A438" s="141" t="s">
        <v>1819</v>
      </c>
      <c r="B438" s="141">
        <v>505036</v>
      </c>
      <c r="C438" s="141" t="s">
        <v>1129</v>
      </c>
      <c r="D438" s="141" t="s">
        <v>1484</v>
      </c>
    </row>
    <row r="439" spans="1:4" x14ac:dyDescent="0.3">
      <c r="A439" s="141" t="s">
        <v>1820</v>
      </c>
      <c r="B439" s="141">
        <v>505010</v>
      </c>
      <c r="C439" s="141" t="s">
        <v>1821</v>
      </c>
      <c r="D439" s="141" t="s">
        <v>1484</v>
      </c>
    </row>
    <row r="440" spans="1:4" x14ac:dyDescent="0.3">
      <c r="A440" s="141" t="s">
        <v>1822</v>
      </c>
      <c r="B440" s="141">
        <v>520119</v>
      </c>
      <c r="C440" s="141" t="s">
        <v>1823</v>
      </c>
      <c r="D440" s="141" t="s">
        <v>1484</v>
      </c>
    </row>
    <row r="441" spans="1:4" x14ac:dyDescent="0.3">
      <c r="A441" s="141" t="s">
        <v>1824</v>
      </c>
      <c r="B441" s="141">
        <v>512277</v>
      </c>
      <c r="C441" s="141" t="s">
        <v>1129</v>
      </c>
      <c r="D441" s="141" t="s">
        <v>1450</v>
      </c>
    </row>
    <row r="442" spans="1:4" x14ac:dyDescent="0.3">
      <c r="A442" s="141" t="s">
        <v>1825</v>
      </c>
      <c r="B442" s="141">
        <v>780004</v>
      </c>
      <c r="C442" s="141" t="s">
        <v>1129</v>
      </c>
      <c r="D442" s="141" t="s">
        <v>1220</v>
      </c>
    </row>
    <row r="443" spans="1:4" x14ac:dyDescent="0.3">
      <c r="A443" s="141" t="s">
        <v>1826</v>
      </c>
      <c r="B443" s="141">
        <v>540649</v>
      </c>
      <c r="C443" s="141" t="s">
        <v>1827</v>
      </c>
      <c r="D443" s="141" t="s">
        <v>1828</v>
      </c>
    </row>
    <row r="444" spans="1:4" x14ac:dyDescent="0.3">
      <c r="A444" s="141" t="s">
        <v>1829</v>
      </c>
      <c r="B444" s="141">
        <v>531310</v>
      </c>
      <c r="C444" s="141" t="s">
        <v>1129</v>
      </c>
      <c r="D444" s="141" t="s">
        <v>1112</v>
      </c>
    </row>
    <row r="445" spans="1:4" x14ac:dyDescent="0.3">
      <c r="A445" s="141" t="s">
        <v>1830</v>
      </c>
      <c r="B445" s="141">
        <v>512149</v>
      </c>
      <c r="C445" s="141" t="s">
        <v>1129</v>
      </c>
      <c r="D445" s="141" t="s">
        <v>1222</v>
      </c>
    </row>
    <row r="446" spans="1:4" x14ac:dyDescent="0.3">
      <c r="A446" s="141" t="s">
        <v>1831</v>
      </c>
      <c r="B446" s="141">
        <v>532406</v>
      </c>
      <c r="C446" s="141" t="s">
        <v>1129</v>
      </c>
      <c r="D446" s="141" t="s">
        <v>1275</v>
      </c>
    </row>
    <row r="447" spans="1:4" x14ac:dyDescent="0.3">
      <c r="A447" s="141" t="s">
        <v>1832</v>
      </c>
      <c r="B447" s="141">
        <v>512573</v>
      </c>
      <c r="C447" s="141" t="s">
        <v>1833</v>
      </c>
      <c r="D447" s="141" t="s">
        <v>1209</v>
      </c>
    </row>
    <row r="448" spans="1:4" x14ac:dyDescent="0.3">
      <c r="A448" s="141" t="s">
        <v>1834</v>
      </c>
      <c r="B448" s="141">
        <v>540376</v>
      </c>
      <c r="C448" s="141" t="s">
        <v>1835</v>
      </c>
      <c r="D448" s="141" t="s">
        <v>1298</v>
      </c>
    </row>
    <row r="449" spans="1:4" x14ac:dyDescent="0.3">
      <c r="A449" s="141" t="s">
        <v>1836</v>
      </c>
      <c r="B449" s="141" t="s">
        <v>1129</v>
      </c>
      <c r="C449" s="141" t="s">
        <v>1837</v>
      </c>
      <c r="D449" s="141" t="s">
        <v>1140</v>
      </c>
    </row>
    <row r="450" spans="1:4" x14ac:dyDescent="0.3">
      <c r="A450" s="141" t="s">
        <v>1838</v>
      </c>
      <c r="B450" s="141">
        <v>539288</v>
      </c>
      <c r="C450" s="141" t="s">
        <v>1129</v>
      </c>
      <c r="D450" s="141" t="s">
        <v>1289</v>
      </c>
    </row>
    <row r="451" spans="1:4" x14ac:dyDescent="0.3">
      <c r="A451" s="141" t="s">
        <v>1839</v>
      </c>
      <c r="B451" s="141">
        <v>523896</v>
      </c>
      <c r="C451" s="141" t="s">
        <v>1129</v>
      </c>
      <c r="D451" s="141" t="s">
        <v>1151</v>
      </c>
    </row>
    <row r="452" spans="1:4" x14ac:dyDescent="0.3">
      <c r="A452" s="141" t="s">
        <v>1840</v>
      </c>
      <c r="B452" s="141">
        <v>523896</v>
      </c>
      <c r="C452" s="141" t="s">
        <v>1129</v>
      </c>
      <c r="D452" s="141" t="s">
        <v>1151</v>
      </c>
    </row>
    <row r="453" spans="1:4" x14ac:dyDescent="0.3">
      <c r="A453" s="141" t="s">
        <v>1841</v>
      </c>
      <c r="B453" s="141">
        <v>512109</v>
      </c>
      <c r="C453" s="141" t="s">
        <v>1129</v>
      </c>
      <c r="D453" s="141" t="s">
        <v>1151</v>
      </c>
    </row>
    <row r="454" spans="1:4" x14ac:dyDescent="0.3">
      <c r="A454" s="141" t="s">
        <v>1842</v>
      </c>
      <c r="B454" s="141">
        <v>531541</v>
      </c>
      <c r="C454" s="141" t="s">
        <v>1129</v>
      </c>
      <c r="D454" s="141" t="s">
        <v>1177</v>
      </c>
    </row>
    <row r="455" spans="1:4" x14ac:dyDescent="0.3">
      <c r="A455" s="141" t="s">
        <v>1843</v>
      </c>
      <c r="B455" s="141" t="s">
        <v>1129</v>
      </c>
      <c r="C455" s="141" t="s">
        <v>1844</v>
      </c>
      <c r="D455" s="141" t="s">
        <v>1140</v>
      </c>
    </row>
    <row r="456" spans="1:4" x14ac:dyDescent="0.3">
      <c r="A456" s="141" t="s">
        <v>1845</v>
      </c>
      <c r="B456" s="141">
        <v>511589</v>
      </c>
      <c r="C456" s="141" t="s">
        <v>1129</v>
      </c>
      <c r="D456" s="141" t="s">
        <v>1146</v>
      </c>
    </row>
    <row r="457" spans="1:4" x14ac:dyDescent="0.3">
      <c r="A457" s="141" t="s">
        <v>1846</v>
      </c>
      <c r="B457" s="141" t="s">
        <v>1129</v>
      </c>
      <c r="C457" s="141" t="s">
        <v>1847</v>
      </c>
      <c r="D457" s="141" t="s">
        <v>1140</v>
      </c>
    </row>
    <row r="458" spans="1:4" x14ac:dyDescent="0.3">
      <c r="A458" s="141" t="s">
        <v>1848</v>
      </c>
      <c r="B458" s="141">
        <v>519105</v>
      </c>
      <c r="C458" s="141" t="s">
        <v>1849</v>
      </c>
      <c r="D458" s="141" t="s">
        <v>1327</v>
      </c>
    </row>
    <row r="459" spans="1:4" x14ac:dyDescent="0.3">
      <c r="A459" s="141" t="s">
        <v>1850</v>
      </c>
      <c r="B459" s="141">
        <v>504390</v>
      </c>
      <c r="C459" s="141" t="s">
        <v>1129</v>
      </c>
      <c r="D459" s="141" t="s">
        <v>1112</v>
      </c>
    </row>
    <row r="460" spans="1:4" x14ac:dyDescent="0.3">
      <c r="A460" s="141" t="s">
        <v>1851</v>
      </c>
      <c r="B460" s="141">
        <v>513642</v>
      </c>
      <c r="C460" s="141" t="s">
        <v>1129</v>
      </c>
      <c r="D460" s="141" t="s">
        <v>1249</v>
      </c>
    </row>
    <row r="461" spans="1:4" x14ac:dyDescent="0.3">
      <c r="A461" s="141" t="s">
        <v>1852</v>
      </c>
      <c r="B461" s="141">
        <v>532215</v>
      </c>
      <c r="C461" s="141" t="s">
        <v>1853</v>
      </c>
      <c r="D461" s="141" t="s">
        <v>1447</v>
      </c>
    </row>
    <row r="462" spans="1:4" x14ac:dyDescent="0.3">
      <c r="A462" s="141" t="s">
        <v>1854</v>
      </c>
      <c r="B462" s="141">
        <v>532395</v>
      </c>
      <c r="C462" s="141" t="s">
        <v>1855</v>
      </c>
      <c r="D462" s="141" t="s">
        <v>1459</v>
      </c>
    </row>
    <row r="463" spans="1:4" x14ac:dyDescent="0.3">
      <c r="A463" s="141" t="s">
        <v>1856</v>
      </c>
      <c r="B463" s="141">
        <v>542285</v>
      </c>
      <c r="C463" s="141" t="s">
        <v>1857</v>
      </c>
      <c r="D463" s="141" t="s">
        <v>1144</v>
      </c>
    </row>
    <row r="464" spans="1:4" x14ac:dyDescent="0.3">
      <c r="A464" s="141" t="s">
        <v>1858</v>
      </c>
      <c r="B464" s="141">
        <v>505506</v>
      </c>
      <c r="C464" s="141" t="s">
        <v>1129</v>
      </c>
      <c r="D464" s="141" t="s">
        <v>1222</v>
      </c>
    </row>
    <row r="465" spans="1:4" x14ac:dyDescent="0.3">
      <c r="A465" s="141" t="s">
        <v>1859</v>
      </c>
      <c r="B465" s="141">
        <v>523850</v>
      </c>
      <c r="C465" s="141" t="s">
        <v>1129</v>
      </c>
      <c r="D465" s="141" t="s">
        <v>1137</v>
      </c>
    </row>
    <row r="466" spans="1:4" x14ac:dyDescent="0.3">
      <c r="A466" s="141" t="s">
        <v>1860</v>
      </c>
      <c r="B466" s="141">
        <v>523168</v>
      </c>
      <c r="C466" s="141" t="s">
        <v>1129</v>
      </c>
      <c r="D466" s="141" t="s">
        <v>1343</v>
      </c>
    </row>
    <row r="467" spans="1:4" x14ac:dyDescent="0.3">
      <c r="A467" s="141" t="s">
        <v>1861</v>
      </c>
      <c r="B467" s="141">
        <v>508933</v>
      </c>
      <c r="C467" s="141" t="s">
        <v>1862</v>
      </c>
      <c r="D467" s="141" t="s">
        <v>1144</v>
      </c>
    </row>
    <row r="468" spans="1:4" x14ac:dyDescent="0.3">
      <c r="A468" s="141" t="s">
        <v>1863</v>
      </c>
      <c r="B468" s="141">
        <v>512063</v>
      </c>
      <c r="C468" s="141" t="s">
        <v>1129</v>
      </c>
      <c r="D468" s="141" t="s">
        <v>1151</v>
      </c>
    </row>
    <row r="469" spans="1:4" x14ac:dyDescent="0.3">
      <c r="A469" s="141" t="s">
        <v>1864</v>
      </c>
      <c r="B469" s="141">
        <v>536965</v>
      </c>
      <c r="C469" s="141" t="s">
        <v>1129</v>
      </c>
      <c r="D469" s="141" t="s">
        <v>1146</v>
      </c>
    </row>
    <row r="470" spans="1:4" x14ac:dyDescent="0.3">
      <c r="A470" s="141" t="s">
        <v>1865</v>
      </c>
      <c r="B470" s="141">
        <v>508136</v>
      </c>
      <c r="C470" s="141" t="s">
        <v>1129</v>
      </c>
      <c r="D470" s="141" t="s">
        <v>1536</v>
      </c>
    </row>
    <row r="471" spans="1:4" x14ac:dyDescent="0.3">
      <c r="A471" s="141" t="s">
        <v>1866</v>
      </c>
      <c r="B471" s="141">
        <v>532507</v>
      </c>
      <c r="C471" s="141" t="s">
        <v>1867</v>
      </c>
      <c r="D471" s="141" t="s">
        <v>1868</v>
      </c>
    </row>
    <row r="472" spans="1:4" x14ac:dyDescent="0.3">
      <c r="A472" s="141" t="s">
        <v>1869</v>
      </c>
      <c r="B472" s="141">
        <v>537766</v>
      </c>
      <c r="C472" s="141" t="s">
        <v>1129</v>
      </c>
      <c r="D472" s="141" t="s">
        <v>1427</v>
      </c>
    </row>
    <row r="473" spans="1:4" x14ac:dyDescent="0.3">
      <c r="A473" s="141" t="s">
        <v>1870</v>
      </c>
      <c r="B473" s="141">
        <v>532719</v>
      </c>
      <c r="C473" s="141" t="s">
        <v>1871</v>
      </c>
      <c r="D473" s="141" t="s">
        <v>1215</v>
      </c>
    </row>
    <row r="474" spans="1:4" x14ac:dyDescent="0.3">
      <c r="A474" s="141" t="s">
        <v>1872</v>
      </c>
      <c r="B474" s="141">
        <v>523019</v>
      </c>
      <c r="C474" s="141" t="s">
        <v>1129</v>
      </c>
      <c r="D474" s="141" t="s">
        <v>1112</v>
      </c>
    </row>
    <row r="475" spans="1:4" x14ac:dyDescent="0.3">
      <c r="A475" s="141" t="s">
        <v>1873</v>
      </c>
      <c r="B475" s="141">
        <v>523186</v>
      </c>
      <c r="C475" s="141" t="s">
        <v>1129</v>
      </c>
      <c r="D475" s="141" t="s">
        <v>1123</v>
      </c>
    </row>
    <row r="476" spans="1:4" x14ac:dyDescent="0.3">
      <c r="A476" s="141" t="s">
        <v>1874</v>
      </c>
      <c r="B476" s="141">
        <v>523186</v>
      </c>
      <c r="C476" s="141" t="s">
        <v>1129</v>
      </c>
      <c r="D476" s="141" t="s">
        <v>1123</v>
      </c>
    </row>
    <row r="477" spans="1:4" x14ac:dyDescent="0.3">
      <c r="A477" s="141" t="s">
        <v>1875</v>
      </c>
      <c r="B477" s="141" t="s">
        <v>1129</v>
      </c>
      <c r="C477" s="141" t="s">
        <v>1876</v>
      </c>
      <c r="D477" s="141" t="s">
        <v>1140</v>
      </c>
    </row>
    <row r="478" spans="1:4" x14ac:dyDescent="0.3">
      <c r="A478" s="141" t="s">
        <v>1877</v>
      </c>
      <c r="B478" s="141">
        <v>542206</v>
      </c>
      <c r="C478" s="141" t="s">
        <v>1878</v>
      </c>
      <c r="D478" s="141" t="s">
        <v>1495</v>
      </c>
    </row>
    <row r="479" spans="1:4" x14ac:dyDescent="0.3">
      <c r="A479" s="141" t="s">
        <v>1879</v>
      </c>
      <c r="B479" s="141">
        <v>531268</v>
      </c>
      <c r="C479" s="141" t="s">
        <v>1129</v>
      </c>
      <c r="D479" s="141" t="s">
        <v>1222</v>
      </c>
    </row>
    <row r="480" spans="1:4" x14ac:dyDescent="0.3">
      <c r="A480" s="141" t="s">
        <v>1880</v>
      </c>
      <c r="B480" s="141">
        <v>532380</v>
      </c>
      <c r="C480" s="141" t="s">
        <v>1129</v>
      </c>
      <c r="D480" s="141" t="s">
        <v>1132</v>
      </c>
    </row>
    <row r="481" spans="1:4" x14ac:dyDescent="0.3">
      <c r="A481" s="141" t="s">
        <v>1881</v>
      </c>
      <c r="B481" s="141">
        <v>524516</v>
      </c>
      <c r="C481" s="141" t="s">
        <v>1129</v>
      </c>
      <c r="D481" s="141" t="s">
        <v>1167</v>
      </c>
    </row>
    <row r="482" spans="1:4" x14ac:dyDescent="0.3">
      <c r="A482" s="141" t="s">
        <v>1882</v>
      </c>
      <c r="B482" s="141">
        <v>532989</v>
      </c>
      <c r="C482" s="141" t="s">
        <v>1883</v>
      </c>
      <c r="D482" s="141" t="s">
        <v>1167</v>
      </c>
    </row>
    <row r="483" spans="1:4" x14ac:dyDescent="0.3">
      <c r="A483" s="141" t="s">
        <v>1884</v>
      </c>
      <c r="B483" s="141">
        <v>530197</v>
      </c>
      <c r="C483" s="141" t="s">
        <v>1129</v>
      </c>
      <c r="D483" s="141" t="s">
        <v>1289</v>
      </c>
    </row>
    <row r="484" spans="1:4" x14ac:dyDescent="0.3">
      <c r="A484" s="141" t="s">
        <v>1885</v>
      </c>
      <c r="B484" s="141">
        <v>511724</v>
      </c>
      <c r="C484" s="141" t="s">
        <v>1129</v>
      </c>
      <c r="D484" s="141" t="s">
        <v>1146</v>
      </c>
    </row>
    <row r="485" spans="1:4" x14ac:dyDescent="0.3">
      <c r="A485" s="141" t="s">
        <v>1886</v>
      </c>
      <c r="B485" s="141">
        <v>532977</v>
      </c>
      <c r="C485" s="141" t="s">
        <v>1887</v>
      </c>
      <c r="D485" s="141" t="s">
        <v>1787</v>
      </c>
    </row>
    <row r="486" spans="1:4" x14ac:dyDescent="0.3">
      <c r="A486" s="141" t="s">
        <v>1888</v>
      </c>
      <c r="B486" s="141" t="s">
        <v>1129</v>
      </c>
      <c r="C486" s="141" t="s">
        <v>1889</v>
      </c>
      <c r="D486" s="141" t="s">
        <v>1311</v>
      </c>
    </row>
    <row r="487" spans="1:4" x14ac:dyDescent="0.3">
      <c r="A487" s="141" t="s">
        <v>1890</v>
      </c>
      <c r="B487" s="141">
        <v>533229</v>
      </c>
      <c r="C487" s="141" t="s">
        <v>1891</v>
      </c>
      <c r="D487" s="141" t="s">
        <v>1311</v>
      </c>
    </row>
    <row r="488" spans="1:4" x14ac:dyDescent="0.3">
      <c r="A488" s="141" t="s">
        <v>1892</v>
      </c>
      <c r="B488" s="141">
        <v>500031</v>
      </c>
      <c r="C488" s="141" t="s">
        <v>1893</v>
      </c>
      <c r="D488" s="141" t="s">
        <v>1894</v>
      </c>
    </row>
    <row r="489" spans="1:4" x14ac:dyDescent="0.3">
      <c r="A489" s="141" t="s">
        <v>1895</v>
      </c>
      <c r="B489" s="141">
        <v>500034</v>
      </c>
      <c r="C489" s="141" t="s">
        <v>1896</v>
      </c>
      <c r="D489" s="141" t="s">
        <v>1146</v>
      </c>
    </row>
    <row r="490" spans="1:4" x14ac:dyDescent="0.3">
      <c r="A490" s="141" t="s">
        <v>1897</v>
      </c>
      <c r="B490" s="141">
        <v>532978</v>
      </c>
      <c r="C490" s="141" t="s">
        <v>1898</v>
      </c>
      <c r="D490" s="141" t="s">
        <v>1295</v>
      </c>
    </row>
    <row r="491" spans="1:4" x14ac:dyDescent="0.3">
      <c r="A491" s="141" t="s">
        <v>1899</v>
      </c>
      <c r="B491" s="141">
        <v>512261</v>
      </c>
      <c r="C491" s="141" t="s">
        <v>1129</v>
      </c>
      <c r="D491" s="141" t="s">
        <v>1151</v>
      </c>
    </row>
    <row r="492" spans="1:4" x14ac:dyDescent="0.3">
      <c r="A492" s="141" t="s">
        <v>1900</v>
      </c>
      <c r="B492" s="141">
        <v>539872</v>
      </c>
      <c r="C492" s="141" t="s">
        <v>1129</v>
      </c>
      <c r="D492" s="141" t="s">
        <v>1167</v>
      </c>
    </row>
    <row r="493" spans="1:4" x14ac:dyDescent="0.3">
      <c r="A493" s="141" t="s">
        <v>1901</v>
      </c>
      <c r="B493" s="141">
        <v>500032</v>
      </c>
      <c r="C493" s="141" t="s">
        <v>1902</v>
      </c>
      <c r="D493" s="141" t="s">
        <v>1828</v>
      </c>
    </row>
    <row r="494" spans="1:4" x14ac:dyDescent="0.3">
      <c r="A494" s="141" t="s">
        <v>1903</v>
      </c>
      <c r="B494" s="141">
        <v>500490</v>
      </c>
      <c r="C494" s="141" t="s">
        <v>1904</v>
      </c>
      <c r="D494" s="141" t="s">
        <v>1295</v>
      </c>
    </row>
    <row r="495" spans="1:4" x14ac:dyDescent="0.3">
      <c r="A495" s="141" t="s">
        <v>1905</v>
      </c>
      <c r="B495" s="141">
        <v>507944</v>
      </c>
      <c r="C495" s="141" t="s">
        <v>1129</v>
      </c>
      <c r="D495" s="141" t="s">
        <v>1137</v>
      </c>
    </row>
    <row r="496" spans="1:4" x14ac:dyDescent="0.3">
      <c r="A496" s="141" t="s">
        <v>1906</v>
      </c>
      <c r="B496" s="141">
        <v>511139</v>
      </c>
      <c r="C496" s="141" t="s">
        <v>1129</v>
      </c>
      <c r="D496" s="141" t="s">
        <v>1550</v>
      </c>
    </row>
    <row r="497" spans="1:4" x14ac:dyDescent="0.3">
      <c r="A497" s="141" t="s">
        <v>1907</v>
      </c>
      <c r="B497" s="141">
        <v>524824</v>
      </c>
      <c r="C497" s="141" t="s">
        <v>1908</v>
      </c>
      <c r="D497" s="141" t="s">
        <v>1167</v>
      </c>
    </row>
    <row r="498" spans="1:4" x14ac:dyDescent="0.3">
      <c r="A498" s="141" t="s">
        <v>1909</v>
      </c>
      <c r="B498" s="141">
        <v>530999</v>
      </c>
      <c r="C498" s="141" t="s">
        <v>1910</v>
      </c>
      <c r="D498" s="141" t="s">
        <v>1177</v>
      </c>
    </row>
    <row r="499" spans="1:4" x14ac:dyDescent="0.3">
      <c r="A499" s="141" t="s">
        <v>1911</v>
      </c>
      <c r="B499" s="141">
        <v>532382</v>
      </c>
      <c r="C499" s="141" t="s">
        <v>1912</v>
      </c>
      <c r="D499" s="141" t="s">
        <v>1868</v>
      </c>
    </row>
    <row r="500" spans="1:4" x14ac:dyDescent="0.3">
      <c r="A500" s="141" t="s">
        <v>1913</v>
      </c>
      <c r="B500" s="141">
        <v>513142</v>
      </c>
      <c r="C500" s="141" t="s">
        <v>1129</v>
      </c>
      <c r="D500" s="141" t="s">
        <v>1161</v>
      </c>
    </row>
    <row r="501" spans="1:4" x14ac:dyDescent="0.3">
      <c r="A501" s="141" t="s">
        <v>1914</v>
      </c>
      <c r="B501" s="141" t="s">
        <v>1129</v>
      </c>
      <c r="C501" s="141" t="s">
        <v>1915</v>
      </c>
      <c r="D501" s="141" t="s">
        <v>1916</v>
      </c>
    </row>
    <row r="502" spans="1:4" x14ac:dyDescent="0.3">
      <c r="A502" s="141" t="s">
        <v>1917</v>
      </c>
      <c r="B502" s="141">
        <v>539834</v>
      </c>
      <c r="C502" s="141" t="s">
        <v>1129</v>
      </c>
      <c r="D502" s="141" t="s">
        <v>1151</v>
      </c>
    </row>
    <row r="503" spans="1:4" x14ac:dyDescent="0.3">
      <c r="A503" s="141" t="s">
        <v>1918</v>
      </c>
      <c r="B503" s="141">
        <v>502355</v>
      </c>
      <c r="C503" s="141" t="s">
        <v>1919</v>
      </c>
      <c r="D503" s="141" t="s">
        <v>1609</v>
      </c>
    </row>
    <row r="504" spans="1:4" x14ac:dyDescent="0.3">
      <c r="A504" s="141" t="s">
        <v>1920</v>
      </c>
      <c r="B504" s="141">
        <v>539251</v>
      </c>
      <c r="C504" s="141" t="s">
        <v>1921</v>
      </c>
      <c r="D504" s="141" t="s">
        <v>1324</v>
      </c>
    </row>
    <row r="505" spans="1:4" x14ac:dyDescent="0.3">
      <c r="A505" s="141" t="s">
        <v>1922</v>
      </c>
      <c r="B505" s="141">
        <v>500102</v>
      </c>
      <c r="C505" s="141" t="s">
        <v>1923</v>
      </c>
      <c r="D505" s="141" t="s">
        <v>1123</v>
      </c>
    </row>
    <row r="506" spans="1:4" x14ac:dyDescent="0.3">
      <c r="A506" s="141" t="s">
        <v>1924</v>
      </c>
      <c r="B506" s="141">
        <v>523319</v>
      </c>
      <c r="C506" s="141" t="s">
        <v>1925</v>
      </c>
      <c r="D506" s="141" t="s">
        <v>1118</v>
      </c>
    </row>
    <row r="507" spans="1:4" x14ac:dyDescent="0.3">
      <c r="A507" s="141" t="s">
        <v>1926</v>
      </c>
      <c r="B507" s="141">
        <v>532485</v>
      </c>
      <c r="C507" s="141" t="s">
        <v>1129</v>
      </c>
      <c r="D507" s="141" t="s">
        <v>1146</v>
      </c>
    </row>
    <row r="508" spans="1:4" x14ac:dyDescent="0.3">
      <c r="A508" s="141" t="s">
        <v>1927</v>
      </c>
      <c r="B508" s="141">
        <v>500038</v>
      </c>
      <c r="C508" s="141" t="s">
        <v>1928</v>
      </c>
      <c r="D508" s="141" t="s">
        <v>1828</v>
      </c>
    </row>
    <row r="509" spans="1:4" x14ac:dyDescent="0.3">
      <c r="A509" s="141" t="s">
        <v>1929</v>
      </c>
      <c r="B509" s="141">
        <v>520127</v>
      </c>
      <c r="C509" s="141" t="s">
        <v>1129</v>
      </c>
      <c r="D509" s="141" t="s">
        <v>1201</v>
      </c>
    </row>
    <row r="510" spans="1:4" x14ac:dyDescent="0.3">
      <c r="A510" s="141" t="s">
        <v>1930</v>
      </c>
      <c r="B510" s="141">
        <v>519295</v>
      </c>
      <c r="C510" s="141" t="s">
        <v>1129</v>
      </c>
      <c r="D510" s="141" t="s">
        <v>1189</v>
      </c>
    </row>
    <row r="511" spans="1:4" x14ac:dyDescent="0.3">
      <c r="A511" s="141" t="s">
        <v>1931</v>
      </c>
      <c r="B511" s="141">
        <v>531591</v>
      </c>
      <c r="C511" s="141" t="s">
        <v>1129</v>
      </c>
      <c r="D511" s="141" t="s">
        <v>1146</v>
      </c>
    </row>
    <row r="512" spans="1:4" x14ac:dyDescent="0.3">
      <c r="A512" s="141" t="s">
        <v>1932</v>
      </c>
      <c r="B512" s="141">
        <v>526849</v>
      </c>
      <c r="C512" s="141" t="s">
        <v>1933</v>
      </c>
      <c r="D512" s="141" t="s">
        <v>1243</v>
      </c>
    </row>
    <row r="513" spans="1:4" x14ac:dyDescent="0.3">
      <c r="A513" s="141" t="s">
        <v>1934</v>
      </c>
      <c r="B513" s="141">
        <v>509053</v>
      </c>
      <c r="C513" s="141" t="s">
        <v>1129</v>
      </c>
      <c r="D513" s="141" t="s">
        <v>1550</v>
      </c>
    </row>
    <row r="514" spans="1:4" x14ac:dyDescent="0.3">
      <c r="A514" s="141" t="s">
        <v>1935</v>
      </c>
      <c r="B514" s="141">
        <v>500039</v>
      </c>
      <c r="C514" s="141" t="s">
        <v>1936</v>
      </c>
      <c r="D514" s="141" t="s">
        <v>1484</v>
      </c>
    </row>
    <row r="515" spans="1:4" x14ac:dyDescent="0.3">
      <c r="A515" s="141" t="s">
        <v>1937</v>
      </c>
      <c r="B515" s="141">
        <v>541153</v>
      </c>
      <c r="C515" s="141" t="s">
        <v>1938</v>
      </c>
      <c r="D515" s="141" t="s">
        <v>1447</v>
      </c>
    </row>
    <row r="516" spans="1:4" x14ac:dyDescent="0.3">
      <c r="A516" s="141" t="s">
        <v>1939</v>
      </c>
      <c r="B516" s="141">
        <v>532946</v>
      </c>
      <c r="C516" s="141" t="s">
        <v>1940</v>
      </c>
      <c r="D516" s="141" t="s">
        <v>1243</v>
      </c>
    </row>
    <row r="517" spans="1:4" x14ac:dyDescent="0.3">
      <c r="A517" s="141" t="s">
        <v>1941</v>
      </c>
      <c r="B517" s="141">
        <v>539120</v>
      </c>
      <c r="C517" s="141" t="s">
        <v>1129</v>
      </c>
      <c r="D517" s="141" t="s">
        <v>1366</v>
      </c>
    </row>
    <row r="518" spans="1:4" x14ac:dyDescent="0.3">
      <c r="A518" s="141" t="s">
        <v>1942</v>
      </c>
      <c r="B518" s="141">
        <v>532134</v>
      </c>
      <c r="C518" s="141" t="s">
        <v>1943</v>
      </c>
      <c r="D518" s="141" t="s">
        <v>1447</v>
      </c>
    </row>
    <row r="519" spans="1:4" x14ac:dyDescent="0.3">
      <c r="A519" s="141" t="s">
        <v>1944</v>
      </c>
      <c r="B519" s="141">
        <v>532149</v>
      </c>
      <c r="C519" s="141" t="s">
        <v>1945</v>
      </c>
      <c r="D519" s="141" t="s">
        <v>1447</v>
      </c>
    </row>
    <row r="520" spans="1:4" x14ac:dyDescent="0.3">
      <c r="A520" s="141" t="s">
        <v>1946</v>
      </c>
      <c r="B520" s="141">
        <v>532525</v>
      </c>
      <c r="C520" s="141" t="s">
        <v>1947</v>
      </c>
      <c r="D520" s="141" t="s">
        <v>1447</v>
      </c>
    </row>
    <row r="521" spans="1:4" x14ac:dyDescent="0.3">
      <c r="A521" s="141" t="s">
        <v>1948</v>
      </c>
      <c r="B521" s="141" t="s">
        <v>1129</v>
      </c>
      <c r="C521" s="141" t="s">
        <v>1949</v>
      </c>
      <c r="D521" s="141" t="s">
        <v>1140</v>
      </c>
    </row>
    <row r="522" spans="1:4" x14ac:dyDescent="0.3">
      <c r="A522" s="141" t="s">
        <v>1950</v>
      </c>
      <c r="B522" s="141">
        <v>532674</v>
      </c>
      <c r="C522" s="141" t="s">
        <v>1951</v>
      </c>
      <c r="D522" s="141" t="s">
        <v>1144</v>
      </c>
    </row>
    <row r="523" spans="1:4" x14ac:dyDescent="0.3">
      <c r="A523" s="141" t="s">
        <v>1952</v>
      </c>
      <c r="B523" s="141">
        <v>500041</v>
      </c>
      <c r="C523" s="141" t="s">
        <v>1953</v>
      </c>
      <c r="D523" s="141" t="s">
        <v>1828</v>
      </c>
    </row>
    <row r="524" spans="1:4" x14ac:dyDescent="0.3">
      <c r="A524" s="141" t="s">
        <v>1954</v>
      </c>
      <c r="B524" s="141" t="s">
        <v>1129</v>
      </c>
      <c r="C524" s="141" t="s">
        <v>1955</v>
      </c>
      <c r="D524" s="141" t="s">
        <v>1140</v>
      </c>
    </row>
    <row r="525" spans="1:4" x14ac:dyDescent="0.3">
      <c r="A525" s="141" t="s">
        <v>1956</v>
      </c>
      <c r="B525" s="141">
        <v>538546</v>
      </c>
      <c r="C525" s="141" t="s">
        <v>1129</v>
      </c>
      <c r="D525" s="141" t="s">
        <v>1452</v>
      </c>
    </row>
    <row r="526" spans="1:4" x14ac:dyDescent="0.3">
      <c r="A526" s="141" t="s">
        <v>1957</v>
      </c>
      <c r="B526" s="141">
        <v>519353</v>
      </c>
      <c r="C526" s="141" t="s">
        <v>1129</v>
      </c>
      <c r="D526" s="141" t="s">
        <v>1536</v>
      </c>
    </row>
    <row r="527" spans="1:4" x14ac:dyDescent="0.3">
      <c r="A527" s="141" t="s">
        <v>1958</v>
      </c>
      <c r="B527" s="141">
        <v>503722</v>
      </c>
      <c r="C527" s="141" t="s">
        <v>1959</v>
      </c>
      <c r="D527" s="141" t="s">
        <v>1144</v>
      </c>
    </row>
    <row r="528" spans="1:4" x14ac:dyDescent="0.3">
      <c r="A528" s="141" t="s">
        <v>1960</v>
      </c>
      <c r="B528" s="141">
        <v>532916</v>
      </c>
      <c r="C528" s="141" t="s">
        <v>1961</v>
      </c>
      <c r="D528" s="141" t="s">
        <v>1142</v>
      </c>
    </row>
    <row r="529" spans="1:4" x14ac:dyDescent="0.3">
      <c r="A529" s="141" t="s">
        <v>1962</v>
      </c>
      <c r="B529" s="141">
        <v>513502</v>
      </c>
      <c r="C529" s="141" t="s">
        <v>1129</v>
      </c>
      <c r="D529" s="141" t="s">
        <v>1203</v>
      </c>
    </row>
    <row r="530" spans="1:4" x14ac:dyDescent="0.3">
      <c r="A530" s="141" t="s">
        <v>1963</v>
      </c>
      <c r="B530" s="141">
        <v>532336</v>
      </c>
      <c r="C530" s="141" t="s">
        <v>1129</v>
      </c>
      <c r="D530" s="141" t="s">
        <v>1222</v>
      </c>
    </row>
    <row r="531" spans="1:4" x14ac:dyDescent="0.3">
      <c r="A531" s="141" t="s">
        <v>1964</v>
      </c>
      <c r="B531" s="141">
        <v>532694</v>
      </c>
      <c r="C531" s="141" t="s">
        <v>1965</v>
      </c>
      <c r="D531" s="141" t="s">
        <v>1550</v>
      </c>
    </row>
    <row r="532" spans="1:4" x14ac:dyDescent="0.3">
      <c r="A532" s="141" t="s">
        <v>1966</v>
      </c>
      <c r="B532" s="141">
        <v>532694</v>
      </c>
      <c r="C532" s="141" t="s">
        <v>1965</v>
      </c>
      <c r="D532" s="141" t="s">
        <v>1550</v>
      </c>
    </row>
    <row r="533" spans="1:4" x14ac:dyDescent="0.3">
      <c r="A533" s="141" t="s">
        <v>1967</v>
      </c>
      <c r="B533" s="141">
        <v>524687</v>
      </c>
      <c r="C533" s="141" t="s">
        <v>1129</v>
      </c>
      <c r="D533" s="141" t="s">
        <v>1637</v>
      </c>
    </row>
    <row r="534" spans="1:4" x14ac:dyDescent="0.3">
      <c r="A534" s="141" t="s">
        <v>1968</v>
      </c>
      <c r="B534" s="141">
        <v>524687</v>
      </c>
      <c r="C534" s="141" t="s">
        <v>1129</v>
      </c>
      <c r="D534" s="141" t="s">
        <v>1637</v>
      </c>
    </row>
    <row r="535" spans="1:4" x14ac:dyDescent="0.3">
      <c r="A535" s="141" t="s">
        <v>1969</v>
      </c>
      <c r="B535" s="141">
        <v>500042</v>
      </c>
      <c r="C535" s="141" t="s">
        <v>1970</v>
      </c>
      <c r="D535" s="141" t="s">
        <v>1289</v>
      </c>
    </row>
    <row r="536" spans="1:4" x14ac:dyDescent="0.3">
      <c r="A536" s="141" t="s">
        <v>1971</v>
      </c>
      <c r="B536" s="141">
        <v>500042</v>
      </c>
      <c r="C536" s="141" t="s">
        <v>1970</v>
      </c>
      <c r="D536" s="141" t="s">
        <v>1289</v>
      </c>
    </row>
    <row r="537" spans="1:4" x14ac:dyDescent="0.3">
      <c r="A537" s="141" t="s">
        <v>1972</v>
      </c>
      <c r="B537" s="141">
        <v>500043</v>
      </c>
      <c r="C537" s="141" t="s">
        <v>1973</v>
      </c>
      <c r="D537" s="141" t="s">
        <v>1555</v>
      </c>
    </row>
    <row r="538" spans="1:4" x14ac:dyDescent="0.3">
      <c r="A538" s="141" t="s">
        <v>1974</v>
      </c>
      <c r="B538" s="141">
        <v>500043</v>
      </c>
      <c r="C538" s="141" t="s">
        <v>1975</v>
      </c>
      <c r="D538" s="141" t="s">
        <v>1555</v>
      </c>
    </row>
    <row r="539" spans="1:4" x14ac:dyDescent="0.3">
      <c r="A539" s="141" t="s">
        <v>1976</v>
      </c>
      <c r="B539" s="141">
        <v>522004</v>
      </c>
      <c r="C539" s="141" t="s">
        <v>1129</v>
      </c>
      <c r="D539" s="141" t="s">
        <v>1137</v>
      </c>
    </row>
    <row r="540" spans="1:4" x14ac:dyDescent="0.3">
      <c r="A540" s="141" t="s">
        <v>1977</v>
      </c>
      <c r="B540" s="141">
        <v>506285</v>
      </c>
      <c r="C540" s="141" t="s">
        <v>1978</v>
      </c>
      <c r="D540" s="141" t="s">
        <v>1273</v>
      </c>
    </row>
    <row r="541" spans="1:4" x14ac:dyDescent="0.3">
      <c r="A541" s="141" t="s">
        <v>1979</v>
      </c>
      <c r="B541" s="141">
        <v>539946</v>
      </c>
      <c r="C541" s="141" t="s">
        <v>1129</v>
      </c>
      <c r="D541" s="141" t="s">
        <v>1146</v>
      </c>
    </row>
    <row r="542" spans="1:4" x14ac:dyDescent="0.3">
      <c r="A542" s="141" t="s">
        <v>1980</v>
      </c>
      <c r="B542" s="141">
        <v>517246</v>
      </c>
      <c r="C542" s="141" t="s">
        <v>1129</v>
      </c>
      <c r="D542" s="141" t="s">
        <v>1671</v>
      </c>
    </row>
    <row r="543" spans="1:4" x14ac:dyDescent="0.3">
      <c r="A543" s="141" t="s">
        <v>1981</v>
      </c>
      <c r="B543" s="141">
        <v>517246</v>
      </c>
      <c r="C543" s="141" t="s">
        <v>1129</v>
      </c>
      <c r="D543" s="141" t="s">
        <v>1671</v>
      </c>
    </row>
    <row r="544" spans="1:4" x14ac:dyDescent="0.3">
      <c r="A544" s="141" t="s">
        <v>1982</v>
      </c>
      <c r="B544" s="141">
        <v>539621</v>
      </c>
      <c r="C544" s="141" t="s">
        <v>1129</v>
      </c>
      <c r="D544" s="141" t="s">
        <v>1146</v>
      </c>
    </row>
    <row r="545" spans="1:4" x14ac:dyDescent="0.3">
      <c r="A545" s="141" t="s">
        <v>1983</v>
      </c>
      <c r="B545" s="141">
        <v>524332</v>
      </c>
      <c r="C545" s="141" t="s">
        <v>1129</v>
      </c>
      <c r="D545" s="141" t="s">
        <v>1378</v>
      </c>
    </row>
    <row r="546" spans="1:4" x14ac:dyDescent="0.3">
      <c r="A546" s="141" t="s">
        <v>1984</v>
      </c>
      <c r="B546" s="141">
        <v>542057</v>
      </c>
      <c r="C546" s="141" t="s">
        <v>1129</v>
      </c>
      <c r="D546" s="141" t="s">
        <v>1527</v>
      </c>
    </row>
    <row r="547" spans="1:4" x14ac:dyDescent="0.3">
      <c r="A547" s="141" t="s">
        <v>1985</v>
      </c>
      <c r="B547" s="141">
        <v>524828</v>
      </c>
      <c r="C547" s="141" t="s">
        <v>1129</v>
      </c>
      <c r="D547" s="141" t="s">
        <v>1167</v>
      </c>
    </row>
    <row r="548" spans="1:4" x14ac:dyDescent="0.3">
      <c r="A548" s="141" t="s">
        <v>1986</v>
      </c>
      <c r="B548" s="141">
        <v>539447</v>
      </c>
      <c r="C548" s="141" t="s">
        <v>1987</v>
      </c>
      <c r="D548" s="141" t="s">
        <v>1324</v>
      </c>
    </row>
    <row r="549" spans="1:4" x14ac:dyDescent="0.3">
      <c r="A549" s="141" t="s">
        <v>1988</v>
      </c>
      <c r="B549" s="141">
        <v>533270</v>
      </c>
      <c r="C549" s="141" t="s">
        <v>1989</v>
      </c>
      <c r="D549" s="141" t="s">
        <v>1452</v>
      </c>
    </row>
    <row r="550" spans="1:4" x14ac:dyDescent="0.3">
      <c r="A550" s="141" t="s">
        <v>1990</v>
      </c>
      <c r="B550" s="141">
        <v>539546</v>
      </c>
      <c r="C550" s="141" t="s">
        <v>1129</v>
      </c>
      <c r="D550" s="141" t="s">
        <v>1151</v>
      </c>
    </row>
    <row r="551" spans="1:4" x14ac:dyDescent="0.3">
      <c r="A551" s="141" t="s">
        <v>1991</v>
      </c>
      <c r="B551" s="141">
        <v>539018</v>
      </c>
      <c r="C551" s="141" t="s">
        <v>1129</v>
      </c>
      <c r="D551" s="141" t="s">
        <v>1161</v>
      </c>
    </row>
    <row r="552" spans="1:4" x14ac:dyDescent="0.3">
      <c r="A552" s="141" t="s">
        <v>1992</v>
      </c>
      <c r="B552" s="141">
        <v>532645</v>
      </c>
      <c r="C552" s="141" t="s">
        <v>1129</v>
      </c>
      <c r="D552" s="141" t="s">
        <v>1151</v>
      </c>
    </row>
    <row r="553" spans="1:4" x14ac:dyDescent="0.3">
      <c r="A553" s="141" t="s">
        <v>1993</v>
      </c>
      <c r="B553" s="141">
        <v>539399</v>
      </c>
      <c r="C553" s="141" t="s">
        <v>1129</v>
      </c>
      <c r="D553" s="141" t="s">
        <v>1144</v>
      </c>
    </row>
    <row r="554" spans="1:4" x14ac:dyDescent="0.3">
      <c r="A554" s="141" t="s">
        <v>1994</v>
      </c>
      <c r="B554" s="141">
        <v>522650</v>
      </c>
      <c r="C554" s="141" t="s">
        <v>1129</v>
      </c>
      <c r="D554" s="141" t="s">
        <v>1314</v>
      </c>
    </row>
    <row r="555" spans="1:4" x14ac:dyDescent="0.3">
      <c r="A555" s="141" t="s">
        <v>1995</v>
      </c>
      <c r="B555" s="141">
        <v>500048</v>
      </c>
      <c r="C555" s="141" t="s">
        <v>1996</v>
      </c>
      <c r="D555" s="141" t="s">
        <v>1207</v>
      </c>
    </row>
    <row r="556" spans="1:4" x14ac:dyDescent="0.3">
      <c r="A556" s="141" t="s">
        <v>1997</v>
      </c>
      <c r="B556" s="141">
        <v>541178</v>
      </c>
      <c r="C556" s="141" t="s">
        <v>1129</v>
      </c>
      <c r="D556" s="141" t="s">
        <v>1314</v>
      </c>
    </row>
    <row r="557" spans="1:4" x14ac:dyDescent="0.3">
      <c r="A557" s="141" t="s">
        <v>1998</v>
      </c>
      <c r="B557" s="141">
        <v>509438</v>
      </c>
      <c r="C557" s="141" t="s">
        <v>1129</v>
      </c>
      <c r="D557" s="141" t="s">
        <v>1330</v>
      </c>
    </row>
    <row r="558" spans="1:4" x14ac:dyDescent="0.3">
      <c r="A558" s="141" t="s">
        <v>1999</v>
      </c>
      <c r="B558" s="141">
        <v>533095</v>
      </c>
      <c r="C558" s="141" t="s">
        <v>1129</v>
      </c>
      <c r="D558" s="141" t="s">
        <v>1146</v>
      </c>
    </row>
    <row r="559" spans="1:4" x14ac:dyDescent="0.3">
      <c r="A559" s="141" t="s">
        <v>2000</v>
      </c>
      <c r="B559" s="141">
        <v>512404</v>
      </c>
      <c r="C559" s="141" t="s">
        <v>1129</v>
      </c>
      <c r="D559" s="141" t="s">
        <v>1161</v>
      </c>
    </row>
    <row r="560" spans="1:4" x14ac:dyDescent="0.3">
      <c r="A560" s="141" t="s">
        <v>2001</v>
      </c>
      <c r="B560" s="141">
        <v>532230</v>
      </c>
      <c r="C560" s="141" t="s">
        <v>1129</v>
      </c>
      <c r="D560" s="141" t="s">
        <v>1144</v>
      </c>
    </row>
    <row r="561" spans="1:4" x14ac:dyDescent="0.3">
      <c r="A561" s="141" t="s">
        <v>2002</v>
      </c>
      <c r="B561" s="141">
        <v>512195</v>
      </c>
      <c r="C561" s="141" t="s">
        <v>1129</v>
      </c>
      <c r="D561" s="141" t="s">
        <v>1550</v>
      </c>
    </row>
    <row r="562" spans="1:4" x14ac:dyDescent="0.3">
      <c r="A562" s="141" t="s">
        <v>2003</v>
      </c>
      <c r="B562" s="141">
        <v>509480</v>
      </c>
      <c r="C562" s="141" t="s">
        <v>2004</v>
      </c>
      <c r="D562" s="141" t="s">
        <v>1406</v>
      </c>
    </row>
    <row r="563" spans="1:4" x14ac:dyDescent="0.3">
      <c r="A563" s="141" t="s">
        <v>2005</v>
      </c>
      <c r="B563" s="141">
        <v>531340</v>
      </c>
      <c r="C563" s="141" t="s">
        <v>1129</v>
      </c>
      <c r="D563" s="141" t="s">
        <v>1112</v>
      </c>
    </row>
    <row r="564" spans="1:4" x14ac:dyDescent="0.3">
      <c r="A564" s="141" t="s">
        <v>2006</v>
      </c>
      <c r="B564" s="141">
        <v>524606</v>
      </c>
      <c r="C564" s="141" t="s">
        <v>1129</v>
      </c>
      <c r="D564" s="141" t="s">
        <v>1167</v>
      </c>
    </row>
    <row r="565" spans="1:4" x14ac:dyDescent="0.3">
      <c r="A565" s="141" t="s">
        <v>2007</v>
      </c>
      <c r="B565" s="141">
        <v>531582</v>
      </c>
      <c r="C565" s="141" t="s">
        <v>1129</v>
      </c>
      <c r="D565" s="141" t="s">
        <v>1146</v>
      </c>
    </row>
    <row r="566" spans="1:4" x14ac:dyDescent="0.3">
      <c r="A566" s="141" t="s">
        <v>2008</v>
      </c>
      <c r="B566" s="141">
        <v>508664</v>
      </c>
      <c r="C566" s="141" t="s">
        <v>1129</v>
      </c>
      <c r="D566" s="141" t="s">
        <v>1330</v>
      </c>
    </row>
    <row r="567" spans="1:4" x14ac:dyDescent="0.3">
      <c r="A567" s="141" t="s">
        <v>2009</v>
      </c>
      <c r="B567" s="141" t="s">
        <v>1129</v>
      </c>
      <c r="C567" s="141" t="s">
        <v>2010</v>
      </c>
      <c r="D567" s="141" t="s">
        <v>1140</v>
      </c>
    </row>
    <row r="568" spans="1:4" x14ac:dyDescent="0.3">
      <c r="A568" s="141" t="s">
        <v>2011</v>
      </c>
      <c r="B568" s="141">
        <v>512477</v>
      </c>
      <c r="C568" s="141" t="s">
        <v>1129</v>
      </c>
      <c r="D568" s="141" t="s">
        <v>1144</v>
      </c>
    </row>
    <row r="569" spans="1:4" x14ac:dyDescent="0.3">
      <c r="A569" s="141" t="s">
        <v>2012</v>
      </c>
      <c r="B569" s="141">
        <v>512477</v>
      </c>
      <c r="C569" s="141" t="s">
        <v>1129</v>
      </c>
      <c r="D569" s="141" t="s">
        <v>1144</v>
      </c>
    </row>
    <row r="570" spans="1:4" x14ac:dyDescent="0.3">
      <c r="A570" s="141" t="s">
        <v>2013</v>
      </c>
      <c r="B570" s="141">
        <v>533303</v>
      </c>
      <c r="C570" s="141" t="s">
        <v>2014</v>
      </c>
      <c r="D570" s="141" t="s">
        <v>1295</v>
      </c>
    </row>
    <row r="571" spans="1:4" x14ac:dyDescent="0.3">
      <c r="A571" s="141" t="s">
        <v>2015</v>
      </c>
      <c r="B571" s="141">
        <v>532430</v>
      </c>
      <c r="C571" s="141" t="s">
        <v>2016</v>
      </c>
      <c r="D571" s="141" t="s">
        <v>1268</v>
      </c>
    </row>
    <row r="572" spans="1:4" x14ac:dyDescent="0.3">
      <c r="A572" s="141" t="s">
        <v>2017</v>
      </c>
      <c r="B572" s="141">
        <v>539662</v>
      </c>
      <c r="C572" s="141" t="s">
        <v>1129</v>
      </c>
      <c r="D572" s="141" t="s">
        <v>1146</v>
      </c>
    </row>
    <row r="573" spans="1:4" x14ac:dyDescent="0.3">
      <c r="A573" s="141" t="s">
        <v>2018</v>
      </c>
      <c r="B573" s="141">
        <v>511664</v>
      </c>
      <c r="C573" s="141" t="s">
        <v>1129</v>
      </c>
      <c r="D573" s="141" t="s">
        <v>1132</v>
      </c>
    </row>
    <row r="574" spans="1:4" x14ac:dyDescent="0.3">
      <c r="A574" s="141" t="s">
        <v>2019</v>
      </c>
      <c r="B574" s="141">
        <v>532930</v>
      </c>
      <c r="C574" s="141" t="s">
        <v>2020</v>
      </c>
      <c r="D574" s="141" t="s">
        <v>1172</v>
      </c>
    </row>
    <row r="575" spans="1:4" x14ac:dyDescent="0.3">
      <c r="A575" s="141" t="s">
        <v>2021</v>
      </c>
      <c r="B575" s="141">
        <v>530803</v>
      </c>
      <c r="C575" s="141" t="s">
        <v>2022</v>
      </c>
      <c r="D575" s="141" t="s">
        <v>1177</v>
      </c>
    </row>
    <row r="576" spans="1:4" x14ac:dyDescent="0.3">
      <c r="A576" s="141" t="s">
        <v>2023</v>
      </c>
      <c r="B576" s="141">
        <v>531719</v>
      </c>
      <c r="C576" s="141" t="s">
        <v>1129</v>
      </c>
      <c r="D576" s="141" t="s">
        <v>1273</v>
      </c>
    </row>
    <row r="577" spans="1:4" x14ac:dyDescent="0.3">
      <c r="A577" s="141" t="s">
        <v>2024</v>
      </c>
      <c r="B577" s="141">
        <v>504646</v>
      </c>
      <c r="C577" s="141" t="s">
        <v>1129</v>
      </c>
      <c r="D577" s="141" t="s">
        <v>1484</v>
      </c>
    </row>
    <row r="578" spans="1:4" x14ac:dyDescent="0.3">
      <c r="A578" s="141" t="s">
        <v>2025</v>
      </c>
      <c r="B578" s="141">
        <v>509449</v>
      </c>
      <c r="C578" s="141" t="s">
        <v>1129</v>
      </c>
      <c r="D578" s="141" t="s">
        <v>1177</v>
      </c>
    </row>
    <row r="579" spans="1:4" x14ac:dyDescent="0.3">
      <c r="A579" s="141" t="s">
        <v>2026</v>
      </c>
      <c r="B579" s="141">
        <v>512296</v>
      </c>
      <c r="C579" s="141" t="s">
        <v>2027</v>
      </c>
      <c r="D579" s="141" t="s">
        <v>1203</v>
      </c>
    </row>
    <row r="580" spans="1:4" x14ac:dyDescent="0.3">
      <c r="A580" s="141" t="s">
        <v>2028</v>
      </c>
      <c r="B580" s="141">
        <v>512296</v>
      </c>
      <c r="C580" s="141" t="s">
        <v>2027</v>
      </c>
      <c r="D580" s="141" t="s">
        <v>1203</v>
      </c>
    </row>
    <row r="581" spans="1:4" x14ac:dyDescent="0.3">
      <c r="A581" s="141" t="s">
        <v>2029</v>
      </c>
      <c r="B581" s="141">
        <v>540621</v>
      </c>
      <c r="C581" s="141" t="s">
        <v>2030</v>
      </c>
      <c r="D581" s="141" t="s">
        <v>1215</v>
      </c>
    </row>
    <row r="582" spans="1:4" x14ac:dyDescent="0.3">
      <c r="A582" s="141" t="s">
        <v>2031</v>
      </c>
      <c r="B582" s="141">
        <v>540545</v>
      </c>
      <c r="C582" s="141" t="s">
        <v>1129</v>
      </c>
      <c r="D582" s="141" t="s">
        <v>1243</v>
      </c>
    </row>
    <row r="583" spans="1:4" x14ac:dyDescent="0.3">
      <c r="A583" s="141" t="s">
        <v>2032</v>
      </c>
      <c r="B583" s="141">
        <v>512608</v>
      </c>
      <c r="C583" s="141" t="s">
        <v>2033</v>
      </c>
      <c r="D583" s="141" t="s">
        <v>1243</v>
      </c>
    </row>
    <row r="584" spans="1:4" x14ac:dyDescent="0.3">
      <c r="A584" s="141" t="s">
        <v>2034</v>
      </c>
      <c r="B584" s="141">
        <v>538576</v>
      </c>
      <c r="C584" s="141" t="s">
        <v>1129</v>
      </c>
      <c r="D584" s="141" t="s">
        <v>1215</v>
      </c>
    </row>
    <row r="585" spans="1:4" x14ac:dyDescent="0.3">
      <c r="A585" s="141" t="s">
        <v>2035</v>
      </c>
      <c r="B585" s="141">
        <v>500052</v>
      </c>
      <c r="C585" s="141" t="s">
        <v>2036</v>
      </c>
      <c r="D585" s="141" t="s">
        <v>1289</v>
      </c>
    </row>
    <row r="586" spans="1:4" x14ac:dyDescent="0.3">
      <c r="A586" s="141" t="s">
        <v>2037</v>
      </c>
      <c r="B586" s="141">
        <v>531862</v>
      </c>
      <c r="C586" s="141" t="s">
        <v>1129</v>
      </c>
      <c r="D586" s="141" t="s">
        <v>1637</v>
      </c>
    </row>
    <row r="587" spans="1:4" x14ac:dyDescent="0.3">
      <c r="A587" s="141" t="s">
        <v>2038</v>
      </c>
      <c r="B587" s="141">
        <v>511501</v>
      </c>
      <c r="C587" s="141" t="s">
        <v>1129</v>
      </c>
      <c r="D587" s="141" t="s">
        <v>1112</v>
      </c>
    </row>
    <row r="588" spans="1:4" x14ac:dyDescent="0.3">
      <c r="A588" s="141" t="s">
        <v>2039</v>
      </c>
      <c r="B588" s="141">
        <v>503960</v>
      </c>
      <c r="C588" s="141" t="s">
        <v>2040</v>
      </c>
      <c r="D588" s="141" t="s">
        <v>1427</v>
      </c>
    </row>
    <row r="589" spans="1:4" x14ac:dyDescent="0.3">
      <c r="A589" s="141" t="s">
        <v>2041</v>
      </c>
      <c r="B589" s="141">
        <v>541143</v>
      </c>
      <c r="C589" s="141" t="s">
        <v>2042</v>
      </c>
      <c r="D589" s="141" t="s">
        <v>1602</v>
      </c>
    </row>
    <row r="590" spans="1:4" x14ac:dyDescent="0.3">
      <c r="A590" s="141" t="s">
        <v>2043</v>
      </c>
      <c r="B590" s="141">
        <v>500049</v>
      </c>
      <c r="C590" s="141" t="s">
        <v>2044</v>
      </c>
      <c r="D590" s="141" t="s">
        <v>1602</v>
      </c>
    </row>
    <row r="591" spans="1:4" x14ac:dyDescent="0.3">
      <c r="A591" s="141" t="s">
        <v>2045</v>
      </c>
      <c r="B591" s="141">
        <v>533228</v>
      </c>
      <c r="C591" s="141" t="s">
        <v>2046</v>
      </c>
      <c r="D591" s="141" t="s">
        <v>1146</v>
      </c>
    </row>
    <row r="592" spans="1:4" x14ac:dyDescent="0.3">
      <c r="A592" s="141" t="s">
        <v>2047</v>
      </c>
      <c r="B592" s="141">
        <v>500493</v>
      </c>
      <c r="C592" s="141" t="s">
        <v>2048</v>
      </c>
      <c r="D592" s="141" t="s">
        <v>2049</v>
      </c>
    </row>
    <row r="593" spans="1:4" x14ac:dyDescent="0.3">
      <c r="A593" s="141" t="s">
        <v>2050</v>
      </c>
      <c r="B593" s="141">
        <v>505688</v>
      </c>
      <c r="C593" s="141" t="s">
        <v>2051</v>
      </c>
      <c r="D593" s="141" t="s">
        <v>1484</v>
      </c>
    </row>
    <row r="594" spans="1:4" x14ac:dyDescent="0.3">
      <c r="A594" s="141" t="s">
        <v>2052</v>
      </c>
      <c r="B594" s="141">
        <v>500103</v>
      </c>
      <c r="C594" s="141" t="s">
        <v>2053</v>
      </c>
      <c r="D594" s="141" t="s">
        <v>1172</v>
      </c>
    </row>
    <row r="595" spans="1:4" x14ac:dyDescent="0.3">
      <c r="A595" s="141" t="s">
        <v>2054</v>
      </c>
      <c r="B595" s="141">
        <v>524663</v>
      </c>
      <c r="C595" s="141" t="s">
        <v>1129</v>
      </c>
      <c r="D595" s="141" t="s">
        <v>1167</v>
      </c>
    </row>
    <row r="596" spans="1:4" x14ac:dyDescent="0.3">
      <c r="A596" s="141" t="s">
        <v>2055</v>
      </c>
      <c r="B596" s="141">
        <v>541096</v>
      </c>
      <c r="C596" s="141" t="s">
        <v>1129</v>
      </c>
      <c r="D596" s="141" t="s">
        <v>1167</v>
      </c>
    </row>
    <row r="597" spans="1:4" x14ac:dyDescent="0.3">
      <c r="A597" s="141" t="s">
        <v>2056</v>
      </c>
      <c r="B597" s="141">
        <v>500547</v>
      </c>
      <c r="C597" s="141" t="s">
        <v>2057</v>
      </c>
      <c r="D597" s="141" t="s">
        <v>2058</v>
      </c>
    </row>
    <row r="598" spans="1:4" x14ac:dyDescent="0.3">
      <c r="A598" s="141" t="s">
        <v>2059</v>
      </c>
      <c r="B598" s="141">
        <v>590021</v>
      </c>
      <c r="C598" s="141" t="s">
        <v>2060</v>
      </c>
      <c r="D598" s="141" t="s">
        <v>1273</v>
      </c>
    </row>
    <row r="599" spans="1:4" x14ac:dyDescent="0.3">
      <c r="A599" s="141" t="s">
        <v>2061</v>
      </c>
      <c r="B599" s="141">
        <v>540700</v>
      </c>
      <c r="C599" s="141" t="s">
        <v>2062</v>
      </c>
      <c r="D599" s="141" t="s">
        <v>1724</v>
      </c>
    </row>
    <row r="600" spans="1:4" x14ac:dyDescent="0.3">
      <c r="A600" s="141" t="s">
        <v>2063</v>
      </c>
      <c r="B600" s="141">
        <v>523229</v>
      </c>
      <c r="C600" s="141" t="s">
        <v>1129</v>
      </c>
      <c r="D600" s="141" t="s">
        <v>1484</v>
      </c>
    </row>
    <row r="601" spans="1:4" x14ac:dyDescent="0.3">
      <c r="A601" s="141" t="s">
        <v>2064</v>
      </c>
      <c r="B601" s="141">
        <v>531029</v>
      </c>
      <c r="C601" s="141" t="s">
        <v>1129</v>
      </c>
      <c r="D601" s="141" t="s">
        <v>1151</v>
      </c>
    </row>
    <row r="602" spans="1:4" x14ac:dyDescent="0.3">
      <c r="A602" s="141" t="s">
        <v>2065</v>
      </c>
      <c r="B602" s="141">
        <v>539799</v>
      </c>
      <c r="C602" s="141" t="s">
        <v>2066</v>
      </c>
      <c r="D602" s="141" t="s">
        <v>1452</v>
      </c>
    </row>
    <row r="603" spans="1:4" x14ac:dyDescent="0.3">
      <c r="A603" s="141" t="s">
        <v>2067</v>
      </c>
      <c r="B603" s="141">
        <v>532609</v>
      </c>
      <c r="C603" s="141" t="s">
        <v>2068</v>
      </c>
      <c r="D603" s="141" t="s">
        <v>1207</v>
      </c>
    </row>
    <row r="604" spans="1:4" x14ac:dyDescent="0.3">
      <c r="A604" s="141" t="s">
        <v>2069</v>
      </c>
      <c r="B604" s="141">
        <v>533499</v>
      </c>
      <c r="C604" s="141" t="s">
        <v>2070</v>
      </c>
      <c r="D604" s="141" t="s">
        <v>1115</v>
      </c>
    </row>
    <row r="605" spans="1:4" x14ac:dyDescent="0.3">
      <c r="A605" s="141" t="s">
        <v>2071</v>
      </c>
      <c r="B605" s="141">
        <v>532454</v>
      </c>
      <c r="C605" s="141" t="s">
        <v>2072</v>
      </c>
      <c r="D605" s="141" t="s">
        <v>2073</v>
      </c>
    </row>
    <row r="606" spans="1:4" x14ac:dyDescent="0.3">
      <c r="A606" s="141" t="s">
        <v>2074</v>
      </c>
      <c r="B606" s="141">
        <v>534816</v>
      </c>
      <c r="C606" s="141" t="s">
        <v>2075</v>
      </c>
      <c r="D606" s="141" t="s">
        <v>2076</v>
      </c>
    </row>
    <row r="607" spans="1:4" x14ac:dyDescent="0.3">
      <c r="A607" s="141" t="s">
        <v>2077</v>
      </c>
      <c r="B607" s="141">
        <v>526666</v>
      </c>
      <c r="C607" s="141" t="s">
        <v>2078</v>
      </c>
      <c r="D607" s="141" t="s">
        <v>1243</v>
      </c>
    </row>
    <row r="608" spans="1:4" x14ac:dyDescent="0.3">
      <c r="A608" s="141" t="s">
        <v>2079</v>
      </c>
      <c r="B608" s="141">
        <v>524534</v>
      </c>
      <c r="C608" s="141" t="s">
        <v>1129</v>
      </c>
      <c r="D608" s="141" t="s">
        <v>1273</v>
      </c>
    </row>
    <row r="609" spans="1:4" x14ac:dyDescent="0.3">
      <c r="A609" s="141" t="s">
        <v>2080</v>
      </c>
      <c r="B609" s="141">
        <v>540956</v>
      </c>
      <c r="C609" s="141" t="s">
        <v>1129</v>
      </c>
      <c r="D609" s="141" t="s">
        <v>1130</v>
      </c>
    </row>
    <row r="610" spans="1:4" x14ac:dyDescent="0.3">
      <c r="A610" s="141" t="s">
        <v>2081</v>
      </c>
      <c r="B610" s="141">
        <v>540956</v>
      </c>
      <c r="C610" s="141" t="s">
        <v>1129</v>
      </c>
      <c r="D610" s="141" t="s">
        <v>1130</v>
      </c>
    </row>
    <row r="611" spans="1:4" x14ac:dyDescent="0.3">
      <c r="A611" s="141" t="s">
        <v>2082</v>
      </c>
      <c r="B611" s="141">
        <v>514272</v>
      </c>
      <c r="C611" s="141" t="s">
        <v>1129</v>
      </c>
      <c r="D611" s="141" t="s">
        <v>1144</v>
      </c>
    </row>
    <row r="612" spans="1:4" x14ac:dyDescent="0.3">
      <c r="A612" s="141" t="s">
        <v>2083</v>
      </c>
      <c r="B612" s="141">
        <v>533108</v>
      </c>
      <c r="C612" s="141" t="s">
        <v>1129</v>
      </c>
      <c r="D612" s="141" t="s">
        <v>1144</v>
      </c>
    </row>
    <row r="613" spans="1:4" x14ac:dyDescent="0.3">
      <c r="A613" s="141" t="s">
        <v>2084</v>
      </c>
      <c r="B613" s="141">
        <v>506027</v>
      </c>
      <c r="C613" s="141" t="s">
        <v>1129</v>
      </c>
      <c r="D613" s="141" t="s">
        <v>1434</v>
      </c>
    </row>
    <row r="614" spans="1:4" x14ac:dyDescent="0.3">
      <c r="A614" s="141" t="s">
        <v>2085</v>
      </c>
      <c r="B614" s="141">
        <v>500055</v>
      </c>
      <c r="C614" s="141" t="s">
        <v>2086</v>
      </c>
      <c r="D614" s="141" t="s">
        <v>1161</v>
      </c>
    </row>
    <row r="615" spans="1:4" x14ac:dyDescent="0.3">
      <c r="A615" s="141" t="s">
        <v>2087</v>
      </c>
      <c r="B615" s="141">
        <v>540061</v>
      </c>
      <c r="C615" s="141" t="s">
        <v>2088</v>
      </c>
      <c r="D615" s="141" t="s">
        <v>1142</v>
      </c>
    </row>
    <row r="616" spans="1:4" x14ac:dyDescent="0.3">
      <c r="A616" s="141" t="s">
        <v>2089</v>
      </c>
      <c r="B616" s="141">
        <v>500058</v>
      </c>
      <c r="C616" s="141" t="s">
        <v>1129</v>
      </c>
      <c r="D616" s="141" t="s">
        <v>1161</v>
      </c>
    </row>
    <row r="617" spans="1:4" x14ac:dyDescent="0.3">
      <c r="A617" s="141" t="s">
        <v>2090</v>
      </c>
      <c r="B617" s="141">
        <v>524723</v>
      </c>
      <c r="C617" s="141" t="s">
        <v>1129</v>
      </c>
      <c r="D617" s="141" t="s">
        <v>1151</v>
      </c>
    </row>
    <row r="618" spans="1:4" x14ac:dyDescent="0.3">
      <c r="A618" s="141" t="s">
        <v>2091</v>
      </c>
      <c r="B618" s="141">
        <v>533321</v>
      </c>
      <c r="C618" s="141" t="s">
        <v>2092</v>
      </c>
      <c r="D618" s="141" t="s">
        <v>1427</v>
      </c>
    </row>
    <row r="619" spans="1:4" x14ac:dyDescent="0.3">
      <c r="A619" s="141" t="s">
        <v>2093</v>
      </c>
      <c r="B619" s="141">
        <v>526853</v>
      </c>
      <c r="C619" s="141" t="s">
        <v>1129</v>
      </c>
      <c r="D619" s="141" t="s">
        <v>2094</v>
      </c>
    </row>
    <row r="620" spans="1:4" x14ac:dyDescent="0.3">
      <c r="A620" s="141" t="s">
        <v>2095</v>
      </c>
      <c r="B620" s="141">
        <v>505681</v>
      </c>
      <c r="C620" s="141" t="s">
        <v>1129</v>
      </c>
      <c r="D620" s="141" t="s">
        <v>1484</v>
      </c>
    </row>
    <row r="621" spans="1:4" x14ac:dyDescent="0.3">
      <c r="A621" s="141" t="s">
        <v>2096</v>
      </c>
      <c r="B621" s="141">
        <v>500059</v>
      </c>
      <c r="C621" s="141" t="s">
        <v>2097</v>
      </c>
      <c r="D621" s="141" t="s">
        <v>1295</v>
      </c>
    </row>
    <row r="622" spans="1:4" x14ac:dyDescent="0.3">
      <c r="A622" s="141" t="s">
        <v>2098</v>
      </c>
      <c r="B622" s="141">
        <v>523054</v>
      </c>
      <c r="C622" s="141" t="s">
        <v>1129</v>
      </c>
      <c r="D622" s="141" t="s">
        <v>1144</v>
      </c>
    </row>
    <row r="623" spans="1:4" x14ac:dyDescent="0.3">
      <c r="A623" s="141" t="s">
        <v>2099</v>
      </c>
      <c r="B623" s="141">
        <v>540148</v>
      </c>
      <c r="C623" s="141" t="s">
        <v>1129</v>
      </c>
      <c r="D623" s="141" t="s">
        <v>1243</v>
      </c>
    </row>
    <row r="624" spans="1:4" x14ac:dyDescent="0.3">
      <c r="A624" s="141" t="s">
        <v>2100</v>
      </c>
      <c r="B624" s="141">
        <v>514215</v>
      </c>
      <c r="C624" s="141" t="s">
        <v>1129</v>
      </c>
      <c r="D624" s="141" t="s">
        <v>1144</v>
      </c>
    </row>
    <row r="625" spans="1:4" x14ac:dyDescent="0.3">
      <c r="A625" s="141" t="s">
        <v>2101</v>
      </c>
      <c r="B625" s="141">
        <v>535620</v>
      </c>
      <c r="C625" s="141" t="s">
        <v>1129</v>
      </c>
      <c r="D625" s="141" t="s">
        <v>1151</v>
      </c>
    </row>
    <row r="626" spans="1:4" x14ac:dyDescent="0.3">
      <c r="A626" s="141" t="s">
        <v>2102</v>
      </c>
      <c r="B626" s="141">
        <v>534535</v>
      </c>
      <c r="C626" s="141" t="s">
        <v>1129</v>
      </c>
      <c r="D626" s="141" t="s">
        <v>1123</v>
      </c>
    </row>
    <row r="627" spans="1:4" x14ac:dyDescent="0.3">
      <c r="A627" s="141" t="s">
        <v>2103</v>
      </c>
      <c r="B627" s="141">
        <v>532523</v>
      </c>
      <c r="C627" s="141" t="s">
        <v>2104</v>
      </c>
      <c r="D627" s="141" t="s">
        <v>1467</v>
      </c>
    </row>
    <row r="628" spans="1:4" x14ac:dyDescent="0.3">
      <c r="A628" s="141" t="s">
        <v>2105</v>
      </c>
      <c r="B628" s="141">
        <v>524396</v>
      </c>
      <c r="C628" s="141" t="s">
        <v>2106</v>
      </c>
      <c r="D628" s="141" t="s">
        <v>1167</v>
      </c>
    </row>
    <row r="629" spans="1:4" x14ac:dyDescent="0.3">
      <c r="A629" s="141" t="s">
        <v>2107</v>
      </c>
      <c r="B629" s="141">
        <v>532330</v>
      </c>
      <c r="C629" s="141" t="s">
        <v>1129</v>
      </c>
      <c r="D629" s="141" t="s">
        <v>1249</v>
      </c>
    </row>
    <row r="630" spans="1:4" x14ac:dyDescent="0.3">
      <c r="A630" s="141" t="s">
        <v>2108</v>
      </c>
      <c r="B630" s="141">
        <v>538364</v>
      </c>
      <c r="C630" s="141" t="s">
        <v>1129</v>
      </c>
      <c r="D630" s="141" t="s">
        <v>1144</v>
      </c>
    </row>
    <row r="631" spans="1:4" x14ac:dyDescent="0.3">
      <c r="A631" s="141" t="s">
        <v>2109</v>
      </c>
      <c r="B631" s="141">
        <v>500060</v>
      </c>
      <c r="C631" s="141" t="s">
        <v>2110</v>
      </c>
      <c r="D631" s="141" t="s">
        <v>1427</v>
      </c>
    </row>
    <row r="632" spans="1:4" x14ac:dyDescent="0.3">
      <c r="A632" s="141" t="s">
        <v>2111</v>
      </c>
      <c r="B632" s="141">
        <v>500335</v>
      </c>
      <c r="C632" s="141" t="s">
        <v>2112</v>
      </c>
      <c r="D632" s="141" t="s">
        <v>1142</v>
      </c>
    </row>
    <row r="633" spans="1:4" x14ac:dyDescent="0.3">
      <c r="A633" s="141" t="s">
        <v>2113</v>
      </c>
      <c r="B633" s="141">
        <v>533006</v>
      </c>
      <c r="C633" s="141" t="s">
        <v>1129</v>
      </c>
      <c r="D633" s="141" t="s">
        <v>1144</v>
      </c>
    </row>
    <row r="634" spans="1:4" x14ac:dyDescent="0.3">
      <c r="A634" s="141" t="s">
        <v>2114</v>
      </c>
      <c r="B634" s="141">
        <v>533006</v>
      </c>
      <c r="C634" s="141" t="s">
        <v>1129</v>
      </c>
      <c r="D634" s="141" t="s">
        <v>1144</v>
      </c>
    </row>
    <row r="635" spans="1:4" x14ac:dyDescent="0.3">
      <c r="A635" s="141" t="s">
        <v>2115</v>
      </c>
      <c r="B635" s="141">
        <v>522105</v>
      </c>
      <c r="C635" s="141" t="s">
        <v>1129</v>
      </c>
      <c r="D635" s="141" t="s">
        <v>1137</v>
      </c>
    </row>
    <row r="636" spans="1:4" x14ac:dyDescent="0.3">
      <c r="A636" s="141" t="s">
        <v>2116</v>
      </c>
      <c r="B636" s="141">
        <v>533408</v>
      </c>
      <c r="C636" s="141" t="s">
        <v>2117</v>
      </c>
      <c r="D636" s="141" t="s">
        <v>1112</v>
      </c>
    </row>
    <row r="637" spans="1:4" x14ac:dyDescent="0.3">
      <c r="A637" s="141" t="s">
        <v>2118</v>
      </c>
      <c r="B637" s="141" t="s">
        <v>1129</v>
      </c>
      <c r="C637" s="141" t="s">
        <v>2119</v>
      </c>
      <c r="D637" s="141" t="s">
        <v>1115</v>
      </c>
    </row>
    <row r="638" spans="1:4" x14ac:dyDescent="0.3">
      <c r="A638" s="141" t="s">
        <v>2120</v>
      </c>
      <c r="B638" s="141">
        <v>539043</v>
      </c>
      <c r="C638" s="141" t="s">
        <v>2121</v>
      </c>
      <c r="D638" s="141" t="s">
        <v>1324</v>
      </c>
    </row>
    <row r="639" spans="1:4" x14ac:dyDescent="0.3">
      <c r="A639" s="141" t="s">
        <v>2122</v>
      </c>
      <c r="B639" s="141">
        <v>514183</v>
      </c>
      <c r="C639" s="141" t="s">
        <v>1129</v>
      </c>
      <c r="D639" s="141" t="s">
        <v>1289</v>
      </c>
    </row>
    <row r="640" spans="1:4" x14ac:dyDescent="0.3">
      <c r="A640" s="141" t="s">
        <v>2123</v>
      </c>
      <c r="B640" s="141">
        <v>532290</v>
      </c>
      <c r="C640" s="141" t="s">
        <v>2124</v>
      </c>
      <c r="D640" s="141" t="s">
        <v>1112</v>
      </c>
    </row>
    <row r="641" spans="1:4" x14ac:dyDescent="0.3">
      <c r="A641" s="141" t="s">
        <v>2125</v>
      </c>
      <c r="B641" s="141">
        <v>506197</v>
      </c>
      <c r="C641" s="141" t="s">
        <v>2126</v>
      </c>
      <c r="D641" s="141" t="s">
        <v>1167</v>
      </c>
    </row>
    <row r="642" spans="1:4" x14ac:dyDescent="0.3">
      <c r="A642" s="141" t="s">
        <v>2127</v>
      </c>
      <c r="B642" s="141">
        <v>526225</v>
      </c>
      <c r="C642" s="141" t="s">
        <v>1129</v>
      </c>
      <c r="D642" s="141" t="s">
        <v>1249</v>
      </c>
    </row>
    <row r="643" spans="1:4" x14ac:dyDescent="0.3">
      <c r="A643" s="141" t="s">
        <v>2128</v>
      </c>
      <c r="B643" s="141">
        <v>513422</v>
      </c>
      <c r="C643" s="141" t="s">
        <v>1129</v>
      </c>
      <c r="D643" s="141" t="s">
        <v>1161</v>
      </c>
    </row>
    <row r="644" spans="1:4" x14ac:dyDescent="0.3">
      <c r="A644" s="141" t="s">
        <v>2129</v>
      </c>
      <c r="B644" s="141">
        <v>531175</v>
      </c>
      <c r="C644" s="141" t="s">
        <v>1129</v>
      </c>
      <c r="D644" s="141" t="s">
        <v>1222</v>
      </c>
    </row>
    <row r="645" spans="1:4" x14ac:dyDescent="0.3">
      <c r="A645" s="141" t="s">
        <v>2130</v>
      </c>
      <c r="B645" s="141">
        <v>540073</v>
      </c>
      <c r="C645" s="141" t="s">
        <v>2131</v>
      </c>
      <c r="D645" s="141" t="s">
        <v>2132</v>
      </c>
    </row>
    <row r="646" spans="1:4" x14ac:dyDescent="0.3">
      <c r="A646" s="141" t="s">
        <v>2133</v>
      </c>
      <c r="B646" s="141">
        <v>502761</v>
      </c>
      <c r="C646" s="141" t="s">
        <v>1129</v>
      </c>
      <c r="D646" s="141" t="s">
        <v>1144</v>
      </c>
    </row>
    <row r="647" spans="1:4" x14ac:dyDescent="0.3">
      <c r="A647" s="141" t="s">
        <v>2134</v>
      </c>
      <c r="B647" s="141" t="s">
        <v>1129</v>
      </c>
      <c r="C647" s="141" t="s">
        <v>2135</v>
      </c>
      <c r="D647" s="141" t="s">
        <v>1220</v>
      </c>
    </row>
    <row r="648" spans="1:4" x14ac:dyDescent="0.3">
      <c r="A648" s="141" t="s">
        <v>2136</v>
      </c>
      <c r="B648" s="141">
        <v>502761</v>
      </c>
      <c r="C648" s="141" t="s">
        <v>1129</v>
      </c>
      <c r="D648" s="141" t="s">
        <v>1144</v>
      </c>
    </row>
    <row r="649" spans="1:4" x14ac:dyDescent="0.3">
      <c r="A649" s="141" t="s">
        <v>2137</v>
      </c>
      <c r="B649" s="141">
        <v>506981</v>
      </c>
      <c r="C649" s="141" t="s">
        <v>1129</v>
      </c>
      <c r="D649" s="141" t="s">
        <v>1144</v>
      </c>
    </row>
    <row r="650" spans="1:4" x14ac:dyDescent="0.3">
      <c r="A650" s="141" t="s">
        <v>2138</v>
      </c>
      <c r="B650" s="141">
        <v>508939</v>
      </c>
      <c r="C650" s="141" t="s">
        <v>1129</v>
      </c>
      <c r="D650" s="141" t="s">
        <v>1146</v>
      </c>
    </row>
    <row r="651" spans="1:4" x14ac:dyDescent="0.3">
      <c r="A651" s="141" t="s">
        <v>2139</v>
      </c>
      <c r="B651" s="141">
        <v>539607</v>
      </c>
      <c r="C651" s="141" t="s">
        <v>1129</v>
      </c>
      <c r="D651" s="141" t="s">
        <v>1222</v>
      </c>
    </row>
    <row r="652" spans="1:4" x14ac:dyDescent="0.3">
      <c r="A652" s="141" t="s">
        <v>2140</v>
      </c>
      <c r="B652" s="141">
        <v>531495</v>
      </c>
      <c r="C652" s="141" t="s">
        <v>2141</v>
      </c>
      <c r="D652" s="141" t="s">
        <v>1330</v>
      </c>
    </row>
    <row r="653" spans="1:4" x14ac:dyDescent="0.3">
      <c r="A653" s="141" t="s">
        <v>2142</v>
      </c>
      <c r="B653" s="141">
        <v>526612</v>
      </c>
      <c r="C653" s="141" t="s">
        <v>2143</v>
      </c>
      <c r="D653" s="141" t="s">
        <v>1450</v>
      </c>
    </row>
    <row r="654" spans="1:4" x14ac:dyDescent="0.3">
      <c r="A654" s="141" t="s">
        <v>2144</v>
      </c>
      <c r="B654" s="141">
        <v>514440</v>
      </c>
      <c r="C654" s="141" t="s">
        <v>1129</v>
      </c>
      <c r="D654" s="141" t="s">
        <v>1177</v>
      </c>
    </row>
    <row r="655" spans="1:4" x14ac:dyDescent="0.3">
      <c r="A655" s="141" t="s">
        <v>2145</v>
      </c>
      <c r="B655" s="141">
        <v>500067</v>
      </c>
      <c r="C655" s="141" t="s">
        <v>2146</v>
      </c>
      <c r="D655" s="141" t="s">
        <v>1498</v>
      </c>
    </row>
    <row r="656" spans="1:4" x14ac:dyDescent="0.3">
      <c r="A656" s="141" t="s">
        <v>2147</v>
      </c>
      <c r="B656" s="141">
        <v>539637</v>
      </c>
      <c r="C656" s="141" t="s">
        <v>1129</v>
      </c>
      <c r="D656" s="141" t="s">
        <v>1112</v>
      </c>
    </row>
    <row r="657" spans="1:4" x14ac:dyDescent="0.3">
      <c r="A657" s="141" t="s">
        <v>2148</v>
      </c>
      <c r="B657" s="141">
        <v>531713</v>
      </c>
      <c r="C657" s="141" t="s">
        <v>1129</v>
      </c>
      <c r="D657" s="141" t="s">
        <v>1550</v>
      </c>
    </row>
    <row r="658" spans="1:4" x14ac:dyDescent="0.3">
      <c r="A658" s="141" t="s">
        <v>2149</v>
      </c>
      <c r="B658" s="141">
        <v>531420</v>
      </c>
      <c r="C658" s="141" t="s">
        <v>1129</v>
      </c>
      <c r="D658" s="141" t="s">
        <v>1132</v>
      </c>
    </row>
    <row r="659" spans="1:4" x14ac:dyDescent="0.3">
      <c r="A659" s="141" t="s">
        <v>2150</v>
      </c>
      <c r="B659" s="141">
        <v>542669</v>
      </c>
      <c r="C659" s="141" t="s">
        <v>2151</v>
      </c>
      <c r="D659" s="141" t="s">
        <v>1247</v>
      </c>
    </row>
    <row r="660" spans="1:4" x14ac:dyDescent="0.3">
      <c r="A660" s="141" t="s">
        <v>2152</v>
      </c>
      <c r="B660" s="141">
        <v>500069</v>
      </c>
      <c r="C660" s="141" t="s">
        <v>1129</v>
      </c>
      <c r="D660" s="141" t="s">
        <v>1112</v>
      </c>
    </row>
    <row r="661" spans="1:4" x14ac:dyDescent="0.3">
      <c r="A661" s="141" t="s">
        <v>2153</v>
      </c>
      <c r="B661" s="141">
        <v>530809</v>
      </c>
      <c r="C661" s="141" t="s">
        <v>1129</v>
      </c>
      <c r="D661" s="141" t="s">
        <v>1459</v>
      </c>
    </row>
    <row r="662" spans="1:4" x14ac:dyDescent="0.3">
      <c r="A662" s="141" t="s">
        <v>2154</v>
      </c>
      <c r="B662" s="141">
        <v>524370</v>
      </c>
      <c r="C662" s="141" t="s">
        <v>2155</v>
      </c>
      <c r="D662" s="141" t="s">
        <v>1289</v>
      </c>
    </row>
    <row r="663" spans="1:4" x14ac:dyDescent="0.3">
      <c r="A663" s="141" t="s">
        <v>2156</v>
      </c>
      <c r="B663" s="141">
        <v>539122</v>
      </c>
      <c r="C663" s="141" t="s">
        <v>1129</v>
      </c>
      <c r="D663" s="141" t="s">
        <v>1115</v>
      </c>
    </row>
    <row r="664" spans="1:4" x14ac:dyDescent="0.3">
      <c r="A664" s="141" t="s">
        <v>2157</v>
      </c>
      <c r="B664" s="141" t="s">
        <v>1129</v>
      </c>
      <c r="C664" s="141" t="s">
        <v>2158</v>
      </c>
      <c r="D664" s="141" t="s">
        <v>1140</v>
      </c>
    </row>
    <row r="665" spans="1:4" x14ac:dyDescent="0.3">
      <c r="A665" s="141" t="s">
        <v>2159</v>
      </c>
      <c r="B665" s="141">
        <v>501425</v>
      </c>
      <c r="C665" s="141" t="s">
        <v>2160</v>
      </c>
      <c r="D665" s="141" t="s">
        <v>1536</v>
      </c>
    </row>
    <row r="666" spans="1:4" x14ac:dyDescent="0.3">
      <c r="A666" s="141" t="s">
        <v>2161</v>
      </c>
      <c r="B666" s="141">
        <v>501430</v>
      </c>
      <c r="C666" s="141" t="s">
        <v>1129</v>
      </c>
      <c r="D666" s="141" t="s">
        <v>1151</v>
      </c>
    </row>
    <row r="667" spans="1:4" x14ac:dyDescent="0.3">
      <c r="A667" s="141" t="s">
        <v>2162</v>
      </c>
      <c r="B667" s="141">
        <v>500020</v>
      </c>
      <c r="C667" s="141" t="s">
        <v>2163</v>
      </c>
      <c r="D667" s="141" t="s">
        <v>1144</v>
      </c>
    </row>
    <row r="668" spans="1:4" x14ac:dyDescent="0.3">
      <c r="A668" s="141" t="s">
        <v>2164</v>
      </c>
      <c r="B668" s="141">
        <v>509470</v>
      </c>
      <c r="C668" s="141" t="s">
        <v>1129</v>
      </c>
      <c r="D668" s="141" t="s">
        <v>2165</v>
      </c>
    </row>
    <row r="669" spans="1:4" x14ac:dyDescent="0.3">
      <c r="A669" s="141" t="s">
        <v>2166</v>
      </c>
      <c r="B669" s="141">
        <v>502216</v>
      </c>
      <c r="C669" s="141" t="s">
        <v>1129</v>
      </c>
      <c r="D669" s="141" t="s">
        <v>1215</v>
      </c>
    </row>
    <row r="670" spans="1:4" x14ac:dyDescent="0.3">
      <c r="A670" s="141" t="s">
        <v>2167</v>
      </c>
      <c r="B670" s="141">
        <v>532678</v>
      </c>
      <c r="C670" s="141" t="s">
        <v>2168</v>
      </c>
      <c r="D670" s="141" t="s">
        <v>1144</v>
      </c>
    </row>
    <row r="671" spans="1:4" x14ac:dyDescent="0.3">
      <c r="A671" s="141" t="s">
        <v>2169</v>
      </c>
      <c r="B671" s="141" t="s">
        <v>1129</v>
      </c>
      <c r="C671" s="141" t="s">
        <v>2170</v>
      </c>
      <c r="D671" s="141" t="s">
        <v>1140</v>
      </c>
    </row>
    <row r="672" spans="1:4" x14ac:dyDescent="0.3">
      <c r="A672" s="141" t="s">
        <v>2171</v>
      </c>
      <c r="B672" s="141">
        <v>504648</v>
      </c>
      <c r="C672" s="141" t="s">
        <v>1129</v>
      </c>
      <c r="D672" s="141" t="s">
        <v>1452</v>
      </c>
    </row>
    <row r="673" spans="1:4" x14ac:dyDescent="0.3">
      <c r="A673" s="141" t="s">
        <v>2172</v>
      </c>
      <c r="B673" s="141">
        <v>523133</v>
      </c>
      <c r="C673" s="141" t="s">
        <v>1129</v>
      </c>
      <c r="D673" s="141" t="s">
        <v>1144</v>
      </c>
    </row>
    <row r="674" spans="1:4" x14ac:dyDescent="0.3">
      <c r="A674" s="141" t="s">
        <v>2173</v>
      </c>
      <c r="B674" s="141">
        <v>502219</v>
      </c>
      <c r="C674" s="141" t="s">
        <v>2174</v>
      </c>
      <c r="D674" s="141" t="s">
        <v>2175</v>
      </c>
    </row>
    <row r="675" spans="1:4" x14ac:dyDescent="0.3">
      <c r="A675" s="141" t="s">
        <v>2176</v>
      </c>
      <c r="B675" s="141">
        <v>500530</v>
      </c>
      <c r="C675" s="141" t="s">
        <v>2177</v>
      </c>
      <c r="D675" s="141" t="s">
        <v>1484</v>
      </c>
    </row>
    <row r="676" spans="1:4" x14ac:dyDescent="0.3">
      <c r="A676" s="141" t="s">
        <v>2178</v>
      </c>
      <c r="B676" s="141">
        <v>536820</v>
      </c>
      <c r="C676" s="141" t="s">
        <v>1129</v>
      </c>
      <c r="D676" s="141" t="s">
        <v>1222</v>
      </c>
    </row>
    <row r="677" spans="1:4" x14ac:dyDescent="0.3">
      <c r="A677" s="141" t="s">
        <v>2179</v>
      </c>
      <c r="B677" s="141">
        <v>536820</v>
      </c>
      <c r="C677" s="141" t="s">
        <v>1129</v>
      </c>
      <c r="D677" s="141" t="s">
        <v>1222</v>
      </c>
    </row>
    <row r="678" spans="1:4" x14ac:dyDescent="0.3">
      <c r="A678" s="141" t="s">
        <v>2180</v>
      </c>
      <c r="B678" s="141">
        <v>535279</v>
      </c>
      <c r="C678" s="141" t="s">
        <v>1129</v>
      </c>
      <c r="D678" s="141" t="s">
        <v>1434</v>
      </c>
    </row>
    <row r="679" spans="1:4" x14ac:dyDescent="0.3">
      <c r="A679" s="141" t="s">
        <v>2181</v>
      </c>
      <c r="B679" s="141">
        <v>500074</v>
      </c>
      <c r="C679" s="141" t="s">
        <v>2182</v>
      </c>
      <c r="D679" s="141" t="s">
        <v>1498</v>
      </c>
    </row>
    <row r="680" spans="1:4" x14ac:dyDescent="0.3">
      <c r="A680" s="141" t="s">
        <v>2183</v>
      </c>
      <c r="B680" s="141">
        <v>505690</v>
      </c>
      <c r="C680" s="141" t="s">
        <v>1129</v>
      </c>
      <c r="D680" s="141" t="s">
        <v>1207</v>
      </c>
    </row>
    <row r="681" spans="1:4" x14ac:dyDescent="0.3">
      <c r="A681" s="141" t="s">
        <v>2184</v>
      </c>
      <c r="B681" s="141">
        <v>535693</v>
      </c>
      <c r="C681" s="141" t="s">
        <v>1129</v>
      </c>
      <c r="D681" s="141" t="s">
        <v>1527</v>
      </c>
    </row>
    <row r="682" spans="1:4" x14ac:dyDescent="0.3">
      <c r="A682" s="141" t="s">
        <v>2185</v>
      </c>
      <c r="B682" s="141" t="s">
        <v>1129</v>
      </c>
      <c r="C682" s="141" t="s">
        <v>2186</v>
      </c>
      <c r="D682" s="141" t="s">
        <v>1140</v>
      </c>
    </row>
    <row r="683" spans="1:4" x14ac:dyDescent="0.3">
      <c r="A683" s="141" t="s">
        <v>2187</v>
      </c>
      <c r="B683" s="141">
        <v>531203</v>
      </c>
      <c r="C683" s="141" t="s">
        <v>1129</v>
      </c>
      <c r="D683" s="141" t="s">
        <v>1213</v>
      </c>
    </row>
    <row r="684" spans="1:4" x14ac:dyDescent="0.3">
      <c r="A684" s="141" t="s">
        <v>2188</v>
      </c>
      <c r="B684" s="141">
        <v>530207</v>
      </c>
      <c r="C684" s="141" t="s">
        <v>1129</v>
      </c>
      <c r="D684" s="141" t="s">
        <v>1167</v>
      </c>
    </row>
    <row r="685" spans="1:4" x14ac:dyDescent="0.3">
      <c r="A685" s="141" t="s">
        <v>2189</v>
      </c>
      <c r="B685" s="141">
        <v>530249</v>
      </c>
      <c r="C685" s="141" t="s">
        <v>1129</v>
      </c>
      <c r="D685" s="141" t="s">
        <v>1112</v>
      </c>
    </row>
    <row r="686" spans="1:4" x14ac:dyDescent="0.3">
      <c r="A686" s="141" t="s">
        <v>2190</v>
      </c>
      <c r="B686" s="141">
        <v>532929</v>
      </c>
      <c r="C686" s="141" t="s">
        <v>2191</v>
      </c>
      <c r="D686" s="141" t="s">
        <v>1215</v>
      </c>
    </row>
    <row r="687" spans="1:4" x14ac:dyDescent="0.3">
      <c r="A687" s="141" t="s">
        <v>2192</v>
      </c>
      <c r="B687" s="141">
        <v>526731</v>
      </c>
      <c r="C687" s="141" t="s">
        <v>1129</v>
      </c>
      <c r="D687" s="141" t="s">
        <v>1324</v>
      </c>
    </row>
    <row r="688" spans="1:4" x14ac:dyDescent="0.3">
      <c r="A688" s="141" t="s">
        <v>2193</v>
      </c>
      <c r="B688" s="141" t="s">
        <v>1129</v>
      </c>
      <c r="C688" s="141" t="s">
        <v>2194</v>
      </c>
      <c r="D688" s="141" t="s">
        <v>1140</v>
      </c>
    </row>
    <row r="689" spans="1:4" x14ac:dyDescent="0.3">
      <c r="A689" s="141" t="s">
        <v>2195</v>
      </c>
      <c r="B689" s="141">
        <v>532368</v>
      </c>
      <c r="C689" s="141" t="s">
        <v>2196</v>
      </c>
      <c r="D689" s="141" t="s">
        <v>1222</v>
      </c>
    </row>
    <row r="690" spans="1:4" x14ac:dyDescent="0.3">
      <c r="A690" s="141" t="s">
        <v>2197</v>
      </c>
      <c r="B690" s="141">
        <v>532113</v>
      </c>
      <c r="C690" s="141" t="s">
        <v>2198</v>
      </c>
      <c r="D690" s="141" t="s">
        <v>1146</v>
      </c>
    </row>
    <row r="691" spans="1:4" x14ac:dyDescent="0.3">
      <c r="A691" s="141" t="s">
        <v>2199</v>
      </c>
      <c r="B691" s="141">
        <v>539434</v>
      </c>
      <c r="C691" s="141" t="s">
        <v>1129</v>
      </c>
      <c r="D691" s="141" t="s">
        <v>1146</v>
      </c>
    </row>
    <row r="692" spans="1:4" x14ac:dyDescent="0.3">
      <c r="A692" s="141" t="s">
        <v>2200</v>
      </c>
      <c r="B692" s="141">
        <v>500825</v>
      </c>
      <c r="C692" s="141" t="s">
        <v>2201</v>
      </c>
      <c r="D692" s="141" t="s">
        <v>1189</v>
      </c>
    </row>
    <row r="693" spans="1:4" x14ac:dyDescent="0.3">
      <c r="A693" s="141" t="s">
        <v>2202</v>
      </c>
      <c r="B693" s="141">
        <v>534731</v>
      </c>
      <c r="C693" s="141" t="s">
        <v>1129</v>
      </c>
      <c r="D693" s="141" t="s">
        <v>1527</v>
      </c>
    </row>
    <row r="694" spans="1:4" x14ac:dyDescent="0.3">
      <c r="A694" s="141" t="s">
        <v>2203</v>
      </c>
      <c r="B694" s="141">
        <v>533543</v>
      </c>
      <c r="C694" s="141" t="s">
        <v>2204</v>
      </c>
      <c r="D694" s="141" t="s">
        <v>1167</v>
      </c>
    </row>
    <row r="695" spans="1:4" x14ac:dyDescent="0.3">
      <c r="A695" s="141" t="s">
        <v>2205</v>
      </c>
      <c r="B695" s="141" t="s">
        <v>1129</v>
      </c>
      <c r="C695" s="141" t="s">
        <v>1104</v>
      </c>
      <c r="D695" s="141" t="s">
        <v>1220</v>
      </c>
    </row>
    <row r="696" spans="1:4" x14ac:dyDescent="0.3">
      <c r="A696" s="141" t="s">
        <v>2206</v>
      </c>
      <c r="B696" s="141">
        <v>532123</v>
      </c>
      <c r="C696" s="141" t="s">
        <v>2207</v>
      </c>
      <c r="D696" s="141" t="s">
        <v>1215</v>
      </c>
    </row>
    <row r="697" spans="1:4" x14ac:dyDescent="0.3">
      <c r="A697" s="141" t="s">
        <v>2208</v>
      </c>
      <c r="B697" s="141">
        <v>514045</v>
      </c>
      <c r="C697" s="141" t="s">
        <v>2209</v>
      </c>
      <c r="D697" s="141" t="s">
        <v>1144</v>
      </c>
    </row>
    <row r="698" spans="1:4" x14ac:dyDescent="0.3">
      <c r="A698" s="141" t="s">
        <v>2210</v>
      </c>
      <c r="B698" s="141">
        <v>538789</v>
      </c>
      <c r="C698" s="141" t="s">
        <v>1129</v>
      </c>
      <c r="D698" s="141" t="s">
        <v>1366</v>
      </c>
    </row>
    <row r="699" spans="1:4" x14ac:dyDescent="0.3">
      <c r="A699" s="141" t="s">
        <v>2211</v>
      </c>
      <c r="B699" s="141">
        <v>540006</v>
      </c>
      <c r="C699" s="141" t="s">
        <v>1129</v>
      </c>
      <c r="D699" s="141" t="s">
        <v>1112</v>
      </c>
    </row>
    <row r="700" spans="1:4" x14ac:dyDescent="0.3">
      <c r="A700" s="141" t="s">
        <v>2212</v>
      </c>
      <c r="B700" s="141">
        <v>532931</v>
      </c>
      <c r="C700" s="141" t="s">
        <v>2213</v>
      </c>
      <c r="D700" s="141" t="s">
        <v>1142</v>
      </c>
    </row>
    <row r="701" spans="1:4" x14ac:dyDescent="0.3">
      <c r="A701" s="141" t="s">
        <v>2214</v>
      </c>
      <c r="B701" s="141">
        <v>517421</v>
      </c>
      <c r="C701" s="141" t="s">
        <v>2215</v>
      </c>
      <c r="D701" s="141" t="s">
        <v>1894</v>
      </c>
    </row>
    <row r="702" spans="1:4" x14ac:dyDescent="0.3">
      <c r="A702" s="141" t="s">
        <v>2216</v>
      </c>
      <c r="B702" s="141">
        <v>504643</v>
      </c>
      <c r="C702" s="141" t="s">
        <v>1129</v>
      </c>
      <c r="D702" s="141" t="s">
        <v>1452</v>
      </c>
    </row>
    <row r="703" spans="1:4" x14ac:dyDescent="0.3">
      <c r="A703" s="141" t="s">
        <v>2217</v>
      </c>
      <c r="B703" s="141">
        <v>532813</v>
      </c>
      <c r="C703" s="141" t="s">
        <v>2218</v>
      </c>
      <c r="D703" s="141" t="s">
        <v>1527</v>
      </c>
    </row>
    <row r="704" spans="1:4" x14ac:dyDescent="0.3">
      <c r="A704" s="141" t="s">
        <v>2219</v>
      </c>
      <c r="B704" s="141">
        <v>507515</v>
      </c>
      <c r="C704" s="141" t="s">
        <v>1129</v>
      </c>
      <c r="D704" s="141" t="s">
        <v>1289</v>
      </c>
    </row>
    <row r="705" spans="1:4" x14ac:dyDescent="0.3">
      <c r="A705" s="141" t="s">
        <v>2220</v>
      </c>
      <c r="B705" s="141">
        <v>532321</v>
      </c>
      <c r="C705" s="141" t="s">
        <v>2221</v>
      </c>
      <c r="D705" s="141" t="s">
        <v>1167</v>
      </c>
    </row>
    <row r="706" spans="1:4" x14ac:dyDescent="0.3">
      <c r="A706" s="141" t="s">
        <v>2222</v>
      </c>
      <c r="B706" s="141" t="s">
        <v>1129</v>
      </c>
      <c r="C706" s="141" t="s">
        <v>2223</v>
      </c>
      <c r="D706" s="141" t="s">
        <v>1140</v>
      </c>
    </row>
    <row r="707" spans="1:4" x14ac:dyDescent="0.3">
      <c r="A707" s="141" t="s">
        <v>2224</v>
      </c>
      <c r="B707" s="141" t="s">
        <v>1129</v>
      </c>
      <c r="C707" s="141" t="s">
        <v>2223</v>
      </c>
      <c r="D707" s="141" t="s">
        <v>1140</v>
      </c>
    </row>
    <row r="708" spans="1:4" x14ac:dyDescent="0.3">
      <c r="A708" s="141" t="s">
        <v>2225</v>
      </c>
      <c r="B708" s="141">
        <v>517236</v>
      </c>
      <c r="C708" s="141" t="s">
        <v>1129</v>
      </c>
      <c r="D708" s="141" t="s">
        <v>1498</v>
      </c>
    </row>
    <row r="709" spans="1:4" x14ac:dyDescent="0.3">
      <c r="A709" s="141" t="s">
        <v>2226</v>
      </c>
      <c r="B709" s="141">
        <v>532386</v>
      </c>
      <c r="C709" s="141" t="s">
        <v>2227</v>
      </c>
      <c r="D709" s="141" t="s">
        <v>1222</v>
      </c>
    </row>
    <row r="710" spans="1:4" x14ac:dyDescent="0.3">
      <c r="A710" s="141" t="s">
        <v>2228</v>
      </c>
      <c r="B710" s="141">
        <v>532801</v>
      </c>
      <c r="C710" s="141" t="s">
        <v>2229</v>
      </c>
      <c r="D710" s="141" t="s">
        <v>1222</v>
      </c>
    </row>
    <row r="711" spans="1:4" x14ac:dyDescent="0.3">
      <c r="A711" s="141" t="s">
        <v>2230</v>
      </c>
      <c r="B711" s="141">
        <v>524440</v>
      </c>
      <c r="C711" s="141" t="s">
        <v>1129</v>
      </c>
      <c r="D711" s="141" t="s">
        <v>1177</v>
      </c>
    </row>
    <row r="712" spans="1:4" x14ac:dyDescent="0.3">
      <c r="A712" s="141" t="s">
        <v>2231</v>
      </c>
      <c r="B712" s="141">
        <v>532834</v>
      </c>
      <c r="C712" s="141" t="s">
        <v>2232</v>
      </c>
      <c r="D712" s="141" t="s">
        <v>1289</v>
      </c>
    </row>
    <row r="713" spans="1:4" x14ac:dyDescent="0.3">
      <c r="A713" s="141" t="s">
        <v>2233</v>
      </c>
      <c r="B713" s="141">
        <v>538858</v>
      </c>
      <c r="C713" s="141" t="s">
        <v>1129</v>
      </c>
      <c r="D713" s="141" t="s">
        <v>1467</v>
      </c>
    </row>
    <row r="714" spans="1:4" x14ac:dyDescent="0.3">
      <c r="A714" s="141" t="s">
        <v>2234</v>
      </c>
      <c r="B714" s="141">
        <v>540071</v>
      </c>
      <c r="C714" s="141" t="s">
        <v>1129</v>
      </c>
      <c r="D714" s="141" t="s">
        <v>1327</v>
      </c>
    </row>
    <row r="715" spans="1:4" x14ac:dyDescent="0.3">
      <c r="A715" s="141" t="s">
        <v>2235</v>
      </c>
      <c r="B715" s="141">
        <v>511196</v>
      </c>
      <c r="C715" s="141" t="s">
        <v>2236</v>
      </c>
      <c r="D715" s="141" t="s">
        <v>1187</v>
      </c>
    </row>
    <row r="716" spans="1:4" x14ac:dyDescent="0.3">
      <c r="A716" s="141" t="s">
        <v>2237</v>
      </c>
      <c r="B716" s="141">
        <v>532483</v>
      </c>
      <c r="C716" s="141" t="s">
        <v>2238</v>
      </c>
      <c r="D716" s="141" t="s">
        <v>1447</v>
      </c>
    </row>
    <row r="717" spans="1:4" x14ac:dyDescent="0.3">
      <c r="A717" s="141" t="s">
        <v>2239</v>
      </c>
      <c r="B717" s="141">
        <v>539304</v>
      </c>
      <c r="C717" s="141" t="s">
        <v>1129</v>
      </c>
      <c r="D717" s="141" t="s">
        <v>1112</v>
      </c>
    </row>
    <row r="718" spans="1:4" x14ac:dyDescent="0.3">
      <c r="A718" s="141" t="s">
        <v>2240</v>
      </c>
      <c r="B718" s="141">
        <v>533267</v>
      </c>
      <c r="C718" s="141" t="s">
        <v>2241</v>
      </c>
      <c r="D718" s="141" t="s">
        <v>1243</v>
      </c>
    </row>
    <row r="719" spans="1:4" x14ac:dyDescent="0.3">
      <c r="A719" s="141" t="s">
        <v>2242</v>
      </c>
      <c r="B719" s="141">
        <v>533267</v>
      </c>
      <c r="C719" s="141" t="s">
        <v>2241</v>
      </c>
      <c r="D719" s="141" t="s">
        <v>1243</v>
      </c>
    </row>
    <row r="720" spans="1:4" x14ac:dyDescent="0.3">
      <c r="A720" s="141" t="s">
        <v>2243</v>
      </c>
      <c r="B720" s="141">
        <v>540710</v>
      </c>
      <c r="C720" s="141" t="s">
        <v>2244</v>
      </c>
      <c r="D720" s="141" t="s">
        <v>1215</v>
      </c>
    </row>
    <row r="721" spans="1:4" x14ac:dyDescent="0.3">
      <c r="A721" s="141" t="s">
        <v>2245</v>
      </c>
      <c r="B721" s="141">
        <v>539198</v>
      </c>
      <c r="C721" s="141" t="s">
        <v>1129</v>
      </c>
      <c r="D721" s="141" t="s">
        <v>1112</v>
      </c>
    </row>
    <row r="722" spans="1:4" x14ac:dyDescent="0.3">
      <c r="A722" s="141" t="s">
        <v>2246</v>
      </c>
      <c r="B722" s="141">
        <v>539198</v>
      </c>
      <c r="C722" s="141" t="s">
        <v>1129</v>
      </c>
      <c r="D722" s="141" t="s">
        <v>1112</v>
      </c>
    </row>
    <row r="723" spans="1:4" x14ac:dyDescent="0.3">
      <c r="A723" s="141" t="s">
        <v>2247</v>
      </c>
      <c r="B723" s="141">
        <v>532938</v>
      </c>
      <c r="C723" s="141" t="s">
        <v>2248</v>
      </c>
      <c r="D723" s="141" t="s">
        <v>1112</v>
      </c>
    </row>
    <row r="724" spans="1:4" x14ac:dyDescent="0.3">
      <c r="A724" s="141" t="s">
        <v>2249</v>
      </c>
      <c r="B724" s="141">
        <v>530879</v>
      </c>
      <c r="C724" s="141" t="s">
        <v>1129</v>
      </c>
      <c r="D724" s="141" t="s">
        <v>1112</v>
      </c>
    </row>
    <row r="725" spans="1:4" x14ac:dyDescent="0.3">
      <c r="A725" s="141" t="s">
        <v>2250</v>
      </c>
      <c r="B725" s="141">
        <v>538476</v>
      </c>
      <c r="C725" s="141" t="s">
        <v>1129</v>
      </c>
      <c r="D725" s="141" t="s">
        <v>1146</v>
      </c>
    </row>
    <row r="726" spans="1:4" x14ac:dyDescent="0.3">
      <c r="A726" s="141" t="s">
        <v>2251</v>
      </c>
      <c r="B726" s="141">
        <v>511505</v>
      </c>
      <c r="C726" s="141" t="s">
        <v>2252</v>
      </c>
      <c r="D726" s="141" t="s">
        <v>1146</v>
      </c>
    </row>
    <row r="727" spans="1:4" x14ac:dyDescent="0.3">
      <c r="A727" s="141" t="s">
        <v>2253</v>
      </c>
      <c r="B727" s="141">
        <v>524742</v>
      </c>
      <c r="C727" s="141" t="s">
        <v>2254</v>
      </c>
      <c r="D727" s="141" t="s">
        <v>1167</v>
      </c>
    </row>
    <row r="728" spans="1:4" x14ac:dyDescent="0.3">
      <c r="A728" s="141" t="s">
        <v>2255</v>
      </c>
      <c r="B728" s="141">
        <v>531595</v>
      </c>
      <c r="C728" s="141" t="s">
        <v>2256</v>
      </c>
      <c r="D728" s="141" t="s">
        <v>1146</v>
      </c>
    </row>
    <row r="729" spans="1:4" x14ac:dyDescent="0.3">
      <c r="A729" s="141" t="s">
        <v>2257</v>
      </c>
      <c r="B729" s="141">
        <v>512169</v>
      </c>
      <c r="C729" s="141" t="s">
        <v>1129</v>
      </c>
      <c r="D729" s="141" t="s">
        <v>1550</v>
      </c>
    </row>
    <row r="730" spans="1:4" x14ac:dyDescent="0.3">
      <c r="A730" s="141" t="s">
        <v>2258</v>
      </c>
      <c r="B730" s="141">
        <v>509486</v>
      </c>
      <c r="C730" s="141" t="s">
        <v>1129</v>
      </c>
      <c r="D730" s="141" t="s">
        <v>1249</v>
      </c>
    </row>
    <row r="731" spans="1:4" x14ac:dyDescent="0.3">
      <c r="A731" s="141" t="s">
        <v>2259</v>
      </c>
      <c r="B731" s="141">
        <v>509486</v>
      </c>
      <c r="C731" s="141" t="s">
        <v>1129</v>
      </c>
      <c r="D731" s="141" t="s">
        <v>1249</v>
      </c>
    </row>
    <row r="732" spans="1:4" x14ac:dyDescent="0.3">
      <c r="A732" s="141" t="s">
        <v>2260</v>
      </c>
      <c r="B732" s="141">
        <v>507486</v>
      </c>
      <c r="C732" s="141" t="s">
        <v>1129</v>
      </c>
      <c r="D732" s="141" t="s">
        <v>1177</v>
      </c>
    </row>
    <row r="733" spans="1:4" x14ac:dyDescent="0.3">
      <c r="A733" s="141" t="s">
        <v>2261</v>
      </c>
      <c r="B733" s="141">
        <v>538817</v>
      </c>
      <c r="C733" s="141" t="s">
        <v>1129</v>
      </c>
      <c r="D733" s="141" t="s">
        <v>1249</v>
      </c>
    </row>
    <row r="734" spans="1:4" x14ac:dyDescent="0.3">
      <c r="A734" s="141" t="s">
        <v>2262</v>
      </c>
      <c r="B734" s="141">
        <v>536974</v>
      </c>
      <c r="C734" s="141" t="s">
        <v>1129</v>
      </c>
      <c r="D734" s="141" t="s">
        <v>1249</v>
      </c>
    </row>
    <row r="735" spans="1:4" x14ac:dyDescent="0.3">
      <c r="A735" s="141" t="s">
        <v>2263</v>
      </c>
      <c r="B735" s="141">
        <v>540652</v>
      </c>
      <c r="C735" s="141" t="s">
        <v>1129</v>
      </c>
      <c r="D735" s="141" t="s">
        <v>1314</v>
      </c>
    </row>
    <row r="736" spans="1:4" x14ac:dyDescent="0.3">
      <c r="A736" s="141" t="s">
        <v>2264</v>
      </c>
      <c r="B736" s="141">
        <v>513375</v>
      </c>
      <c r="C736" s="141" t="s">
        <v>2265</v>
      </c>
      <c r="D736" s="141" t="s">
        <v>2049</v>
      </c>
    </row>
    <row r="737" spans="1:4" x14ac:dyDescent="0.3">
      <c r="A737" s="141" t="s">
        <v>2266</v>
      </c>
      <c r="B737" s="141">
        <v>534804</v>
      </c>
      <c r="C737" s="141" t="s">
        <v>2267</v>
      </c>
      <c r="D737" s="141" t="s">
        <v>1112</v>
      </c>
    </row>
    <row r="738" spans="1:4" x14ac:dyDescent="0.3">
      <c r="A738" s="141" t="s">
        <v>2268</v>
      </c>
      <c r="B738" s="141">
        <v>533260</v>
      </c>
      <c r="C738" s="141" t="s">
        <v>2269</v>
      </c>
      <c r="D738" s="141" t="s">
        <v>1234</v>
      </c>
    </row>
    <row r="739" spans="1:4" x14ac:dyDescent="0.3">
      <c r="A739" s="141" t="s">
        <v>2270</v>
      </c>
      <c r="B739" s="141">
        <v>530609</v>
      </c>
      <c r="C739" s="141" t="s">
        <v>1129</v>
      </c>
      <c r="D739" s="141" t="s">
        <v>2049</v>
      </c>
    </row>
    <row r="740" spans="1:4" x14ac:dyDescent="0.3">
      <c r="A740" s="141" t="s">
        <v>2271</v>
      </c>
      <c r="B740" s="141">
        <v>532282</v>
      </c>
      <c r="C740" s="141" t="s">
        <v>2272</v>
      </c>
      <c r="D740" s="141" t="s">
        <v>1484</v>
      </c>
    </row>
    <row r="741" spans="1:4" x14ac:dyDescent="0.3">
      <c r="A741" s="141" t="s">
        <v>2273</v>
      </c>
      <c r="B741" s="141">
        <v>500870</v>
      </c>
      <c r="C741" s="141" t="s">
        <v>2274</v>
      </c>
      <c r="D741" s="141" t="s">
        <v>1339</v>
      </c>
    </row>
    <row r="742" spans="1:4" x14ac:dyDescent="0.3">
      <c r="A742" s="141" t="s">
        <v>2275</v>
      </c>
      <c r="B742" s="141">
        <v>500870</v>
      </c>
      <c r="C742" s="141" t="s">
        <v>2274</v>
      </c>
      <c r="D742" s="141" t="s">
        <v>1339</v>
      </c>
    </row>
    <row r="743" spans="1:4" x14ac:dyDescent="0.3">
      <c r="A743" s="141" t="s">
        <v>2276</v>
      </c>
      <c r="B743" s="141">
        <v>531682</v>
      </c>
      <c r="C743" s="141" t="s">
        <v>1129</v>
      </c>
      <c r="D743" s="141" t="s">
        <v>1115</v>
      </c>
    </row>
    <row r="744" spans="1:4" x14ac:dyDescent="0.3">
      <c r="A744" s="141" t="s">
        <v>2277</v>
      </c>
      <c r="B744" s="141">
        <v>531158</v>
      </c>
      <c r="C744" s="141" t="s">
        <v>1129</v>
      </c>
      <c r="D744" s="141" t="s">
        <v>1151</v>
      </c>
    </row>
    <row r="745" spans="1:4" x14ac:dyDescent="0.3">
      <c r="A745" s="141" t="s">
        <v>2278</v>
      </c>
      <c r="B745" s="141">
        <v>531900</v>
      </c>
      <c r="C745" s="141" t="s">
        <v>1129</v>
      </c>
      <c r="D745" s="141" t="s">
        <v>1151</v>
      </c>
    </row>
    <row r="746" spans="1:4" x14ac:dyDescent="0.3">
      <c r="A746" s="141" t="s">
        <v>2279</v>
      </c>
      <c r="B746" s="141">
        <v>519600</v>
      </c>
      <c r="C746" s="141" t="s">
        <v>2280</v>
      </c>
      <c r="D746" s="141" t="s">
        <v>1536</v>
      </c>
    </row>
    <row r="747" spans="1:4" x14ac:dyDescent="0.3">
      <c r="A747" s="141" t="s">
        <v>2281</v>
      </c>
      <c r="B747" s="141">
        <v>519600</v>
      </c>
      <c r="C747" s="141" t="s">
        <v>2280</v>
      </c>
      <c r="D747" s="141" t="s">
        <v>1536</v>
      </c>
    </row>
    <row r="748" spans="1:4" x14ac:dyDescent="0.3">
      <c r="A748" s="141" t="s">
        <v>2282</v>
      </c>
      <c r="B748" s="141">
        <v>500878</v>
      </c>
      <c r="C748" s="141" t="s">
        <v>2283</v>
      </c>
      <c r="D748" s="141" t="s">
        <v>1609</v>
      </c>
    </row>
    <row r="749" spans="1:4" x14ac:dyDescent="0.3">
      <c r="A749" s="141" t="s">
        <v>2284</v>
      </c>
      <c r="B749" s="141">
        <v>530789</v>
      </c>
      <c r="C749" s="141" t="s">
        <v>1129</v>
      </c>
      <c r="D749" s="141" t="s">
        <v>1249</v>
      </c>
    </row>
    <row r="750" spans="1:4" x14ac:dyDescent="0.3">
      <c r="A750" s="141" t="s">
        <v>2285</v>
      </c>
      <c r="B750" s="141">
        <v>531119</v>
      </c>
      <c r="C750" s="141" t="s">
        <v>1129</v>
      </c>
      <c r="D750" s="141" t="s">
        <v>1243</v>
      </c>
    </row>
    <row r="751" spans="1:4" x14ac:dyDescent="0.3">
      <c r="A751" s="141" t="s">
        <v>2286</v>
      </c>
      <c r="B751" s="141">
        <v>531119</v>
      </c>
      <c r="C751" s="141" t="s">
        <v>1129</v>
      </c>
      <c r="D751" s="141" t="s">
        <v>1243</v>
      </c>
    </row>
    <row r="752" spans="1:4" x14ac:dyDescent="0.3">
      <c r="A752" s="141" t="s">
        <v>2287</v>
      </c>
      <c r="B752" s="141">
        <v>514171</v>
      </c>
      <c r="C752" s="141" t="s">
        <v>1129</v>
      </c>
      <c r="D752" s="141" t="s">
        <v>1657</v>
      </c>
    </row>
    <row r="753" spans="1:4" x14ac:dyDescent="0.3">
      <c r="A753" s="141" t="s">
        <v>2288</v>
      </c>
      <c r="B753" s="141">
        <v>538734</v>
      </c>
      <c r="C753" s="141" t="s">
        <v>1129</v>
      </c>
      <c r="D753" s="141" t="s">
        <v>1115</v>
      </c>
    </row>
    <row r="754" spans="1:4" x14ac:dyDescent="0.3">
      <c r="A754" s="141" t="s">
        <v>2289</v>
      </c>
      <c r="B754" s="141">
        <v>532695</v>
      </c>
      <c r="C754" s="141" t="s">
        <v>2290</v>
      </c>
      <c r="D754" s="141" t="s">
        <v>1243</v>
      </c>
    </row>
    <row r="755" spans="1:4" x14ac:dyDescent="0.3">
      <c r="A755" s="141" t="s">
        <v>2291</v>
      </c>
      <c r="B755" s="141">
        <v>532871</v>
      </c>
      <c r="C755" s="141" t="s">
        <v>2292</v>
      </c>
      <c r="D755" s="141" t="s">
        <v>1467</v>
      </c>
    </row>
    <row r="756" spans="1:4" x14ac:dyDescent="0.3">
      <c r="A756" s="141" t="s">
        <v>2293</v>
      </c>
      <c r="B756" s="141">
        <v>532701</v>
      </c>
      <c r="C756" s="141" t="s">
        <v>1129</v>
      </c>
      <c r="D756" s="141" t="s">
        <v>1123</v>
      </c>
    </row>
    <row r="757" spans="1:4" x14ac:dyDescent="0.3">
      <c r="A757" s="141" t="s">
        <v>2294</v>
      </c>
      <c r="B757" s="141">
        <v>522251</v>
      </c>
      <c r="C757" s="141" t="s">
        <v>1129</v>
      </c>
      <c r="D757" s="141" t="s">
        <v>1137</v>
      </c>
    </row>
    <row r="758" spans="1:4" x14ac:dyDescent="0.3">
      <c r="A758" s="141" t="s">
        <v>2295</v>
      </c>
      <c r="B758" s="141">
        <v>531380</v>
      </c>
      <c r="C758" s="141" t="s">
        <v>1129</v>
      </c>
      <c r="D758" s="141" t="s">
        <v>2296</v>
      </c>
    </row>
    <row r="759" spans="1:4" x14ac:dyDescent="0.3">
      <c r="A759" s="141" t="s">
        <v>2297</v>
      </c>
      <c r="B759" s="141">
        <v>532885</v>
      </c>
      <c r="C759" s="141" t="s">
        <v>2298</v>
      </c>
      <c r="D759" s="141" t="s">
        <v>1447</v>
      </c>
    </row>
    <row r="760" spans="1:4" x14ac:dyDescent="0.3">
      <c r="A760" s="141" t="s">
        <v>2299</v>
      </c>
      <c r="B760" s="141" t="s">
        <v>1129</v>
      </c>
      <c r="C760" s="141" t="s">
        <v>2300</v>
      </c>
      <c r="D760" s="141" t="s">
        <v>1220</v>
      </c>
    </row>
    <row r="761" spans="1:4" x14ac:dyDescent="0.3">
      <c r="A761" s="141" t="s">
        <v>2301</v>
      </c>
      <c r="B761" s="141" t="s">
        <v>1129</v>
      </c>
      <c r="C761" s="141" t="s">
        <v>2300</v>
      </c>
      <c r="D761" s="141" t="s">
        <v>1220</v>
      </c>
    </row>
    <row r="762" spans="1:4" x14ac:dyDescent="0.3">
      <c r="A762" s="141" t="s">
        <v>2302</v>
      </c>
      <c r="B762" s="141">
        <v>501827</v>
      </c>
      <c r="C762" s="141" t="s">
        <v>1129</v>
      </c>
      <c r="D762" s="141" t="s">
        <v>1201</v>
      </c>
    </row>
    <row r="763" spans="1:4" x14ac:dyDescent="0.3">
      <c r="A763" s="141" t="s">
        <v>2303</v>
      </c>
      <c r="B763" s="141">
        <v>501150</v>
      </c>
      <c r="C763" s="141" t="s">
        <v>2304</v>
      </c>
      <c r="D763" s="141" t="s">
        <v>1112</v>
      </c>
    </row>
    <row r="764" spans="1:4" x14ac:dyDescent="0.3">
      <c r="A764" s="141" t="s">
        <v>2305</v>
      </c>
      <c r="B764" s="141">
        <v>517544</v>
      </c>
      <c r="C764" s="141" t="s">
        <v>2306</v>
      </c>
      <c r="D764" s="141" t="s">
        <v>1550</v>
      </c>
    </row>
    <row r="765" spans="1:4" x14ac:dyDescent="0.3">
      <c r="A765" s="141" t="s">
        <v>2307</v>
      </c>
      <c r="B765" s="141">
        <v>500280</v>
      </c>
      <c r="C765" s="141" t="s">
        <v>2308</v>
      </c>
      <c r="D765" s="141" t="s">
        <v>1144</v>
      </c>
    </row>
    <row r="766" spans="1:4" x14ac:dyDescent="0.3">
      <c r="A766" s="141" t="s">
        <v>2309</v>
      </c>
      <c r="B766" s="141">
        <v>500083</v>
      </c>
      <c r="C766" s="141" t="s">
        <v>2310</v>
      </c>
      <c r="D766" s="141" t="s">
        <v>1434</v>
      </c>
    </row>
    <row r="767" spans="1:4" x14ac:dyDescent="0.3">
      <c r="A767" s="141" t="s">
        <v>2311</v>
      </c>
      <c r="B767" s="141">
        <v>532548</v>
      </c>
      <c r="C767" s="141" t="s">
        <v>2312</v>
      </c>
      <c r="D767" s="141" t="s">
        <v>1624</v>
      </c>
    </row>
    <row r="768" spans="1:4" x14ac:dyDescent="0.3">
      <c r="A768" s="141" t="s">
        <v>2313</v>
      </c>
      <c r="B768" s="141">
        <v>532548</v>
      </c>
      <c r="C768" s="141" t="s">
        <v>2312</v>
      </c>
      <c r="D768" s="141" t="s">
        <v>1624</v>
      </c>
    </row>
    <row r="769" spans="1:4" x14ac:dyDescent="0.3">
      <c r="A769" s="141" t="s">
        <v>2314</v>
      </c>
      <c r="B769" s="141">
        <v>500040</v>
      </c>
      <c r="C769" s="141" t="s">
        <v>2315</v>
      </c>
      <c r="D769" s="141" t="s">
        <v>1142</v>
      </c>
    </row>
    <row r="770" spans="1:4" x14ac:dyDescent="0.3">
      <c r="A770" s="141" t="s">
        <v>2316</v>
      </c>
      <c r="B770" s="141">
        <v>530881</v>
      </c>
      <c r="C770" s="141" t="s">
        <v>1129</v>
      </c>
      <c r="D770" s="141" t="s">
        <v>1112</v>
      </c>
    </row>
    <row r="771" spans="1:4" x14ac:dyDescent="0.3">
      <c r="A771" s="141" t="s">
        <v>2317</v>
      </c>
      <c r="B771" s="141">
        <v>532443</v>
      </c>
      <c r="C771" s="141" t="s">
        <v>2318</v>
      </c>
      <c r="D771" s="141" t="s">
        <v>1406</v>
      </c>
    </row>
    <row r="772" spans="1:4" x14ac:dyDescent="0.3">
      <c r="A772" s="141" t="s">
        <v>2319</v>
      </c>
      <c r="B772" s="141">
        <v>532413</v>
      </c>
      <c r="C772" s="141" t="s">
        <v>2320</v>
      </c>
      <c r="D772" s="141" t="s">
        <v>1454</v>
      </c>
    </row>
    <row r="773" spans="1:4" x14ac:dyDescent="0.3">
      <c r="A773" s="141" t="s">
        <v>2321</v>
      </c>
      <c r="B773" s="141">
        <v>512341</v>
      </c>
      <c r="C773" s="141" t="s">
        <v>1129</v>
      </c>
      <c r="D773" s="141" t="s">
        <v>1459</v>
      </c>
    </row>
    <row r="774" spans="1:4" x14ac:dyDescent="0.3">
      <c r="A774" s="141" t="s">
        <v>2322</v>
      </c>
      <c r="B774" s="141">
        <v>500084</v>
      </c>
      <c r="C774" s="141" t="s">
        <v>2323</v>
      </c>
      <c r="D774" s="141" t="s">
        <v>1268</v>
      </c>
    </row>
    <row r="775" spans="1:4" x14ac:dyDescent="0.3">
      <c r="A775" s="141" t="s">
        <v>2324</v>
      </c>
      <c r="B775" s="141" t="s">
        <v>1129</v>
      </c>
      <c r="C775" s="141" t="s">
        <v>2325</v>
      </c>
      <c r="D775" s="141" t="s">
        <v>2326</v>
      </c>
    </row>
    <row r="776" spans="1:4" x14ac:dyDescent="0.3">
      <c r="A776" s="141" t="s">
        <v>2327</v>
      </c>
      <c r="B776" s="141">
        <v>542333</v>
      </c>
      <c r="C776" s="141" t="s">
        <v>2328</v>
      </c>
      <c r="D776" s="141" t="s">
        <v>2326</v>
      </c>
    </row>
    <row r="777" spans="1:4" x14ac:dyDescent="0.3">
      <c r="A777" s="141" t="s">
        <v>2329</v>
      </c>
      <c r="B777" s="141">
        <v>500093</v>
      </c>
      <c r="C777" s="141" t="s">
        <v>2330</v>
      </c>
      <c r="D777" s="141" t="s">
        <v>1172</v>
      </c>
    </row>
    <row r="778" spans="1:4" x14ac:dyDescent="0.3">
      <c r="A778" s="141" t="s">
        <v>2331</v>
      </c>
      <c r="B778" s="141">
        <v>531489</v>
      </c>
      <c r="C778" s="141" t="s">
        <v>1129</v>
      </c>
      <c r="D778" s="141" t="s">
        <v>1222</v>
      </c>
    </row>
    <row r="779" spans="1:4" x14ac:dyDescent="0.3">
      <c r="A779" s="141" t="s">
        <v>2332</v>
      </c>
      <c r="B779" s="141">
        <v>531946</v>
      </c>
      <c r="C779" s="141" t="s">
        <v>1129</v>
      </c>
      <c r="D779" s="141" t="s">
        <v>1123</v>
      </c>
    </row>
    <row r="780" spans="1:4" x14ac:dyDescent="0.3">
      <c r="A780" s="141" t="s">
        <v>2333</v>
      </c>
      <c r="B780" s="141">
        <v>542399</v>
      </c>
      <c r="C780" s="141" t="s">
        <v>2334</v>
      </c>
      <c r="D780" s="141" t="s">
        <v>1330</v>
      </c>
    </row>
    <row r="781" spans="1:4" x14ac:dyDescent="0.3">
      <c r="A781" s="141" t="s">
        <v>2335</v>
      </c>
      <c r="B781" s="141">
        <v>539600</v>
      </c>
      <c r="C781" s="141" t="s">
        <v>1129</v>
      </c>
      <c r="D781" s="141" t="s">
        <v>1151</v>
      </c>
    </row>
    <row r="782" spans="1:4" x14ac:dyDescent="0.3">
      <c r="A782" s="141" t="s">
        <v>2336</v>
      </c>
      <c r="B782" s="141">
        <v>530307</v>
      </c>
      <c r="C782" s="141" t="s">
        <v>1129</v>
      </c>
      <c r="D782" s="141" t="s">
        <v>1327</v>
      </c>
    </row>
    <row r="783" spans="1:4" x14ac:dyDescent="0.3">
      <c r="A783" s="141" t="s">
        <v>2337</v>
      </c>
      <c r="B783" s="141">
        <v>512301</v>
      </c>
      <c r="C783" s="141" t="s">
        <v>1129</v>
      </c>
      <c r="D783" s="141" t="s">
        <v>1151</v>
      </c>
    </row>
    <row r="784" spans="1:4" x14ac:dyDescent="0.3">
      <c r="A784" s="141" t="s">
        <v>2338</v>
      </c>
      <c r="B784" s="141">
        <v>500085</v>
      </c>
      <c r="C784" s="141" t="s">
        <v>2339</v>
      </c>
      <c r="D784" s="141" t="s">
        <v>1637</v>
      </c>
    </row>
    <row r="785" spans="1:4" x14ac:dyDescent="0.3">
      <c r="A785" s="141" t="s">
        <v>2340</v>
      </c>
      <c r="B785" s="141">
        <v>542627</v>
      </c>
      <c r="C785" s="141" t="s">
        <v>2341</v>
      </c>
      <c r="D785" s="141" t="s">
        <v>1495</v>
      </c>
    </row>
    <row r="786" spans="1:4" x14ac:dyDescent="0.3">
      <c r="A786" s="141" t="s">
        <v>2342</v>
      </c>
      <c r="B786" s="141">
        <v>522292</v>
      </c>
      <c r="C786" s="141" t="s">
        <v>1129</v>
      </c>
      <c r="D786" s="141" t="s">
        <v>1144</v>
      </c>
    </row>
    <row r="787" spans="1:4" x14ac:dyDescent="0.3">
      <c r="A787" s="141" t="s">
        <v>2343</v>
      </c>
      <c r="B787" s="141">
        <v>530309</v>
      </c>
      <c r="C787" s="141" t="s">
        <v>1129</v>
      </c>
      <c r="D787" s="141" t="s">
        <v>1151</v>
      </c>
    </row>
    <row r="788" spans="1:4" x14ac:dyDescent="0.3">
      <c r="A788" s="141" t="s">
        <v>2344</v>
      </c>
      <c r="B788" s="141">
        <v>540829</v>
      </c>
      <c r="C788" s="141" t="s">
        <v>1129</v>
      </c>
      <c r="D788" s="141" t="s">
        <v>1151</v>
      </c>
    </row>
    <row r="789" spans="1:4" x14ac:dyDescent="0.3">
      <c r="A789" s="141" t="s">
        <v>2345</v>
      </c>
      <c r="B789" s="141">
        <v>535142</v>
      </c>
      <c r="C789" s="141" t="s">
        <v>1129</v>
      </c>
      <c r="D789" s="141" t="s">
        <v>1132</v>
      </c>
    </row>
    <row r="790" spans="1:4" x14ac:dyDescent="0.3">
      <c r="A790" s="141" t="s">
        <v>2346</v>
      </c>
      <c r="B790" s="141">
        <v>531327</v>
      </c>
      <c r="C790" s="141" t="s">
        <v>1129</v>
      </c>
      <c r="D790" s="141" t="s">
        <v>1112</v>
      </c>
    </row>
    <row r="791" spans="1:4" x14ac:dyDescent="0.3">
      <c r="A791" s="141" t="s">
        <v>2347</v>
      </c>
      <c r="B791" s="141">
        <v>511696</v>
      </c>
      <c r="C791" s="141" t="s">
        <v>1129</v>
      </c>
      <c r="D791" s="141" t="s">
        <v>1112</v>
      </c>
    </row>
    <row r="792" spans="1:4" x14ac:dyDescent="0.3">
      <c r="A792" s="141" t="s">
        <v>2348</v>
      </c>
      <c r="B792" s="141">
        <v>531977</v>
      </c>
      <c r="C792" s="141" t="s">
        <v>1129</v>
      </c>
      <c r="D792" s="141" t="s">
        <v>1201</v>
      </c>
    </row>
    <row r="793" spans="1:4" x14ac:dyDescent="0.3">
      <c r="A793" s="141" t="s">
        <v>2349</v>
      </c>
      <c r="B793" s="141">
        <v>504671</v>
      </c>
      <c r="C793" s="141" t="s">
        <v>1129</v>
      </c>
      <c r="D793" s="141" t="s">
        <v>1161</v>
      </c>
    </row>
    <row r="794" spans="1:4" x14ac:dyDescent="0.3">
      <c r="A794" s="141" t="s">
        <v>2350</v>
      </c>
      <c r="B794" s="141">
        <v>539800</v>
      </c>
      <c r="C794" s="141" t="s">
        <v>1129</v>
      </c>
      <c r="D794" s="141" t="s">
        <v>1151</v>
      </c>
    </row>
    <row r="795" spans="1:4" x14ac:dyDescent="0.3">
      <c r="A795" s="141" t="s">
        <v>2351</v>
      </c>
      <c r="B795" s="141">
        <v>526917</v>
      </c>
      <c r="C795" s="141" t="s">
        <v>1129</v>
      </c>
      <c r="D795" s="141" t="s">
        <v>1215</v>
      </c>
    </row>
    <row r="796" spans="1:4" x14ac:dyDescent="0.3">
      <c r="A796" s="141" t="s">
        <v>2352</v>
      </c>
      <c r="B796" s="141">
        <v>530871</v>
      </c>
      <c r="C796" s="141" t="s">
        <v>1129</v>
      </c>
      <c r="D796" s="141" t="s">
        <v>1289</v>
      </c>
    </row>
    <row r="797" spans="1:4" x14ac:dyDescent="0.3">
      <c r="A797" s="141" t="s">
        <v>2353</v>
      </c>
      <c r="B797" s="141">
        <v>540395</v>
      </c>
      <c r="C797" s="141" t="s">
        <v>1129</v>
      </c>
      <c r="D797" s="141" t="s">
        <v>1289</v>
      </c>
    </row>
    <row r="798" spans="1:4" x14ac:dyDescent="0.3">
      <c r="A798" s="141" t="s">
        <v>2354</v>
      </c>
      <c r="B798" s="141">
        <v>541269</v>
      </c>
      <c r="C798" s="141" t="s">
        <v>2355</v>
      </c>
      <c r="D798" s="141" t="s">
        <v>1177</v>
      </c>
    </row>
    <row r="799" spans="1:4" x14ac:dyDescent="0.3">
      <c r="A799" s="141" t="s">
        <v>2356</v>
      </c>
      <c r="B799" s="141">
        <v>539230</v>
      </c>
      <c r="C799" s="141" t="s">
        <v>1129</v>
      </c>
      <c r="D799" s="141" t="s">
        <v>1289</v>
      </c>
    </row>
    <row r="800" spans="1:4" x14ac:dyDescent="0.3">
      <c r="A800" s="141" t="s">
        <v>2357</v>
      </c>
      <c r="B800" s="141">
        <v>506365</v>
      </c>
      <c r="C800" s="141" t="s">
        <v>1129</v>
      </c>
      <c r="D800" s="141" t="s">
        <v>1167</v>
      </c>
    </row>
    <row r="801" spans="1:4" x14ac:dyDescent="0.3">
      <c r="A801" s="141" t="s">
        <v>2358</v>
      </c>
      <c r="B801" s="141">
        <v>537326</v>
      </c>
      <c r="C801" s="141" t="s">
        <v>1129</v>
      </c>
      <c r="D801" s="141" t="s">
        <v>1137</v>
      </c>
    </row>
    <row r="802" spans="1:4" x14ac:dyDescent="0.3">
      <c r="A802" s="141" t="s">
        <v>2359</v>
      </c>
      <c r="B802" s="141">
        <v>539011</v>
      </c>
      <c r="C802" s="141" t="s">
        <v>1129</v>
      </c>
      <c r="D802" s="141" t="s">
        <v>1161</v>
      </c>
    </row>
    <row r="803" spans="1:4" x14ac:dyDescent="0.3">
      <c r="A803" s="141" t="s">
        <v>2360</v>
      </c>
      <c r="B803" s="141">
        <v>523489</v>
      </c>
      <c r="C803" s="141" t="s">
        <v>1129</v>
      </c>
      <c r="D803" s="141" t="s">
        <v>1318</v>
      </c>
    </row>
    <row r="804" spans="1:4" x14ac:dyDescent="0.3">
      <c r="A804" s="141" t="s">
        <v>2361</v>
      </c>
      <c r="B804" s="141">
        <v>500110</v>
      </c>
      <c r="C804" s="141" t="s">
        <v>2362</v>
      </c>
      <c r="D804" s="141" t="s">
        <v>2058</v>
      </c>
    </row>
    <row r="805" spans="1:4" x14ac:dyDescent="0.3">
      <c r="A805" s="141" t="s">
        <v>2363</v>
      </c>
      <c r="B805" s="141">
        <v>526817</v>
      </c>
      <c r="C805" s="141" t="s">
        <v>1129</v>
      </c>
      <c r="D805" s="141" t="s">
        <v>1366</v>
      </c>
    </row>
    <row r="806" spans="1:4" x14ac:dyDescent="0.3">
      <c r="A806" s="141" t="s">
        <v>2364</v>
      </c>
      <c r="B806" s="141">
        <v>521244</v>
      </c>
      <c r="C806" s="141" t="s">
        <v>1129</v>
      </c>
      <c r="D806" s="141" t="s">
        <v>1144</v>
      </c>
    </row>
    <row r="807" spans="1:4" x14ac:dyDescent="0.3">
      <c r="A807" s="141" t="s">
        <v>2365</v>
      </c>
      <c r="B807" s="141">
        <v>532992</v>
      </c>
      <c r="C807" s="141" t="s">
        <v>1129</v>
      </c>
      <c r="D807" s="141" t="s">
        <v>1330</v>
      </c>
    </row>
    <row r="808" spans="1:4" x14ac:dyDescent="0.3">
      <c r="A808" s="141" t="s">
        <v>2366</v>
      </c>
      <c r="B808" s="141">
        <v>531358</v>
      </c>
      <c r="C808" s="141" t="s">
        <v>1129</v>
      </c>
      <c r="D808" s="141" t="s">
        <v>1146</v>
      </c>
    </row>
    <row r="809" spans="1:4" x14ac:dyDescent="0.3">
      <c r="A809" s="141" t="s">
        <v>2367</v>
      </c>
      <c r="B809" s="141">
        <v>530427</v>
      </c>
      <c r="C809" s="141" t="s">
        <v>1129</v>
      </c>
      <c r="D809" s="141" t="s">
        <v>2368</v>
      </c>
    </row>
    <row r="810" spans="1:4" x14ac:dyDescent="0.3">
      <c r="A810" s="141" t="s">
        <v>2369</v>
      </c>
      <c r="B810" s="141">
        <v>526546</v>
      </c>
      <c r="C810" s="141" t="s">
        <v>1129</v>
      </c>
      <c r="D810" s="141" t="s">
        <v>1318</v>
      </c>
    </row>
    <row r="811" spans="1:4" x14ac:dyDescent="0.3">
      <c r="A811" s="141" t="s">
        <v>2370</v>
      </c>
      <c r="B811" s="141">
        <v>511243</v>
      </c>
      <c r="C811" s="141" t="s">
        <v>2371</v>
      </c>
      <c r="D811" s="141" t="s">
        <v>1146</v>
      </c>
    </row>
    <row r="812" spans="1:4" x14ac:dyDescent="0.3">
      <c r="A812" s="141" t="s">
        <v>2372</v>
      </c>
      <c r="B812" s="141">
        <v>511243</v>
      </c>
      <c r="C812" s="141" t="s">
        <v>2373</v>
      </c>
      <c r="D812" s="141" t="s">
        <v>1146</v>
      </c>
    </row>
    <row r="813" spans="1:4" x14ac:dyDescent="0.3">
      <c r="A813" s="141" t="s">
        <v>2374</v>
      </c>
      <c r="B813" s="141">
        <v>519475</v>
      </c>
      <c r="C813" s="141" t="s">
        <v>1129</v>
      </c>
      <c r="D813" s="141" t="s">
        <v>1209</v>
      </c>
    </row>
    <row r="814" spans="1:4" x14ac:dyDescent="0.3">
      <c r="A814" s="141" t="s">
        <v>2375</v>
      </c>
      <c r="B814" s="141">
        <v>540681</v>
      </c>
      <c r="C814" s="141" t="s">
        <v>1129</v>
      </c>
      <c r="D814" s="141" t="s">
        <v>1189</v>
      </c>
    </row>
    <row r="815" spans="1:4" x14ac:dyDescent="0.3">
      <c r="A815" s="141" t="s">
        <v>2376</v>
      </c>
      <c r="B815" s="141">
        <v>501833</v>
      </c>
      <c r="C815" s="141" t="s">
        <v>1129</v>
      </c>
      <c r="D815" s="141" t="s">
        <v>2377</v>
      </c>
    </row>
    <row r="816" spans="1:4" x14ac:dyDescent="0.3">
      <c r="A816" s="141" t="s">
        <v>2378</v>
      </c>
      <c r="B816" s="141">
        <v>539335</v>
      </c>
      <c r="C816" s="141" t="s">
        <v>1129</v>
      </c>
      <c r="D816" s="141" t="s">
        <v>1151</v>
      </c>
    </row>
    <row r="817" spans="1:4" x14ac:dyDescent="0.3">
      <c r="A817" s="141" t="s">
        <v>2379</v>
      </c>
      <c r="B817" s="141">
        <v>530191</v>
      </c>
      <c r="C817" s="141" t="s">
        <v>2380</v>
      </c>
      <c r="D817" s="141" t="s">
        <v>1289</v>
      </c>
    </row>
    <row r="818" spans="1:4" x14ac:dyDescent="0.3">
      <c r="A818" s="141" t="s">
        <v>2381</v>
      </c>
      <c r="B818" s="141">
        <v>530191</v>
      </c>
      <c r="C818" s="141" t="s">
        <v>2380</v>
      </c>
      <c r="D818" s="141" t="s">
        <v>1289</v>
      </c>
    </row>
    <row r="819" spans="1:4" x14ac:dyDescent="0.3">
      <c r="A819" s="141" t="s">
        <v>2382</v>
      </c>
      <c r="B819" s="141">
        <v>519477</v>
      </c>
      <c r="C819" s="141" t="s">
        <v>1129</v>
      </c>
      <c r="D819" s="141" t="s">
        <v>1378</v>
      </c>
    </row>
    <row r="820" spans="1:4" x14ac:dyDescent="0.3">
      <c r="A820" s="141" t="s">
        <v>2383</v>
      </c>
      <c r="B820" s="141">
        <v>542678</v>
      </c>
      <c r="C820" s="141" t="s">
        <v>2384</v>
      </c>
      <c r="D820" s="141" t="s">
        <v>1167</v>
      </c>
    </row>
    <row r="821" spans="1:4" x14ac:dyDescent="0.3">
      <c r="A821" s="141" t="s">
        <v>2385</v>
      </c>
      <c r="B821" s="141">
        <v>534758</v>
      </c>
      <c r="C821" s="141" t="s">
        <v>2386</v>
      </c>
      <c r="D821" s="141" t="s">
        <v>1115</v>
      </c>
    </row>
    <row r="822" spans="1:4" x14ac:dyDescent="0.3">
      <c r="A822" s="141" t="s">
        <v>2387</v>
      </c>
      <c r="B822" s="141">
        <v>533407</v>
      </c>
      <c r="C822" s="141" t="s">
        <v>2388</v>
      </c>
      <c r="D822" s="141" t="s">
        <v>1144</v>
      </c>
    </row>
    <row r="823" spans="1:4" x14ac:dyDescent="0.3">
      <c r="A823" s="141" t="s">
        <v>2389</v>
      </c>
      <c r="B823" s="141">
        <v>530829</v>
      </c>
      <c r="C823" s="141" t="s">
        <v>1129</v>
      </c>
      <c r="D823" s="141" t="s">
        <v>1146</v>
      </c>
    </row>
    <row r="824" spans="1:4" x14ac:dyDescent="0.3">
      <c r="A824" s="141" t="s">
        <v>2390</v>
      </c>
      <c r="B824" s="141">
        <v>505230</v>
      </c>
      <c r="C824" s="141" t="s">
        <v>2391</v>
      </c>
      <c r="D824" s="141" t="s">
        <v>1118</v>
      </c>
    </row>
    <row r="825" spans="1:4" x14ac:dyDescent="0.3">
      <c r="A825" s="141" t="s">
        <v>2392</v>
      </c>
      <c r="B825" s="141">
        <v>531283</v>
      </c>
      <c r="C825" s="141" t="s">
        <v>1129</v>
      </c>
      <c r="D825" s="141" t="s">
        <v>1146</v>
      </c>
    </row>
    <row r="826" spans="1:4" x14ac:dyDescent="0.3">
      <c r="A826" s="141" t="s">
        <v>2393</v>
      </c>
      <c r="B826" s="141">
        <v>526373</v>
      </c>
      <c r="C826" s="141" t="s">
        <v>1129</v>
      </c>
      <c r="D826" s="141" t="s">
        <v>1330</v>
      </c>
    </row>
    <row r="827" spans="1:4" x14ac:dyDescent="0.3">
      <c r="A827" s="141" t="s">
        <v>2394</v>
      </c>
      <c r="B827" s="141">
        <v>532807</v>
      </c>
      <c r="C827" s="141" t="s">
        <v>2395</v>
      </c>
      <c r="D827" s="141" t="s">
        <v>1130</v>
      </c>
    </row>
    <row r="828" spans="1:4" x14ac:dyDescent="0.3">
      <c r="A828" s="141" t="s">
        <v>2396</v>
      </c>
      <c r="B828" s="141">
        <v>532807</v>
      </c>
      <c r="C828" s="141" t="s">
        <v>2395</v>
      </c>
      <c r="D828" s="141" t="s">
        <v>1130</v>
      </c>
    </row>
    <row r="829" spans="1:4" x14ac:dyDescent="0.3">
      <c r="A829" s="141" t="s">
        <v>2397</v>
      </c>
      <c r="B829" s="141">
        <v>530457</v>
      </c>
      <c r="C829" s="141" t="s">
        <v>1129</v>
      </c>
      <c r="D829" s="141" t="s">
        <v>1132</v>
      </c>
    </row>
    <row r="830" spans="1:4" x14ac:dyDescent="0.3">
      <c r="A830" s="141" t="s">
        <v>2398</v>
      </c>
      <c r="B830" s="141">
        <v>532324</v>
      </c>
      <c r="C830" s="141" t="s">
        <v>2399</v>
      </c>
      <c r="D830" s="141" t="s">
        <v>1132</v>
      </c>
    </row>
    <row r="831" spans="1:4" x14ac:dyDescent="0.3">
      <c r="A831" s="141" t="s">
        <v>2400</v>
      </c>
      <c r="B831" s="141">
        <v>500087</v>
      </c>
      <c r="C831" s="141" t="s">
        <v>2401</v>
      </c>
      <c r="D831" s="141" t="s">
        <v>1167</v>
      </c>
    </row>
    <row r="832" spans="1:4" x14ac:dyDescent="0.3">
      <c r="A832" s="141" t="s">
        <v>2402</v>
      </c>
      <c r="B832" s="141">
        <v>531775</v>
      </c>
      <c r="C832" s="141" t="s">
        <v>1129</v>
      </c>
      <c r="D832" s="141" t="s">
        <v>1151</v>
      </c>
    </row>
    <row r="833" spans="1:4" x14ac:dyDescent="0.3">
      <c r="A833" s="141" t="s">
        <v>2403</v>
      </c>
      <c r="B833" s="141">
        <v>502445</v>
      </c>
      <c r="C833" s="141" t="s">
        <v>1129</v>
      </c>
      <c r="D833" s="141" t="s">
        <v>1215</v>
      </c>
    </row>
    <row r="834" spans="1:4" x14ac:dyDescent="0.3">
      <c r="A834" s="141" t="s">
        <v>2404</v>
      </c>
      <c r="B834" s="141">
        <v>531235</v>
      </c>
      <c r="C834" s="141" t="s">
        <v>1129</v>
      </c>
      <c r="D834" s="141" t="s">
        <v>1146</v>
      </c>
    </row>
    <row r="835" spans="1:4" x14ac:dyDescent="0.3">
      <c r="A835" s="141" t="s">
        <v>2405</v>
      </c>
      <c r="B835" s="141">
        <v>538786</v>
      </c>
      <c r="C835" s="141" t="s">
        <v>1129</v>
      </c>
      <c r="D835" s="141" t="s">
        <v>1653</v>
      </c>
    </row>
    <row r="836" spans="1:4" x14ac:dyDescent="0.3">
      <c r="A836" s="141" t="s">
        <v>2406</v>
      </c>
      <c r="B836" s="141">
        <v>538674</v>
      </c>
      <c r="C836" s="141" t="s">
        <v>1129</v>
      </c>
      <c r="D836" s="141" t="s">
        <v>2073</v>
      </c>
    </row>
    <row r="837" spans="1:4" x14ac:dyDescent="0.3">
      <c r="A837" s="141" t="s">
        <v>2407</v>
      </c>
      <c r="B837" s="141">
        <v>532210</v>
      </c>
      <c r="C837" s="141" t="s">
        <v>2408</v>
      </c>
      <c r="D837" s="141" t="s">
        <v>1447</v>
      </c>
    </row>
    <row r="838" spans="1:4" x14ac:dyDescent="0.3">
      <c r="A838" s="141" t="s">
        <v>2409</v>
      </c>
      <c r="B838" s="141">
        <v>521210</v>
      </c>
      <c r="C838" s="141" t="s">
        <v>1129</v>
      </c>
      <c r="D838" s="141" t="s">
        <v>1243</v>
      </c>
    </row>
    <row r="839" spans="1:4" x14ac:dyDescent="0.3">
      <c r="A839" s="141" t="s">
        <v>2410</v>
      </c>
      <c r="B839" s="141">
        <v>780013</v>
      </c>
      <c r="C839" s="141" t="s">
        <v>1129</v>
      </c>
      <c r="D839" s="141" t="s">
        <v>1220</v>
      </c>
    </row>
    <row r="840" spans="1:4" x14ac:dyDescent="0.3">
      <c r="A840" s="141" t="s">
        <v>2411</v>
      </c>
      <c r="B840" s="141">
        <v>780013</v>
      </c>
      <c r="C840" s="141" t="s">
        <v>1129</v>
      </c>
      <c r="D840" s="141" t="s">
        <v>1220</v>
      </c>
    </row>
    <row r="841" spans="1:4" x14ac:dyDescent="0.3">
      <c r="A841" s="141" t="s">
        <v>2412</v>
      </c>
      <c r="B841" s="141" t="s">
        <v>1129</v>
      </c>
      <c r="C841" s="141" t="s">
        <v>2413</v>
      </c>
      <c r="D841" s="141" t="s">
        <v>1140</v>
      </c>
    </row>
    <row r="842" spans="1:4" x14ac:dyDescent="0.3">
      <c r="A842" s="141" t="s">
        <v>2414</v>
      </c>
      <c r="B842" s="141" t="s">
        <v>1129</v>
      </c>
      <c r="C842" s="141" t="s">
        <v>2415</v>
      </c>
      <c r="D842" s="141" t="s">
        <v>1140</v>
      </c>
    </row>
    <row r="843" spans="1:4" x14ac:dyDescent="0.3">
      <c r="A843" s="141" t="s">
        <v>2416</v>
      </c>
      <c r="B843" s="141">
        <v>540403</v>
      </c>
      <c r="C843" s="141" t="s">
        <v>2417</v>
      </c>
      <c r="D843" s="141" t="s">
        <v>1234</v>
      </c>
    </row>
    <row r="844" spans="1:4" x14ac:dyDescent="0.3">
      <c r="A844" s="141" t="s">
        <v>2418</v>
      </c>
      <c r="B844" s="141">
        <v>506390</v>
      </c>
      <c r="C844" s="141" t="s">
        <v>2419</v>
      </c>
      <c r="D844" s="141" t="s">
        <v>1289</v>
      </c>
    </row>
    <row r="845" spans="1:4" x14ac:dyDescent="0.3">
      <c r="A845" s="141" t="s">
        <v>2420</v>
      </c>
      <c r="B845" s="141">
        <v>506390</v>
      </c>
      <c r="C845" s="141" t="s">
        <v>2421</v>
      </c>
      <c r="D845" s="141" t="s">
        <v>1289</v>
      </c>
    </row>
    <row r="846" spans="1:4" x14ac:dyDescent="0.3">
      <c r="A846" s="141" t="s">
        <v>2422</v>
      </c>
      <c r="B846" s="141">
        <v>512213</v>
      </c>
      <c r="C846" s="141" t="s">
        <v>1129</v>
      </c>
      <c r="D846" s="141" t="s">
        <v>1151</v>
      </c>
    </row>
    <row r="847" spans="1:4" x14ac:dyDescent="0.3">
      <c r="A847" s="141" t="s">
        <v>2423</v>
      </c>
      <c r="B847" s="141">
        <v>540310</v>
      </c>
      <c r="C847" s="141" t="s">
        <v>1129</v>
      </c>
      <c r="D847" s="141" t="s">
        <v>1144</v>
      </c>
    </row>
    <row r="848" spans="1:4" x14ac:dyDescent="0.3">
      <c r="A848" s="141" t="s">
        <v>2424</v>
      </c>
      <c r="B848" s="141">
        <v>538433</v>
      </c>
      <c r="C848" s="141" t="s">
        <v>1129</v>
      </c>
      <c r="D848" s="141" t="s">
        <v>1112</v>
      </c>
    </row>
    <row r="849" spans="1:4" x14ac:dyDescent="0.3">
      <c r="A849" s="141" t="s">
        <v>2425</v>
      </c>
      <c r="B849" s="141">
        <v>540481</v>
      </c>
      <c r="C849" s="141" t="s">
        <v>1129</v>
      </c>
      <c r="D849" s="141" t="s">
        <v>1112</v>
      </c>
    </row>
    <row r="850" spans="1:4" x14ac:dyDescent="0.3">
      <c r="A850" s="141" t="s">
        <v>2426</v>
      </c>
      <c r="B850" s="141">
        <v>530839</v>
      </c>
      <c r="C850" s="141" t="s">
        <v>1129</v>
      </c>
      <c r="D850" s="141" t="s">
        <v>1222</v>
      </c>
    </row>
    <row r="851" spans="1:4" x14ac:dyDescent="0.3">
      <c r="A851" s="141" t="s">
        <v>2427</v>
      </c>
      <c r="B851" s="141">
        <v>500147</v>
      </c>
      <c r="C851" s="141" t="s">
        <v>1129</v>
      </c>
      <c r="D851" s="141" t="s">
        <v>1137</v>
      </c>
    </row>
    <row r="852" spans="1:4" x14ac:dyDescent="0.3">
      <c r="A852" s="141" t="s">
        <v>2428</v>
      </c>
      <c r="B852" s="141">
        <v>517330</v>
      </c>
      <c r="C852" s="141" t="s">
        <v>2429</v>
      </c>
      <c r="D852" s="141" t="s">
        <v>1427</v>
      </c>
    </row>
    <row r="853" spans="1:4" x14ac:dyDescent="0.3">
      <c r="A853" s="141" t="s">
        <v>2430</v>
      </c>
      <c r="B853" s="141" t="s">
        <v>1129</v>
      </c>
      <c r="C853" s="141" t="s">
        <v>2431</v>
      </c>
      <c r="D853" s="141" t="s">
        <v>1140</v>
      </c>
    </row>
    <row r="854" spans="1:4" x14ac:dyDescent="0.3">
      <c r="A854" s="141" t="s">
        <v>2432</v>
      </c>
      <c r="B854" s="141">
        <v>512018</v>
      </c>
      <c r="C854" s="141" t="s">
        <v>1129</v>
      </c>
      <c r="D854" s="141" t="s">
        <v>1135</v>
      </c>
    </row>
    <row r="855" spans="1:4" x14ac:dyDescent="0.3">
      <c r="A855" s="141" t="s">
        <v>2433</v>
      </c>
      <c r="B855" s="141">
        <v>533278</v>
      </c>
      <c r="C855" s="141" t="s">
        <v>2434</v>
      </c>
      <c r="D855" s="141" t="s">
        <v>1807</v>
      </c>
    </row>
    <row r="856" spans="1:4" x14ac:dyDescent="0.3">
      <c r="A856" s="141" t="s">
        <v>2435</v>
      </c>
      <c r="B856" s="141">
        <v>533278</v>
      </c>
      <c r="C856" s="141" t="s">
        <v>2436</v>
      </c>
      <c r="D856" s="141" t="s">
        <v>1807</v>
      </c>
    </row>
    <row r="857" spans="1:4" x14ac:dyDescent="0.3">
      <c r="A857" s="141" t="s">
        <v>2437</v>
      </c>
      <c r="B857" s="141">
        <v>501831</v>
      </c>
      <c r="C857" s="141" t="s">
        <v>1129</v>
      </c>
      <c r="D857" s="141" t="s">
        <v>1189</v>
      </c>
    </row>
    <row r="858" spans="1:4" x14ac:dyDescent="0.3">
      <c r="A858" s="141" t="s">
        <v>2438</v>
      </c>
      <c r="B858" s="141">
        <v>520131</v>
      </c>
      <c r="C858" s="141" t="s">
        <v>1129</v>
      </c>
      <c r="D858" s="141" t="s">
        <v>1201</v>
      </c>
    </row>
    <row r="859" spans="1:4" x14ac:dyDescent="0.3">
      <c r="A859" s="141" t="s">
        <v>2439</v>
      </c>
      <c r="B859" s="141">
        <v>508571</v>
      </c>
      <c r="C859" s="141" t="s">
        <v>1129</v>
      </c>
      <c r="D859" s="141" t="s">
        <v>1609</v>
      </c>
    </row>
    <row r="860" spans="1:4" x14ac:dyDescent="0.3">
      <c r="A860" s="141" t="s">
        <v>2440</v>
      </c>
      <c r="B860" s="141">
        <v>513353</v>
      </c>
      <c r="C860" s="141" t="s">
        <v>1129</v>
      </c>
      <c r="D860" s="141" t="s">
        <v>1289</v>
      </c>
    </row>
    <row r="861" spans="1:4" x14ac:dyDescent="0.3">
      <c r="A861" s="141" t="s">
        <v>2441</v>
      </c>
      <c r="B861" s="141">
        <v>540678</v>
      </c>
      <c r="C861" s="141" t="s">
        <v>2442</v>
      </c>
      <c r="D861" s="141" t="s">
        <v>2377</v>
      </c>
    </row>
    <row r="862" spans="1:4" x14ac:dyDescent="0.3">
      <c r="A862" s="141" t="s">
        <v>2443</v>
      </c>
      <c r="B862" s="141">
        <v>539436</v>
      </c>
      <c r="C862" s="141" t="s">
        <v>2444</v>
      </c>
      <c r="D862" s="141" t="s">
        <v>1618</v>
      </c>
    </row>
    <row r="863" spans="1:4" x14ac:dyDescent="0.3">
      <c r="A863" s="141" t="s">
        <v>2445</v>
      </c>
      <c r="B863" s="141">
        <v>500830</v>
      </c>
      <c r="C863" s="141" t="s">
        <v>2446</v>
      </c>
      <c r="D863" s="141" t="s">
        <v>1311</v>
      </c>
    </row>
    <row r="864" spans="1:4" x14ac:dyDescent="0.3">
      <c r="A864" s="141" t="s">
        <v>2447</v>
      </c>
      <c r="B864" s="141">
        <v>500830</v>
      </c>
      <c r="C864" s="141" t="s">
        <v>2446</v>
      </c>
      <c r="D864" s="141" t="s">
        <v>1311</v>
      </c>
    </row>
    <row r="865" spans="1:4" x14ac:dyDescent="0.3">
      <c r="A865" s="141" t="s">
        <v>2448</v>
      </c>
      <c r="B865" s="141">
        <v>531210</v>
      </c>
      <c r="C865" s="141" t="s">
        <v>1129</v>
      </c>
      <c r="D865" s="141" t="s">
        <v>1167</v>
      </c>
    </row>
    <row r="866" spans="1:4" x14ac:dyDescent="0.3">
      <c r="A866" s="141" t="s">
        <v>2449</v>
      </c>
      <c r="B866" s="141">
        <v>540023</v>
      </c>
      <c r="C866" s="141" t="s">
        <v>1129</v>
      </c>
      <c r="D866" s="141" t="s">
        <v>1868</v>
      </c>
    </row>
    <row r="867" spans="1:4" x14ac:dyDescent="0.3">
      <c r="A867" s="141" t="s">
        <v>2450</v>
      </c>
      <c r="B867" s="141">
        <v>524752</v>
      </c>
      <c r="C867" s="141" t="s">
        <v>1129</v>
      </c>
      <c r="D867" s="141" t="s">
        <v>1167</v>
      </c>
    </row>
    <row r="868" spans="1:4" x14ac:dyDescent="0.3">
      <c r="A868" s="141" t="s">
        <v>2451</v>
      </c>
      <c r="B868" s="141">
        <v>534691</v>
      </c>
      <c r="C868" s="141" t="s">
        <v>1129</v>
      </c>
      <c r="D868" s="141" t="s">
        <v>1112</v>
      </c>
    </row>
    <row r="869" spans="1:4" x14ac:dyDescent="0.3">
      <c r="A869" s="141" t="s">
        <v>2452</v>
      </c>
      <c r="B869" s="141">
        <v>535267</v>
      </c>
      <c r="C869" s="141" t="s">
        <v>1129</v>
      </c>
      <c r="D869" s="141" t="s">
        <v>1146</v>
      </c>
    </row>
    <row r="870" spans="1:4" x14ac:dyDescent="0.3">
      <c r="A870" s="141" t="s">
        <v>2453</v>
      </c>
      <c r="B870" s="141">
        <v>531216</v>
      </c>
      <c r="C870" s="141" t="s">
        <v>1129</v>
      </c>
      <c r="D870" s="141" t="s">
        <v>1146</v>
      </c>
    </row>
    <row r="871" spans="1:4" x14ac:dyDescent="0.3">
      <c r="A871" s="141" t="s">
        <v>2454</v>
      </c>
      <c r="B871" s="141">
        <v>533272</v>
      </c>
      <c r="C871" s="141" t="s">
        <v>2455</v>
      </c>
      <c r="D871" s="141" t="s">
        <v>1207</v>
      </c>
    </row>
    <row r="872" spans="1:4" x14ac:dyDescent="0.3">
      <c r="A872" s="141" t="s">
        <v>2456</v>
      </c>
      <c r="B872" s="141">
        <v>539986</v>
      </c>
      <c r="C872" s="141" t="s">
        <v>1129</v>
      </c>
      <c r="D872" s="141" t="s">
        <v>1324</v>
      </c>
    </row>
    <row r="873" spans="1:4" x14ac:dyDescent="0.3">
      <c r="A873" s="141" t="s">
        <v>2457</v>
      </c>
      <c r="B873" s="141">
        <v>532342</v>
      </c>
      <c r="C873" s="141" t="s">
        <v>1129</v>
      </c>
      <c r="D873" s="141" t="s">
        <v>1115</v>
      </c>
    </row>
    <row r="874" spans="1:4" x14ac:dyDescent="0.3">
      <c r="A874" s="141" t="s">
        <v>2458</v>
      </c>
      <c r="B874" s="141">
        <v>531041</v>
      </c>
      <c r="C874" s="141" t="s">
        <v>1129</v>
      </c>
      <c r="D874" s="141" t="s">
        <v>1151</v>
      </c>
    </row>
    <row r="875" spans="1:4" x14ac:dyDescent="0.3">
      <c r="A875" s="141" t="s">
        <v>2459</v>
      </c>
      <c r="B875" s="141">
        <v>532456</v>
      </c>
      <c r="C875" s="141" t="s">
        <v>2460</v>
      </c>
      <c r="D875" s="141" t="s">
        <v>1226</v>
      </c>
    </row>
    <row r="876" spans="1:4" x14ac:dyDescent="0.3">
      <c r="A876" s="141" t="s">
        <v>2461</v>
      </c>
      <c r="B876" s="141">
        <v>532339</v>
      </c>
      <c r="C876" s="141" t="s">
        <v>2462</v>
      </c>
      <c r="D876" s="141" t="s">
        <v>1614</v>
      </c>
    </row>
    <row r="877" spans="1:4" x14ac:dyDescent="0.3">
      <c r="A877" s="141" t="s">
        <v>2463</v>
      </c>
      <c r="B877" s="141">
        <v>507833</v>
      </c>
      <c r="C877" s="141" t="s">
        <v>1129</v>
      </c>
      <c r="D877" s="141" t="s">
        <v>1454</v>
      </c>
    </row>
    <row r="878" spans="1:4" x14ac:dyDescent="0.3">
      <c r="A878" s="141" t="s">
        <v>2464</v>
      </c>
      <c r="B878" s="141">
        <v>522231</v>
      </c>
      <c r="C878" s="141" t="s">
        <v>1129</v>
      </c>
      <c r="D878" s="141" t="s">
        <v>1527</v>
      </c>
    </row>
    <row r="879" spans="1:4" x14ac:dyDescent="0.3">
      <c r="A879" s="141" t="s">
        <v>2465</v>
      </c>
      <c r="B879" s="141">
        <v>538965</v>
      </c>
      <c r="C879" s="141" t="s">
        <v>1129</v>
      </c>
      <c r="D879" s="141" t="s">
        <v>1167</v>
      </c>
    </row>
    <row r="880" spans="1:4" x14ac:dyDescent="0.3">
      <c r="A880" s="141" t="s">
        <v>2466</v>
      </c>
      <c r="B880" s="141">
        <v>539266</v>
      </c>
      <c r="C880" s="141" t="s">
        <v>1129</v>
      </c>
      <c r="D880" s="141" t="s">
        <v>1149</v>
      </c>
    </row>
    <row r="881" spans="1:4" x14ac:dyDescent="0.3">
      <c r="A881" s="141" t="s">
        <v>2467</v>
      </c>
      <c r="B881" s="141">
        <v>504340</v>
      </c>
      <c r="C881" s="141" t="s">
        <v>1129</v>
      </c>
      <c r="D881" s="141" t="s">
        <v>1112</v>
      </c>
    </row>
    <row r="882" spans="1:4" x14ac:dyDescent="0.3">
      <c r="A882" s="141" t="s">
        <v>2468</v>
      </c>
      <c r="B882" s="141">
        <v>539991</v>
      </c>
      <c r="C882" s="141" t="s">
        <v>2469</v>
      </c>
      <c r="D882" s="141" t="s">
        <v>1495</v>
      </c>
    </row>
    <row r="883" spans="1:4" x14ac:dyDescent="0.3">
      <c r="A883" s="141" t="s">
        <v>2470</v>
      </c>
      <c r="B883" s="141">
        <v>526829</v>
      </c>
      <c r="C883" s="141" t="s">
        <v>1129</v>
      </c>
      <c r="D883" s="141" t="s">
        <v>1339</v>
      </c>
    </row>
    <row r="884" spans="1:4" x14ac:dyDescent="0.3">
      <c r="A884" s="141" t="s">
        <v>2471</v>
      </c>
      <c r="B884" s="141">
        <v>526829</v>
      </c>
      <c r="C884" s="141" t="s">
        <v>2472</v>
      </c>
      <c r="D884" s="141" t="s">
        <v>1339</v>
      </c>
    </row>
    <row r="885" spans="1:4" x14ac:dyDescent="0.3">
      <c r="A885" s="141" t="s">
        <v>2473</v>
      </c>
      <c r="B885" s="141">
        <v>526829</v>
      </c>
      <c r="C885" s="141" t="s">
        <v>1129</v>
      </c>
      <c r="D885" s="141" t="s">
        <v>1339</v>
      </c>
    </row>
    <row r="886" spans="1:4" x14ac:dyDescent="0.3">
      <c r="A886" s="141" t="s">
        <v>2474</v>
      </c>
      <c r="B886" s="141">
        <v>539091</v>
      </c>
      <c r="C886" s="141" t="s">
        <v>1129</v>
      </c>
      <c r="D886" s="141" t="s">
        <v>1149</v>
      </c>
    </row>
    <row r="887" spans="1:4" x14ac:dyDescent="0.3">
      <c r="A887" s="141" t="s">
        <v>2475</v>
      </c>
      <c r="B887" s="141">
        <v>532902</v>
      </c>
      <c r="C887" s="141" t="s">
        <v>2476</v>
      </c>
      <c r="D887" s="141" t="s">
        <v>1215</v>
      </c>
    </row>
    <row r="888" spans="1:4" x14ac:dyDescent="0.3">
      <c r="A888" s="141" t="s">
        <v>2477</v>
      </c>
      <c r="B888" s="141" t="s">
        <v>1129</v>
      </c>
      <c r="C888" s="141" t="s">
        <v>2478</v>
      </c>
      <c r="D888" s="141" t="s">
        <v>1220</v>
      </c>
    </row>
    <row r="889" spans="1:4" x14ac:dyDescent="0.3">
      <c r="A889" s="141" t="s">
        <v>2479</v>
      </c>
      <c r="B889" s="141">
        <v>531344</v>
      </c>
      <c r="C889" s="141" t="s">
        <v>2480</v>
      </c>
      <c r="D889" s="141" t="s">
        <v>1252</v>
      </c>
    </row>
    <row r="890" spans="1:4" x14ac:dyDescent="0.3">
      <c r="A890" s="141" t="s">
        <v>2481</v>
      </c>
      <c r="B890" s="141">
        <v>531344</v>
      </c>
      <c r="C890" s="141" t="s">
        <v>2480</v>
      </c>
      <c r="D890" s="141" t="s">
        <v>1252</v>
      </c>
    </row>
    <row r="891" spans="1:4" x14ac:dyDescent="0.3">
      <c r="A891" s="141" t="s">
        <v>2482</v>
      </c>
      <c r="B891" s="141">
        <v>540597</v>
      </c>
      <c r="C891" s="141" t="s">
        <v>1129</v>
      </c>
      <c r="D891" s="141" t="s">
        <v>1450</v>
      </c>
    </row>
    <row r="892" spans="1:4" x14ac:dyDescent="0.3">
      <c r="A892" s="141" t="s">
        <v>2483</v>
      </c>
      <c r="B892" s="141">
        <v>531067</v>
      </c>
      <c r="C892" s="141" t="s">
        <v>1129</v>
      </c>
      <c r="D892" s="141" t="s">
        <v>1146</v>
      </c>
    </row>
    <row r="893" spans="1:4" x14ac:dyDescent="0.3">
      <c r="A893" s="141" t="s">
        <v>2484</v>
      </c>
      <c r="B893" s="141">
        <v>531067</v>
      </c>
      <c r="C893" s="141" t="s">
        <v>1129</v>
      </c>
      <c r="D893" s="141" t="s">
        <v>1146</v>
      </c>
    </row>
    <row r="894" spans="1:4" x14ac:dyDescent="0.3">
      <c r="A894" s="141" t="s">
        <v>2485</v>
      </c>
      <c r="B894" s="141">
        <v>506935</v>
      </c>
      <c r="C894" s="141" t="s">
        <v>1129</v>
      </c>
      <c r="D894" s="141" t="s">
        <v>1222</v>
      </c>
    </row>
    <row r="895" spans="1:4" x14ac:dyDescent="0.3">
      <c r="A895" s="141" t="s">
        <v>2486</v>
      </c>
      <c r="B895" s="141">
        <v>531460</v>
      </c>
      <c r="C895" s="141" t="s">
        <v>1129</v>
      </c>
      <c r="D895" s="141" t="s">
        <v>1427</v>
      </c>
    </row>
    <row r="896" spans="1:4" x14ac:dyDescent="0.3">
      <c r="A896" s="141" t="s">
        <v>2487</v>
      </c>
      <c r="B896" s="141">
        <v>523232</v>
      </c>
      <c r="C896" s="141" t="s">
        <v>1129</v>
      </c>
      <c r="D896" s="141" t="s">
        <v>1339</v>
      </c>
    </row>
    <row r="897" spans="1:4" x14ac:dyDescent="0.3">
      <c r="A897" s="141" t="s">
        <v>2488</v>
      </c>
      <c r="B897" s="141">
        <v>538868</v>
      </c>
      <c r="C897" s="141" t="s">
        <v>1129</v>
      </c>
      <c r="D897" s="141" t="s">
        <v>1146</v>
      </c>
    </row>
    <row r="898" spans="1:4" x14ac:dyDescent="0.3">
      <c r="A898" s="141" t="s">
        <v>2489</v>
      </c>
      <c r="B898" s="141" t="s">
        <v>1129</v>
      </c>
      <c r="C898" s="141" t="s">
        <v>2490</v>
      </c>
      <c r="D898" s="141" t="s">
        <v>1140</v>
      </c>
    </row>
    <row r="899" spans="1:4" x14ac:dyDescent="0.3">
      <c r="A899" s="141" t="s">
        <v>2491</v>
      </c>
      <c r="B899" s="141">
        <v>522295</v>
      </c>
      <c r="C899" s="141" t="s">
        <v>2492</v>
      </c>
      <c r="D899" s="141" t="s">
        <v>1324</v>
      </c>
    </row>
    <row r="900" spans="1:4" x14ac:dyDescent="0.3">
      <c r="A900" s="141" t="s">
        <v>2493</v>
      </c>
      <c r="B900" s="141">
        <v>531556</v>
      </c>
      <c r="C900" s="141" t="s">
        <v>2494</v>
      </c>
      <c r="D900" s="141" t="s">
        <v>1187</v>
      </c>
    </row>
    <row r="901" spans="1:4" x14ac:dyDescent="0.3">
      <c r="A901" s="141" t="s">
        <v>2495</v>
      </c>
      <c r="B901" s="141">
        <v>524506</v>
      </c>
      <c r="C901" s="141" t="s">
        <v>1129</v>
      </c>
      <c r="D901" s="141" t="s">
        <v>1167</v>
      </c>
    </row>
    <row r="902" spans="1:4" x14ac:dyDescent="0.3">
      <c r="A902" s="141" t="s">
        <v>2496</v>
      </c>
      <c r="B902" s="141">
        <v>530755</v>
      </c>
      <c r="C902" s="141" t="s">
        <v>2497</v>
      </c>
      <c r="D902" s="141" t="s">
        <v>2498</v>
      </c>
    </row>
    <row r="903" spans="1:4" x14ac:dyDescent="0.3">
      <c r="A903" s="141" t="s">
        <v>2499</v>
      </c>
      <c r="B903" s="141">
        <v>532941</v>
      </c>
      <c r="C903" s="141" t="s">
        <v>2500</v>
      </c>
      <c r="D903" s="141" t="s">
        <v>1427</v>
      </c>
    </row>
    <row r="904" spans="1:4" x14ac:dyDescent="0.3">
      <c r="A904" s="141" t="s">
        <v>2501</v>
      </c>
      <c r="B904" s="141">
        <v>507543</v>
      </c>
      <c r="C904" s="141" t="s">
        <v>1129</v>
      </c>
      <c r="D904" s="141" t="s">
        <v>1378</v>
      </c>
    </row>
    <row r="905" spans="1:4" x14ac:dyDescent="0.3">
      <c r="A905" s="141" t="s">
        <v>2502</v>
      </c>
      <c r="B905" s="141">
        <v>533167</v>
      </c>
      <c r="C905" s="141" t="s">
        <v>1129</v>
      </c>
      <c r="D905" s="141" t="s">
        <v>1527</v>
      </c>
    </row>
    <row r="906" spans="1:4" x14ac:dyDescent="0.3">
      <c r="A906" s="141" t="s">
        <v>2503</v>
      </c>
      <c r="B906" s="141">
        <v>506395</v>
      </c>
      <c r="C906" s="141" t="s">
        <v>2504</v>
      </c>
      <c r="D906" s="141" t="s">
        <v>1637</v>
      </c>
    </row>
    <row r="907" spans="1:4" x14ac:dyDescent="0.3">
      <c r="A907" s="141" t="s">
        <v>2505</v>
      </c>
      <c r="B907" s="141">
        <v>526737</v>
      </c>
      <c r="C907" s="141" t="s">
        <v>1129</v>
      </c>
      <c r="D907" s="141" t="s">
        <v>1450</v>
      </c>
    </row>
    <row r="908" spans="1:4" x14ac:dyDescent="0.3">
      <c r="A908" s="141" t="s">
        <v>2506</v>
      </c>
      <c r="B908" s="141">
        <v>540199</v>
      </c>
      <c r="C908" s="141" t="s">
        <v>1129</v>
      </c>
      <c r="D908" s="141" t="s">
        <v>1112</v>
      </c>
    </row>
    <row r="909" spans="1:4" x14ac:dyDescent="0.3">
      <c r="A909" s="141" t="s">
        <v>2507</v>
      </c>
      <c r="B909" s="141">
        <v>532179</v>
      </c>
      <c r="C909" s="141" t="s">
        <v>2508</v>
      </c>
      <c r="D909" s="141" t="s">
        <v>1447</v>
      </c>
    </row>
    <row r="910" spans="1:4" x14ac:dyDescent="0.3">
      <c r="A910" s="141" t="s">
        <v>2509</v>
      </c>
      <c r="B910" s="141">
        <v>530859</v>
      </c>
      <c r="C910" s="141" t="s">
        <v>1129</v>
      </c>
      <c r="D910" s="141" t="s">
        <v>1123</v>
      </c>
    </row>
    <row r="911" spans="1:4" x14ac:dyDescent="0.3">
      <c r="A911" s="141" t="s">
        <v>2510</v>
      </c>
      <c r="B911" s="141">
        <v>530545</v>
      </c>
      <c r="C911" s="141" t="s">
        <v>1129</v>
      </c>
      <c r="D911" s="141" t="s">
        <v>1118</v>
      </c>
    </row>
    <row r="912" spans="1:4" x14ac:dyDescent="0.3">
      <c r="A912" s="141" t="s">
        <v>2511</v>
      </c>
      <c r="B912" s="141">
        <v>530545</v>
      </c>
      <c r="C912" s="141" t="s">
        <v>1129</v>
      </c>
      <c r="D912" s="141" t="s">
        <v>1118</v>
      </c>
    </row>
    <row r="913" spans="1:4" x14ac:dyDescent="0.3">
      <c r="A913" s="141" t="s">
        <v>2512</v>
      </c>
      <c r="B913" s="141">
        <v>523100</v>
      </c>
      <c r="C913" s="141" t="s">
        <v>1129</v>
      </c>
      <c r="D913" s="141" t="s">
        <v>1161</v>
      </c>
    </row>
    <row r="914" spans="1:4" x14ac:dyDescent="0.3">
      <c r="A914" s="141" t="s">
        <v>2513</v>
      </c>
      <c r="B914" s="141">
        <v>508814</v>
      </c>
      <c r="C914" s="141" t="s">
        <v>2514</v>
      </c>
      <c r="D914" s="141" t="s">
        <v>1177</v>
      </c>
    </row>
    <row r="915" spans="1:4" x14ac:dyDescent="0.3">
      <c r="A915" s="141" t="s">
        <v>2515</v>
      </c>
      <c r="B915" s="141">
        <v>538922</v>
      </c>
      <c r="C915" s="141" t="s">
        <v>1129</v>
      </c>
      <c r="D915" s="141" t="s">
        <v>1222</v>
      </c>
    </row>
    <row r="916" spans="1:4" x14ac:dyDescent="0.3">
      <c r="A916" s="141" t="s">
        <v>2516</v>
      </c>
      <c r="B916" s="141">
        <v>526550</v>
      </c>
      <c r="C916" s="141" t="s">
        <v>2517</v>
      </c>
      <c r="D916" s="141" t="s">
        <v>1330</v>
      </c>
    </row>
    <row r="917" spans="1:4" x14ac:dyDescent="0.3">
      <c r="A917" s="141" t="s">
        <v>2518</v>
      </c>
      <c r="B917" s="141">
        <v>531624</v>
      </c>
      <c r="C917" s="141" t="s">
        <v>2519</v>
      </c>
      <c r="D917" s="141" t="s">
        <v>1215</v>
      </c>
    </row>
    <row r="918" spans="1:4" x14ac:dyDescent="0.3">
      <c r="A918" s="141" t="s">
        <v>2520</v>
      </c>
      <c r="B918" s="141">
        <v>523415</v>
      </c>
      <c r="C918" s="141" t="s">
        <v>1129</v>
      </c>
      <c r="D918" s="141" t="s">
        <v>1161</v>
      </c>
    </row>
    <row r="919" spans="1:4" x14ac:dyDescent="0.3">
      <c r="A919" s="141" t="s">
        <v>2521</v>
      </c>
      <c r="B919" s="141">
        <v>534920</v>
      </c>
      <c r="C919" s="141" t="s">
        <v>1129</v>
      </c>
      <c r="D919" s="141" t="s">
        <v>1115</v>
      </c>
    </row>
    <row r="920" spans="1:4" x14ac:dyDescent="0.3">
      <c r="A920" s="141" t="s">
        <v>2522</v>
      </c>
      <c r="B920" s="141">
        <v>533144</v>
      </c>
      <c r="C920" s="141" t="s">
        <v>2523</v>
      </c>
      <c r="D920" s="141" t="s">
        <v>2132</v>
      </c>
    </row>
    <row r="921" spans="1:4" x14ac:dyDescent="0.3">
      <c r="A921" s="141" t="s">
        <v>2524</v>
      </c>
      <c r="B921" s="141">
        <v>542641</v>
      </c>
      <c r="C921" s="141" t="s">
        <v>2525</v>
      </c>
      <c r="D921" s="141" t="s">
        <v>1146</v>
      </c>
    </row>
    <row r="922" spans="1:4" x14ac:dyDescent="0.3">
      <c r="A922" s="141" t="s">
        <v>2526</v>
      </c>
      <c r="B922" s="141">
        <v>538770</v>
      </c>
      <c r="C922" s="141" t="s">
        <v>1129</v>
      </c>
      <c r="D922" s="141" t="s">
        <v>1215</v>
      </c>
    </row>
    <row r="923" spans="1:4" x14ac:dyDescent="0.3">
      <c r="A923" s="141" t="s">
        <v>2527</v>
      </c>
      <c r="B923" s="141">
        <v>512093</v>
      </c>
      <c r="C923" s="141" t="s">
        <v>1129</v>
      </c>
      <c r="D923" s="141" t="s">
        <v>1222</v>
      </c>
    </row>
    <row r="924" spans="1:4" x14ac:dyDescent="0.3">
      <c r="A924" s="141" t="s">
        <v>2528</v>
      </c>
      <c r="B924" s="141">
        <v>522001</v>
      </c>
      <c r="C924" s="141" t="s">
        <v>1129</v>
      </c>
      <c r="D924" s="141" t="s">
        <v>1207</v>
      </c>
    </row>
    <row r="925" spans="1:4" x14ac:dyDescent="0.3">
      <c r="A925" s="141" t="s">
        <v>2529</v>
      </c>
      <c r="B925" s="141">
        <v>509472</v>
      </c>
      <c r="C925" s="141" t="s">
        <v>1129</v>
      </c>
      <c r="D925" s="141" t="s">
        <v>1151</v>
      </c>
    </row>
    <row r="926" spans="1:4" x14ac:dyDescent="0.3">
      <c r="A926" s="141" t="s">
        <v>2530</v>
      </c>
      <c r="B926" s="141">
        <v>524388</v>
      </c>
      <c r="C926" s="141" t="s">
        <v>1129</v>
      </c>
      <c r="D926" s="141" t="s">
        <v>1454</v>
      </c>
    </row>
    <row r="927" spans="1:4" x14ac:dyDescent="0.3">
      <c r="A927" s="141" t="s">
        <v>2531</v>
      </c>
      <c r="B927" s="141">
        <v>539527</v>
      </c>
      <c r="C927" s="141" t="s">
        <v>1129</v>
      </c>
      <c r="D927" s="141" t="s">
        <v>2049</v>
      </c>
    </row>
    <row r="928" spans="1:4" x14ac:dyDescent="0.3">
      <c r="A928" s="141" t="s">
        <v>2532</v>
      </c>
      <c r="B928" s="141">
        <v>532392</v>
      </c>
      <c r="C928" s="141" t="s">
        <v>2533</v>
      </c>
      <c r="D928" s="141" t="s">
        <v>1132</v>
      </c>
    </row>
    <row r="929" spans="1:4" x14ac:dyDescent="0.3">
      <c r="A929" s="141" t="s">
        <v>2534</v>
      </c>
      <c r="B929" s="141" t="s">
        <v>1129</v>
      </c>
      <c r="C929" s="141" t="s">
        <v>2535</v>
      </c>
      <c r="D929" s="141" t="s">
        <v>1140</v>
      </c>
    </row>
    <row r="930" spans="1:4" x14ac:dyDescent="0.3">
      <c r="A930" s="141" t="s">
        <v>2536</v>
      </c>
      <c r="B930" s="141">
        <v>541770</v>
      </c>
      <c r="C930" s="141" t="s">
        <v>2537</v>
      </c>
      <c r="D930" s="141" t="s">
        <v>1146</v>
      </c>
    </row>
    <row r="931" spans="1:4" x14ac:dyDescent="0.3">
      <c r="A931" s="141" t="s">
        <v>2538</v>
      </c>
      <c r="B931" s="141">
        <v>539131</v>
      </c>
      <c r="C931" s="141" t="s">
        <v>1129</v>
      </c>
      <c r="D931" s="141" t="s">
        <v>1149</v>
      </c>
    </row>
    <row r="932" spans="1:4" x14ac:dyDescent="0.3">
      <c r="A932" s="141" t="s">
        <v>2539</v>
      </c>
      <c r="B932" s="141">
        <v>512379</v>
      </c>
      <c r="C932" s="141" t="s">
        <v>1129</v>
      </c>
      <c r="D932" s="141" t="s">
        <v>1222</v>
      </c>
    </row>
    <row r="933" spans="1:4" x14ac:dyDescent="0.3">
      <c r="A933" s="141" t="s">
        <v>2540</v>
      </c>
      <c r="B933" s="141">
        <v>511413</v>
      </c>
      <c r="C933" s="141" t="s">
        <v>2541</v>
      </c>
      <c r="D933" s="141" t="s">
        <v>1146</v>
      </c>
    </row>
    <row r="934" spans="1:4" x14ac:dyDescent="0.3">
      <c r="A934" s="141" t="s">
        <v>2542</v>
      </c>
      <c r="B934" s="141">
        <v>526269</v>
      </c>
      <c r="C934" s="141" t="s">
        <v>1129</v>
      </c>
      <c r="D934" s="141" t="s">
        <v>1289</v>
      </c>
    </row>
    <row r="935" spans="1:4" x14ac:dyDescent="0.3">
      <c r="A935" s="141" t="s">
        <v>2543</v>
      </c>
      <c r="B935" s="141">
        <v>526977</v>
      </c>
      <c r="C935" s="141" t="s">
        <v>1129</v>
      </c>
      <c r="D935" s="141" t="s">
        <v>1452</v>
      </c>
    </row>
    <row r="936" spans="1:4" x14ac:dyDescent="0.3">
      <c r="A936" s="141" t="s">
        <v>2544</v>
      </c>
      <c r="B936" s="141">
        <v>500092</v>
      </c>
      <c r="C936" s="141" t="s">
        <v>2545</v>
      </c>
      <c r="D936" s="141" t="s">
        <v>1112</v>
      </c>
    </row>
    <row r="937" spans="1:4" x14ac:dyDescent="0.3">
      <c r="A937" s="141" t="s">
        <v>2546</v>
      </c>
      <c r="B937" s="141">
        <v>539876</v>
      </c>
      <c r="C937" s="141" t="s">
        <v>2547</v>
      </c>
      <c r="D937" s="141" t="s">
        <v>1894</v>
      </c>
    </row>
    <row r="938" spans="1:4" x14ac:dyDescent="0.3">
      <c r="A938" s="141" t="s">
        <v>2548</v>
      </c>
      <c r="B938" s="141" t="s">
        <v>1129</v>
      </c>
      <c r="C938" s="141" t="s">
        <v>2549</v>
      </c>
      <c r="D938" s="141" t="s">
        <v>1140</v>
      </c>
    </row>
    <row r="939" spans="1:4" x14ac:dyDescent="0.3">
      <c r="A939" s="141" t="s">
        <v>2550</v>
      </c>
      <c r="B939" s="141">
        <v>538521</v>
      </c>
      <c r="C939" s="141" t="s">
        <v>1129</v>
      </c>
      <c r="D939" s="141" t="s">
        <v>2132</v>
      </c>
    </row>
    <row r="940" spans="1:4" x14ac:dyDescent="0.3">
      <c r="A940" s="141" t="s">
        <v>2551</v>
      </c>
      <c r="B940" s="141">
        <v>540903</v>
      </c>
      <c r="C940" s="141" t="s">
        <v>1129</v>
      </c>
      <c r="D940" s="141" t="s">
        <v>1213</v>
      </c>
    </row>
    <row r="941" spans="1:4" x14ac:dyDescent="0.3">
      <c r="A941" s="141" t="s">
        <v>2552</v>
      </c>
      <c r="B941" s="141">
        <v>530067</v>
      </c>
      <c r="C941" s="141" t="s">
        <v>1129</v>
      </c>
      <c r="D941" s="141" t="s">
        <v>1146</v>
      </c>
    </row>
    <row r="942" spans="1:4" x14ac:dyDescent="0.3">
      <c r="A942" s="141" t="s">
        <v>2553</v>
      </c>
      <c r="B942" s="141">
        <v>526027</v>
      </c>
      <c r="C942" s="141" t="s">
        <v>2554</v>
      </c>
      <c r="D942" s="141" t="s">
        <v>1203</v>
      </c>
    </row>
    <row r="943" spans="1:4" x14ac:dyDescent="0.3">
      <c r="A943" s="141" t="s">
        <v>2555</v>
      </c>
      <c r="B943" s="141">
        <v>511710</v>
      </c>
      <c r="C943" s="141" t="s">
        <v>1129</v>
      </c>
      <c r="D943" s="141" t="s">
        <v>1146</v>
      </c>
    </row>
    <row r="944" spans="1:4" x14ac:dyDescent="0.3">
      <c r="A944" s="141" t="s">
        <v>2556</v>
      </c>
      <c r="B944" s="141">
        <v>500480</v>
      </c>
      <c r="C944" s="141" t="s">
        <v>2557</v>
      </c>
      <c r="D944" s="141" t="s">
        <v>1137</v>
      </c>
    </row>
    <row r="945" spans="1:4" x14ac:dyDescent="0.3">
      <c r="A945" s="141" t="s">
        <v>2558</v>
      </c>
      <c r="B945" s="141">
        <v>500480</v>
      </c>
      <c r="C945" s="141" t="s">
        <v>2557</v>
      </c>
      <c r="D945" s="141" t="s">
        <v>1137</v>
      </c>
    </row>
    <row r="946" spans="1:4" x14ac:dyDescent="0.3">
      <c r="A946" s="141" t="s">
        <v>2559</v>
      </c>
      <c r="B946" s="141">
        <v>530843</v>
      </c>
      <c r="C946" s="141" t="s">
        <v>2560</v>
      </c>
      <c r="D946" s="141" t="s">
        <v>1311</v>
      </c>
    </row>
    <row r="947" spans="1:4" x14ac:dyDescent="0.3">
      <c r="A947" s="141" t="s">
        <v>2561</v>
      </c>
      <c r="B947" s="141">
        <v>532332</v>
      </c>
      <c r="C947" s="141" t="s">
        <v>2562</v>
      </c>
      <c r="D947" s="141" t="s">
        <v>1222</v>
      </c>
    </row>
    <row r="948" spans="1:4" x14ac:dyDescent="0.3">
      <c r="A948" s="141" t="s">
        <v>2563</v>
      </c>
      <c r="B948" s="141">
        <v>531472</v>
      </c>
      <c r="C948" s="141" t="s">
        <v>1129</v>
      </c>
      <c r="D948" s="141" t="s">
        <v>1427</v>
      </c>
    </row>
    <row r="949" spans="1:4" x14ac:dyDescent="0.3">
      <c r="A949" s="141" t="s">
        <v>2564</v>
      </c>
      <c r="B949" s="141">
        <v>532640</v>
      </c>
      <c r="C949" s="141" t="s">
        <v>2565</v>
      </c>
      <c r="D949" s="141" t="s">
        <v>1653</v>
      </c>
    </row>
    <row r="950" spans="1:4" x14ac:dyDescent="0.3">
      <c r="A950" s="141" t="s">
        <v>2566</v>
      </c>
      <c r="B950" s="141">
        <v>532640</v>
      </c>
      <c r="C950" s="141" t="s">
        <v>2565</v>
      </c>
      <c r="D950" s="141" t="s">
        <v>1653</v>
      </c>
    </row>
    <row r="951" spans="1:4" x14ac:dyDescent="0.3">
      <c r="A951" s="141" t="s">
        <v>2567</v>
      </c>
      <c r="B951" s="141">
        <v>532271</v>
      </c>
      <c r="C951" s="141" t="s">
        <v>1129</v>
      </c>
      <c r="D951" s="141" t="s">
        <v>1222</v>
      </c>
    </row>
    <row r="952" spans="1:4" x14ac:dyDescent="0.3">
      <c r="A952" s="141" t="s">
        <v>2568</v>
      </c>
      <c r="B952" s="141">
        <v>532173</v>
      </c>
      <c r="C952" s="141" t="s">
        <v>2569</v>
      </c>
      <c r="D952" s="141" t="s">
        <v>1222</v>
      </c>
    </row>
    <row r="953" spans="1:4" x14ac:dyDescent="0.3">
      <c r="A953" s="141" t="s">
        <v>2570</v>
      </c>
      <c r="B953" s="141">
        <v>532175</v>
      </c>
      <c r="C953" s="141" t="s">
        <v>2571</v>
      </c>
      <c r="D953" s="141" t="s">
        <v>1115</v>
      </c>
    </row>
    <row r="954" spans="1:4" x14ac:dyDescent="0.3">
      <c r="A954" s="141" t="s">
        <v>2572</v>
      </c>
      <c r="B954" s="141">
        <v>533151</v>
      </c>
      <c r="C954" s="141" t="s">
        <v>2573</v>
      </c>
      <c r="D954" s="141" t="s">
        <v>1653</v>
      </c>
    </row>
    <row r="955" spans="1:4" x14ac:dyDescent="0.3">
      <c r="A955" s="141" t="s">
        <v>2574</v>
      </c>
      <c r="B955" s="141">
        <v>533160</v>
      </c>
      <c r="C955" s="141" t="s">
        <v>2575</v>
      </c>
      <c r="D955" s="141" t="s">
        <v>1215</v>
      </c>
    </row>
    <row r="956" spans="1:4" x14ac:dyDescent="0.3">
      <c r="A956" s="141" t="s">
        <v>2576</v>
      </c>
      <c r="B956" s="141" t="s">
        <v>1129</v>
      </c>
      <c r="C956" s="141" t="s">
        <v>2577</v>
      </c>
      <c r="D956" s="141" t="s">
        <v>1140</v>
      </c>
    </row>
    <row r="957" spans="1:4" x14ac:dyDescent="0.3">
      <c r="A957" s="141" t="s">
        <v>2578</v>
      </c>
      <c r="B957" s="141" t="s">
        <v>1129</v>
      </c>
      <c r="C957" s="141" t="s">
        <v>2579</v>
      </c>
      <c r="D957" s="141" t="s">
        <v>1140</v>
      </c>
    </row>
    <row r="958" spans="1:4" x14ac:dyDescent="0.3">
      <c r="A958" s="141" t="s">
        <v>2580</v>
      </c>
      <c r="B958" s="141">
        <v>517514</v>
      </c>
      <c r="C958" s="141" t="s">
        <v>1129</v>
      </c>
      <c r="D958" s="141" t="s">
        <v>1314</v>
      </c>
    </row>
    <row r="959" spans="1:4" x14ac:dyDescent="0.3">
      <c r="A959" s="141" t="s">
        <v>2581</v>
      </c>
      <c r="B959" s="141">
        <v>517514</v>
      </c>
      <c r="C959" s="141" t="s">
        <v>1129</v>
      </c>
      <c r="D959" s="141" t="s">
        <v>1314</v>
      </c>
    </row>
    <row r="960" spans="1:4" x14ac:dyDescent="0.3">
      <c r="A960" s="141" t="s">
        <v>2582</v>
      </c>
      <c r="B960" s="141">
        <v>500096</v>
      </c>
      <c r="C960" s="141" t="s">
        <v>2583</v>
      </c>
      <c r="D960" s="141" t="s">
        <v>1311</v>
      </c>
    </row>
    <row r="961" spans="1:4" x14ac:dyDescent="0.3">
      <c r="A961" s="141" t="s">
        <v>2584</v>
      </c>
      <c r="B961" s="141">
        <v>500096</v>
      </c>
      <c r="C961" s="141" t="s">
        <v>2583</v>
      </c>
      <c r="D961" s="141" t="s">
        <v>1311</v>
      </c>
    </row>
    <row r="962" spans="1:4" x14ac:dyDescent="0.3">
      <c r="A962" s="141" t="s">
        <v>2585</v>
      </c>
      <c r="B962" s="141">
        <v>526821</v>
      </c>
      <c r="C962" s="141" t="s">
        <v>1129</v>
      </c>
      <c r="D962" s="141" t="s">
        <v>1289</v>
      </c>
    </row>
    <row r="963" spans="1:4" x14ac:dyDescent="0.3">
      <c r="A963" s="141" t="s">
        <v>2586</v>
      </c>
      <c r="B963" s="141">
        <v>530825</v>
      </c>
      <c r="C963" s="141" t="s">
        <v>1129</v>
      </c>
      <c r="D963" s="141" t="s">
        <v>1289</v>
      </c>
    </row>
    <row r="964" spans="1:4" x14ac:dyDescent="0.3">
      <c r="A964" s="141" t="s">
        <v>2587</v>
      </c>
      <c r="B964" s="141">
        <v>530825</v>
      </c>
      <c r="C964" s="141" t="s">
        <v>1129</v>
      </c>
      <c r="D964" s="141" t="s">
        <v>1289</v>
      </c>
    </row>
    <row r="965" spans="1:4" x14ac:dyDescent="0.3">
      <c r="A965" s="141" t="s">
        <v>2588</v>
      </c>
      <c r="B965" s="141">
        <v>501148</v>
      </c>
      <c r="C965" s="141" t="s">
        <v>1129</v>
      </c>
      <c r="D965" s="141" t="s">
        <v>1149</v>
      </c>
    </row>
    <row r="966" spans="1:4" x14ac:dyDescent="0.3">
      <c r="A966" s="141" t="s">
        <v>2589</v>
      </c>
      <c r="B966" s="141">
        <v>542216</v>
      </c>
      <c r="C966" s="141" t="s">
        <v>2590</v>
      </c>
      <c r="D966" s="141" t="s">
        <v>2591</v>
      </c>
    </row>
    <row r="967" spans="1:4" x14ac:dyDescent="0.3">
      <c r="A967" s="141" t="s">
        <v>2592</v>
      </c>
      <c r="B967" s="141">
        <v>500097</v>
      </c>
      <c r="C967" s="141" t="s">
        <v>2593</v>
      </c>
      <c r="D967" s="141" t="s">
        <v>1828</v>
      </c>
    </row>
    <row r="968" spans="1:4" x14ac:dyDescent="0.3">
      <c r="A968" s="141" t="s">
        <v>2594</v>
      </c>
      <c r="B968" s="141">
        <v>539900</v>
      </c>
      <c r="C968" s="141" t="s">
        <v>1129</v>
      </c>
      <c r="D968" s="141" t="s">
        <v>1151</v>
      </c>
    </row>
    <row r="969" spans="1:4" x14ac:dyDescent="0.3">
      <c r="A969" s="141" t="s">
        <v>2595</v>
      </c>
      <c r="B969" s="141">
        <v>521220</v>
      </c>
      <c r="C969" s="141" t="s">
        <v>2596</v>
      </c>
      <c r="D969" s="141" t="s">
        <v>1144</v>
      </c>
    </row>
    <row r="970" spans="1:4" x14ac:dyDescent="0.3">
      <c r="A970" s="141" t="s">
        <v>2597</v>
      </c>
      <c r="B970" s="141" t="s">
        <v>1129</v>
      </c>
      <c r="C970" s="141" t="s">
        <v>2598</v>
      </c>
      <c r="D970" s="141" t="s">
        <v>1140</v>
      </c>
    </row>
    <row r="971" spans="1:4" x14ac:dyDescent="0.3">
      <c r="A971" s="141" t="s">
        <v>2599</v>
      </c>
      <c r="B971" s="141">
        <v>532329</v>
      </c>
      <c r="C971" s="141" t="s">
        <v>1129</v>
      </c>
      <c r="D971" s="141" t="s">
        <v>1222</v>
      </c>
    </row>
    <row r="972" spans="1:4" x14ac:dyDescent="0.3">
      <c r="A972" s="141" t="s">
        <v>2600</v>
      </c>
      <c r="B972" s="141">
        <v>532329</v>
      </c>
      <c r="C972" s="141" t="s">
        <v>1129</v>
      </c>
      <c r="D972" s="141" t="s">
        <v>1222</v>
      </c>
    </row>
    <row r="973" spans="1:4" x14ac:dyDescent="0.3">
      <c r="A973" s="141" t="s">
        <v>2601</v>
      </c>
      <c r="B973" s="141">
        <v>540361</v>
      </c>
      <c r="C973" s="141" t="s">
        <v>1129</v>
      </c>
      <c r="D973" s="141" t="s">
        <v>1151</v>
      </c>
    </row>
    <row r="974" spans="1:4" x14ac:dyDescent="0.3">
      <c r="A974" s="141" t="s">
        <v>2602</v>
      </c>
      <c r="B974" s="141">
        <v>539770</v>
      </c>
      <c r="C974" s="141" t="s">
        <v>1129</v>
      </c>
      <c r="D974" s="141" t="s">
        <v>1112</v>
      </c>
    </row>
    <row r="975" spans="1:4" x14ac:dyDescent="0.3">
      <c r="A975" s="141" t="s">
        <v>2603</v>
      </c>
      <c r="B975" s="141">
        <v>539884</v>
      </c>
      <c r="C975" s="141" t="s">
        <v>1129</v>
      </c>
      <c r="D975" s="141" t="s">
        <v>1243</v>
      </c>
    </row>
    <row r="976" spans="1:4" x14ac:dyDescent="0.3">
      <c r="A976" s="141" t="s">
        <v>2604</v>
      </c>
      <c r="B976" s="141">
        <v>532528</v>
      </c>
      <c r="C976" s="141" t="s">
        <v>2605</v>
      </c>
      <c r="D976" s="141" t="s">
        <v>1222</v>
      </c>
    </row>
    <row r="977" spans="1:4" x14ac:dyDescent="0.3">
      <c r="A977" s="141" t="s">
        <v>2606</v>
      </c>
      <c r="B977" s="141">
        <v>530171</v>
      </c>
      <c r="C977" s="141" t="s">
        <v>1129</v>
      </c>
      <c r="D977" s="141" t="s">
        <v>1112</v>
      </c>
    </row>
    <row r="978" spans="1:4" x14ac:dyDescent="0.3">
      <c r="A978" s="141" t="s">
        <v>2607</v>
      </c>
      <c r="B978" s="141">
        <v>530393</v>
      </c>
      <c r="C978" s="141" t="s">
        <v>2608</v>
      </c>
      <c r="D978" s="141" t="s">
        <v>1112</v>
      </c>
    </row>
    <row r="979" spans="1:4" x14ac:dyDescent="0.3">
      <c r="A979" s="141" t="s">
        <v>2609</v>
      </c>
      <c r="B979" s="141">
        <v>532772</v>
      </c>
      <c r="C979" s="141" t="s">
        <v>2610</v>
      </c>
      <c r="D979" s="141" t="s">
        <v>1447</v>
      </c>
    </row>
    <row r="980" spans="1:4" x14ac:dyDescent="0.3">
      <c r="A980" s="141" t="s">
        <v>2611</v>
      </c>
      <c r="B980" s="141">
        <v>511611</v>
      </c>
      <c r="C980" s="141" t="s">
        <v>2612</v>
      </c>
      <c r="D980" s="141" t="s">
        <v>1146</v>
      </c>
    </row>
    <row r="981" spans="1:4" x14ac:dyDescent="0.3">
      <c r="A981" s="141" t="s">
        <v>2613</v>
      </c>
      <c r="B981" s="141">
        <v>502820</v>
      </c>
      <c r="C981" s="141" t="s">
        <v>2614</v>
      </c>
      <c r="D981" s="141" t="s">
        <v>1144</v>
      </c>
    </row>
    <row r="982" spans="1:4" x14ac:dyDescent="0.3">
      <c r="A982" s="141" t="s">
        <v>2615</v>
      </c>
      <c r="B982" s="141">
        <v>523369</v>
      </c>
      <c r="C982" s="141" t="s">
        <v>1129</v>
      </c>
      <c r="D982" s="141" t="s">
        <v>1828</v>
      </c>
    </row>
    <row r="983" spans="1:4" x14ac:dyDescent="0.3">
      <c r="A983" s="141" t="s">
        <v>2616</v>
      </c>
      <c r="B983" s="141">
        <v>523367</v>
      </c>
      <c r="C983" s="141" t="s">
        <v>2617</v>
      </c>
      <c r="D983" s="141" t="s">
        <v>1118</v>
      </c>
    </row>
    <row r="984" spans="1:4" x14ac:dyDescent="0.3">
      <c r="A984" s="141" t="s">
        <v>2618</v>
      </c>
      <c r="B984" s="141">
        <v>500117</v>
      </c>
      <c r="C984" s="141" t="s">
        <v>2619</v>
      </c>
      <c r="D984" s="141" t="s">
        <v>1343</v>
      </c>
    </row>
    <row r="985" spans="1:4" x14ac:dyDescent="0.3">
      <c r="A985" s="141" t="s">
        <v>2620</v>
      </c>
      <c r="B985" s="141">
        <v>590031</v>
      </c>
      <c r="C985" s="141" t="s">
        <v>2621</v>
      </c>
      <c r="D985" s="141" t="s">
        <v>1314</v>
      </c>
    </row>
    <row r="986" spans="1:4" x14ac:dyDescent="0.3">
      <c r="A986" s="141" t="s">
        <v>2622</v>
      </c>
      <c r="B986" s="141">
        <v>590031</v>
      </c>
      <c r="C986" s="141" t="s">
        <v>2621</v>
      </c>
      <c r="D986" s="141" t="s">
        <v>1314</v>
      </c>
    </row>
    <row r="987" spans="1:4" x14ac:dyDescent="0.3">
      <c r="A987" s="141" t="s">
        <v>2623</v>
      </c>
      <c r="B987" s="141" t="s">
        <v>1129</v>
      </c>
      <c r="C987" s="141" t="s">
        <v>2624</v>
      </c>
      <c r="D987" s="141" t="s">
        <v>1140</v>
      </c>
    </row>
    <row r="988" spans="1:4" x14ac:dyDescent="0.3">
      <c r="A988" s="141" t="s">
        <v>2625</v>
      </c>
      <c r="B988" s="141">
        <v>505703</v>
      </c>
      <c r="C988" s="141" t="s">
        <v>1129</v>
      </c>
      <c r="D988" s="141" t="s">
        <v>1137</v>
      </c>
    </row>
    <row r="989" spans="1:4" x14ac:dyDescent="0.3">
      <c r="A989" s="141" t="s">
        <v>2626</v>
      </c>
      <c r="B989" s="141">
        <v>502137</v>
      </c>
      <c r="C989" s="141" t="s">
        <v>2627</v>
      </c>
      <c r="D989" s="141" t="s">
        <v>1142</v>
      </c>
    </row>
    <row r="990" spans="1:4" x14ac:dyDescent="0.3">
      <c r="A990" s="141" t="s">
        <v>2628</v>
      </c>
      <c r="B990" s="141">
        <v>512068</v>
      </c>
      <c r="C990" s="141" t="s">
        <v>1129</v>
      </c>
      <c r="D990" s="141" t="s">
        <v>1109</v>
      </c>
    </row>
    <row r="991" spans="1:4" x14ac:dyDescent="0.3">
      <c r="A991" s="141" t="s">
        <v>2629</v>
      </c>
      <c r="B991" s="141">
        <v>542248</v>
      </c>
      <c r="C991" s="141" t="s">
        <v>2630</v>
      </c>
      <c r="D991" s="141" t="s">
        <v>1318</v>
      </c>
    </row>
    <row r="992" spans="1:4" x14ac:dyDescent="0.3">
      <c r="A992" s="141" t="s">
        <v>2631</v>
      </c>
      <c r="B992" s="141">
        <v>531989</v>
      </c>
      <c r="C992" s="141" t="s">
        <v>1129</v>
      </c>
      <c r="D992" s="141" t="s">
        <v>1324</v>
      </c>
    </row>
    <row r="993" spans="1:4" x14ac:dyDescent="0.3">
      <c r="A993" s="141" t="s">
        <v>2632</v>
      </c>
      <c r="B993" s="141">
        <v>539190</v>
      </c>
      <c r="C993" s="141" t="s">
        <v>1129</v>
      </c>
      <c r="D993" s="141" t="s">
        <v>1146</v>
      </c>
    </row>
    <row r="994" spans="1:4" x14ac:dyDescent="0.3">
      <c r="A994" s="141" t="s">
        <v>2633</v>
      </c>
      <c r="B994" s="141">
        <v>531227</v>
      </c>
      <c r="C994" s="141" t="s">
        <v>1129</v>
      </c>
      <c r="D994" s="141" t="s">
        <v>1177</v>
      </c>
    </row>
    <row r="995" spans="1:4" x14ac:dyDescent="0.3">
      <c r="A995" s="141" t="s">
        <v>2634</v>
      </c>
      <c r="B995" s="141">
        <v>539405</v>
      </c>
      <c r="C995" s="141" t="s">
        <v>1129</v>
      </c>
      <c r="D995" s="141" t="s">
        <v>1243</v>
      </c>
    </row>
    <row r="996" spans="1:4" x14ac:dyDescent="0.3">
      <c r="A996" s="141" t="s">
        <v>2635</v>
      </c>
      <c r="B996" s="141">
        <v>539559</v>
      </c>
      <c r="C996" s="141" t="s">
        <v>1129</v>
      </c>
      <c r="D996" s="141" t="s">
        <v>1243</v>
      </c>
    </row>
    <row r="997" spans="1:4" x14ac:dyDescent="0.3">
      <c r="A997" s="141" t="s">
        <v>2636</v>
      </c>
      <c r="B997" s="141">
        <v>539559</v>
      </c>
      <c r="C997" s="141" t="s">
        <v>1129</v>
      </c>
      <c r="D997" s="141" t="s">
        <v>1243</v>
      </c>
    </row>
    <row r="998" spans="1:4" x14ac:dyDescent="0.3">
      <c r="A998" s="141" t="s">
        <v>2637</v>
      </c>
      <c r="B998" s="141">
        <v>532760</v>
      </c>
      <c r="C998" s="141" t="s">
        <v>2638</v>
      </c>
      <c r="D998" s="141" t="s">
        <v>1260</v>
      </c>
    </row>
    <row r="999" spans="1:4" x14ac:dyDescent="0.3">
      <c r="A999" s="141" t="s">
        <v>2639</v>
      </c>
      <c r="B999" s="141">
        <v>541778</v>
      </c>
      <c r="C999" s="141" t="s">
        <v>1129</v>
      </c>
      <c r="D999" s="141" t="s">
        <v>1289</v>
      </c>
    </row>
    <row r="1000" spans="1:4" x14ac:dyDescent="0.3">
      <c r="A1000" s="141" t="s">
        <v>2640</v>
      </c>
      <c r="B1000" s="141">
        <v>500645</v>
      </c>
      <c r="C1000" s="141" t="s">
        <v>2641</v>
      </c>
      <c r="D1000" s="141" t="s">
        <v>1177</v>
      </c>
    </row>
    <row r="1001" spans="1:4" x14ac:dyDescent="0.3">
      <c r="A1001" s="141" t="s">
        <v>2642</v>
      </c>
      <c r="B1001" s="141">
        <v>506401</v>
      </c>
      <c r="C1001" s="141" t="s">
        <v>2643</v>
      </c>
      <c r="D1001" s="141" t="s">
        <v>1177</v>
      </c>
    </row>
    <row r="1002" spans="1:4" x14ac:dyDescent="0.3">
      <c r="A1002" s="141" t="s">
        <v>2644</v>
      </c>
      <c r="B1002" s="141">
        <v>514030</v>
      </c>
      <c r="C1002" s="141" t="s">
        <v>1129</v>
      </c>
      <c r="D1002" s="141" t="s">
        <v>1144</v>
      </c>
    </row>
    <row r="1003" spans="1:4" x14ac:dyDescent="0.3">
      <c r="A1003" s="141" t="s">
        <v>2645</v>
      </c>
      <c r="B1003" s="141">
        <v>539455</v>
      </c>
      <c r="C1003" s="141" t="s">
        <v>1129</v>
      </c>
      <c r="D1003" s="141" t="s">
        <v>1161</v>
      </c>
    </row>
    <row r="1004" spans="1:4" x14ac:dyDescent="0.3">
      <c r="A1004" s="141" t="s">
        <v>2646</v>
      </c>
      <c r="B1004" s="141">
        <v>780006</v>
      </c>
      <c r="C1004" s="141" t="s">
        <v>1129</v>
      </c>
      <c r="D1004" s="141" t="s">
        <v>1220</v>
      </c>
    </row>
    <row r="1005" spans="1:4" x14ac:dyDescent="0.3">
      <c r="A1005" s="141" t="s">
        <v>2647</v>
      </c>
      <c r="B1005" s="141">
        <v>532848</v>
      </c>
      <c r="C1005" s="141" t="s">
        <v>2648</v>
      </c>
      <c r="D1005" s="141" t="s">
        <v>1550</v>
      </c>
    </row>
    <row r="1006" spans="1:4" x14ac:dyDescent="0.3">
      <c r="A1006" s="141" t="s">
        <v>2649</v>
      </c>
      <c r="B1006" s="141">
        <v>539596</v>
      </c>
      <c r="C1006" s="141" t="s">
        <v>1129</v>
      </c>
      <c r="D1006" s="141" t="s">
        <v>1112</v>
      </c>
    </row>
    <row r="1007" spans="1:4" x14ac:dyDescent="0.3">
      <c r="A1007" s="141" t="s">
        <v>2650</v>
      </c>
      <c r="B1007" s="141">
        <v>504286</v>
      </c>
      <c r="C1007" s="141" t="s">
        <v>2651</v>
      </c>
      <c r="D1007" s="141" t="s">
        <v>1427</v>
      </c>
    </row>
    <row r="1008" spans="1:4" x14ac:dyDescent="0.3">
      <c r="A1008" s="141" t="s">
        <v>2652</v>
      </c>
      <c r="B1008" s="141">
        <v>504240</v>
      </c>
      <c r="C1008" s="141" t="s">
        <v>1129</v>
      </c>
      <c r="D1008" s="141" t="s">
        <v>1427</v>
      </c>
    </row>
    <row r="1009" spans="1:4" x14ac:dyDescent="0.3">
      <c r="A1009" s="141" t="s">
        <v>2653</v>
      </c>
      <c r="B1009" s="141">
        <v>504256</v>
      </c>
      <c r="C1009" s="141" t="s">
        <v>1129</v>
      </c>
      <c r="D1009" s="141" t="s">
        <v>1671</v>
      </c>
    </row>
    <row r="1010" spans="1:4" x14ac:dyDescent="0.3">
      <c r="A1010" s="141" t="s">
        <v>2654</v>
      </c>
      <c r="B1010" s="141">
        <v>533137</v>
      </c>
      <c r="C1010" s="141" t="s">
        <v>2655</v>
      </c>
      <c r="D1010" s="141" t="s">
        <v>1868</v>
      </c>
    </row>
    <row r="1011" spans="1:4" x14ac:dyDescent="0.3">
      <c r="A1011" s="141" t="s">
        <v>2656</v>
      </c>
      <c r="B1011" s="141">
        <v>532121</v>
      </c>
      <c r="C1011" s="141" t="s">
        <v>2657</v>
      </c>
      <c r="D1011" s="141" t="s">
        <v>1447</v>
      </c>
    </row>
    <row r="1012" spans="1:4" x14ac:dyDescent="0.3">
      <c r="A1012" s="141" t="s">
        <v>2658</v>
      </c>
      <c r="B1012" s="141">
        <v>537536</v>
      </c>
      <c r="C1012" s="141" t="s">
        <v>1129</v>
      </c>
      <c r="D1012" s="141" t="s">
        <v>1167</v>
      </c>
    </row>
    <row r="1013" spans="1:4" x14ac:dyDescent="0.3">
      <c r="A1013" s="141" t="s">
        <v>2659</v>
      </c>
      <c r="B1013" s="141">
        <v>531521</v>
      </c>
      <c r="C1013" s="141" t="s">
        <v>1129</v>
      </c>
      <c r="D1013" s="141" t="s">
        <v>1167</v>
      </c>
    </row>
    <row r="1014" spans="1:4" x14ac:dyDescent="0.3">
      <c r="A1014" s="141" t="s">
        <v>2660</v>
      </c>
      <c r="B1014" s="141" t="s">
        <v>1129</v>
      </c>
      <c r="C1014" s="141" t="s">
        <v>2661</v>
      </c>
      <c r="D1014" s="141" t="s">
        <v>1140</v>
      </c>
    </row>
    <row r="1015" spans="1:4" x14ac:dyDescent="0.3">
      <c r="A1015" s="141" t="s">
        <v>2662</v>
      </c>
      <c r="B1015" s="141">
        <v>539197</v>
      </c>
      <c r="C1015" s="141" t="s">
        <v>1129</v>
      </c>
      <c r="D1015" s="141" t="s">
        <v>1151</v>
      </c>
    </row>
    <row r="1016" spans="1:4" x14ac:dyDescent="0.3">
      <c r="A1016" s="141" t="s">
        <v>2663</v>
      </c>
      <c r="B1016" s="141">
        <v>539197</v>
      </c>
      <c r="C1016" s="141" t="s">
        <v>1129</v>
      </c>
      <c r="D1016" s="141" t="s">
        <v>1151</v>
      </c>
    </row>
    <row r="1017" spans="1:4" x14ac:dyDescent="0.3">
      <c r="A1017" s="141" t="s">
        <v>2664</v>
      </c>
      <c r="B1017" s="141">
        <v>531585</v>
      </c>
      <c r="C1017" s="141" t="s">
        <v>1129</v>
      </c>
      <c r="D1017" s="141" t="s">
        <v>1151</v>
      </c>
    </row>
    <row r="1018" spans="1:4" x14ac:dyDescent="0.3">
      <c r="A1018" s="141" t="s">
        <v>2665</v>
      </c>
      <c r="B1018" s="141">
        <v>512445</v>
      </c>
      <c r="C1018" s="141" t="s">
        <v>1129</v>
      </c>
      <c r="D1018" s="141" t="s">
        <v>1112</v>
      </c>
    </row>
    <row r="1019" spans="1:4" x14ac:dyDescent="0.3">
      <c r="A1019" s="141" t="s">
        <v>2666</v>
      </c>
      <c r="B1019" s="141">
        <v>530765</v>
      </c>
      <c r="C1019" s="141" t="s">
        <v>1129</v>
      </c>
      <c r="D1019" s="141" t="s">
        <v>1146</v>
      </c>
    </row>
    <row r="1020" spans="1:4" x14ac:dyDescent="0.3">
      <c r="A1020" s="141" t="s">
        <v>2667</v>
      </c>
      <c r="B1020" s="141">
        <v>542002</v>
      </c>
      <c r="C1020" s="141" t="s">
        <v>1129</v>
      </c>
      <c r="D1020" s="141" t="s">
        <v>1215</v>
      </c>
    </row>
    <row r="1021" spans="1:4" x14ac:dyDescent="0.3">
      <c r="A1021" s="141" t="s">
        <v>2668</v>
      </c>
      <c r="B1021" s="141">
        <v>511072</v>
      </c>
      <c r="C1021" s="141" t="s">
        <v>2669</v>
      </c>
      <c r="D1021" s="141" t="s">
        <v>1187</v>
      </c>
    </row>
    <row r="1022" spans="1:4" x14ac:dyDescent="0.3">
      <c r="A1022" s="141" t="s">
        <v>2670</v>
      </c>
      <c r="B1022" s="141">
        <v>519588</v>
      </c>
      <c r="C1022" s="141" t="s">
        <v>2671</v>
      </c>
      <c r="D1022" s="141" t="s">
        <v>1189</v>
      </c>
    </row>
    <row r="1023" spans="1:4" x14ac:dyDescent="0.3">
      <c r="A1023" s="141" t="s">
        <v>2672</v>
      </c>
      <c r="B1023" s="141">
        <v>538715</v>
      </c>
      <c r="C1023" s="141" t="s">
        <v>1129</v>
      </c>
      <c r="D1023" s="141" t="s">
        <v>1249</v>
      </c>
    </row>
    <row r="1024" spans="1:4" x14ac:dyDescent="0.3">
      <c r="A1024" s="141" t="s">
        <v>2673</v>
      </c>
      <c r="B1024" s="141">
        <v>500119</v>
      </c>
      <c r="C1024" s="141" t="s">
        <v>2674</v>
      </c>
      <c r="D1024" s="141" t="s">
        <v>1828</v>
      </c>
    </row>
    <row r="1025" spans="1:4" x14ac:dyDescent="0.3">
      <c r="A1025" s="141" t="s">
        <v>2675</v>
      </c>
      <c r="B1025" s="141">
        <v>531923</v>
      </c>
      <c r="C1025" s="141" t="s">
        <v>1129</v>
      </c>
      <c r="D1025" s="141" t="s">
        <v>1828</v>
      </c>
    </row>
    <row r="1026" spans="1:4" x14ac:dyDescent="0.3">
      <c r="A1026" s="141" t="s">
        <v>2676</v>
      </c>
      <c r="B1026" s="141">
        <v>531198</v>
      </c>
      <c r="C1026" s="141" t="s">
        <v>1129</v>
      </c>
      <c r="D1026" s="141" t="s">
        <v>1330</v>
      </c>
    </row>
    <row r="1027" spans="1:4" x14ac:dyDescent="0.3">
      <c r="A1027" s="141" t="s">
        <v>2677</v>
      </c>
      <c r="B1027" s="141">
        <v>521216</v>
      </c>
      <c r="C1027" s="141" t="s">
        <v>1129</v>
      </c>
      <c r="D1027" s="141" t="s">
        <v>1144</v>
      </c>
    </row>
    <row r="1028" spans="1:4" x14ac:dyDescent="0.3">
      <c r="A1028" s="141" t="s">
        <v>2678</v>
      </c>
      <c r="B1028" s="141">
        <v>542679</v>
      </c>
      <c r="C1028" s="141" t="s">
        <v>2679</v>
      </c>
      <c r="D1028" s="141" t="s">
        <v>1427</v>
      </c>
    </row>
    <row r="1029" spans="1:4" x14ac:dyDescent="0.3">
      <c r="A1029" s="141" t="s">
        <v>2680</v>
      </c>
      <c r="B1029" s="141">
        <v>532180</v>
      </c>
      <c r="C1029" s="141" t="s">
        <v>2681</v>
      </c>
      <c r="D1029" s="141" t="s">
        <v>1447</v>
      </c>
    </row>
    <row r="1030" spans="1:4" x14ac:dyDescent="0.3">
      <c r="A1030" s="141" t="s">
        <v>2682</v>
      </c>
      <c r="B1030" s="141">
        <v>512485</v>
      </c>
      <c r="C1030" s="141" t="s">
        <v>1129</v>
      </c>
      <c r="D1030" s="141" t="s">
        <v>1151</v>
      </c>
    </row>
    <row r="1031" spans="1:4" x14ac:dyDescent="0.3">
      <c r="A1031" s="141" t="s">
        <v>2683</v>
      </c>
      <c r="B1031" s="141">
        <v>521151</v>
      </c>
      <c r="C1031" s="141" t="s">
        <v>1129</v>
      </c>
      <c r="D1031" s="141" t="s">
        <v>1144</v>
      </c>
    </row>
    <row r="1032" spans="1:4" x14ac:dyDescent="0.3">
      <c r="A1032" s="141" t="s">
        <v>2684</v>
      </c>
      <c r="B1032" s="141">
        <v>503637</v>
      </c>
      <c r="C1032" s="141" t="s">
        <v>1129</v>
      </c>
      <c r="D1032" s="141" t="s">
        <v>1112</v>
      </c>
    </row>
    <row r="1033" spans="1:4" x14ac:dyDescent="0.3">
      <c r="A1033" s="141" t="s">
        <v>2685</v>
      </c>
      <c r="B1033" s="141">
        <v>507717</v>
      </c>
      <c r="C1033" s="141" t="s">
        <v>2686</v>
      </c>
      <c r="D1033" s="141" t="s">
        <v>1273</v>
      </c>
    </row>
    <row r="1034" spans="1:4" x14ac:dyDescent="0.3">
      <c r="A1034" s="141" t="s">
        <v>2687</v>
      </c>
      <c r="B1034" s="141">
        <v>538446</v>
      </c>
      <c r="C1034" s="141" t="s">
        <v>1129</v>
      </c>
      <c r="D1034" s="141" t="s">
        <v>1112</v>
      </c>
    </row>
    <row r="1035" spans="1:4" x14ac:dyDescent="0.3">
      <c r="A1035" s="141" t="s">
        <v>2688</v>
      </c>
      <c r="B1035" s="141" t="s">
        <v>1129</v>
      </c>
      <c r="C1035" s="141" t="s">
        <v>2689</v>
      </c>
      <c r="D1035" s="141" t="s">
        <v>1140</v>
      </c>
    </row>
    <row r="1036" spans="1:4" x14ac:dyDescent="0.3">
      <c r="A1036" s="141" t="s">
        <v>2690</v>
      </c>
      <c r="B1036" s="141">
        <v>531043</v>
      </c>
      <c r="C1036" s="141" t="s">
        <v>1129</v>
      </c>
      <c r="D1036" s="141" t="s">
        <v>1318</v>
      </c>
    </row>
    <row r="1037" spans="1:4" x14ac:dyDescent="0.3">
      <c r="A1037" s="141" t="s">
        <v>2691</v>
      </c>
      <c r="B1037" s="141">
        <v>540268</v>
      </c>
      <c r="C1037" s="141" t="s">
        <v>1129</v>
      </c>
      <c r="D1037" s="141" t="s">
        <v>1112</v>
      </c>
    </row>
    <row r="1038" spans="1:4" x14ac:dyDescent="0.3">
      <c r="A1038" s="141" t="s">
        <v>2692</v>
      </c>
      <c r="B1038" s="141">
        <v>506405</v>
      </c>
      <c r="C1038" s="141" t="s">
        <v>1129</v>
      </c>
      <c r="D1038" s="141" t="s">
        <v>1289</v>
      </c>
    </row>
    <row r="1039" spans="1:4" x14ac:dyDescent="0.3">
      <c r="A1039" s="141" t="s">
        <v>2693</v>
      </c>
      <c r="B1039" s="141">
        <v>511451</v>
      </c>
      <c r="C1039" s="141" t="s">
        <v>1129</v>
      </c>
      <c r="D1039" s="141" t="s">
        <v>1146</v>
      </c>
    </row>
    <row r="1040" spans="1:4" x14ac:dyDescent="0.3">
      <c r="A1040" s="141" t="s">
        <v>2694</v>
      </c>
      <c r="B1040" s="141">
        <v>507442</v>
      </c>
      <c r="C1040" s="141" t="s">
        <v>2695</v>
      </c>
      <c r="D1040" s="141" t="s">
        <v>1828</v>
      </c>
    </row>
    <row r="1041" spans="1:4" x14ac:dyDescent="0.3">
      <c r="A1041" s="141" t="s">
        <v>2696</v>
      </c>
      <c r="B1041" s="141">
        <v>501945</v>
      </c>
      <c r="C1041" s="141" t="s">
        <v>1129</v>
      </c>
      <c r="D1041" s="141" t="s">
        <v>1146</v>
      </c>
    </row>
    <row r="1042" spans="1:4" x14ac:dyDescent="0.3">
      <c r="A1042" s="141" t="s">
        <v>2697</v>
      </c>
      <c r="B1042" s="141">
        <v>526971</v>
      </c>
      <c r="C1042" s="141" t="s">
        <v>1129</v>
      </c>
      <c r="D1042" s="141" t="s">
        <v>1151</v>
      </c>
    </row>
    <row r="1043" spans="1:4" x14ac:dyDescent="0.3">
      <c r="A1043" s="141" t="s">
        <v>2698</v>
      </c>
      <c r="B1043" s="141">
        <v>531306</v>
      </c>
      <c r="C1043" s="141" t="s">
        <v>1129</v>
      </c>
      <c r="D1043" s="141" t="s">
        <v>1137</v>
      </c>
    </row>
    <row r="1044" spans="1:4" x14ac:dyDescent="0.3">
      <c r="A1044" s="141" t="s">
        <v>2699</v>
      </c>
      <c r="B1044" s="141">
        <v>531306</v>
      </c>
      <c r="C1044" s="141" t="s">
        <v>1129</v>
      </c>
      <c r="D1044" s="141" t="s">
        <v>1137</v>
      </c>
    </row>
    <row r="1045" spans="1:4" x14ac:dyDescent="0.3">
      <c r="A1045" s="141" t="s">
        <v>2700</v>
      </c>
      <c r="B1045" s="141">
        <v>541302</v>
      </c>
      <c r="C1045" s="141" t="s">
        <v>1129</v>
      </c>
      <c r="D1045" s="141" t="s">
        <v>1527</v>
      </c>
    </row>
    <row r="1046" spans="1:4" x14ac:dyDescent="0.3">
      <c r="A1046" s="141" t="s">
        <v>2701</v>
      </c>
      <c r="B1046" s="141">
        <v>507886</v>
      </c>
      <c r="C1046" s="141" t="s">
        <v>1129</v>
      </c>
      <c r="D1046" s="141" t="s">
        <v>1215</v>
      </c>
    </row>
    <row r="1047" spans="1:4" x14ac:dyDescent="0.3">
      <c r="A1047" s="141" t="s">
        <v>2702</v>
      </c>
      <c r="B1047" s="141">
        <v>540695</v>
      </c>
      <c r="C1047" s="141" t="s">
        <v>1129</v>
      </c>
      <c r="D1047" s="141" t="s">
        <v>1151</v>
      </c>
    </row>
    <row r="1048" spans="1:4" x14ac:dyDescent="0.3">
      <c r="A1048" s="141" t="s">
        <v>2703</v>
      </c>
      <c r="B1048" s="141">
        <v>531237</v>
      </c>
      <c r="C1048" s="141" t="s">
        <v>1129</v>
      </c>
      <c r="D1048" s="141" t="s">
        <v>1146</v>
      </c>
    </row>
    <row r="1049" spans="1:4" x14ac:dyDescent="0.3">
      <c r="A1049" s="141" t="s">
        <v>2704</v>
      </c>
      <c r="B1049" s="141">
        <v>533336</v>
      </c>
      <c r="C1049" s="141" t="s">
        <v>2705</v>
      </c>
      <c r="D1049" s="141" t="s">
        <v>1149</v>
      </c>
    </row>
    <row r="1050" spans="1:4" x14ac:dyDescent="0.3">
      <c r="A1050" s="141" t="s">
        <v>2706</v>
      </c>
      <c r="B1050" s="141">
        <v>523736</v>
      </c>
      <c r="C1050" s="141" t="s">
        <v>2707</v>
      </c>
      <c r="D1050" s="141" t="s">
        <v>1506</v>
      </c>
    </row>
    <row r="1051" spans="1:4" x14ac:dyDescent="0.3">
      <c r="A1051" s="141" t="s">
        <v>2708</v>
      </c>
      <c r="B1051" s="141">
        <v>538902</v>
      </c>
      <c r="C1051" s="141" t="s">
        <v>2709</v>
      </c>
      <c r="D1051" s="141" t="s">
        <v>1536</v>
      </c>
    </row>
    <row r="1052" spans="1:4" x14ac:dyDescent="0.3">
      <c r="A1052" s="141" t="s">
        <v>2710</v>
      </c>
      <c r="B1052" s="141" t="s">
        <v>1129</v>
      </c>
      <c r="C1052" s="141" t="s">
        <v>2711</v>
      </c>
      <c r="D1052" s="141" t="s">
        <v>1536</v>
      </c>
    </row>
    <row r="1053" spans="1:4" x14ac:dyDescent="0.3">
      <c r="A1053" s="141" t="s">
        <v>2712</v>
      </c>
      <c r="B1053" s="141">
        <v>508860</v>
      </c>
      <c r="C1053" s="141" t="s">
        <v>1129</v>
      </c>
      <c r="D1053" s="141" t="s">
        <v>1527</v>
      </c>
    </row>
    <row r="1054" spans="1:4" x14ac:dyDescent="0.3">
      <c r="A1054" s="141" t="s">
        <v>2713</v>
      </c>
      <c r="B1054" s="141">
        <v>500120</v>
      </c>
      <c r="C1054" s="141" t="s">
        <v>1129</v>
      </c>
      <c r="D1054" s="141" t="s">
        <v>1177</v>
      </c>
    </row>
    <row r="1055" spans="1:4" x14ac:dyDescent="0.3">
      <c r="A1055" s="141" t="s">
        <v>2714</v>
      </c>
      <c r="B1055" s="141">
        <v>522163</v>
      </c>
      <c r="C1055" s="141" t="s">
        <v>2715</v>
      </c>
      <c r="D1055" s="141" t="s">
        <v>1427</v>
      </c>
    </row>
    <row r="1056" spans="1:4" x14ac:dyDescent="0.3">
      <c r="A1056" s="141" t="s">
        <v>2716</v>
      </c>
      <c r="B1056" s="141">
        <v>530959</v>
      </c>
      <c r="C1056" s="141" t="s">
        <v>1129</v>
      </c>
      <c r="D1056" s="141" t="s">
        <v>1536</v>
      </c>
    </row>
    <row r="1057" spans="1:4" x14ac:dyDescent="0.3">
      <c r="A1057" s="141" t="s">
        <v>2717</v>
      </c>
      <c r="B1057" s="141">
        <v>500089</v>
      </c>
      <c r="C1057" s="141" t="s">
        <v>2718</v>
      </c>
      <c r="D1057" s="141" t="s">
        <v>1289</v>
      </c>
    </row>
    <row r="1058" spans="1:4" x14ac:dyDescent="0.3">
      <c r="A1058" s="141" t="s">
        <v>2719</v>
      </c>
      <c r="B1058" s="141">
        <v>500089</v>
      </c>
      <c r="C1058" s="141" t="s">
        <v>2718</v>
      </c>
      <c r="D1058" s="141" t="s">
        <v>1289</v>
      </c>
    </row>
    <row r="1059" spans="1:4" x14ac:dyDescent="0.3">
      <c r="A1059" s="141" t="s">
        <v>2720</v>
      </c>
      <c r="B1059" s="141">
        <v>540811</v>
      </c>
      <c r="C1059" s="141" t="s">
        <v>1129</v>
      </c>
      <c r="D1059" s="141" t="s">
        <v>1151</v>
      </c>
    </row>
    <row r="1060" spans="1:4" x14ac:dyDescent="0.3">
      <c r="A1060" s="141" t="s">
        <v>2721</v>
      </c>
      <c r="B1060" s="141">
        <v>542685</v>
      </c>
      <c r="C1060" s="141" t="s">
        <v>2722</v>
      </c>
      <c r="D1060" s="141" t="s">
        <v>1653</v>
      </c>
    </row>
    <row r="1061" spans="1:4" x14ac:dyDescent="0.3">
      <c r="A1061" s="141" t="s">
        <v>2723</v>
      </c>
      <c r="B1061" s="141">
        <v>539979</v>
      </c>
      <c r="C1061" s="141" t="s">
        <v>2724</v>
      </c>
      <c r="D1061" s="141" t="s">
        <v>1144</v>
      </c>
    </row>
    <row r="1062" spans="1:4" x14ac:dyDescent="0.3">
      <c r="A1062" s="141" t="s">
        <v>2725</v>
      </c>
      <c r="B1062" s="141">
        <v>540151</v>
      </c>
      <c r="C1062" s="141" t="s">
        <v>1129</v>
      </c>
      <c r="D1062" s="141" t="s">
        <v>1132</v>
      </c>
    </row>
    <row r="1063" spans="1:4" x14ac:dyDescent="0.3">
      <c r="A1063" s="141" t="s">
        <v>2726</v>
      </c>
      <c r="B1063" s="141">
        <v>542155</v>
      </c>
      <c r="C1063" s="141" t="s">
        <v>2727</v>
      </c>
      <c r="D1063" s="141" t="s">
        <v>1495</v>
      </c>
    </row>
    <row r="1064" spans="1:4" x14ac:dyDescent="0.3">
      <c r="A1064" s="141" t="s">
        <v>2728</v>
      </c>
      <c r="B1064" s="141">
        <v>506414</v>
      </c>
      <c r="C1064" s="141" t="s">
        <v>1129</v>
      </c>
      <c r="D1064" s="141" t="s">
        <v>1167</v>
      </c>
    </row>
    <row r="1065" spans="1:4" x14ac:dyDescent="0.3">
      <c r="A1065" s="141" t="s">
        <v>2729</v>
      </c>
      <c r="B1065" s="141">
        <v>531153</v>
      </c>
      <c r="C1065" s="141" t="s">
        <v>1129</v>
      </c>
      <c r="D1065" s="141" t="s">
        <v>1378</v>
      </c>
    </row>
    <row r="1066" spans="1:4" x14ac:dyDescent="0.3">
      <c r="A1066" s="141" t="s">
        <v>2730</v>
      </c>
      <c r="B1066" s="141">
        <v>540789</v>
      </c>
      <c r="C1066" s="141" t="s">
        <v>2731</v>
      </c>
      <c r="D1066" s="141" t="s">
        <v>2732</v>
      </c>
    </row>
    <row r="1067" spans="1:4" x14ac:dyDescent="0.3">
      <c r="A1067" s="141" t="s">
        <v>2733</v>
      </c>
      <c r="B1067" s="141">
        <v>540047</v>
      </c>
      <c r="C1067" s="141" t="s">
        <v>2734</v>
      </c>
      <c r="D1067" s="141" t="s">
        <v>1724</v>
      </c>
    </row>
    <row r="1068" spans="1:4" x14ac:dyDescent="0.3">
      <c r="A1068" s="141" t="s">
        <v>2735</v>
      </c>
      <c r="B1068" s="141">
        <v>526927</v>
      </c>
      <c r="C1068" s="141" t="s">
        <v>1129</v>
      </c>
      <c r="D1068" s="141" t="s">
        <v>1222</v>
      </c>
    </row>
    <row r="1069" spans="1:4" x14ac:dyDescent="0.3">
      <c r="A1069" s="141" t="s">
        <v>2736</v>
      </c>
      <c r="B1069" s="141">
        <v>500068</v>
      </c>
      <c r="C1069" s="141" t="s">
        <v>1129</v>
      </c>
      <c r="D1069" s="141" t="s">
        <v>1137</v>
      </c>
    </row>
    <row r="1070" spans="1:4" x14ac:dyDescent="0.3">
      <c r="A1070" s="141" t="s">
        <v>2737</v>
      </c>
      <c r="B1070" s="141">
        <v>500068</v>
      </c>
      <c r="C1070" s="141" t="s">
        <v>1129</v>
      </c>
      <c r="D1070" s="141" t="s">
        <v>1137</v>
      </c>
    </row>
    <row r="1071" spans="1:4" x14ac:dyDescent="0.3">
      <c r="A1071" s="141" t="s">
        <v>2738</v>
      </c>
      <c r="B1071" s="141">
        <v>532839</v>
      </c>
      <c r="C1071" s="141" t="s">
        <v>2739</v>
      </c>
      <c r="D1071" s="141" t="s">
        <v>1868</v>
      </c>
    </row>
    <row r="1072" spans="1:4" x14ac:dyDescent="0.3">
      <c r="A1072" s="141" t="s">
        <v>2740</v>
      </c>
      <c r="B1072" s="141">
        <v>532839</v>
      </c>
      <c r="C1072" s="141" t="s">
        <v>2739</v>
      </c>
      <c r="D1072" s="141" t="s">
        <v>1868</v>
      </c>
    </row>
    <row r="1073" spans="1:4" x14ac:dyDescent="0.3">
      <c r="A1073" s="141" t="s">
        <v>2741</v>
      </c>
      <c r="B1073" s="141">
        <v>531553</v>
      </c>
      <c r="C1073" s="141" t="s">
        <v>1129</v>
      </c>
      <c r="D1073" s="141" t="s">
        <v>1550</v>
      </c>
    </row>
    <row r="1074" spans="1:4" x14ac:dyDescent="0.3">
      <c r="A1074" s="141" t="s">
        <v>2742</v>
      </c>
      <c r="B1074" s="141">
        <v>540701</v>
      </c>
      <c r="C1074" s="141" t="s">
        <v>2743</v>
      </c>
      <c r="D1074" s="141" t="s">
        <v>1167</v>
      </c>
    </row>
    <row r="1075" spans="1:4" x14ac:dyDescent="0.3">
      <c r="A1075" s="141" t="s">
        <v>2744</v>
      </c>
      <c r="B1075" s="141">
        <v>538432</v>
      </c>
      <c r="C1075" s="141" t="s">
        <v>1129</v>
      </c>
      <c r="D1075" s="141" t="s">
        <v>1151</v>
      </c>
    </row>
    <row r="1076" spans="1:4" x14ac:dyDescent="0.3">
      <c r="A1076" s="141" t="s">
        <v>2745</v>
      </c>
      <c r="B1076" s="141">
        <v>532488</v>
      </c>
      <c r="C1076" s="141" t="s">
        <v>2746</v>
      </c>
      <c r="D1076" s="141" t="s">
        <v>1167</v>
      </c>
    </row>
    <row r="1077" spans="1:4" x14ac:dyDescent="0.3">
      <c r="A1077" s="141" t="s">
        <v>2747</v>
      </c>
      <c r="B1077" s="141">
        <v>526285</v>
      </c>
      <c r="C1077" s="141" t="s">
        <v>1129</v>
      </c>
      <c r="D1077" s="141" t="s">
        <v>1378</v>
      </c>
    </row>
    <row r="1078" spans="1:4" x14ac:dyDescent="0.3">
      <c r="A1078" s="141" t="s">
        <v>2748</v>
      </c>
      <c r="B1078" s="141">
        <v>526315</v>
      </c>
      <c r="C1078" s="141" t="s">
        <v>1129</v>
      </c>
      <c r="D1078" s="141" t="s">
        <v>1657</v>
      </c>
    </row>
    <row r="1079" spans="1:4" x14ac:dyDescent="0.3">
      <c r="A1079" s="141" t="s">
        <v>2749</v>
      </c>
      <c r="B1079" s="141">
        <v>540699</v>
      </c>
      <c r="C1079" s="141" t="s">
        <v>2750</v>
      </c>
      <c r="D1079" s="141" t="s">
        <v>1498</v>
      </c>
    </row>
    <row r="1080" spans="1:4" x14ac:dyDescent="0.3">
      <c r="A1080" s="141" t="s">
        <v>2751</v>
      </c>
      <c r="B1080" s="141">
        <v>540699</v>
      </c>
      <c r="C1080" s="141" t="s">
        <v>2750</v>
      </c>
      <c r="D1080" s="141" t="s">
        <v>1498</v>
      </c>
    </row>
    <row r="1081" spans="1:4" x14ac:dyDescent="0.3">
      <c r="A1081" s="141" t="s">
        <v>2752</v>
      </c>
      <c r="B1081" s="141">
        <v>532868</v>
      </c>
      <c r="C1081" s="141" t="s">
        <v>2753</v>
      </c>
      <c r="D1081" s="141" t="s">
        <v>1215</v>
      </c>
    </row>
    <row r="1082" spans="1:4" x14ac:dyDescent="0.3">
      <c r="A1082" s="141" t="s">
        <v>2754</v>
      </c>
      <c r="B1082" s="141">
        <v>533146</v>
      </c>
      <c r="C1082" s="141" t="s">
        <v>2755</v>
      </c>
      <c r="D1082" s="141" t="s">
        <v>2756</v>
      </c>
    </row>
    <row r="1083" spans="1:4" x14ac:dyDescent="0.3">
      <c r="A1083" s="141" t="s">
        <v>2757</v>
      </c>
      <c r="B1083" s="141">
        <v>533146</v>
      </c>
      <c r="C1083" s="141" t="s">
        <v>2758</v>
      </c>
      <c r="D1083" s="141" t="s">
        <v>2756</v>
      </c>
    </row>
    <row r="1084" spans="1:4" x14ac:dyDescent="0.3">
      <c r="A1084" s="141" t="s">
        <v>2759</v>
      </c>
      <c r="B1084" s="141">
        <v>505526</v>
      </c>
      <c r="C1084" s="141" t="s">
        <v>1129</v>
      </c>
      <c r="D1084" s="141" t="s">
        <v>1149</v>
      </c>
    </row>
    <row r="1085" spans="1:4" x14ac:dyDescent="0.3">
      <c r="A1085" s="141" t="s">
        <v>2760</v>
      </c>
      <c r="B1085" s="141">
        <v>542013</v>
      </c>
      <c r="C1085" s="141" t="s">
        <v>1129</v>
      </c>
      <c r="D1085" s="141" t="s">
        <v>1609</v>
      </c>
    </row>
    <row r="1086" spans="1:4" x14ac:dyDescent="0.3">
      <c r="A1086" s="141" t="s">
        <v>2761</v>
      </c>
      <c r="B1086" s="141">
        <v>541403</v>
      </c>
      <c r="C1086" s="141" t="s">
        <v>2762</v>
      </c>
      <c r="D1086" s="141" t="s">
        <v>1243</v>
      </c>
    </row>
    <row r="1087" spans="1:4" x14ac:dyDescent="0.3">
      <c r="A1087" s="141" t="s">
        <v>2763</v>
      </c>
      <c r="B1087" s="141">
        <v>526504</v>
      </c>
      <c r="C1087" s="141" t="s">
        <v>1129</v>
      </c>
      <c r="D1087" s="141" t="s">
        <v>1318</v>
      </c>
    </row>
    <row r="1088" spans="1:4" x14ac:dyDescent="0.3">
      <c r="A1088" s="141" t="s">
        <v>2764</v>
      </c>
      <c r="B1088" s="141">
        <v>522261</v>
      </c>
      <c r="C1088" s="141" t="s">
        <v>2765</v>
      </c>
      <c r="D1088" s="141" t="s">
        <v>1470</v>
      </c>
    </row>
    <row r="1089" spans="1:4" x14ac:dyDescent="0.3">
      <c r="A1089" s="141" t="s">
        <v>2766</v>
      </c>
      <c r="B1089" s="141">
        <v>522261</v>
      </c>
      <c r="C1089" s="141" t="s">
        <v>2765</v>
      </c>
      <c r="D1089" s="141" t="s">
        <v>1470</v>
      </c>
    </row>
    <row r="1090" spans="1:4" x14ac:dyDescent="0.3">
      <c r="A1090" s="141" t="s">
        <v>2767</v>
      </c>
      <c r="B1090" s="141">
        <v>512519</v>
      </c>
      <c r="C1090" s="141" t="s">
        <v>2768</v>
      </c>
      <c r="D1090" s="141" t="s">
        <v>1144</v>
      </c>
    </row>
    <row r="1091" spans="1:4" x14ac:dyDescent="0.3">
      <c r="A1091" s="141" t="s">
        <v>2769</v>
      </c>
      <c r="B1091" s="141" t="s">
        <v>1129</v>
      </c>
      <c r="C1091" s="141" t="s">
        <v>2770</v>
      </c>
      <c r="D1091" s="141" t="s">
        <v>1220</v>
      </c>
    </row>
    <row r="1092" spans="1:4" x14ac:dyDescent="0.3">
      <c r="A1092" s="141" t="s">
        <v>2771</v>
      </c>
      <c r="B1092" s="141">
        <v>533176</v>
      </c>
      <c r="C1092" s="141" t="s">
        <v>2772</v>
      </c>
      <c r="D1092" s="141" t="s">
        <v>1132</v>
      </c>
    </row>
    <row r="1093" spans="1:4" x14ac:dyDescent="0.3">
      <c r="A1093" s="141" t="s">
        <v>2773</v>
      </c>
      <c r="B1093" s="141">
        <v>526783</v>
      </c>
      <c r="C1093" s="141" t="s">
        <v>1129</v>
      </c>
      <c r="D1093" s="141" t="s">
        <v>1318</v>
      </c>
    </row>
    <row r="1094" spans="1:4" x14ac:dyDescent="0.3">
      <c r="A1094" s="141" t="s">
        <v>2774</v>
      </c>
      <c r="B1094" s="141">
        <v>539267</v>
      </c>
      <c r="C1094" s="141" t="s">
        <v>1129</v>
      </c>
      <c r="D1094" s="141" t="s">
        <v>1151</v>
      </c>
    </row>
    <row r="1095" spans="1:4" x14ac:dyDescent="0.3">
      <c r="A1095" s="141" t="s">
        <v>2775</v>
      </c>
      <c r="B1095" s="141">
        <v>539524</v>
      </c>
      <c r="C1095" s="141" t="s">
        <v>2776</v>
      </c>
      <c r="D1095" s="141" t="s">
        <v>1318</v>
      </c>
    </row>
    <row r="1096" spans="1:4" x14ac:dyDescent="0.3">
      <c r="A1096" s="141" t="s">
        <v>2777</v>
      </c>
      <c r="B1096" s="141">
        <v>541299</v>
      </c>
      <c r="C1096" s="141" t="s">
        <v>1129</v>
      </c>
      <c r="D1096" s="141" t="s">
        <v>1318</v>
      </c>
    </row>
    <row r="1097" spans="1:4" x14ac:dyDescent="0.3">
      <c r="A1097" s="141" t="s">
        <v>2778</v>
      </c>
      <c r="B1097" s="141">
        <v>500124</v>
      </c>
      <c r="C1097" s="141" t="s">
        <v>2779</v>
      </c>
      <c r="D1097" s="141" t="s">
        <v>1167</v>
      </c>
    </row>
    <row r="1098" spans="1:4" x14ac:dyDescent="0.3">
      <c r="A1098" s="141" t="s">
        <v>2780</v>
      </c>
      <c r="B1098" s="141">
        <v>540144</v>
      </c>
      <c r="C1098" s="141" t="s">
        <v>1129</v>
      </c>
      <c r="D1098" s="141" t="s">
        <v>1213</v>
      </c>
    </row>
    <row r="1099" spans="1:4" x14ac:dyDescent="0.3">
      <c r="A1099" s="141" t="s">
        <v>2781</v>
      </c>
      <c r="B1099" s="141">
        <v>523618</v>
      </c>
      <c r="C1099" s="141" t="s">
        <v>2782</v>
      </c>
      <c r="D1099" s="141" t="s">
        <v>2377</v>
      </c>
    </row>
    <row r="1100" spans="1:4" x14ac:dyDescent="0.3">
      <c r="A1100" s="141" t="s">
        <v>2783</v>
      </c>
      <c r="B1100" s="141">
        <v>523618</v>
      </c>
      <c r="C1100" s="141" t="s">
        <v>2782</v>
      </c>
      <c r="D1100" s="141" t="s">
        <v>2377</v>
      </c>
    </row>
    <row r="1101" spans="1:4" x14ac:dyDescent="0.3">
      <c r="A1101" s="141" t="s">
        <v>2784</v>
      </c>
      <c r="B1101" s="141">
        <v>534674</v>
      </c>
      <c r="C1101" s="141" t="s">
        <v>2785</v>
      </c>
      <c r="D1101" s="141" t="s">
        <v>1151</v>
      </c>
    </row>
    <row r="1102" spans="1:4" x14ac:dyDescent="0.3">
      <c r="A1102" s="141" t="s">
        <v>2786</v>
      </c>
      <c r="B1102" s="141">
        <v>511634</v>
      </c>
      <c r="C1102" s="141" t="s">
        <v>1129</v>
      </c>
      <c r="D1102" s="141" t="s">
        <v>1527</v>
      </c>
    </row>
    <row r="1103" spans="1:4" x14ac:dyDescent="0.3">
      <c r="A1103" s="141" t="s">
        <v>2787</v>
      </c>
      <c r="B1103" s="141">
        <v>531471</v>
      </c>
      <c r="C1103" s="141" t="s">
        <v>1129</v>
      </c>
      <c r="D1103" s="141" t="s">
        <v>1470</v>
      </c>
    </row>
    <row r="1104" spans="1:4" x14ac:dyDescent="0.3">
      <c r="A1104" s="141" t="s">
        <v>2788</v>
      </c>
      <c r="B1104" s="141">
        <v>504908</v>
      </c>
      <c r="C1104" s="141" t="s">
        <v>1129</v>
      </c>
      <c r="D1104" s="141" t="s">
        <v>1484</v>
      </c>
    </row>
    <row r="1105" spans="1:4" x14ac:dyDescent="0.3">
      <c r="A1105" s="141" t="s">
        <v>2789</v>
      </c>
      <c r="B1105" s="141">
        <v>526355</v>
      </c>
      <c r="C1105" s="141" t="s">
        <v>1129</v>
      </c>
      <c r="D1105" s="141" t="s">
        <v>1249</v>
      </c>
    </row>
    <row r="1106" spans="1:4" x14ac:dyDescent="0.3">
      <c r="A1106" s="141" t="s">
        <v>2790</v>
      </c>
      <c r="B1106" s="141">
        <v>517437</v>
      </c>
      <c r="C1106" s="141" t="s">
        <v>1129</v>
      </c>
      <c r="D1106" s="141" t="s">
        <v>1249</v>
      </c>
    </row>
    <row r="1107" spans="1:4" x14ac:dyDescent="0.3">
      <c r="A1107" s="141" t="s">
        <v>2791</v>
      </c>
      <c r="B1107" s="141">
        <v>532610</v>
      </c>
      <c r="C1107" s="141" t="s">
        <v>2792</v>
      </c>
      <c r="D1107" s="141" t="s">
        <v>1828</v>
      </c>
    </row>
    <row r="1108" spans="1:4" x14ac:dyDescent="0.3">
      <c r="A1108" s="141" t="s">
        <v>2793</v>
      </c>
      <c r="B1108" s="141">
        <v>538608</v>
      </c>
      <c r="C1108" s="141" t="s">
        <v>2794</v>
      </c>
      <c r="D1108" s="141" t="s">
        <v>1495</v>
      </c>
    </row>
    <row r="1109" spans="1:4" x14ac:dyDescent="0.3">
      <c r="A1109" s="141" t="s">
        <v>2795</v>
      </c>
      <c r="B1109" s="141">
        <v>532365</v>
      </c>
      <c r="C1109" s="141" t="s">
        <v>2796</v>
      </c>
      <c r="D1109" s="141" t="s">
        <v>1115</v>
      </c>
    </row>
    <row r="1110" spans="1:4" x14ac:dyDescent="0.3">
      <c r="A1110" s="141" t="s">
        <v>2797</v>
      </c>
      <c r="B1110" s="141">
        <v>505242</v>
      </c>
      <c r="C1110" s="141" t="s">
        <v>2798</v>
      </c>
      <c r="D1110" s="141" t="s">
        <v>1137</v>
      </c>
    </row>
    <row r="1111" spans="1:4" x14ac:dyDescent="0.3">
      <c r="A1111" s="141" t="s">
        <v>2799</v>
      </c>
      <c r="B1111" s="141">
        <v>539681</v>
      </c>
      <c r="C1111" s="141" t="s">
        <v>1129</v>
      </c>
      <c r="D1111" s="141" t="s">
        <v>1146</v>
      </c>
    </row>
    <row r="1112" spans="1:4" x14ac:dyDescent="0.3">
      <c r="A1112" s="141" t="s">
        <v>2800</v>
      </c>
      <c r="B1112" s="141">
        <v>540795</v>
      </c>
      <c r="C1112" s="141" t="s">
        <v>1129</v>
      </c>
      <c r="D1112" s="141" t="s">
        <v>1427</v>
      </c>
    </row>
    <row r="1113" spans="1:4" x14ac:dyDescent="0.3">
      <c r="A1113" s="141" t="s">
        <v>2801</v>
      </c>
      <c r="B1113" s="141">
        <v>524818</v>
      </c>
      <c r="C1113" s="141" t="s">
        <v>1129</v>
      </c>
      <c r="D1113" s="141" t="s">
        <v>1289</v>
      </c>
    </row>
    <row r="1114" spans="1:4" x14ac:dyDescent="0.3">
      <c r="A1114" s="141" t="s">
        <v>2802</v>
      </c>
      <c r="B1114" s="141">
        <v>530779</v>
      </c>
      <c r="C1114" s="141" t="s">
        <v>1129</v>
      </c>
      <c r="D1114" s="141" t="s">
        <v>1146</v>
      </c>
    </row>
    <row r="1115" spans="1:4" x14ac:dyDescent="0.3">
      <c r="A1115" s="141" t="s">
        <v>2803</v>
      </c>
      <c r="B1115" s="141">
        <v>517238</v>
      </c>
      <c r="C1115" s="141" t="s">
        <v>1129</v>
      </c>
      <c r="D1115" s="141" t="s">
        <v>1671</v>
      </c>
    </row>
    <row r="1116" spans="1:4" x14ac:dyDescent="0.3">
      <c r="A1116" s="141" t="s">
        <v>2804</v>
      </c>
      <c r="B1116" s="141">
        <v>532707</v>
      </c>
      <c r="C1116" s="141" t="s">
        <v>2805</v>
      </c>
      <c r="D1116" s="141" t="s">
        <v>1289</v>
      </c>
    </row>
    <row r="1117" spans="1:4" x14ac:dyDescent="0.3">
      <c r="A1117" s="141" t="s">
        <v>2806</v>
      </c>
      <c r="B1117" s="141">
        <v>531533</v>
      </c>
      <c r="C1117" s="141" t="s">
        <v>1129</v>
      </c>
      <c r="D1117" s="141" t="s">
        <v>1115</v>
      </c>
    </row>
    <row r="1118" spans="1:4" x14ac:dyDescent="0.3">
      <c r="A1118" s="141" t="s">
        <v>2807</v>
      </c>
      <c r="B1118" s="141" t="s">
        <v>1129</v>
      </c>
      <c r="C1118" s="141" t="s">
        <v>2808</v>
      </c>
      <c r="D1118" s="141" t="s">
        <v>1140</v>
      </c>
    </row>
    <row r="1119" spans="1:4" x14ac:dyDescent="0.3">
      <c r="A1119" s="141" t="s">
        <v>2809</v>
      </c>
      <c r="B1119" s="141">
        <v>507917</v>
      </c>
      <c r="C1119" s="141" t="s">
        <v>1129</v>
      </c>
      <c r="D1119" s="141" t="s">
        <v>1215</v>
      </c>
    </row>
    <row r="1120" spans="1:4" x14ac:dyDescent="0.3">
      <c r="A1120" s="141" t="s">
        <v>2810</v>
      </c>
      <c r="B1120" s="141">
        <v>520081</v>
      </c>
      <c r="C1120" s="141" t="s">
        <v>1129</v>
      </c>
      <c r="D1120" s="141" t="s">
        <v>1161</v>
      </c>
    </row>
    <row r="1121" spans="1:4" x14ac:dyDescent="0.3">
      <c r="A1121" s="141" t="s">
        <v>2811</v>
      </c>
      <c r="B1121" s="141">
        <v>541053</v>
      </c>
      <c r="C1121" s="141" t="s">
        <v>1129</v>
      </c>
      <c r="D1121" s="141" t="s">
        <v>1112</v>
      </c>
    </row>
    <row r="1122" spans="1:4" x14ac:dyDescent="0.3">
      <c r="A1122" s="141" t="s">
        <v>2812</v>
      </c>
      <c r="B1122" s="141">
        <v>590022</v>
      </c>
      <c r="C1122" s="141" t="s">
        <v>2813</v>
      </c>
      <c r="D1122" s="141" t="s">
        <v>1144</v>
      </c>
    </row>
    <row r="1123" spans="1:4" x14ac:dyDescent="0.3">
      <c r="A1123" s="141" t="s">
        <v>2814</v>
      </c>
      <c r="B1123" s="141">
        <v>531346</v>
      </c>
      <c r="C1123" s="141" t="s">
        <v>1129</v>
      </c>
      <c r="D1123" s="141" t="s">
        <v>1609</v>
      </c>
    </row>
    <row r="1124" spans="1:4" x14ac:dyDescent="0.3">
      <c r="A1124" s="141" t="s">
        <v>2815</v>
      </c>
      <c r="B1124" s="141">
        <v>532751</v>
      </c>
      <c r="C1124" s="141" t="s">
        <v>2816</v>
      </c>
      <c r="D1124" s="141" t="s">
        <v>1427</v>
      </c>
    </row>
    <row r="1125" spans="1:4" x14ac:dyDescent="0.3">
      <c r="A1125" s="141" t="s">
        <v>2817</v>
      </c>
      <c r="B1125" s="141" t="s">
        <v>1129</v>
      </c>
      <c r="C1125" s="141" t="s">
        <v>2818</v>
      </c>
      <c r="D1125" s="141" t="s">
        <v>1220</v>
      </c>
    </row>
    <row r="1126" spans="1:4" x14ac:dyDescent="0.3">
      <c r="A1126" s="141" t="s">
        <v>2819</v>
      </c>
      <c r="B1126" s="141">
        <v>532927</v>
      </c>
      <c r="C1126" s="141" t="s">
        <v>2820</v>
      </c>
      <c r="D1126" s="141" t="s">
        <v>1459</v>
      </c>
    </row>
    <row r="1127" spans="1:4" x14ac:dyDescent="0.3">
      <c r="A1127" s="141" t="s">
        <v>2821</v>
      </c>
      <c r="B1127" s="141">
        <v>534839</v>
      </c>
      <c r="C1127" s="141" t="s">
        <v>1129</v>
      </c>
      <c r="D1127" s="141" t="s">
        <v>1327</v>
      </c>
    </row>
    <row r="1128" spans="1:4" x14ac:dyDescent="0.3">
      <c r="A1128" s="141" t="s">
        <v>2822</v>
      </c>
      <c r="B1128" s="141">
        <v>530643</v>
      </c>
      <c r="C1128" s="141" t="s">
        <v>1129</v>
      </c>
      <c r="D1128" s="141" t="s">
        <v>1671</v>
      </c>
    </row>
    <row r="1129" spans="1:4" x14ac:dyDescent="0.3">
      <c r="A1129" s="141" t="s">
        <v>2823</v>
      </c>
      <c r="B1129" s="141">
        <v>523732</v>
      </c>
      <c r="C1129" s="141" t="s">
        <v>1129</v>
      </c>
      <c r="D1129" s="141" t="s">
        <v>1624</v>
      </c>
    </row>
    <row r="1130" spans="1:4" x14ac:dyDescent="0.3">
      <c r="A1130" s="141" t="s">
        <v>2824</v>
      </c>
      <c r="B1130" s="141">
        <v>538708</v>
      </c>
      <c r="C1130" s="141" t="s">
        <v>1129</v>
      </c>
      <c r="D1130" s="141" t="s">
        <v>1146</v>
      </c>
    </row>
    <row r="1131" spans="1:4" x14ac:dyDescent="0.3">
      <c r="A1131" s="141" t="s">
        <v>2825</v>
      </c>
      <c r="B1131" s="141">
        <v>538708</v>
      </c>
      <c r="C1131" s="141" t="s">
        <v>1129</v>
      </c>
      <c r="D1131" s="141" t="s">
        <v>1146</v>
      </c>
    </row>
    <row r="1132" spans="1:4" x14ac:dyDescent="0.3">
      <c r="A1132" s="141" t="s">
        <v>2826</v>
      </c>
      <c r="B1132" s="141">
        <v>526703</v>
      </c>
      <c r="C1132" s="141" t="s">
        <v>1129</v>
      </c>
      <c r="D1132" s="141" t="s">
        <v>1249</v>
      </c>
    </row>
    <row r="1133" spans="1:4" x14ac:dyDescent="0.3">
      <c r="A1133" s="141" t="s">
        <v>2827</v>
      </c>
      <c r="B1133" s="141">
        <v>540063</v>
      </c>
      <c r="C1133" s="141" t="s">
        <v>1129</v>
      </c>
      <c r="D1133" s="141" t="s">
        <v>1115</v>
      </c>
    </row>
    <row r="1134" spans="1:4" x14ac:dyDescent="0.3">
      <c r="A1134" s="141" t="s">
        <v>2828</v>
      </c>
      <c r="B1134" s="141">
        <v>532922</v>
      </c>
      <c r="C1134" s="141" t="s">
        <v>2829</v>
      </c>
      <c r="D1134" s="141" t="s">
        <v>1112</v>
      </c>
    </row>
    <row r="1135" spans="1:4" x14ac:dyDescent="0.3">
      <c r="A1135" s="141" t="s">
        <v>2830</v>
      </c>
      <c r="B1135" s="141">
        <v>532696</v>
      </c>
      <c r="C1135" s="141" t="s">
        <v>2831</v>
      </c>
      <c r="D1135" s="141" t="s">
        <v>1234</v>
      </c>
    </row>
    <row r="1136" spans="1:4" x14ac:dyDescent="0.3">
      <c r="A1136" s="141" t="s">
        <v>2832</v>
      </c>
      <c r="B1136" s="141">
        <v>526483</v>
      </c>
      <c r="C1136" s="141" t="s">
        <v>1129</v>
      </c>
      <c r="D1136" s="141" t="s">
        <v>2368</v>
      </c>
    </row>
    <row r="1137" spans="1:4" x14ac:dyDescent="0.3">
      <c r="A1137" s="141" t="s">
        <v>2833</v>
      </c>
      <c r="B1137" s="141">
        <v>535694</v>
      </c>
      <c r="C1137" s="141" t="s">
        <v>1129</v>
      </c>
      <c r="D1137" s="141" t="s">
        <v>1151</v>
      </c>
    </row>
    <row r="1138" spans="1:4" x14ac:dyDescent="0.3">
      <c r="A1138" s="141" t="s">
        <v>2834</v>
      </c>
      <c r="B1138" s="141">
        <v>505200</v>
      </c>
      <c r="C1138" s="141" t="s">
        <v>2835</v>
      </c>
      <c r="D1138" s="141" t="s">
        <v>1787</v>
      </c>
    </row>
    <row r="1139" spans="1:4" x14ac:dyDescent="0.3">
      <c r="A1139" s="141" t="s">
        <v>2836</v>
      </c>
      <c r="B1139" s="141">
        <v>500125</v>
      </c>
      <c r="C1139" s="141" t="s">
        <v>2837</v>
      </c>
      <c r="D1139" s="141" t="s">
        <v>1828</v>
      </c>
    </row>
    <row r="1140" spans="1:4" x14ac:dyDescent="0.3">
      <c r="A1140" s="141" t="s">
        <v>2838</v>
      </c>
      <c r="B1140" s="141">
        <v>500125</v>
      </c>
      <c r="C1140" s="141" t="s">
        <v>2837</v>
      </c>
      <c r="D1140" s="141" t="s">
        <v>1828</v>
      </c>
    </row>
    <row r="1141" spans="1:4" x14ac:dyDescent="0.3">
      <c r="A1141" s="141" t="s">
        <v>2839</v>
      </c>
      <c r="B1141" s="141">
        <v>523127</v>
      </c>
      <c r="C1141" s="141" t="s">
        <v>2840</v>
      </c>
      <c r="D1141" s="141" t="s">
        <v>1330</v>
      </c>
    </row>
    <row r="1142" spans="1:4" x14ac:dyDescent="0.3">
      <c r="A1142" s="141" t="s">
        <v>2841</v>
      </c>
      <c r="B1142" s="141">
        <v>500840</v>
      </c>
      <c r="C1142" s="141" t="s">
        <v>2842</v>
      </c>
      <c r="D1142" s="141" t="s">
        <v>1330</v>
      </c>
    </row>
    <row r="1143" spans="1:4" x14ac:dyDescent="0.3">
      <c r="A1143" s="141" t="s">
        <v>2843</v>
      </c>
      <c r="B1143" s="141">
        <v>523708</v>
      </c>
      <c r="C1143" s="141" t="s">
        <v>2844</v>
      </c>
      <c r="D1143" s="141" t="s">
        <v>1137</v>
      </c>
    </row>
    <row r="1144" spans="1:4" x14ac:dyDescent="0.3">
      <c r="A1144" s="141" t="s">
        <v>2845</v>
      </c>
      <c r="B1144" s="141">
        <v>523708</v>
      </c>
      <c r="C1144" s="141" t="s">
        <v>2844</v>
      </c>
      <c r="D1144" s="141" t="s">
        <v>1137</v>
      </c>
    </row>
    <row r="1145" spans="1:4" x14ac:dyDescent="0.3">
      <c r="A1145" s="141" t="s">
        <v>2846</v>
      </c>
      <c r="B1145" s="141">
        <v>538653</v>
      </c>
      <c r="C1145" s="141" t="s">
        <v>2847</v>
      </c>
      <c r="D1145" s="141" t="s">
        <v>1495</v>
      </c>
    </row>
    <row r="1146" spans="1:4" x14ac:dyDescent="0.3">
      <c r="A1146" s="141" t="s">
        <v>2848</v>
      </c>
      <c r="B1146" s="141">
        <v>530581</v>
      </c>
      <c r="C1146" s="141" t="s">
        <v>1129</v>
      </c>
      <c r="D1146" s="141" t="s">
        <v>1550</v>
      </c>
    </row>
    <row r="1147" spans="1:4" x14ac:dyDescent="0.3">
      <c r="A1147" s="141" t="s">
        <v>2849</v>
      </c>
      <c r="B1147" s="141">
        <v>532820</v>
      </c>
      <c r="C1147" s="141" t="s">
        <v>2850</v>
      </c>
      <c r="D1147" s="141" t="s">
        <v>1144</v>
      </c>
    </row>
    <row r="1148" spans="1:4" x14ac:dyDescent="0.3">
      <c r="A1148" s="141" t="s">
        <v>2851</v>
      </c>
      <c r="B1148" s="141">
        <v>513452</v>
      </c>
      <c r="C1148" s="141" t="s">
        <v>1129</v>
      </c>
      <c r="D1148" s="141" t="s">
        <v>1161</v>
      </c>
    </row>
    <row r="1149" spans="1:4" x14ac:dyDescent="0.3">
      <c r="A1149" s="141" t="s">
        <v>2852</v>
      </c>
      <c r="B1149" s="141">
        <v>500123</v>
      </c>
      <c r="C1149" s="141" t="s">
        <v>1129</v>
      </c>
      <c r="D1149" s="141" t="s">
        <v>1177</v>
      </c>
    </row>
    <row r="1150" spans="1:4" x14ac:dyDescent="0.3">
      <c r="A1150" s="141" t="s">
        <v>2853</v>
      </c>
      <c r="B1150" s="141">
        <v>500123</v>
      </c>
      <c r="C1150" s="141" t="s">
        <v>1129</v>
      </c>
      <c r="D1150" s="141" t="s">
        <v>1177</v>
      </c>
    </row>
    <row r="1151" spans="1:4" x14ac:dyDescent="0.3">
      <c r="A1151" s="141" t="s">
        <v>2854</v>
      </c>
      <c r="B1151" s="141">
        <v>503681</v>
      </c>
      <c r="C1151" s="141" t="s">
        <v>1129</v>
      </c>
      <c r="D1151" s="141" t="s">
        <v>1550</v>
      </c>
    </row>
    <row r="1152" spans="1:4" x14ac:dyDescent="0.3">
      <c r="A1152" s="141" t="s">
        <v>2855</v>
      </c>
      <c r="B1152" s="141">
        <v>523329</v>
      </c>
      <c r="C1152" s="141" t="s">
        <v>1129</v>
      </c>
      <c r="D1152" s="141" t="s">
        <v>1215</v>
      </c>
    </row>
    <row r="1153" spans="1:4" x14ac:dyDescent="0.3">
      <c r="A1153" s="141" t="s">
        <v>2856</v>
      </c>
      <c r="B1153" s="141">
        <v>505700</v>
      </c>
      <c r="C1153" s="141" t="s">
        <v>2857</v>
      </c>
      <c r="D1153" s="141" t="s">
        <v>1137</v>
      </c>
    </row>
    <row r="1154" spans="1:4" x14ac:dyDescent="0.3">
      <c r="A1154" s="141" t="s">
        <v>2858</v>
      </c>
      <c r="B1154" s="141">
        <v>500128</v>
      </c>
      <c r="C1154" s="141" t="s">
        <v>2859</v>
      </c>
      <c r="D1154" s="141" t="s">
        <v>1527</v>
      </c>
    </row>
    <row r="1155" spans="1:4" x14ac:dyDescent="0.3">
      <c r="A1155" s="141" t="s">
        <v>2860</v>
      </c>
      <c r="B1155" s="141">
        <v>533264</v>
      </c>
      <c r="C1155" s="141" t="s">
        <v>2861</v>
      </c>
      <c r="D1155" s="141" t="s">
        <v>1527</v>
      </c>
    </row>
    <row r="1156" spans="1:4" x14ac:dyDescent="0.3">
      <c r="A1156" s="141" t="s">
        <v>2862</v>
      </c>
      <c r="B1156" s="141">
        <v>526608</v>
      </c>
      <c r="C1156" s="141" t="s">
        <v>2863</v>
      </c>
      <c r="D1156" s="141" t="s">
        <v>1452</v>
      </c>
    </row>
    <row r="1157" spans="1:4" x14ac:dyDescent="0.3">
      <c r="A1157" s="141" t="s">
        <v>2864</v>
      </c>
      <c r="B1157" s="141">
        <v>526608</v>
      </c>
      <c r="C1157" s="141" t="s">
        <v>2863</v>
      </c>
      <c r="D1157" s="141" t="s">
        <v>1452</v>
      </c>
    </row>
    <row r="1158" spans="1:4" x14ac:dyDescent="0.3">
      <c r="A1158" s="141" t="s">
        <v>2865</v>
      </c>
      <c r="B1158" s="141">
        <v>526473</v>
      </c>
      <c r="C1158" s="141" t="s">
        <v>1129</v>
      </c>
      <c r="D1158" s="141" t="s">
        <v>1327</v>
      </c>
    </row>
    <row r="1159" spans="1:4" x14ac:dyDescent="0.3">
      <c r="A1159" s="141" t="s">
        <v>2866</v>
      </c>
      <c r="B1159" s="141">
        <v>526473</v>
      </c>
      <c r="C1159" s="141" t="s">
        <v>1129</v>
      </c>
      <c r="D1159" s="141" t="s">
        <v>1327</v>
      </c>
    </row>
    <row r="1160" spans="1:4" x14ac:dyDescent="0.3">
      <c r="A1160" s="141" t="s">
        <v>2867</v>
      </c>
      <c r="B1160" s="141">
        <v>526705</v>
      </c>
      <c r="C1160" s="141" t="s">
        <v>1129</v>
      </c>
      <c r="D1160" s="141" t="s">
        <v>1151</v>
      </c>
    </row>
    <row r="1161" spans="1:4" x14ac:dyDescent="0.3">
      <c r="A1161" s="141" t="s">
        <v>2868</v>
      </c>
      <c r="B1161" s="141">
        <v>522074</v>
      </c>
      <c r="C1161" s="141" t="s">
        <v>2869</v>
      </c>
      <c r="D1161" s="141" t="s">
        <v>1137</v>
      </c>
    </row>
    <row r="1162" spans="1:4" x14ac:dyDescent="0.3">
      <c r="A1162" s="141" t="s">
        <v>2870</v>
      </c>
      <c r="B1162" s="141" t="s">
        <v>1129</v>
      </c>
      <c r="C1162" s="141" t="s">
        <v>2871</v>
      </c>
      <c r="D1162" s="141" t="s">
        <v>1220</v>
      </c>
    </row>
    <row r="1163" spans="1:4" x14ac:dyDescent="0.3">
      <c r="A1163" s="141" t="s">
        <v>2872</v>
      </c>
      <c r="B1163" s="141">
        <v>531278</v>
      </c>
      <c r="C1163" s="141" t="s">
        <v>1129</v>
      </c>
      <c r="D1163" s="141" t="s">
        <v>1112</v>
      </c>
    </row>
    <row r="1164" spans="1:4" x14ac:dyDescent="0.3">
      <c r="A1164" s="141" t="s">
        <v>2873</v>
      </c>
      <c r="B1164" s="141">
        <v>517477</v>
      </c>
      <c r="C1164" s="141" t="s">
        <v>1129</v>
      </c>
      <c r="D1164" s="141" t="s">
        <v>1222</v>
      </c>
    </row>
    <row r="1165" spans="1:4" x14ac:dyDescent="0.3">
      <c r="A1165" s="141" t="s">
        <v>2874</v>
      </c>
      <c r="B1165" s="141">
        <v>504000</v>
      </c>
      <c r="C1165" s="141" t="s">
        <v>1129</v>
      </c>
      <c r="D1165" s="141" t="s">
        <v>1427</v>
      </c>
    </row>
    <row r="1166" spans="1:4" x14ac:dyDescent="0.3">
      <c r="A1166" s="141" t="s">
        <v>2875</v>
      </c>
      <c r="B1166" s="141">
        <v>522027</v>
      </c>
      <c r="C1166" s="141" t="s">
        <v>1129</v>
      </c>
      <c r="D1166" s="141" t="s">
        <v>1137</v>
      </c>
    </row>
    <row r="1167" spans="1:4" x14ac:dyDescent="0.3">
      <c r="A1167" s="141" t="s">
        <v>2876</v>
      </c>
      <c r="B1167" s="141">
        <v>522027</v>
      </c>
      <c r="C1167" s="141" t="s">
        <v>1129</v>
      </c>
      <c r="D1167" s="141" t="s">
        <v>1137</v>
      </c>
    </row>
    <row r="1168" spans="1:4" x14ac:dyDescent="0.3">
      <c r="A1168" s="141" t="s">
        <v>2877</v>
      </c>
      <c r="B1168" s="141">
        <v>531162</v>
      </c>
      <c r="C1168" s="141" t="s">
        <v>2878</v>
      </c>
      <c r="D1168" s="141" t="s">
        <v>1311</v>
      </c>
    </row>
    <row r="1169" spans="1:4" x14ac:dyDescent="0.3">
      <c r="A1169" s="141" t="s">
        <v>2879</v>
      </c>
      <c r="B1169" s="141" t="s">
        <v>1129</v>
      </c>
      <c r="C1169" s="141" t="s">
        <v>2880</v>
      </c>
      <c r="D1169" s="141" t="s">
        <v>1311</v>
      </c>
    </row>
    <row r="1170" spans="1:4" x14ac:dyDescent="0.3">
      <c r="A1170" s="141" t="s">
        <v>2881</v>
      </c>
      <c r="B1170" s="141">
        <v>533208</v>
      </c>
      <c r="C1170" s="141" t="s">
        <v>1129</v>
      </c>
      <c r="D1170" s="141" t="s">
        <v>1123</v>
      </c>
    </row>
    <row r="1171" spans="1:4" x14ac:dyDescent="0.3">
      <c r="A1171" s="141" t="s">
        <v>2882</v>
      </c>
      <c r="B1171" s="141">
        <v>533218</v>
      </c>
      <c r="C1171" s="141" t="s">
        <v>2883</v>
      </c>
      <c r="D1171" s="141" t="s">
        <v>1215</v>
      </c>
    </row>
    <row r="1172" spans="1:4" x14ac:dyDescent="0.3">
      <c r="A1172" s="141" t="s">
        <v>2884</v>
      </c>
      <c r="B1172" s="141">
        <v>542602</v>
      </c>
      <c r="C1172" s="141" t="s">
        <v>2885</v>
      </c>
      <c r="D1172" s="141" t="s">
        <v>1149</v>
      </c>
    </row>
    <row r="1173" spans="1:4" x14ac:dyDescent="0.3">
      <c r="A1173" s="141" t="s">
        <v>2886</v>
      </c>
      <c r="B1173" s="141">
        <v>504008</v>
      </c>
      <c r="C1173" s="141" t="s">
        <v>2887</v>
      </c>
      <c r="D1173" s="141" t="s">
        <v>1172</v>
      </c>
    </row>
    <row r="1174" spans="1:4" x14ac:dyDescent="0.3">
      <c r="A1174" s="141" t="s">
        <v>2888</v>
      </c>
      <c r="B1174" s="141">
        <v>538882</v>
      </c>
      <c r="C1174" s="141" t="s">
        <v>1129</v>
      </c>
      <c r="D1174" s="141" t="s">
        <v>1112</v>
      </c>
    </row>
    <row r="1175" spans="1:4" x14ac:dyDescent="0.3">
      <c r="A1175" s="141" t="s">
        <v>2889</v>
      </c>
      <c r="B1175" s="141">
        <v>507265</v>
      </c>
      <c r="C1175" s="141" t="s">
        <v>1129</v>
      </c>
      <c r="D1175" s="141" t="s">
        <v>1307</v>
      </c>
    </row>
    <row r="1176" spans="1:4" x14ac:dyDescent="0.3">
      <c r="A1176" s="141" t="s">
        <v>2890</v>
      </c>
      <c r="B1176" s="141">
        <v>530333</v>
      </c>
      <c r="C1176" s="141" t="s">
        <v>1129</v>
      </c>
      <c r="D1176" s="141" t="s">
        <v>1427</v>
      </c>
    </row>
    <row r="1177" spans="1:4" x14ac:dyDescent="0.3">
      <c r="A1177" s="141" t="s">
        <v>2891</v>
      </c>
      <c r="B1177" s="141">
        <v>532737</v>
      </c>
      <c r="C1177" s="141" t="s">
        <v>2892</v>
      </c>
      <c r="D1177" s="141" t="s">
        <v>1112</v>
      </c>
    </row>
    <row r="1178" spans="1:4" x14ac:dyDescent="0.3">
      <c r="A1178" s="141" t="s">
        <v>2893</v>
      </c>
      <c r="B1178" s="141" t="s">
        <v>1129</v>
      </c>
      <c r="C1178" s="141" t="s">
        <v>2894</v>
      </c>
      <c r="D1178" s="141" t="s">
        <v>1140</v>
      </c>
    </row>
    <row r="1179" spans="1:4" x14ac:dyDescent="0.3">
      <c r="A1179" s="141" t="s">
        <v>2895</v>
      </c>
      <c r="B1179" s="141">
        <v>533161</v>
      </c>
      <c r="C1179" s="141" t="s">
        <v>2896</v>
      </c>
      <c r="D1179" s="141" t="s">
        <v>1324</v>
      </c>
    </row>
    <row r="1180" spans="1:4" x14ac:dyDescent="0.3">
      <c r="A1180" s="141" t="s">
        <v>2897</v>
      </c>
      <c r="B1180" s="141">
        <v>524768</v>
      </c>
      <c r="C1180" s="141" t="s">
        <v>1129</v>
      </c>
      <c r="D1180" s="141" t="s">
        <v>1177</v>
      </c>
    </row>
    <row r="1181" spans="1:4" x14ac:dyDescent="0.3">
      <c r="A1181" s="141" t="s">
        <v>2898</v>
      </c>
      <c r="B1181" s="141">
        <v>532038</v>
      </c>
      <c r="C1181" s="141" t="s">
        <v>1129</v>
      </c>
      <c r="D1181" s="141" t="s">
        <v>1151</v>
      </c>
    </row>
    <row r="1182" spans="1:4" x14ac:dyDescent="0.3">
      <c r="A1182" s="141" t="s">
        <v>2899</v>
      </c>
      <c r="B1182" s="141">
        <v>532920</v>
      </c>
      <c r="C1182" s="141" t="s">
        <v>2900</v>
      </c>
      <c r="D1182" s="141" t="s">
        <v>1761</v>
      </c>
    </row>
    <row r="1183" spans="1:4" x14ac:dyDescent="0.3">
      <c r="A1183" s="141" t="s">
        <v>2901</v>
      </c>
      <c r="B1183" s="141">
        <v>500132</v>
      </c>
      <c r="C1183" s="141" t="s">
        <v>1129</v>
      </c>
      <c r="D1183" s="141" t="s">
        <v>1828</v>
      </c>
    </row>
    <row r="1184" spans="1:4" x14ac:dyDescent="0.3">
      <c r="A1184" s="141" t="s">
        <v>2902</v>
      </c>
      <c r="B1184" s="141">
        <v>509525</v>
      </c>
      <c r="C1184" s="141" t="s">
        <v>1129</v>
      </c>
      <c r="D1184" s="141" t="s">
        <v>1118</v>
      </c>
    </row>
    <row r="1185" spans="1:4" x14ac:dyDescent="0.3">
      <c r="A1185" s="141" t="s">
        <v>2903</v>
      </c>
      <c r="B1185" s="141">
        <v>504351</v>
      </c>
      <c r="C1185" s="141" t="s">
        <v>1129</v>
      </c>
      <c r="D1185" s="141" t="s">
        <v>1115</v>
      </c>
    </row>
    <row r="1186" spans="1:4" x14ac:dyDescent="0.3">
      <c r="A1186" s="141" t="s">
        <v>2904</v>
      </c>
      <c r="B1186" s="141">
        <v>504351</v>
      </c>
      <c r="C1186" s="141" t="s">
        <v>1129</v>
      </c>
      <c r="D1186" s="141" t="s">
        <v>1115</v>
      </c>
    </row>
    <row r="1187" spans="1:4" x14ac:dyDescent="0.3">
      <c r="A1187" s="141" t="s">
        <v>2905</v>
      </c>
      <c r="B1187" s="141">
        <v>512441</v>
      </c>
      <c r="C1187" s="141" t="s">
        <v>1129</v>
      </c>
      <c r="D1187" s="141" t="s">
        <v>1550</v>
      </c>
    </row>
    <row r="1188" spans="1:4" x14ac:dyDescent="0.3">
      <c r="A1188" s="141" t="s">
        <v>2906</v>
      </c>
      <c r="B1188" s="141">
        <v>538684</v>
      </c>
      <c r="C1188" s="141" t="s">
        <v>1129</v>
      </c>
      <c r="D1188" s="141" t="s">
        <v>1132</v>
      </c>
    </row>
    <row r="1189" spans="1:4" x14ac:dyDescent="0.3">
      <c r="A1189" s="141" t="s">
        <v>2907</v>
      </c>
      <c r="B1189" s="141">
        <v>540153</v>
      </c>
      <c r="C1189" s="141" t="s">
        <v>2908</v>
      </c>
      <c r="D1189" s="141" t="s">
        <v>1787</v>
      </c>
    </row>
    <row r="1190" spans="1:4" x14ac:dyDescent="0.3">
      <c r="A1190" s="141" t="s">
        <v>2909</v>
      </c>
      <c r="B1190" s="141">
        <v>532219</v>
      </c>
      <c r="C1190" s="141" t="s">
        <v>2910</v>
      </c>
      <c r="D1190" s="141" t="s">
        <v>1268</v>
      </c>
    </row>
    <row r="1191" spans="1:4" x14ac:dyDescent="0.3">
      <c r="A1191" s="141" t="s">
        <v>2911</v>
      </c>
      <c r="B1191" s="141">
        <v>532178</v>
      </c>
      <c r="C1191" s="141" t="s">
        <v>2912</v>
      </c>
      <c r="D1191" s="141" t="s">
        <v>1213</v>
      </c>
    </row>
    <row r="1192" spans="1:4" x14ac:dyDescent="0.3">
      <c r="A1192" s="141" t="s">
        <v>2913</v>
      </c>
      <c r="B1192" s="141">
        <v>532178</v>
      </c>
      <c r="C1192" s="141" t="s">
        <v>2912</v>
      </c>
      <c r="D1192" s="141" t="s">
        <v>1213</v>
      </c>
    </row>
    <row r="1193" spans="1:4" x14ac:dyDescent="0.3">
      <c r="A1193" s="141" t="s">
        <v>2914</v>
      </c>
      <c r="B1193" s="141">
        <v>533477</v>
      </c>
      <c r="C1193" s="141" t="s">
        <v>1129</v>
      </c>
      <c r="D1193" s="141" t="s">
        <v>1484</v>
      </c>
    </row>
    <row r="1194" spans="1:4" x14ac:dyDescent="0.3">
      <c r="A1194" s="141" t="s">
        <v>2915</v>
      </c>
      <c r="B1194" s="141">
        <v>533477</v>
      </c>
      <c r="C1194" s="141" t="s">
        <v>1129</v>
      </c>
      <c r="D1194" s="141" t="s">
        <v>1484</v>
      </c>
    </row>
    <row r="1195" spans="1:4" x14ac:dyDescent="0.3">
      <c r="A1195" s="141" t="s">
        <v>2916</v>
      </c>
      <c r="B1195" s="141">
        <v>526574</v>
      </c>
      <c r="C1195" s="141" t="s">
        <v>1129</v>
      </c>
      <c r="D1195" s="141" t="s">
        <v>1151</v>
      </c>
    </row>
    <row r="1196" spans="1:4" x14ac:dyDescent="0.3">
      <c r="A1196" s="141" t="s">
        <v>2917</v>
      </c>
      <c r="B1196" s="141">
        <v>532700</v>
      </c>
      <c r="C1196" s="141" t="s">
        <v>2918</v>
      </c>
      <c r="D1196" s="141" t="s">
        <v>1868</v>
      </c>
    </row>
    <row r="1197" spans="1:4" x14ac:dyDescent="0.3">
      <c r="A1197" s="141" t="s">
        <v>2919</v>
      </c>
      <c r="B1197" s="141">
        <v>532700</v>
      </c>
      <c r="C1197" s="141" t="s">
        <v>2918</v>
      </c>
      <c r="D1197" s="141" t="s">
        <v>1868</v>
      </c>
    </row>
    <row r="1198" spans="1:4" x14ac:dyDescent="0.3">
      <c r="A1198" s="141" t="s">
        <v>2920</v>
      </c>
      <c r="B1198" s="141">
        <v>500246</v>
      </c>
      <c r="C1198" s="141" t="s">
        <v>1129</v>
      </c>
      <c r="D1198" s="141" t="s">
        <v>1137</v>
      </c>
    </row>
    <row r="1199" spans="1:4" x14ac:dyDescent="0.3">
      <c r="A1199" s="141" t="s">
        <v>2921</v>
      </c>
      <c r="B1199" s="141">
        <v>532658</v>
      </c>
      <c r="C1199" s="141" t="s">
        <v>2922</v>
      </c>
      <c r="D1199" s="141" t="s">
        <v>1427</v>
      </c>
    </row>
    <row r="1200" spans="1:4" x14ac:dyDescent="0.3">
      <c r="A1200" s="141" t="s">
        <v>2923</v>
      </c>
      <c r="B1200" s="141">
        <v>523754</v>
      </c>
      <c r="C1200" s="141" t="s">
        <v>1129</v>
      </c>
      <c r="D1200" s="141" t="s">
        <v>1249</v>
      </c>
    </row>
    <row r="1201" spans="1:4" x14ac:dyDescent="0.3">
      <c r="A1201" s="141" t="s">
        <v>2924</v>
      </c>
      <c r="B1201" s="141">
        <v>530407</v>
      </c>
      <c r="C1201" s="141" t="s">
        <v>1129</v>
      </c>
      <c r="D1201" s="141" t="s">
        <v>1146</v>
      </c>
    </row>
    <row r="1202" spans="1:4" x14ac:dyDescent="0.3">
      <c r="A1202" s="141" t="s">
        <v>2925</v>
      </c>
      <c r="B1202" s="141">
        <v>531155</v>
      </c>
      <c r="C1202" s="141" t="s">
        <v>1129</v>
      </c>
      <c r="D1202" s="141" t="s">
        <v>1167</v>
      </c>
    </row>
    <row r="1203" spans="1:4" x14ac:dyDescent="0.3">
      <c r="A1203" s="141" t="s">
        <v>2926</v>
      </c>
      <c r="B1203" s="141">
        <v>539844</v>
      </c>
      <c r="C1203" s="141" t="s">
        <v>2927</v>
      </c>
      <c r="D1203" s="141" t="s">
        <v>1295</v>
      </c>
    </row>
    <row r="1204" spans="1:4" x14ac:dyDescent="0.3">
      <c r="A1204" s="141" t="s">
        <v>2928</v>
      </c>
      <c r="B1204" s="141">
        <v>540596</v>
      </c>
      <c r="C1204" s="141" t="s">
        <v>2929</v>
      </c>
      <c r="D1204" s="141" t="s">
        <v>1167</v>
      </c>
    </row>
    <row r="1205" spans="1:4" x14ac:dyDescent="0.3">
      <c r="A1205" s="141" t="s">
        <v>2930</v>
      </c>
      <c r="B1205" s="141">
        <v>533261</v>
      </c>
      <c r="C1205" s="141" t="s">
        <v>2931</v>
      </c>
      <c r="D1205" s="141" t="s">
        <v>1132</v>
      </c>
    </row>
    <row r="1206" spans="1:4" x14ac:dyDescent="0.3">
      <c r="A1206" s="141" t="s">
        <v>2932</v>
      </c>
      <c r="B1206" s="141">
        <v>530909</v>
      </c>
      <c r="C1206" s="141" t="s">
        <v>1129</v>
      </c>
      <c r="D1206" s="141" t="s">
        <v>1550</v>
      </c>
    </row>
    <row r="1207" spans="1:4" x14ac:dyDescent="0.3">
      <c r="A1207" s="141" t="s">
        <v>2933</v>
      </c>
      <c r="B1207" s="141">
        <v>531502</v>
      </c>
      <c r="C1207" s="141" t="s">
        <v>1129</v>
      </c>
      <c r="D1207" s="141" t="s">
        <v>1550</v>
      </c>
    </row>
    <row r="1208" spans="1:4" x14ac:dyDescent="0.3">
      <c r="A1208" s="141" t="s">
        <v>2934</v>
      </c>
      <c r="B1208" s="141">
        <v>531502</v>
      </c>
      <c r="C1208" s="141" t="s">
        <v>1129</v>
      </c>
      <c r="D1208" s="141" t="s">
        <v>1550</v>
      </c>
    </row>
    <row r="1209" spans="1:4" x14ac:dyDescent="0.3">
      <c r="A1209" s="141" t="s">
        <v>2935</v>
      </c>
      <c r="B1209" s="141">
        <v>500133</v>
      </c>
      <c r="C1209" s="141" t="s">
        <v>2936</v>
      </c>
      <c r="D1209" s="141" t="s">
        <v>1314</v>
      </c>
    </row>
    <row r="1210" spans="1:4" x14ac:dyDescent="0.3">
      <c r="A1210" s="141" t="s">
        <v>2937</v>
      </c>
      <c r="B1210" s="141">
        <v>500133</v>
      </c>
      <c r="C1210" s="141" t="s">
        <v>2938</v>
      </c>
      <c r="D1210" s="141" t="s">
        <v>1314</v>
      </c>
    </row>
    <row r="1211" spans="1:4" x14ac:dyDescent="0.3">
      <c r="A1211" s="141" t="s">
        <v>2939</v>
      </c>
      <c r="B1211" s="141">
        <v>540455</v>
      </c>
      <c r="C1211" s="141" t="s">
        <v>1129</v>
      </c>
      <c r="D1211" s="141" t="s">
        <v>1112</v>
      </c>
    </row>
    <row r="1212" spans="1:4" x14ac:dyDescent="0.3">
      <c r="A1212" s="141" t="s">
        <v>2940</v>
      </c>
      <c r="B1212" s="141">
        <v>511716</v>
      </c>
      <c r="C1212" s="141" t="s">
        <v>1129</v>
      </c>
      <c r="D1212" s="141" t="s">
        <v>1146</v>
      </c>
    </row>
    <row r="1213" spans="1:4" x14ac:dyDescent="0.3">
      <c r="A1213" s="141" t="s">
        <v>2941</v>
      </c>
      <c r="B1213" s="141">
        <v>500495</v>
      </c>
      <c r="C1213" s="141" t="s">
        <v>2942</v>
      </c>
      <c r="D1213" s="141" t="s">
        <v>1207</v>
      </c>
    </row>
    <row r="1214" spans="1:4" x14ac:dyDescent="0.3">
      <c r="A1214" s="141" t="s">
        <v>2943</v>
      </c>
      <c r="B1214" s="141">
        <v>531259</v>
      </c>
      <c r="C1214" s="141" t="s">
        <v>1129</v>
      </c>
      <c r="D1214" s="141" t="s">
        <v>2732</v>
      </c>
    </row>
    <row r="1215" spans="1:4" x14ac:dyDescent="0.3">
      <c r="A1215" s="141" t="s">
        <v>2944</v>
      </c>
      <c r="B1215" s="141">
        <v>514118</v>
      </c>
      <c r="C1215" s="141" t="s">
        <v>1129</v>
      </c>
      <c r="D1215" s="141" t="s">
        <v>1144</v>
      </c>
    </row>
    <row r="1216" spans="1:4" x14ac:dyDescent="0.3">
      <c r="A1216" s="141" t="s">
        <v>2945</v>
      </c>
      <c r="B1216" s="141">
        <v>514118</v>
      </c>
      <c r="C1216" s="141" t="s">
        <v>1129</v>
      </c>
      <c r="D1216" s="141" t="s">
        <v>1144</v>
      </c>
    </row>
    <row r="1217" spans="1:4" x14ac:dyDescent="0.3">
      <c r="A1217" s="141" t="s">
        <v>2946</v>
      </c>
      <c r="B1217" s="141">
        <v>532787</v>
      </c>
      <c r="C1217" s="141" t="s">
        <v>2947</v>
      </c>
      <c r="D1217" s="141" t="s">
        <v>2948</v>
      </c>
    </row>
    <row r="1218" spans="1:4" x14ac:dyDescent="0.3">
      <c r="A1218" s="141" t="s">
        <v>2949</v>
      </c>
      <c r="B1218" s="141">
        <v>533149</v>
      </c>
      <c r="C1218" s="141" t="s">
        <v>1129</v>
      </c>
      <c r="D1218" s="141" t="s">
        <v>1112</v>
      </c>
    </row>
    <row r="1219" spans="1:4" x14ac:dyDescent="0.3">
      <c r="A1219" s="141" t="s">
        <v>2950</v>
      </c>
      <c r="B1219" s="141">
        <v>533704</v>
      </c>
      <c r="C1219" s="141" t="s">
        <v>2951</v>
      </c>
      <c r="D1219" s="141" t="s">
        <v>2377</v>
      </c>
    </row>
    <row r="1220" spans="1:4" x14ac:dyDescent="0.3">
      <c r="A1220" s="141" t="s">
        <v>2952</v>
      </c>
      <c r="B1220" s="141">
        <v>500135</v>
      </c>
      <c r="C1220" s="141" t="s">
        <v>2953</v>
      </c>
      <c r="D1220" s="141" t="s">
        <v>1324</v>
      </c>
    </row>
    <row r="1221" spans="1:4" x14ac:dyDescent="0.3">
      <c r="A1221" s="141" t="s">
        <v>2954</v>
      </c>
      <c r="B1221" s="141">
        <v>534927</v>
      </c>
      <c r="C1221" s="141" t="s">
        <v>1129</v>
      </c>
      <c r="D1221" s="141" t="s">
        <v>1327</v>
      </c>
    </row>
    <row r="1222" spans="1:4" x14ac:dyDescent="0.3">
      <c r="A1222" s="141" t="s">
        <v>2955</v>
      </c>
      <c r="B1222" s="141">
        <v>500136</v>
      </c>
      <c r="C1222" s="141" t="s">
        <v>2956</v>
      </c>
      <c r="D1222" s="141" t="s">
        <v>1177</v>
      </c>
    </row>
    <row r="1223" spans="1:4" x14ac:dyDescent="0.3">
      <c r="A1223" s="141" t="s">
        <v>2957</v>
      </c>
      <c r="B1223" s="141">
        <v>537707</v>
      </c>
      <c r="C1223" s="141" t="s">
        <v>1129</v>
      </c>
      <c r="D1223" s="141" t="s">
        <v>1215</v>
      </c>
    </row>
    <row r="1224" spans="1:4" x14ac:dyDescent="0.3">
      <c r="A1224" s="141" t="s">
        <v>2958</v>
      </c>
      <c r="B1224" s="141">
        <v>521137</v>
      </c>
      <c r="C1224" s="141" t="s">
        <v>1129</v>
      </c>
      <c r="D1224" s="141" t="s">
        <v>1144</v>
      </c>
    </row>
    <row r="1225" spans="1:4" x14ac:dyDescent="0.3">
      <c r="A1225" s="141" t="s">
        <v>2959</v>
      </c>
      <c r="B1225" s="141">
        <v>530929</v>
      </c>
      <c r="C1225" s="141" t="s">
        <v>1129</v>
      </c>
      <c r="D1225" s="141" t="s">
        <v>1151</v>
      </c>
    </row>
    <row r="1226" spans="1:4" x14ac:dyDescent="0.3">
      <c r="A1226" s="141" t="s">
        <v>2960</v>
      </c>
      <c r="B1226" s="141">
        <v>532823</v>
      </c>
      <c r="C1226" s="141" t="s">
        <v>2961</v>
      </c>
      <c r="D1226" s="141" t="s">
        <v>1406</v>
      </c>
    </row>
    <row r="1227" spans="1:4" x14ac:dyDescent="0.3">
      <c r="A1227" s="141" t="s">
        <v>2962</v>
      </c>
      <c r="B1227" s="141" t="s">
        <v>1129</v>
      </c>
      <c r="C1227" s="141" t="s">
        <v>2963</v>
      </c>
      <c r="D1227" s="141" t="s">
        <v>1140</v>
      </c>
    </row>
    <row r="1228" spans="1:4" x14ac:dyDescent="0.3">
      <c r="A1228" s="141" t="s">
        <v>2964</v>
      </c>
      <c r="B1228" s="141">
        <v>533109</v>
      </c>
      <c r="C1228" s="141" t="s">
        <v>2965</v>
      </c>
      <c r="D1228" s="141" t="s">
        <v>1226</v>
      </c>
    </row>
    <row r="1229" spans="1:4" x14ac:dyDescent="0.3">
      <c r="A1229" s="141" t="s">
        <v>2966</v>
      </c>
      <c r="B1229" s="141">
        <v>521014</v>
      </c>
      <c r="C1229" s="141" t="s">
        <v>1129</v>
      </c>
      <c r="D1229" s="141" t="s">
        <v>1144</v>
      </c>
    </row>
    <row r="1230" spans="1:4" x14ac:dyDescent="0.3">
      <c r="A1230" s="141" t="s">
        <v>2967</v>
      </c>
      <c r="B1230" s="141" t="s">
        <v>1129</v>
      </c>
      <c r="C1230" s="141" t="s">
        <v>2968</v>
      </c>
      <c r="D1230" s="141" t="s">
        <v>1144</v>
      </c>
    </row>
    <row r="1231" spans="1:4" x14ac:dyDescent="0.3">
      <c r="A1231" s="141" t="s">
        <v>2969</v>
      </c>
      <c r="B1231" s="141">
        <v>542668</v>
      </c>
      <c r="C1231" s="141" t="s">
        <v>2970</v>
      </c>
      <c r="D1231" s="141" t="s">
        <v>1550</v>
      </c>
    </row>
    <row r="1232" spans="1:4" x14ac:dyDescent="0.3">
      <c r="A1232" s="141" t="s">
        <v>2971</v>
      </c>
      <c r="B1232" s="141">
        <v>531508</v>
      </c>
      <c r="C1232" s="141" t="s">
        <v>2972</v>
      </c>
      <c r="D1232" s="141" t="s">
        <v>1675</v>
      </c>
    </row>
    <row r="1233" spans="1:4" x14ac:dyDescent="0.3">
      <c r="A1233" s="141" t="s">
        <v>2973</v>
      </c>
      <c r="B1233" s="141">
        <v>531508</v>
      </c>
      <c r="C1233" s="141" t="s">
        <v>2972</v>
      </c>
      <c r="D1233" s="141" t="s">
        <v>1675</v>
      </c>
    </row>
    <row r="1234" spans="1:4" x14ac:dyDescent="0.3">
      <c r="A1234" s="141" t="s">
        <v>2974</v>
      </c>
      <c r="B1234" s="141">
        <v>508906</v>
      </c>
      <c r="C1234" s="141" t="s">
        <v>2975</v>
      </c>
      <c r="D1234" s="141" t="s">
        <v>1142</v>
      </c>
    </row>
    <row r="1235" spans="1:4" x14ac:dyDescent="0.3">
      <c r="A1235" s="141" t="s">
        <v>2976</v>
      </c>
      <c r="B1235" s="141">
        <v>532684</v>
      </c>
      <c r="C1235" s="141" t="s">
        <v>2977</v>
      </c>
      <c r="D1235" s="141" t="s">
        <v>2049</v>
      </c>
    </row>
    <row r="1236" spans="1:4" x14ac:dyDescent="0.3">
      <c r="A1236" s="141" t="s">
        <v>2978</v>
      </c>
      <c r="B1236" s="141">
        <v>524790</v>
      </c>
      <c r="C1236" s="141" t="s">
        <v>1129</v>
      </c>
      <c r="D1236" s="141" t="s">
        <v>1167</v>
      </c>
    </row>
    <row r="1237" spans="1:4" x14ac:dyDescent="0.3">
      <c r="A1237" s="141" t="s">
        <v>2979</v>
      </c>
      <c r="B1237" s="141">
        <v>514060</v>
      </c>
      <c r="C1237" s="141" t="s">
        <v>1129</v>
      </c>
      <c r="D1237" s="141" t="s">
        <v>1144</v>
      </c>
    </row>
    <row r="1238" spans="1:4" x14ac:dyDescent="0.3">
      <c r="A1238" s="141" t="s">
        <v>2980</v>
      </c>
      <c r="B1238" s="141">
        <v>514358</v>
      </c>
      <c r="C1238" s="141" t="s">
        <v>1129</v>
      </c>
      <c r="D1238" s="141" t="s">
        <v>1144</v>
      </c>
    </row>
    <row r="1239" spans="1:4" x14ac:dyDescent="0.3">
      <c r="A1239" s="141" t="s">
        <v>2981</v>
      </c>
      <c r="B1239" s="141">
        <v>532511</v>
      </c>
      <c r="C1239" s="141" t="s">
        <v>2982</v>
      </c>
      <c r="D1239" s="141" t="s">
        <v>1273</v>
      </c>
    </row>
    <row r="1240" spans="1:4" x14ac:dyDescent="0.3">
      <c r="A1240" s="141" t="s">
        <v>2983</v>
      </c>
      <c r="B1240" s="141">
        <v>500650</v>
      </c>
      <c r="C1240" s="141" t="s">
        <v>2984</v>
      </c>
      <c r="D1240" s="141" t="s">
        <v>1289</v>
      </c>
    </row>
    <row r="1241" spans="1:4" x14ac:dyDescent="0.3">
      <c r="A1241" s="141" t="s">
        <v>2985</v>
      </c>
      <c r="B1241" s="141">
        <v>533090</v>
      </c>
      <c r="C1241" s="141" t="s">
        <v>2986</v>
      </c>
      <c r="D1241" s="141" t="s">
        <v>1459</v>
      </c>
    </row>
    <row r="1242" spans="1:4" x14ac:dyDescent="0.3">
      <c r="A1242" s="141" t="s">
        <v>2987</v>
      </c>
      <c r="B1242" s="141">
        <v>500086</v>
      </c>
      <c r="C1242" s="141" t="s">
        <v>2988</v>
      </c>
      <c r="D1242" s="141" t="s">
        <v>1484</v>
      </c>
    </row>
    <row r="1243" spans="1:4" x14ac:dyDescent="0.3">
      <c r="A1243" s="141" t="s">
        <v>2989</v>
      </c>
      <c r="B1243" s="141" t="s">
        <v>1129</v>
      </c>
      <c r="C1243" s="141" t="s">
        <v>2990</v>
      </c>
      <c r="D1243" s="141" t="s">
        <v>1484</v>
      </c>
    </row>
    <row r="1244" spans="1:4" x14ac:dyDescent="0.3">
      <c r="A1244" s="141" t="s">
        <v>2991</v>
      </c>
      <c r="B1244" s="141">
        <v>530571</v>
      </c>
      <c r="C1244" s="141" t="s">
        <v>1129</v>
      </c>
      <c r="D1244" s="141" t="s">
        <v>1550</v>
      </c>
    </row>
    <row r="1245" spans="1:4" x14ac:dyDescent="0.3">
      <c r="A1245" s="141" t="s">
        <v>2992</v>
      </c>
      <c r="B1245" s="141">
        <v>526614</v>
      </c>
      <c r="C1245" s="141" t="s">
        <v>1129</v>
      </c>
      <c r="D1245" s="141" t="s">
        <v>2049</v>
      </c>
    </row>
    <row r="1246" spans="1:4" x14ac:dyDescent="0.3">
      <c r="A1246" s="141" t="s">
        <v>2993</v>
      </c>
      <c r="B1246" s="141">
        <v>539552</v>
      </c>
      <c r="C1246" s="141" t="s">
        <v>1129</v>
      </c>
      <c r="D1246" s="141" t="s">
        <v>1146</v>
      </c>
    </row>
    <row r="1247" spans="1:4" x14ac:dyDescent="0.3">
      <c r="A1247" s="141" t="s">
        <v>2994</v>
      </c>
      <c r="B1247" s="141">
        <v>532656</v>
      </c>
      <c r="C1247" s="141" t="s">
        <v>1129</v>
      </c>
      <c r="D1247" s="141" t="s">
        <v>1161</v>
      </c>
    </row>
    <row r="1248" spans="1:4" x14ac:dyDescent="0.3">
      <c r="A1248" s="141" t="s">
        <v>2995</v>
      </c>
      <c r="B1248" s="141">
        <v>514474</v>
      </c>
      <c r="C1248" s="141" t="s">
        <v>1129</v>
      </c>
      <c r="D1248" s="141" t="s">
        <v>1144</v>
      </c>
    </row>
    <row r="1249" spans="1:4" x14ac:dyDescent="0.3">
      <c r="A1249" s="141" t="s">
        <v>2996</v>
      </c>
      <c r="B1249" s="141">
        <v>530117</v>
      </c>
      <c r="C1249" s="141" t="s">
        <v>2997</v>
      </c>
      <c r="D1249" s="141" t="s">
        <v>1289</v>
      </c>
    </row>
    <row r="1250" spans="1:4" x14ac:dyDescent="0.3">
      <c r="A1250" s="141" t="s">
        <v>2998</v>
      </c>
      <c r="B1250" s="141">
        <v>530079</v>
      </c>
      <c r="C1250" s="141" t="s">
        <v>1129</v>
      </c>
      <c r="D1250" s="141" t="s">
        <v>1144</v>
      </c>
    </row>
    <row r="1251" spans="1:4" x14ac:dyDescent="0.3">
      <c r="A1251" s="141" t="s">
        <v>2999</v>
      </c>
      <c r="B1251" s="141">
        <v>532666</v>
      </c>
      <c r="C1251" s="141" t="s">
        <v>3000</v>
      </c>
      <c r="D1251" s="141" t="s">
        <v>1115</v>
      </c>
    </row>
    <row r="1252" spans="1:4" x14ac:dyDescent="0.3">
      <c r="A1252" s="141" t="s">
        <v>3001</v>
      </c>
      <c r="B1252" s="141">
        <v>531599</v>
      </c>
      <c r="C1252" s="141" t="s">
        <v>3002</v>
      </c>
      <c r="D1252" s="141" t="s">
        <v>1167</v>
      </c>
    </row>
    <row r="1253" spans="1:4" x14ac:dyDescent="0.3">
      <c r="A1253" s="141" t="s">
        <v>3003</v>
      </c>
      <c r="B1253" s="141">
        <v>505744</v>
      </c>
      <c r="C1253" s="141" t="s">
        <v>3004</v>
      </c>
      <c r="D1253" s="141" t="s">
        <v>1484</v>
      </c>
    </row>
    <row r="1254" spans="1:4" x14ac:dyDescent="0.3">
      <c r="A1254" s="141" t="s">
        <v>3005</v>
      </c>
      <c r="B1254" s="141">
        <v>505744</v>
      </c>
      <c r="C1254" s="141" t="s">
        <v>3004</v>
      </c>
      <c r="D1254" s="141" t="s">
        <v>1484</v>
      </c>
    </row>
    <row r="1255" spans="1:4" x14ac:dyDescent="0.3">
      <c r="A1255" s="141" t="s">
        <v>3006</v>
      </c>
      <c r="B1255" s="141" t="s">
        <v>1129</v>
      </c>
      <c r="C1255" s="141" t="s">
        <v>3007</v>
      </c>
      <c r="D1255" s="141" t="s">
        <v>1140</v>
      </c>
    </row>
    <row r="1256" spans="1:4" x14ac:dyDescent="0.3">
      <c r="A1256" s="141" t="s">
        <v>3008</v>
      </c>
      <c r="B1256" s="141">
        <v>526689</v>
      </c>
      <c r="C1256" s="141" t="s">
        <v>1129</v>
      </c>
      <c r="D1256" s="141" t="s">
        <v>1249</v>
      </c>
    </row>
    <row r="1257" spans="1:4" x14ac:dyDescent="0.3">
      <c r="A1257" s="141" t="s">
        <v>3009</v>
      </c>
      <c r="B1257" s="141">
        <v>500141</v>
      </c>
      <c r="C1257" s="141" t="s">
        <v>1129</v>
      </c>
      <c r="D1257" s="141" t="s">
        <v>1161</v>
      </c>
    </row>
    <row r="1258" spans="1:4" x14ac:dyDescent="0.3">
      <c r="A1258" s="141" t="s">
        <v>3010</v>
      </c>
      <c r="B1258" s="141">
        <v>590024</v>
      </c>
      <c r="C1258" s="141" t="s">
        <v>3011</v>
      </c>
      <c r="D1258" s="141" t="s">
        <v>1637</v>
      </c>
    </row>
    <row r="1259" spans="1:4" x14ac:dyDescent="0.3">
      <c r="A1259" s="141" t="s">
        <v>3012</v>
      </c>
      <c r="B1259" s="141">
        <v>533896</v>
      </c>
      <c r="C1259" s="141" t="s">
        <v>1129</v>
      </c>
      <c r="D1259" s="141" t="s">
        <v>1167</v>
      </c>
    </row>
    <row r="1260" spans="1:4" x14ac:dyDescent="0.3">
      <c r="A1260" s="141" t="s">
        <v>3013</v>
      </c>
      <c r="B1260" s="141">
        <v>500142</v>
      </c>
      <c r="C1260" s="141" t="s">
        <v>1129</v>
      </c>
      <c r="D1260" s="141" t="s">
        <v>1146</v>
      </c>
    </row>
    <row r="1261" spans="1:4" x14ac:dyDescent="0.3">
      <c r="A1261" s="141" t="s">
        <v>3014</v>
      </c>
      <c r="B1261" s="141">
        <v>507910</v>
      </c>
      <c r="C1261" s="141" t="s">
        <v>1129</v>
      </c>
      <c r="D1261" s="141" t="s">
        <v>1249</v>
      </c>
    </row>
    <row r="1262" spans="1:4" x14ac:dyDescent="0.3">
      <c r="A1262" s="141" t="s">
        <v>3015</v>
      </c>
      <c r="B1262" s="141">
        <v>507910</v>
      </c>
      <c r="C1262" s="141" t="s">
        <v>1129</v>
      </c>
      <c r="D1262" s="141" t="s">
        <v>1249</v>
      </c>
    </row>
    <row r="1263" spans="1:4" x14ac:dyDescent="0.3">
      <c r="A1263" s="141" t="s">
        <v>3016</v>
      </c>
      <c r="B1263" s="141">
        <v>532768</v>
      </c>
      <c r="C1263" s="141" t="s">
        <v>3017</v>
      </c>
      <c r="D1263" s="141" t="s">
        <v>1484</v>
      </c>
    </row>
    <row r="1264" spans="1:4" x14ac:dyDescent="0.3">
      <c r="A1264" s="141" t="s">
        <v>3018</v>
      </c>
      <c r="B1264" s="141">
        <v>526227</v>
      </c>
      <c r="C1264" s="141" t="s">
        <v>3019</v>
      </c>
      <c r="D1264" s="141" t="s">
        <v>1144</v>
      </c>
    </row>
    <row r="1265" spans="1:4" x14ac:dyDescent="0.3">
      <c r="A1265" s="141" t="s">
        <v>3020</v>
      </c>
      <c r="B1265" s="141">
        <v>532022</v>
      </c>
      <c r="C1265" s="141" t="s">
        <v>1129</v>
      </c>
      <c r="D1265" s="141" t="s">
        <v>1144</v>
      </c>
    </row>
    <row r="1266" spans="1:4" x14ac:dyDescent="0.3">
      <c r="A1266" s="141" t="s">
        <v>3021</v>
      </c>
      <c r="B1266" s="141">
        <v>526227</v>
      </c>
      <c r="C1266" s="141" t="s">
        <v>3019</v>
      </c>
      <c r="D1266" s="141" t="s">
        <v>1144</v>
      </c>
    </row>
    <row r="1267" spans="1:4" x14ac:dyDescent="0.3">
      <c r="A1267" s="141" t="s">
        <v>3022</v>
      </c>
      <c r="B1267" s="141">
        <v>539098</v>
      </c>
      <c r="C1267" s="141" t="s">
        <v>1129</v>
      </c>
      <c r="D1267" s="141" t="s">
        <v>1154</v>
      </c>
    </row>
    <row r="1268" spans="1:4" x14ac:dyDescent="0.3">
      <c r="A1268" s="141" t="s">
        <v>3023</v>
      </c>
      <c r="B1268" s="141">
        <v>541557</v>
      </c>
      <c r="C1268" s="141" t="s">
        <v>3024</v>
      </c>
      <c r="D1268" s="141" t="s">
        <v>1289</v>
      </c>
    </row>
    <row r="1269" spans="1:4" x14ac:dyDescent="0.3">
      <c r="A1269" s="141" t="s">
        <v>3025</v>
      </c>
      <c r="B1269" s="141">
        <v>517264</v>
      </c>
      <c r="C1269" s="141" t="s">
        <v>3026</v>
      </c>
      <c r="D1269" s="141" t="s">
        <v>1671</v>
      </c>
    </row>
    <row r="1270" spans="1:4" x14ac:dyDescent="0.3">
      <c r="A1270" s="141" t="s">
        <v>3027</v>
      </c>
      <c r="B1270" s="141">
        <v>533333</v>
      </c>
      <c r="C1270" s="141" t="s">
        <v>3028</v>
      </c>
      <c r="D1270" s="141" t="s">
        <v>1289</v>
      </c>
    </row>
    <row r="1271" spans="1:4" x14ac:dyDescent="0.3">
      <c r="A1271" s="141" t="s">
        <v>3029</v>
      </c>
      <c r="B1271" s="141">
        <v>508954</v>
      </c>
      <c r="C1271" s="141" t="s">
        <v>1129</v>
      </c>
      <c r="D1271" s="141" t="s">
        <v>1146</v>
      </c>
    </row>
    <row r="1272" spans="1:4" x14ac:dyDescent="0.3">
      <c r="A1272" s="141" t="s">
        <v>3030</v>
      </c>
      <c r="B1272" s="141">
        <v>500144</v>
      </c>
      <c r="C1272" s="141" t="s">
        <v>3031</v>
      </c>
      <c r="D1272" s="141" t="s">
        <v>1427</v>
      </c>
    </row>
    <row r="1273" spans="1:4" x14ac:dyDescent="0.3">
      <c r="A1273" s="141" t="s">
        <v>3032</v>
      </c>
      <c r="B1273" s="141">
        <v>500940</v>
      </c>
      <c r="C1273" s="141" t="s">
        <v>3033</v>
      </c>
      <c r="D1273" s="141" t="s">
        <v>1249</v>
      </c>
    </row>
    <row r="1274" spans="1:4" x14ac:dyDescent="0.3">
      <c r="A1274" s="141" t="s">
        <v>3034</v>
      </c>
      <c r="B1274" s="141">
        <v>511122</v>
      </c>
      <c r="C1274" s="141" t="s">
        <v>1129</v>
      </c>
      <c r="D1274" s="141" t="s">
        <v>1146</v>
      </c>
    </row>
    <row r="1275" spans="1:4" x14ac:dyDescent="0.3">
      <c r="A1275" s="141" t="s">
        <v>3035</v>
      </c>
      <c r="B1275" s="141">
        <v>511122</v>
      </c>
      <c r="C1275" s="141" t="s">
        <v>1129</v>
      </c>
      <c r="D1275" s="141" t="s">
        <v>1146</v>
      </c>
    </row>
    <row r="1276" spans="1:4" x14ac:dyDescent="0.3">
      <c r="A1276" s="141" t="s">
        <v>3036</v>
      </c>
      <c r="B1276" s="141">
        <v>532379</v>
      </c>
      <c r="C1276" s="141" t="s">
        <v>1129</v>
      </c>
      <c r="D1276" s="141" t="s">
        <v>1222</v>
      </c>
    </row>
    <row r="1277" spans="1:4" x14ac:dyDescent="0.3">
      <c r="A1277" s="141" t="s">
        <v>3037</v>
      </c>
      <c r="B1277" s="141">
        <v>532809</v>
      </c>
      <c r="C1277" s="141" t="s">
        <v>3038</v>
      </c>
      <c r="D1277" s="141" t="s">
        <v>1459</v>
      </c>
    </row>
    <row r="1278" spans="1:4" x14ac:dyDescent="0.3">
      <c r="A1278" s="141" t="s">
        <v>3039</v>
      </c>
      <c r="B1278" s="141">
        <v>524743</v>
      </c>
      <c r="C1278" s="141" t="s">
        <v>1129</v>
      </c>
      <c r="D1278" s="141" t="s">
        <v>1177</v>
      </c>
    </row>
    <row r="1279" spans="1:4" x14ac:dyDescent="0.3">
      <c r="A1279" s="141" t="s">
        <v>3040</v>
      </c>
      <c r="B1279" s="141" t="s">
        <v>1129</v>
      </c>
      <c r="C1279" s="141" t="s">
        <v>3041</v>
      </c>
      <c r="D1279" s="141" t="s">
        <v>1140</v>
      </c>
    </row>
    <row r="1280" spans="1:4" x14ac:dyDescent="0.3">
      <c r="A1280" s="141" t="s">
        <v>3042</v>
      </c>
      <c r="B1280" s="141">
        <v>530885</v>
      </c>
      <c r="C1280" s="141" t="s">
        <v>1129</v>
      </c>
      <c r="D1280" s="141" t="s">
        <v>1115</v>
      </c>
    </row>
    <row r="1281" spans="1:4" x14ac:dyDescent="0.3">
      <c r="A1281" s="141" t="s">
        <v>3043</v>
      </c>
      <c r="B1281" s="141">
        <v>536751</v>
      </c>
      <c r="C1281" s="141" t="s">
        <v>1129</v>
      </c>
      <c r="D1281" s="141" t="s">
        <v>1112</v>
      </c>
    </row>
    <row r="1282" spans="1:4" x14ac:dyDescent="0.3">
      <c r="A1282" s="141" t="s">
        <v>3044</v>
      </c>
      <c r="B1282" s="141">
        <v>523672</v>
      </c>
      <c r="C1282" s="141" t="s">
        <v>1129</v>
      </c>
      <c r="D1282" s="141" t="s">
        <v>1327</v>
      </c>
    </row>
    <row r="1283" spans="1:4" x14ac:dyDescent="0.3">
      <c r="A1283" s="141" t="s">
        <v>3045</v>
      </c>
      <c r="B1283" s="141">
        <v>533638</v>
      </c>
      <c r="C1283" s="141" t="s">
        <v>3046</v>
      </c>
      <c r="D1283" s="141" t="s">
        <v>1249</v>
      </c>
    </row>
    <row r="1284" spans="1:4" x14ac:dyDescent="0.3">
      <c r="A1284" s="141" t="s">
        <v>3047</v>
      </c>
      <c r="B1284" s="141">
        <v>540267</v>
      </c>
      <c r="C1284" s="141" t="s">
        <v>1129</v>
      </c>
      <c r="D1284" s="141" t="s">
        <v>1151</v>
      </c>
    </row>
    <row r="1285" spans="1:4" x14ac:dyDescent="0.3">
      <c r="A1285" s="141" t="s">
        <v>3048</v>
      </c>
      <c r="B1285" s="141">
        <v>530705</v>
      </c>
      <c r="C1285" s="141" t="s">
        <v>1129</v>
      </c>
      <c r="D1285" s="141" t="s">
        <v>1144</v>
      </c>
    </row>
    <row r="1286" spans="1:4" x14ac:dyDescent="0.3">
      <c r="A1286" s="141" t="s">
        <v>3049</v>
      </c>
      <c r="B1286" s="141">
        <v>532518</v>
      </c>
      <c r="C1286" s="141" t="s">
        <v>1129</v>
      </c>
      <c r="D1286" s="141" t="s">
        <v>1149</v>
      </c>
    </row>
    <row r="1287" spans="1:4" x14ac:dyDescent="0.3">
      <c r="A1287" s="141" t="s">
        <v>3050</v>
      </c>
      <c r="B1287" s="141">
        <v>522017</v>
      </c>
      <c r="C1287" s="141" t="s">
        <v>1129</v>
      </c>
      <c r="D1287" s="141" t="s">
        <v>1427</v>
      </c>
    </row>
    <row r="1288" spans="1:4" x14ac:dyDescent="0.3">
      <c r="A1288" s="141" t="s">
        <v>3051</v>
      </c>
      <c r="B1288" s="141">
        <v>534757</v>
      </c>
      <c r="C1288" s="141" t="s">
        <v>1129</v>
      </c>
      <c r="D1288" s="141" t="s">
        <v>1146</v>
      </c>
    </row>
    <row r="1289" spans="1:4" x14ac:dyDescent="0.3">
      <c r="A1289" s="141" t="s">
        <v>3052</v>
      </c>
      <c r="B1289" s="141" t="s">
        <v>1129</v>
      </c>
      <c r="C1289" s="141" t="s">
        <v>3053</v>
      </c>
      <c r="D1289" s="141" t="s">
        <v>1140</v>
      </c>
    </row>
    <row r="1290" spans="1:4" x14ac:dyDescent="0.3">
      <c r="A1290" s="141" t="s">
        <v>3054</v>
      </c>
      <c r="B1290" s="141">
        <v>540945</v>
      </c>
      <c r="C1290" s="141" t="s">
        <v>1129</v>
      </c>
      <c r="D1290" s="141" t="s">
        <v>1213</v>
      </c>
    </row>
    <row r="1291" spans="1:4" x14ac:dyDescent="0.3">
      <c r="A1291" s="141" t="s">
        <v>3055</v>
      </c>
      <c r="B1291" s="141">
        <v>503831</v>
      </c>
      <c r="C1291" s="141" t="s">
        <v>1129</v>
      </c>
      <c r="D1291" s="141" t="s">
        <v>1330</v>
      </c>
    </row>
    <row r="1292" spans="1:4" x14ac:dyDescent="0.3">
      <c r="A1292" s="141" t="s">
        <v>3056</v>
      </c>
      <c r="B1292" s="141">
        <v>507552</v>
      </c>
      <c r="C1292" s="141" t="s">
        <v>1129</v>
      </c>
      <c r="D1292" s="141" t="s">
        <v>1209</v>
      </c>
    </row>
    <row r="1293" spans="1:4" x14ac:dyDescent="0.3">
      <c r="A1293" s="141" t="s">
        <v>3057</v>
      </c>
      <c r="B1293" s="141">
        <v>502865</v>
      </c>
      <c r="C1293" s="141" t="s">
        <v>1129</v>
      </c>
      <c r="D1293" s="141" t="s">
        <v>1137</v>
      </c>
    </row>
    <row r="1294" spans="1:4" x14ac:dyDescent="0.3">
      <c r="A1294" s="141" t="s">
        <v>3058</v>
      </c>
      <c r="B1294" s="141">
        <v>500033</v>
      </c>
      <c r="C1294" s="141" t="s">
        <v>1129</v>
      </c>
      <c r="D1294" s="141" t="s">
        <v>3059</v>
      </c>
    </row>
    <row r="1295" spans="1:4" x14ac:dyDescent="0.3">
      <c r="A1295" s="141" t="s">
        <v>3060</v>
      </c>
      <c r="B1295" s="141">
        <v>532843</v>
      </c>
      <c r="C1295" s="141" t="s">
        <v>3061</v>
      </c>
      <c r="D1295" s="141" t="s">
        <v>1599</v>
      </c>
    </row>
    <row r="1296" spans="1:4" x14ac:dyDescent="0.3">
      <c r="A1296" s="141" t="s">
        <v>3062</v>
      </c>
      <c r="B1296" s="141">
        <v>523696</v>
      </c>
      <c r="C1296" s="141" t="s">
        <v>1129</v>
      </c>
      <c r="D1296" s="141" t="s">
        <v>1318</v>
      </c>
    </row>
    <row r="1297" spans="1:4" x14ac:dyDescent="0.3">
      <c r="A1297" s="141" t="s">
        <v>3063</v>
      </c>
      <c r="B1297" s="141">
        <v>530213</v>
      </c>
      <c r="C1297" s="141" t="s">
        <v>1129</v>
      </c>
      <c r="D1297" s="141" t="s">
        <v>1151</v>
      </c>
    </row>
    <row r="1298" spans="1:4" x14ac:dyDescent="0.3">
      <c r="A1298" s="141" t="s">
        <v>3064</v>
      </c>
      <c r="B1298" s="141">
        <v>500150</v>
      </c>
      <c r="C1298" s="141" t="s">
        <v>3065</v>
      </c>
      <c r="D1298" s="141" t="s">
        <v>1177</v>
      </c>
    </row>
    <row r="1299" spans="1:4" x14ac:dyDescent="0.3">
      <c r="A1299" s="141" t="s">
        <v>3066</v>
      </c>
      <c r="B1299" s="141">
        <v>500150</v>
      </c>
      <c r="C1299" s="141" t="s">
        <v>3065</v>
      </c>
      <c r="D1299" s="141" t="s">
        <v>1177</v>
      </c>
    </row>
    <row r="1300" spans="1:4" x14ac:dyDescent="0.3">
      <c r="A1300" s="141" t="s">
        <v>3067</v>
      </c>
      <c r="B1300" s="141">
        <v>513579</v>
      </c>
      <c r="C1300" s="141" t="s">
        <v>1129</v>
      </c>
      <c r="D1300" s="141" t="s">
        <v>1807</v>
      </c>
    </row>
    <row r="1301" spans="1:4" x14ac:dyDescent="0.3">
      <c r="A1301" s="141" t="s">
        <v>3068</v>
      </c>
      <c r="B1301" s="141" t="s">
        <v>1129</v>
      </c>
      <c r="C1301" s="141" t="s">
        <v>3069</v>
      </c>
      <c r="D1301" s="141" t="s">
        <v>1140</v>
      </c>
    </row>
    <row r="1302" spans="1:4" x14ac:dyDescent="0.3">
      <c r="A1302" s="141" t="s">
        <v>3070</v>
      </c>
      <c r="B1302" s="141">
        <v>532403</v>
      </c>
      <c r="C1302" s="141" t="s">
        <v>1129</v>
      </c>
      <c r="D1302" s="141" t="s">
        <v>1222</v>
      </c>
    </row>
    <row r="1303" spans="1:4" x14ac:dyDescent="0.3">
      <c r="A1303" s="141" t="s">
        <v>3071</v>
      </c>
      <c r="B1303" s="141">
        <v>540190</v>
      </c>
      <c r="C1303" s="141" t="s">
        <v>1129</v>
      </c>
      <c r="D1303" s="141" t="s">
        <v>1151</v>
      </c>
    </row>
    <row r="1304" spans="1:4" x14ac:dyDescent="0.3">
      <c r="A1304" s="141" t="s">
        <v>3072</v>
      </c>
      <c r="B1304" s="141">
        <v>539839</v>
      </c>
      <c r="C1304" s="141" t="s">
        <v>1129</v>
      </c>
      <c r="D1304" s="141" t="s">
        <v>1146</v>
      </c>
    </row>
    <row r="1305" spans="1:4" x14ac:dyDescent="0.3">
      <c r="A1305" s="141" t="s">
        <v>3073</v>
      </c>
      <c r="B1305" s="141">
        <v>539032</v>
      </c>
      <c r="C1305" s="141" t="s">
        <v>3074</v>
      </c>
      <c r="D1305" s="141" t="s">
        <v>1495</v>
      </c>
    </row>
    <row r="1306" spans="1:4" x14ac:dyDescent="0.3">
      <c r="A1306" s="141" t="s">
        <v>3075</v>
      </c>
      <c r="B1306" s="141">
        <v>539730</v>
      </c>
      <c r="C1306" s="141" t="s">
        <v>1129</v>
      </c>
      <c r="D1306" s="141" t="s">
        <v>1167</v>
      </c>
    </row>
    <row r="1307" spans="1:4" x14ac:dyDescent="0.3">
      <c r="A1307" s="141" t="s">
        <v>3076</v>
      </c>
      <c r="B1307" s="141">
        <v>530077</v>
      </c>
      <c r="C1307" s="141" t="s">
        <v>1129</v>
      </c>
      <c r="D1307" s="141" t="s">
        <v>1327</v>
      </c>
    </row>
    <row r="1308" spans="1:4" x14ac:dyDescent="0.3">
      <c r="A1308" s="141" t="s">
        <v>3077</v>
      </c>
      <c r="B1308" s="141">
        <v>508980</v>
      </c>
      <c r="C1308" s="141" t="s">
        <v>1129</v>
      </c>
      <c r="D1308" s="141" t="s">
        <v>1550</v>
      </c>
    </row>
    <row r="1309" spans="1:4" x14ac:dyDescent="0.3">
      <c r="A1309" s="141" t="s">
        <v>3078</v>
      </c>
      <c r="B1309" s="141">
        <v>522195</v>
      </c>
      <c r="C1309" s="141" t="s">
        <v>1129</v>
      </c>
      <c r="D1309" s="141" t="s">
        <v>1484</v>
      </c>
    </row>
    <row r="1310" spans="1:4" x14ac:dyDescent="0.3">
      <c r="A1310" s="141" t="s">
        <v>3079</v>
      </c>
      <c r="B1310" s="141">
        <v>521167</v>
      </c>
      <c r="C1310" s="141" t="s">
        <v>3080</v>
      </c>
      <c r="D1310" s="141" t="s">
        <v>1685</v>
      </c>
    </row>
    <row r="1311" spans="1:4" x14ac:dyDescent="0.3">
      <c r="A1311" s="141" t="s">
        <v>3081</v>
      </c>
      <c r="B1311" s="141">
        <v>532042</v>
      </c>
      <c r="C1311" s="141" t="s">
        <v>1129</v>
      </c>
      <c r="D1311" s="141" t="s">
        <v>1201</v>
      </c>
    </row>
    <row r="1312" spans="1:4" x14ac:dyDescent="0.3">
      <c r="A1312" s="141" t="s">
        <v>3082</v>
      </c>
      <c r="B1312" s="141">
        <v>533213</v>
      </c>
      <c r="C1312" s="141" t="s">
        <v>1129</v>
      </c>
      <c r="D1312" s="141" t="s">
        <v>1112</v>
      </c>
    </row>
    <row r="1313" spans="1:4" x14ac:dyDescent="0.3">
      <c r="A1313" s="141" t="s">
        <v>3083</v>
      </c>
      <c r="B1313" s="141">
        <v>538568</v>
      </c>
      <c r="C1313" s="141" t="s">
        <v>1129</v>
      </c>
      <c r="D1313" s="141" t="s">
        <v>1151</v>
      </c>
    </row>
    <row r="1314" spans="1:4" x14ac:dyDescent="0.3">
      <c r="A1314" s="141" t="s">
        <v>3084</v>
      </c>
      <c r="B1314" s="141">
        <v>539169</v>
      </c>
      <c r="C1314" s="141" t="s">
        <v>1129</v>
      </c>
      <c r="D1314" s="141" t="s">
        <v>1115</v>
      </c>
    </row>
    <row r="1315" spans="1:4" x14ac:dyDescent="0.3">
      <c r="A1315" s="141" t="s">
        <v>3085</v>
      </c>
      <c r="B1315" s="141">
        <v>533400</v>
      </c>
      <c r="C1315" s="141" t="s">
        <v>3086</v>
      </c>
      <c r="D1315" s="141" t="s">
        <v>1189</v>
      </c>
    </row>
    <row r="1316" spans="1:4" x14ac:dyDescent="0.3">
      <c r="A1316" s="141" t="s">
        <v>3087</v>
      </c>
      <c r="B1316" s="141">
        <v>523574</v>
      </c>
      <c r="C1316" s="141" t="s">
        <v>3088</v>
      </c>
      <c r="D1316" s="141" t="s">
        <v>1298</v>
      </c>
    </row>
    <row r="1317" spans="1:4" x14ac:dyDescent="0.3">
      <c r="A1317" s="141" t="s">
        <v>3087</v>
      </c>
      <c r="B1317" s="141">
        <v>570002</v>
      </c>
      <c r="C1317" s="141" t="s">
        <v>3089</v>
      </c>
      <c r="D1317" s="141" t="s">
        <v>1298</v>
      </c>
    </row>
    <row r="1318" spans="1:4" x14ac:dyDescent="0.3">
      <c r="A1318" s="141" t="s">
        <v>3090</v>
      </c>
      <c r="B1318" s="141">
        <v>536507</v>
      </c>
      <c r="C1318" s="141" t="s">
        <v>3091</v>
      </c>
      <c r="D1318" s="141" t="s">
        <v>1298</v>
      </c>
    </row>
    <row r="1319" spans="1:4" x14ac:dyDescent="0.3">
      <c r="A1319" s="141" t="s">
        <v>3092</v>
      </c>
      <c r="B1319" s="141">
        <v>533296</v>
      </c>
      <c r="C1319" s="141" t="s">
        <v>3093</v>
      </c>
      <c r="D1319" s="141" t="s">
        <v>1298</v>
      </c>
    </row>
    <row r="1320" spans="1:4" x14ac:dyDescent="0.3">
      <c r="A1320" s="141" t="s">
        <v>3094</v>
      </c>
      <c r="B1320" s="141">
        <v>540064</v>
      </c>
      <c r="C1320" s="141" t="s">
        <v>3095</v>
      </c>
      <c r="D1320" s="141" t="s">
        <v>1298</v>
      </c>
    </row>
    <row r="1321" spans="1:4" x14ac:dyDescent="0.3">
      <c r="A1321" s="141" t="s">
        <v>3096</v>
      </c>
      <c r="B1321" s="141">
        <v>540798</v>
      </c>
      <c r="C1321" s="141" t="s">
        <v>3097</v>
      </c>
      <c r="D1321" s="141" t="s">
        <v>1450</v>
      </c>
    </row>
    <row r="1322" spans="1:4" x14ac:dyDescent="0.3">
      <c r="A1322" s="141" t="s">
        <v>3098</v>
      </c>
      <c r="B1322" s="141">
        <v>523113</v>
      </c>
      <c r="C1322" s="141" t="s">
        <v>1129</v>
      </c>
      <c r="D1322" s="141" t="s">
        <v>1146</v>
      </c>
    </row>
    <row r="1323" spans="1:4" x14ac:dyDescent="0.3">
      <c r="A1323" s="141" t="s">
        <v>3099</v>
      </c>
      <c r="B1323" s="141">
        <v>534063</v>
      </c>
      <c r="C1323" s="141" t="s">
        <v>1129</v>
      </c>
      <c r="D1323" s="141" t="s">
        <v>1112</v>
      </c>
    </row>
    <row r="1324" spans="1:4" x14ac:dyDescent="0.3">
      <c r="A1324" s="141" t="s">
        <v>3100</v>
      </c>
      <c r="B1324" s="141">
        <v>504346</v>
      </c>
      <c r="C1324" s="141" t="s">
        <v>1129</v>
      </c>
      <c r="D1324" s="141" t="s">
        <v>1112</v>
      </c>
    </row>
    <row r="1325" spans="1:4" x14ac:dyDescent="0.3">
      <c r="A1325" s="141" t="s">
        <v>3101</v>
      </c>
      <c r="B1325" s="141">
        <v>505250</v>
      </c>
      <c r="C1325" s="141" t="s">
        <v>1129</v>
      </c>
      <c r="D1325" s="141" t="s">
        <v>1137</v>
      </c>
    </row>
    <row r="1326" spans="1:4" x14ac:dyDescent="0.3">
      <c r="A1326" s="141" t="s">
        <v>3102</v>
      </c>
      <c r="B1326" s="141">
        <v>540614</v>
      </c>
      <c r="C1326" s="141" t="s">
        <v>1129</v>
      </c>
      <c r="D1326" s="141" t="s">
        <v>1172</v>
      </c>
    </row>
    <row r="1327" spans="1:4" x14ac:dyDescent="0.3">
      <c r="A1327" s="141" t="s">
        <v>3103</v>
      </c>
      <c r="B1327" s="141">
        <v>531758</v>
      </c>
      <c r="C1327" s="141" t="s">
        <v>1129</v>
      </c>
      <c r="D1327" s="141" t="s">
        <v>1146</v>
      </c>
    </row>
    <row r="1328" spans="1:4" x14ac:dyDescent="0.3">
      <c r="A1328" s="141" t="s">
        <v>3104</v>
      </c>
      <c r="B1328" s="141">
        <v>513059</v>
      </c>
      <c r="C1328" s="141" t="s">
        <v>1129</v>
      </c>
      <c r="D1328" s="141" t="s">
        <v>1484</v>
      </c>
    </row>
    <row r="1329" spans="1:4" x14ac:dyDescent="0.3">
      <c r="A1329" s="141" t="s">
        <v>3105</v>
      </c>
      <c r="B1329" s="141">
        <v>542666</v>
      </c>
      <c r="C1329" s="141" t="s">
        <v>3106</v>
      </c>
      <c r="D1329" s="141" t="s">
        <v>3107</v>
      </c>
    </row>
    <row r="1330" spans="1:4" x14ac:dyDescent="0.3">
      <c r="A1330" s="141" t="s">
        <v>3108</v>
      </c>
      <c r="B1330" s="141">
        <v>505714</v>
      </c>
      <c r="C1330" s="141" t="s">
        <v>3109</v>
      </c>
      <c r="D1330" s="141" t="s">
        <v>1484</v>
      </c>
    </row>
    <row r="1331" spans="1:4" x14ac:dyDescent="0.3">
      <c r="A1331" s="141" t="s">
        <v>3110</v>
      </c>
      <c r="B1331" s="141">
        <v>505714</v>
      </c>
      <c r="C1331" s="141" t="s">
        <v>3109</v>
      </c>
      <c r="D1331" s="141" t="s">
        <v>1484</v>
      </c>
    </row>
    <row r="1332" spans="1:4" x14ac:dyDescent="0.3">
      <c r="A1332" s="141" t="s">
        <v>3111</v>
      </c>
      <c r="B1332" s="141">
        <v>524624</v>
      </c>
      <c r="C1332" s="141" t="s">
        <v>3112</v>
      </c>
      <c r="D1332" s="141" t="s">
        <v>3113</v>
      </c>
    </row>
    <row r="1333" spans="1:4" x14ac:dyDescent="0.3">
      <c r="A1333" s="141" t="s">
        <v>3114</v>
      </c>
      <c r="B1333" s="141">
        <v>531196</v>
      </c>
      <c r="C1333" s="141" t="s">
        <v>1129</v>
      </c>
      <c r="D1333" s="141" t="s">
        <v>1151</v>
      </c>
    </row>
    <row r="1334" spans="1:4" x14ac:dyDescent="0.3">
      <c r="A1334" s="141" t="s">
        <v>3115</v>
      </c>
      <c r="B1334" s="141">
        <v>531196</v>
      </c>
      <c r="C1334" s="141" t="s">
        <v>1129</v>
      </c>
      <c r="D1334" s="141" t="s">
        <v>1151</v>
      </c>
    </row>
    <row r="1335" spans="1:4" x14ac:dyDescent="0.3">
      <c r="A1335" s="141" t="s">
        <v>3116</v>
      </c>
      <c r="B1335" s="141">
        <v>532155</v>
      </c>
      <c r="C1335" s="141" t="s">
        <v>3117</v>
      </c>
      <c r="D1335" s="141" t="s">
        <v>1154</v>
      </c>
    </row>
    <row r="1336" spans="1:4" x14ac:dyDescent="0.3">
      <c r="A1336" s="141" t="s">
        <v>3118</v>
      </c>
      <c r="B1336" s="141">
        <v>532155</v>
      </c>
      <c r="C1336" s="141" t="s">
        <v>3117</v>
      </c>
      <c r="D1336" s="141" t="s">
        <v>1154</v>
      </c>
    </row>
    <row r="1337" spans="1:4" x14ac:dyDescent="0.3">
      <c r="A1337" s="141" t="s">
        <v>3119</v>
      </c>
      <c r="B1337" s="141">
        <v>538609</v>
      </c>
      <c r="C1337" s="141" t="s">
        <v>1129</v>
      </c>
      <c r="D1337" s="141" t="s">
        <v>1112</v>
      </c>
    </row>
    <row r="1338" spans="1:4" x14ac:dyDescent="0.3">
      <c r="A1338" s="141" t="s">
        <v>3120</v>
      </c>
      <c r="B1338" s="141">
        <v>505711</v>
      </c>
      <c r="C1338" s="141" t="s">
        <v>1129</v>
      </c>
      <c r="D1338" s="141" t="s">
        <v>1484</v>
      </c>
    </row>
    <row r="1339" spans="1:4" x14ac:dyDescent="0.3">
      <c r="A1339" s="141" t="s">
        <v>3121</v>
      </c>
      <c r="B1339" s="141">
        <v>539228</v>
      </c>
      <c r="C1339" s="141" t="s">
        <v>1129</v>
      </c>
      <c r="D1339" s="141" t="s">
        <v>3122</v>
      </c>
    </row>
    <row r="1340" spans="1:4" x14ac:dyDescent="0.3">
      <c r="A1340" s="141" t="s">
        <v>3123</v>
      </c>
      <c r="B1340" s="141">
        <v>538881</v>
      </c>
      <c r="C1340" s="141" t="s">
        <v>1129</v>
      </c>
      <c r="D1340" s="141" t="s">
        <v>1146</v>
      </c>
    </row>
    <row r="1341" spans="1:4" x14ac:dyDescent="0.3">
      <c r="A1341" s="141" t="s">
        <v>3124</v>
      </c>
      <c r="B1341" s="141">
        <v>504697</v>
      </c>
      <c r="C1341" s="141" t="s">
        <v>1129</v>
      </c>
      <c r="D1341" s="141" t="s">
        <v>1427</v>
      </c>
    </row>
    <row r="1342" spans="1:4" x14ac:dyDescent="0.3">
      <c r="A1342" s="141" t="s">
        <v>3125</v>
      </c>
      <c r="B1342" s="141">
        <v>531911</v>
      </c>
      <c r="C1342" s="141" t="s">
        <v>1129</v>
      </c>
      <c r="D1342" s="141" t="s">
        <v>1137</v>
      </c>
    </row>
    <row r="1343" spans="1:4" x14ac:dyDescent="0.3">
      <c r="A1343" s="141" t="s">
        <v>3126</v>
      </c>
      <c r="B1343" s="141">
        <v>526073</v>
      </c>
      <c r="C1343" s="141" t="s">
        <v>1129</v>
      </c>
      <c r="D1343" s="141" t="s">
        <v>1314</v>
      </c>
    </row>
    <row r="1344" spans="1:4" x14ac:dyDescent="0.3">
      <c r="A1344" s="141" t="s">
        <v>3127</v>
      </c>
      <c r="B1344" s="141">
        <v>506186</v>
      </c>
      <c r="C1344" s="141" t="s">
        <v>1129</v>
      </c>
      <c r="D1344" s="141" t="s">
        <v>1132</v>
      </c>
    </row>
    <row r="1345" spans="1:4" x14ac:dyDescent="0.3">
      <c r="A1345" s="141" t="s">
        <v>3128</v>
      </c>
      <c r="B1345" s="141">
        <v>540935</v>
      </c>
      <c r="C1345" s="141" t="s">
        <v>3129</v>
      </c>
      <c r="D1345" s="141" t="s">
        <v>1289</v>
      </c>
    </row>
    <row r="1346" spans="1:4" x14ac:dyDescent="0.3">
      <c r="A1346" s="141" t="s">
        <v>3130</v>
      </c>
      <c r="B1346" s="141">
        <v>533265</v>
      </c>
      <c r="C1346" s="141" t="s">
        <v>3131</v>
      </c>
      <c r="D1346" s="141" t="s">
        <v>1161</v>
      </c>
    </row>
    <row r="1347" spans="1:4" x14ac:dyDescent="0.3">
      <c r="A1347" s="141" t="s">
        <v>3132</v>
      </c>
      <c r="B1347" s="141">
        <v>532726</v>
      </c>
      <c r="C1347" s="141" t="s">
        <v>3133</v>
      </c>
      <c r="D1347" s="141" t="s">
        <v>1161</v>
      </c>
    </row>
    <row r="1348" spans="1:4" x14ac:dyDescent="0.3">
      <c r="A1348" s="141" t="s">
        <v>3134</v>
      </c>
      <c r="B1348" s="141">
        <v>531902</v>
      </c>
      <c r="C1348" s="141" t="s">
        <v>3135</v>
      </c>
      <c r="D1348" s="141" t="s">
        <v>1215</v>
      </c>
    </row>
    <row r="1349" spans="1:4" x14ac:dyDescent="0.3">
      <c r="A1349" s="141" t="s">
        <v>3136</v>
      </c>
      <c r="B1349" s="141">
        <v>532959</v>
      </c>
      <c r="C1349" s="141" t="s">
        <v>3137</v>
      </c>
      <c r="D1349" s="141" t="s">
        <v>1527</v>
      </c>
    </row>
    <row r="1350" spans="1:4" x14ac:dyDescent="0.3">
      <c r="A1350" s="141" t="s">
        <v>3138</v>
      </c>
      <c r="B1350" s="141">
        <v>513108</v>
      </c>
      <c r="C1350" s="141" t="s">
        <v>3139</v>
      </c>
      <c r="D1350" s="141" t="s">
        <v>1452</v>
      </c>
    </row>
    <row r="1351" spans="1:4" x14ac:dyDescent="0.3">
      <c r="A1351" s="141" t="s">
        <v>3140</v>
      </c>
      <c r="B1351" s="141">
        <v>500153</v>
      </c>
      <c r="C1351" s="141" t="s">
        <v>1129</v>
      </c>
      <c r="D1351" s="141" t="s">
        <v>1177</v>
      </c>
    </row>
    <row r="1352" spans="1:4" x14ac:dyDescent="0.3">
      <c r="A1352" s="141" t="s">
        <v>3141</v>
      </c>
      <c r="B1352" s="141">
        <v>541703</v>
      </c>
      <c r="C1352" s="141" t="s">
        <v>1129</v>
      </c>
      <c r="D1352" s="141" t="s">
        <v>1130</v>
      </c>
    </row>
    <row r="1353" spans="1:4" x14ac:dyDescent="0.3">
      <c r="A1353" s="141" t="s">
        <v>3142</v>
      </c>
      <c r="B1353" s="141">
        <v>541703</v>
      </c>
      <c r="C1353" s="141" t="s">
        <v>1129</v>
      </c>
      <c r="D1353" s="141" t="s">
        <v>1130</v>
      </c>
    </row>
    <row r="1354" spans="1:4" x14ac:dyDescent="0.3">
      <c r="A1354" s="141" t="s">
        <v>3143</v>
      </c>
      <c r="B1354" s="141">
        <v>504397</v>
      </c>
      <c r="C1354" s="141" t="s">
        <v>1129</v>
      </c>
      <c r="D1354" s="141" t="s">
        <v>1550</v>
      </c>
    </row>
    <row r="1355" spans="1:4" x14ac:dyDescent="0.3">
      <c r="A1355" s="141" t="s">
        <v>3144</v>
      </c>
      <c r="B1355" s="141">
        <v>526367</v>
      </c>
      <c r="C1355" s="141" t="s">
        <v>3145</v>
      </c>
      <c r="D1355" s="141" t="s">
        <v>1215</v>
      </c>
    </row>
    <row r="1356" spans="1:4" x14ac:dyDescent="0.3">
      <c r="A1356" s="141" t="s">
        <v>3146</v>
      </c>
      <c r="B1356" s="141">
        <v>514167</v>
      </c>
      <c r="C1356" s="141" t="s">
        <v>3147</v>
      </c>
      <c r="D1356" s="141" t="s">
        <v>1550</v>
      </c>
    </row>
    <row r="1357" spans="1:4" x14ac:dyDescent="0.3">
      <c r="A1357" s="141" t="s">
        <v>3148</v>
      </c>
      <c r="B1357" s="141" t="s">
        <v>1129</v>
      </c>
      <c r="C1357" s="141" t="s">
        <v>3149</v>
      </c>
      <c r="D1357" s="141" t="s">
        <v>1140</v>
      </c>
    </row>
    <row r="1358" spans="1:4" x14ac:dyDescent="0.3">
      <c r="A1358" s="141" t="s">
        <v>3150</v>
      </c>
      <c r="B1358" s="141">
        <v>531813</v>
      </c>
      <c r="C1358" s="141" t="s">
        <v>1129</v>
      </c>
      <c r="D1358" s="141" t="s">
        <v>1123</v>
      </c>
    </row>
    <row r="1359" spans="1:4" x14ac:dyDescent="0.3">
      <c r="A1359" s="141" t="s">
        <v>3151</v>
      </c>
      <c r="B1359" s="141">
        <v>531813</v>
      </c>
      <c r="C1359" s="141" t="s">
        <v>1129</v>
      </c>
      <c r="D1359" s="141" t="s">
        <v>1123</v>
      </c>
    </row>
    <row r="1360" spans="1:4" x14ac:dyDescent="0.3">
      <c r="A1360" s="141" t="s">
        <v>3152</v>
      </c>
      <c r="B1360" s="141">
        <v>539680</v>
      </c>
      <c r="C1360" s="141" t="s">
        <v>1129</v>
      </c>
      <c r="D1360" s="141" t="s">
        <v>1167</v>
      </c>
    </row>
    <row r="1361" spans="1:4" x14ac:dyDescent="0.3">
      <c r="A1361" s="141" t="s">
        <v>3153</v>
      </c>
      <c r="B1361" s="141">
        <v>540647</v>
      </c>
      <c r="C1361" s="141" t="s">
        <v>3154</v>
      </c>
      <c r="D1361" s="141" t="s">
        <v>1149</v>
      </c>
    </row>
    <row r="1362" spans="1:4" x14ac:dyDescent="0.3">
      <c r="A1362" s="141" t="s">
        <v>3155</v>
      </c>
      <c r="B1362" s="141">
        <v>521176</v>
      </c>
      <c r="C1362" s="141" t="s">
        <v>3156</v>
      </c>
      <c r="D1362" s="141" t="s">
        <v>1144</v>
      </c>
    </row>
    <row r="1363" spans="1:4" x14ac:dyDescent="0.3">
      <c r="A1363" s="141" t="s">
        <v>3157</v>
      </c>
      <c r="B1363" s="141">
        <v>512443</v>
      </c>
      <c r="C1363" s="141" t="s">
        <v>1129</v>
      </c>
      <c r="D1363" s="141" t="s">
        <v>1151</v>
      </c>
    </row>
    <row r="1364" spans="1:4" x14ac:dyDescent="0.3">
      <c r="A1364" s="141" t="s">
        <v>3158</v>
      </c>
      <c r="B1364" s="141">
        <v>539492</v>
      </c>
      <c r="C1364" s="141" t="s">
        <v>1129</v>
      </c>
      <c r="D1364" s="141" t="s">
        <v>1146</v>
      </c>
    </row>
    <row r="1365" spans="1:4" x14ac:dyDescent="0.3">
      <c r="A1365" s="141" t="s">
        <v>3159</v>
      </c>
      <c r="B1365" s="141">
        <v>542011</v>
      </c>
      <c r="C1365" s="141" t="s">
        <v>3160</v>
      </c>
      <c r="D1365" s="141" t="s">
        <v>1207</v>
      </c>
    </row>
    <row r="1366" spans="1:4" x14ac:dyDescent="0.3">
      <c r="A1366" s="141" t="s">
        <v>3161</v>
      </c>
      <c r="B1366" s="141">
        <v>500155</v>
      </c>
      <c r="C1366" s="141" t="s">
        <v>3162</v>
      </c>
      <c r="D1366" s="141" t="s">
        <v>1144</v>
      </c>
    </row>
    <row r="1367" spans="1:4" x14ac:dyDescent="0.3">
      <c r="A1367" s="141" t="s">
        <v>3163</v>
      </c>
      <c r="B1367" s="141">
        <v>530615</v>
      </c>
      <c r="C1367" s="141" t="s">
        <v>1129</v>
      </c>
      <c r="D1367" s="141" t="s">
        <v>1161</v>
      </c>
    </row>
    <row r="1368" spans="1:4" x14ac:dyDescent="0.3">
      <c r="A1368" s="141" t="s">
        <v>3164</v>
      </c>
      <c r="B1368" s="141">
        <v>526727</v>
      </c>
      <c r="C1368" s="141" t="s">
        <v>1129</v>
      </c>
      <c r="D1368" s="141" t="s">
        <v>1527</v>
      </c>
    </row>
    <row r="1369" spans="1:4" x14ac:dyDescent="0.3">
      <c r="A1369" s="141" t="s">
        <v>3165</v>
      </c>
      <c r="B1369" s="141">
        <v>512493</v>
      </c>
      <c r="C1369" s="141" t="s">
        <v>1129</v>
      </c>
      <c r="D1369" s="141" t="s">
        <v>1112</v>
      </c>
    </row>
    <row r="1370" spans="1:4" x14ac:dyDescent="0.3">
      <c r="A1370" s="141" t="s">
        <v>3166</v>
      </c>
      <c r="B1370" s="141">
        <v>530161</v>
      </c>
      <c r="C1370" s="141" t="s">
        <v>1129</v>
      </c>
      <c r="D1370" s="141" t="s">
        <v>1151</v>
      </c>
    </row>
    <row r="1371" spans="1:4" x14ac:dyDescent="0.3">
      <c r="A1371" s="141" t="s">
        <v>3167</v>
      </c>
      <c r="B1371" s="141">
        <v>541276</v>
      </c>
      <c r="C1371" s="141" t="s">
        <v>1129</v>
      </c>
      <c r="D1371" s="141" t="s">
        <v>1151</v>
      </c>
    </row>
    <row r="1372" spans="1:4" x14ac:dyDescent="0.3">
      <c r="A1372" s="141" t="s">
        <v>3168</v>
      </c>
      <c r="B1372" s="141">
        <v>509563</v>
      </c>
      <c r="C1372" s="141" t="s">
        <v>1129</v>
      </c>
      <c r="D1372" s="141" t="s">
        <v>1144</v>
      </c>
    </row>
    <row r="1373" spans="1:4" x14ac:dyDescent="0.3">
      <c r="A1373" s="141" t="s">
        <v>3169</v>
      </c>
      <c r="B1373" s="141">
        <v>500655</v>
      </c>
      <c r="C1373" s="141" t="s">
        <v>1129</v>
      </c>
      <c r="D1373" s="141" t="s">
        <v>1177</v>
      </c>
    </row>
    <row r="1374" spans="1:4" x14ac:dyDescent="0.3">
      <c r="A1374" s="141" t="s">
        <v>3170</v>
      </c>
      <c r="B1374" s="141">
        <v>514400</v>
      </c>
      <c r="C1374" s="141" t="s">
        <v>1129</v>
      </c>
      <c r="D1374" s="141" t="s">
        <v>1151</v>
      </c>
    </row>
    <row r="1375" spans="1:4" x14ac:dyDescent="0.3">
      <c r="A1375" s="141" t="s">
        <v>3171</v>
      </c>
      <c r="B1375" s="141">
        <v>509557</v>
      </c>
      <c r="C1375" s="141" t="s">
        <v>3172</v>
      </c>
      <c r="D1375" s="141" t="s">
        <v>1144</v>
      </c>
    </row>
    <row r="1376" spans="1:4" x14ac:dyDescent="0.3">
      <c r="A1376" s="141" t="s">
        <v>3173</v>
      </c>
      <c r="B1376" s="141">
        <v>532622</v>
      </c>
      <c r="C1376" s="141" t="s">
        <v>3174</v>
      </c>
      <c r="D1376" s="141" t="s">
        <v>1450</v>
      </c>
    </row>
    <row r="1377" spans="1:4" x14ac:dyDescent="0.3">
      <c r="A1377" s="141" t="s">
        <v>3175</v>
      </c>
      <c r="B1377" s="141">
        <v>532345</v>
      </c>
      <c r="C1377" s="141" t="s">
        <v>3176</v>
      </c>
      <c r="D1377" s="141" t="s">
        <v>1450</v>
      </c>
    </row>
    <row r="1378" spans="1:4" x14ac:dyDescent="0.3">
      <c r="A1378" s="141" t="s">
        <v>3177</v>
      </c>
      <c r="B1378" s="141">
        <v>539515</v>
      </c>
      <c r="C1378" s="141" t="s">
        <v>1129</v>
      </c>
      <c r="D1378" s="141" t="s">
        <v>1151</v>
      </c>
    </row>
    <row r="1379" spans="1:4" x14ac:dyDescent="0.3">
      <c r="A1379" s="141" t="s">
        <v>3178</v>
      </c>
      <c r="B1379" s="141">
        <v>540613</v>
      </c>
      <c r="C1379" s="141" t="s">
        <v>1129</v>
      </c>
      <c r="D1379" s="141" t="s">
        <v>1151</v>
      </c>
    </row>
    <row r="1380" spans="1:4" x14ac:dyDescent="0.3">
      <c r="A1380" s="141" t="s">
        <v>3179</v>
      </c>
      <c r="B1380" s="141">
        <v>540936</v>
      </c>
      <c r="C1380" s="141" t="s">
        <v>1129</v>
      </c>
      <c r="D1380" s="141" t="s">
        <v>1151</v>
      </c>
    </row>
    <row r="1381" spans="1:4" x14ac:dyDescent="0.3">
      <c r="A1381" s="141" t="s">
        <v>3180</v>
      </c>
      <c r="B1381" s="141">
        <v>524564</v>
      </c>
      <c r="C1381" s="141" t="s">
        <v>1129</v>
      </c>
      <c r="D1381" s="141" t="s">
        <v>1177</v>
      </c>
    </row>
    <row r="1382" spans="1:4" x14ac:dyDescent="0.3">
      <c r="A1382" s="141" t="s">
        <v>3181</v>
      </c>
      <c r="B1382" s="141">
        <v>541546</v>
      </c>
      <c r="C1382" s="141" t="s">
        <v>3182</v>
      </c>
      <c r="D1382" s="141" t="s">
        <v>1527</v>
      </c>
    </row>
    <row r="1383" spans="1:4" x14ac:dyDescent="0.3">
      <c r="A1383" s="141" t="s">
        <v>3183</v>
      </c>
      <c r="B1383" s="141">
        <v>532767</v>
      </c>
      <c r="C1383" s="141" t="s">
        <v>3184</v>
      </c>
      <c r="D1383" s="141" t="s">
        <v>1527</v>
      </c>
    </row>
    <row r="1384" spans="1:4" x14ac:dyDescent="0.3">
      <c r="A1384" s="141" t="s">
        <v>3185</v>
      </c>
      <c r="B1384" s="141">
        <v>532183</v>
      </c>
      <c r="C1384" s="141" t="s">
        <v>1129</v>
      </c>
      <c r="D1384" s="141" t="s">
        <v>1828</v>
      </c>
    </row>
    <row r="1385" spans="1:4" x14ac:dyDescent="0.3">
      <c r="A1385" s="141" t="s">
        <v>3186</v>
      </c>
      <c r="B1385" s="141">
        <v>539009</v>
      </c>
      <c r="C1385" s="141" t="s">
        <v>1129</v>
      </c>
      <c r="D1385" s="141" t="s">
        <v>1527</v>
      </c>
    </row>
    <row r="1386" spans="1:4" x14ac:dyDescent="0.3">
      <c r="A1386" s="141" t="s">
        <v>3187</v>
      </c>
      <c r="B1386" s="141">
        <v>538319</v>
      </c>
      <c r="C1386" s="141" t="s">
        <v>1129</v>
      </c>
      <c r="D1386" s="141" t="s">
        <v>1112</v>
      </c>
    </row>
    <row r="1387" spans="1:4" x14ac:dyDescent="0.3">
      <c r="A1387" s="141" t="s">
        <v>3188</v>
      </c>
      <c r="B1387" s="141">
        <v>535917</v>
      </c>
      <c r="C1387" s="141" t="s">
        <v>1129</v>
      </c>
      <c r="D1387" s="141" t="s">
        <v>1112</v>
      </c>
    </row>
    <row r="1388" spans="1:4" x14ac:dyDescent="0.3">
      <c r="A1388" s="141" t="s">
        <v>3189</v>
      </c>
      <c r="B1388" s="141">
        <v>535431</v>
      </c>
      <c r="C1388" s="141" t="s">
        <v>1129</v>
      </c>
      <c r="D1388" s="141" t="s">
        <v>1112</v>
      </c>
    </row>
    <row r="1389" spans="1:4" x14ac:dyDescent="0.3">
      <c r="A1389" s="141" t="s">
        <v>3190</v>
      </c>
      <c r="B1389" s="141">
        <v>530855</v>
      </c>
      <c r="C1389" s="141" t="s">
        <v>1129</v>
      </c>
      <c r="D1389" s="141" t="s">
        <v>1146</v>
      </c>
    </row>
    <row r="1390" spans="1:4" x14ac:dyDescent="0.3">
      <c r="A1390" s="141" t="s">
        <v>3191</v>
      </c>
      <c r="B1390" s="141">
        <v>532309</v>
      </c>
      <c r="C1390" s="141" t="s">
        <v>3192</v>
      </c>
      <c r="D1390" s="141" t="s">
        <v>1172</v>
      </c>
    </row>
    <row r="1391" spans="1:4" x14ac:dyDescent="0.3">
      <c r="A1391" s="141" t="s">
        <v>3193</v>
      </c>
      <c r="B1391" s="141">
        <v>532309</v>
      </c>
      <c r="C1391" s="141" t="s">
        <v>3192</v>
      </c>
      <c r="D1391" s="141" t="s">
        <v>1172</v>
      </c>
    </row>
    <row r="1392" spans="1:4" x14ac:dyDescent="0.3">
      <c r="A1392" s="141" t="s">
        <v>3194</v>
      </c>
      <c r="B1392" s="141">
        <v>522275</v>
      </c>
      <c r="C1392" s="141" t="s">
        <v>3195</v>
      </c>
      <c r="D1392" s="141" t="s">
        <v>1268</v>
      </c>
    </row>
    <row r="1393" spans="1:4" x14ac:dyDescent="0.3">
      <c r="A1393" s="141" t="s">
        <v>3196</v>
      </c>
      <c r="B1393" s="141">
        <v>522275</v>
      </c>
      <c r="C1393" s="141" t="s">
        <v>3195</v>
      </c>
      <c r="D1393" s="141" t="s">
        <v>1268</v>
      </c>
    </row>
    <row r="1394" spans="1:4" x14ac:dyDescent="0.3">
      <c r="A1394" s="141" t="s">
        <v>3197</v>
      </c>
      <c r="B1394" s="141">
        <v>504028</v>
      </c>
      <c r="C1394" s="141" t="s">
        <v>1129</v>
      </c>
      <c r="D1394" s="141" t="s">
        <v>1314</v>
      </c>
    </row>
    <row r="1395" spans="1:4" x14ac:dyDescent="0.3">
      <c r="A1395" s="141" t="s">
        <v>3198</v>
      </c>
      <c r="B1395" s="141">
        <v>532764</v>
      </c>
      <c r="C1395" s="141" t="s">
        <v>3199</v>
      </c>
      <c r="D1395" s="141" t="s">
        <v>1215</v>
      </c>
    </row>
    <row r="1396" spans="1:4" x14ac:dyDescent="0.3">
      <c r="A1396" s="141" t="s">
        <v>3200</v>
      </c>
      <c r="B1396" s="141">
        <v>530389</v>
      </c>
      <c r="C1396" s="141" t="s">
        <v>1129</v>
      </c>
      <c r="D1396" s="141" t="s">
        <v>1149</v>
      </c>
    </row>
    <row r="1397" spans="1:4" x14ac:dyDescent="0.3">
      <c r="A1397" s="141" t="s">
        <v>3201</v>
      </c>
      <c r="B1397" s="141" t="s">
        <v>1129</v>
      </c>
      <c r="C1397" s="141" t="s">
        <v>3202</v>
      </c>
      <c r="D1397" s="141" t="s">
        <v>1140</v>
      </c>
    </row>
    <row r="1398" spans="1:4" x14ac:dyDescent="0.3">
      <c r="A1398" s="141" t="s">
        <v>3203</v>
      </c>
      <c r="B1398" s="141">
        <v>539486</v>
      </c>
      <c r="C1398" s="141" t="s">
        <v>1129</v>
      </c>
      <c r="D1398" s="141" t="s">
        <v>1146</v>
      </c>
    </row>
    <row r="1399" spans="1:4" x14ac:dyDescent="0.3">
      <c r="A1399" s="141" t="s">
        <v>3204</v>
      </c>
      <c r="B1399" s="141">
        <v>521133</v>
      </c>
      <c r="C1399" s="141" t="s">
        <v>1129</v>
      </c>
      <c r="D1399" s="141" t="s">
        <v>1144</v>
      </c>
    </row>
    <row r="1400" spans="1:4" x14ac:dyDescent="0.3">
      <c r="A1400" s="141" t="s">
        <v>3205</v>
      </c>
      <c r="B1400" s="141">
        <v>521133</v>
      </c>
      <c r="C1400" s="141" t="s">
        <v>1129</v>
      </c>
      <c r="D1400" s="141" t="s">
        <v>1144</v>
      </c>
    </row>
    <row r="1401" spans="1:4" x14ac:dyDescent="0.3">
      <c r="A1401" s="141" t="s">
        <v>3206</v>
      </c>
      <c r="B1401" s="141">
        <v>532318</v>
      </c>
      <c r="C1401" s="141" t="s">
        <v>3207</v>
      </c>
      <c r="D1401" s="141" t="s">
        <v>2756</v>
      </c>
    </row>
    <row r="1402" spans="1:4" x14ac:dyDescent="0.3">
      <c r="A1402" s="141" t="s">
        <v>3208</v>
      </c>
      <c r="B1402" s="141">
        <v>531137</v>
      </c>
      <c r="C1402" s="141" t="s">
        <v>1129</v>
      </c>
      <c r="D1402" s="141" t="s">
        <v>1550</v>
      </c>
    </row>
    <row r="1403" spans="1:4" x14ac:dyDescent="0.3">
      <c r="A1403" s="141" t="s">
        <v>3209</v>
      </c>
      <c r="B1403" s="141">
        <v>541999</v>
      </c>
      <c r="C1403" s="141" t="s">
        <v>1129</v>
      </c>
      <c r="D1403" s="141" t="s">
        <v>1327</v>
      </c>
    </row>
    <row r="1404" spans="1:4" x14ac:dyDescent="0.3">
      <c r="A1404" s="141" t="s">
        <v>3210</v>
      </c>
      <c r="B1404" s="141">
        <v>540755</v>
      </c>
      <c r="C1404" s="141" t="s">
        <v>3211</v>
      </c>
      <c r="D1404" s="141" t="s">
        <v>3212</v>
      </c>
    </row>
    <row r="1405" spans="1:4" x14ac:dyDescent="0.3">
      <c r="A1405" s="141" t="s">
        <v>3213</v>
      </c>
      <c r="B1405" s="141">
        <v>539407</v>
      </c>
      <c r="C1405" s="141" t="s">
        <v>1129</v>
      </c>
      <c r="D1405" s="141" t="s">
        <v>1527</v>
      </c>
    </row>
    <row r="1406" spans="1:4" x14ac:dyDescent="0.3">
      <c r="A1406" s="141" t="s">
        <v>3214</v>
      </c>
      <c r="B1406" s="141">
        <v>514336</v>
      </c>
      <c r="C1406" s="141" t="s">
        <v>1129</v>
      </c>
      <c r="D1406" s="141" t="s">
        <v>1467</v>
      </c>
    </row>
    <row r="1407" spans="1:4" x14ac:dyDescent="0.3">
      <c r="A1407" s="141" t="s">
        <v>3215</v>
      </c>
      <c r="B1407" s="141">
        <v>514336</v>
      </c>
      <c r="C1407" s="141" t="s">
        <v>1129</v>
      </c>
      <c r="D1407" s="141" t="s">
        <v>1467</v>
      </c>
    </row>
    <row r="1408" spans="1:4" x14ac:dyDescent="0.3">
      <c r="A1408" s="141" t="s">
        <v>3216</v>
      </c>
      <c r="B1408" s="141">
        <v>506109</v>
      </c>
      <c r="C1408" s="141" t="s">
        <v>3217</v>
      </c>
      <c r="D1408" s="141" t="s">
        <v>1222</v>
      </c>
    </row>
    <row r="1409" spans="1:4" x14ac:dyDescent="0.3">
      <c r="A1409" s="141" t="s">
        <v>3218</v>
      </c>
      <c r="B1409" s="141">
        <v>531739</v>
      </c>
      <c r="C1409" s="141" t="s">
        <v>1129</v>
      </c>
      <c r="D1409" s="141" t="s">
        <v>1167</v>
      </c>
    </row>
    <row r="1410" spans="1:4" x14ac:dyDescent="0.3">
      <c r="A1410" s="141" t="s">
        <v>3219</v>
      </c>
      <c r="B1410" s="141">
        <v>539206</v>
      </c>
      <c r="C1410" s="141" t="s">
        <v>1129</v>
      </c>
      <c r="D1410" s="141" t="s">
        <v>1467</v>
      </c>
    </row>
    <row r="1411" spans="1:4" x14ac:dyDescent="0.3">
      <c r="A1411" s="141" t="s">
        <v>3220</v>
      </c>
      <c r="B1411" s="141">
        <v>538961</v>
      </c>
      <c r="C1411" s="141" t="s">
        <v>3221</v>
      </c>
      <c r="D1411" s="141" t="s">
        <v>1123</v>
      </c>
    </row>
    <row r="1412" spans="1:4" x14ac:dyDescent="0.3">
      <c r="A1412" s="141" t="s">
        <v>3222</v>
      </c>
      <c r="B1412" s="141">
        <v>530343</v>
      </c>
      <c r="C1412" s="141" t="s">
        <v>3223</v>
      </c>
      <c r="D1412" s="141" t="s">
        <v>1427</v>
      </c>
    </row>
    <row r="1413" spans="1:4" x14ac:dyDescent="0.3">
      <c r="A1413" s="141" t="s">
        <v>3224</v>
      </c>
      <c r="B1413" s="141">
        <v>532285</v>
      </c>
      <c r="C1413" s="141" t="s">
        <v>3225</v>
      </c>
      <c r="D1413" s="141" t="s">
        <v>1112</v>
      </c>
    </row>
    <row r="1414" spans="1:4" x14ac:dyDescent="0.3">
      <c r="A1414" s="141" t="s">
        <v>3226</v>
      </c>
      <c r="B1414" s="141">
        <v>500171</v>
      </c>
      <c r="C1414" s="141" t="s">
        <v>3227</v>
      </c>
      <c r="D1414" s="141" t="s">
        <v>1177</v>
      </c>
    </row>
    <row r="1415" spans="1:4" x14ac:dyDescent="0.3">
      <c r="A1415" s="141" t="s">
        <v>3228</v>
      </c>
      <c r="B1415" s="141">
        <v>533048</v>
      </c>
      <c r="C1415" s="141" t="s">
        <v>3229</v>
      </c>
      <c r="D1415" s="141" t="s">
        <v>1527</v>
      </c>
    </row>
    <row r="1416" spans="1:4" x14ac:dyDescent="0.3">
      <c r="A1416" s="141" t="s">
        <v>3230</v>
      </c>
      <c r="B1416" s="141">
        <v>511676</v>
      </c>
      <c r="C1416" s="141" t="s">
        <v>3231</v>
      </c>
      <c r="D1416" s="141" t="s">
        <v>1187</v>
      </c>
    </row>
    <row r="1417" spans="1:4" x14ac:dyDescent="0.3">
      <c r="A1417" s="141" t="s">
        <v>3232</v>
      </c>
      <c r="B1417" s="141">
        <v>538788</v>
      </c>
      <c r="C1417" s="141" t="s">
        <v>1129</v>
      </c>
      <c r="D1417" s="141" t="s">
        <v>1146</v>
      </c>
    </row>
    <row r="1418" spans="1:4" x14ac:dyDescent="0.3">
      <c r="A1418" s="141" t="s">
        <v>3233</v>
      </c>
      <c r="B1418" s="141">
        <v>532716</v>
      </c>
      <c r="C1418" s="141" t="s">
        <v>3234</v>
      </c>
      <c r="D1418" s="141" t="s">
        <v>1118</v>
      </c>
    </row>
    <row r="1419" spans="1:4" x14ac:dyDescent="0.3">
      <c r="A1419" s="141" t="s">
        <v>3235</v>
      </c>
      <c r="B1419" s="141">
        <v>507815</v>
      </c>
      <c r="C1419" s="141" t="s">
        <v>3236</v>
      </c>
      <c r="D1419" s="141" t="s">
        <v>1311</v>
      </c>
    </row>
    <row r="1420" spans="1:4" x14ac:dyDescent="0.3">
      <c r="A1420" s="141" t="s">
        <v>3237</v>
      </c>
      <c r="B1420" s="141">
        <v>507815</v>
      </c>
      <c r="C1420" s="141" t="s">
        <v>3236</v>
      </c>
      <c r="D1420" s="141" t="s">
        <v>1311</v>
      </c>
    </row>
    <row r="1421" spans="1:4" x14ac:dyDescent="0.3">
      <c r="A1421" s="141" t="s">
        <v>3238</v>
      </c>
      <c r="B1421" s="141">
        <v>531744</v>
      </c>
      <c r="C1421" s="141" t="s">
        <v>1129</v>
      </c>
      <c r="D1421" s="141" t="s">
        <v>1151</v>
      </c>
    </row>
    <row r="1422" spans="1:4" x14ac:dyDescent="0.3">
      <c r="A1422" s="141" t="s">
        <v>3239</v>
      </c>
      <c r="B1422" s="141">
        <v>590025</v>
      </c>
      <c r="C1422" s="141" t="s">
        <v>3240</v>
      </c>
      <c r="D1422" s="141" t="s">
        <v>1144</v>
      </c>
    </row>
    <row r="1423" spans="1:4" x14ac:dyDescent="0.3">
      <c r="A1423" s="141" t="s">
        <v>3241</v>
      </c>
      <c r="B1423" s="141">
        <v>507506</v>
      </c>
      <c r="C1423" s="141" t="s">
        <v>1129</v>
      </c>
      <c r="D1423" s="141" t="s">
        <v>1828</v>
      </c>
    </row>
    <row r="1424" spans="1:4" x14ac:dyDescent="0.3">
      <c r="A1424" s="141" t="s">
        <v>3242</v>
      </c>
      <c r="B1424" s="141" t="s">
        <v>1129</v>
      </c>
      <c r="C1424" s="141" t="s">
        <v>3243</v>
      </c>
      <c r="D1424" s="141" t="s">
        <v>1140</v>
      </c>
    </row>
    <row r="1425" spans="1:4" x14ac:dyDescent="0.3">
      <c r="A1425" s="141" t="s">
        <v>3244</v>
      </c>
      <c r="B1425" s="141">
        <v>539013</v>
      </c>
      <c r="C1425" s="141" t="s">
        <v>1129</v>
      </c>
      <c r="D1425" s="141" t="s">
        <v>1268</v>
      </c>
    </row>
    <row r="1426" spans="1:4" x14ac:dyDescent="0.3">
      <c r="A1426" s="141" t="s">
        <v>3245</v>
      </c>
      <c r="B1426" s="141">
        <v>533212</v>
      </c>
      <c r="C1426" s="141" t="s">
        <v>1129</v>
      </c>
      <c r="D1426" s="141" t="s">
        <v>1318</v>
      </c>
    </row>
    <row r="1427" spans="1:4" x14ac:dyDescent="0.3">
      <c r="A1427" s="141" t="s">
        <v>3246</v>
      </c>
      <c r="B1427" s="141" t="s">
        <v>1129</v>
      </c>
      <c r="C1427" s="141" t="s">
        <v>3247</v>
      </c>
      <c r="D1427" s="141" t="s">
        <v>1220</v>
      </c>
    </row>
    <row r="1428" spans="1:4" x14ac:dyDescent="0.3">
      <c r="A1428" s="141" t="s">
        <v>3248</v>
      </c>
      <c r="B1428" s="141">
        <v>531199</v>
      </c>
      <c r="C1428" s="141" t="s">
        <v>1129</v>
      </c>
      <c r="D1428" s="141" t="s">
        <v>1146</v>
      </c>
    </row>
    <row r="1429" spans="1:4" x14ac:dyDescent="0.3">
      <c r="A1429" s="141" t="s">
        <v>3249</v>
      </c>
      <c r="B1429" s="141">
        <v>500676</v>
      </c>
      <c r="C1429" s="141" t="s">
        <v>3250</v>
      </c>
      <c r="D1429" s="141" t="s">
        <v>1189</v>
      </c>
    </row>
    <row r="1430" spans="1:4" x14ac:dyDescent="0.3">
      <c r="A1430" s="141" t="s">
        <v>3251</v>
      </c>
      <c r="B1430" s="141">
        <v>500660</v>
      </c>
      <c r="C1430" s="141" t="s">
        <v>3252</v>
      </c>
      <c r="D1430" s="141" t="s">
        <v>1167</v>
      </c>
    </row>
    <row r="1431" spans="1:4" x14ac:dyDescent="0.3">
      <c r="A1431" s="141" t="s">
        <v>3253</v>
      </c>
      <c r="B1431" s="141">
        <v>542477</v>
      </c>
      <c r="C1431" s="141" t="s">
        <v>3254</v>
      </c>
      <c r="D1431" s="141" t="s">
        <v>1495</v>
      </c>
    </row>
    <row r="1432" spans="1:4" x14ac:dyDescent="0.3">
      <c r="A1432" s="141" t="s">
        <v>3255</v>
      </c>
      <c r="B1432" s="141">
        <v>532296</v>
      </c>
      <c r="C1432" s="141" t="s">
        <v>3256</v>
      </c>
      <c r="D1432" s="141" t="s">
        <v>1167</v>
      </c>
    </row>
    <row r="1433" spans="1:4" x14ac:dyDescent="0.3">
      <c r="A1433" s="141" t="s">
        <v>3257</v>
      </c>
      <c r="B1433" s="141">
        <v>513528</v>
      </c>
      <c r="C1433" s="141" t="s">
        <v>1129</v>
      </c>
      <c r="D1433" s="141" t="s">
        <v>1657</v>
      </c>
    </row>
    <row r="1434" spans="1:4" x14ac:dyDescent="0.3">
      <c r="A1434" s="141" t="s">
        <v>3258</v>
      </c>
      <c r="B1434" s="141">
        <v>530263</v>
      </c>
      <c r="C1434" s="141" t="s">
        <v>1129</v>
      </c>
      <c r="D1434" s="141" t="s">
        <v>1146</v>
      </c>
    </row>
    <row r="1435" spans="1:4" x14ac:dyDescent="0.3">
      <c r="A1435" s="141" t="s">
        <v>3259</v>
      </c>
      <c r="B1435" s="141" t="s">
        <v>1129</v>
      </c>
      <c r="C1435" s="141" t="s">
        <v>3260</v>
      </c>
      <c r="D1435" s="141" t="s">
        <v>1140</v>
      </c>
    </row>
    <row r="1436" spans="1:4" x14ac:dyDescent="0.3">
      <c r="A1436" s="141" t="s">
        <v>3261</v>
      </c>
      <c r="B1436" s="141">
        <v>531463</v>
      </c>
      <c r="C1436" s="141" t="s">
        <v>1129</v>
      </c>
      <c r="D1436" s="141" t="s">
        <v>1550</v>
      </c>
    </row>
    <row r="1437" spans="1:4" x14ac:dyDescent="0.3">
      <c r="A1437" s="141" t="s">
        <v>3262</v>
      </c>
      <c r="B1437" s="141">
        <v>531479</v>
      </c>
      <c r="C1437" s="141" t="s">
        <v>1129</v>
      </c>
      <c r="D1437" s="141" t="s">
        <v>1215</v>
      </c>
    </row>
    <row r="1438" spans="1:4" x14ac:dyDescent="0.3">
      <c r="A1438" s="141" t="s">
        <v>3263</v>
      </c>
      <c r="B1438" s="141">
        <v>501848</v>
      </c>
      <c r="C1438" s="141" t="s">
        <v>3264</v>
      </c>
      <c r="D1438" s="141" t="s">
        <v>2377</v>
      </c>
    </row>
    <row r="1439" spans="1:4" x14ac:dyDescent="0.3">
      <c r="A1439" s="141" t="s">
        <v>3265</v>
      </c>
      <c r="B1439" s="141">
        <v>532773</v>
      </c>
      <c r="C1439" s="141" t="s">
        <v>3266</v>
      </c>
      <c r="D1439" s="141" t="s">
        <v>3267</v>
      </c>
    </row>
    <row r="1440" spans="1:4" x14ac:dyDescent="0.3">
      <c r="A1440" s="141" t="s">
        <v>3268</v>
      </c>
      <c r="B1440" s="141">
        <v>540654</v>
      </c>
      <c r="C1440" s="141" t="s">
        <v>1129</v>
      </c>
      <c r="D1440" s="141" t="s">
        <v>1115</v>
      </c>
    </row>
    <row r="1441" spans="1:4" x14ac:dyDescent="0.3">
      <c r="A1441" s="141" t="s">
        <v>3269</v>
      </c>
      <c r="B1441" s="141">
        <v>540266</v>
      </c>
      <c r="C1441" s="141" t="s">
        <v>1129</v>
      </c>
      <c r="D1441" s="141" t="s">
        <v>1151</v>
      </c>
    </row>
    <row r="1442" spans="1:4" x14ac:dyDescent="0.3">
      <c r="A1442" s="141" t="s">
        <v>3270</v>
      </c>
      <c r="B1442" s="141" t="s">
        <v>1129</v>
      </c>
      <c r="C1442" s="141" t="s">
        <v>3271</v>
      </c>
      <c r="D1442" s="141" t="s">
        <v>1140</v>
      </c>
    </row>
    <row r="1443" spans="1:4" x14ac:dyDescent="0.3">
      <c r="A1443" s="141" t="s">
        <v>3272</v>
      </c>
      <c r="B1443" s="141" t="s">
        <v>1129</v>
      </c>
      <c r="C1443" s="141" t="s">
        <v>3273</v>
      </c>
      <c r="D1443" s="141" t="s">
        <v>1140</v>
      </c>
    </row>
    <row r="1444" spans="1:4" x14ac:dyDescent="0.3">
      <c r="A1444" s="141" t="s">
        <v>3274</v>
      </c>
      <c r="B1444" s="141" t="s">
        <v>1129</v>
      </c>
      <c r="C1444" s="141" t="s">
        <v>3273</v>
      </c>
      <c r="D1444" s="141" t="s">
        <v>1140</v>
      </c>
    </row>
    <row r="1445" spans="1:4" x14ac:dyDescent="0.3">
      <c r="A1445" s="141" t="s">
        <v>3275</v>
      </c>
      <c r="B1445" s="141">
        <v>526025</v>
      </c>
      <c r="C1445" s="141" t="s">
        <v>1129</v>
      </c>
      <c r="D1445" s="141" t="s">
        <v>1144</v>
      </c>
    </row>
    <row r="1446" spans="1:4" x14ac:dyDescent="0.3">
      <c r="A1446" s="141" t="s">
        <v>3276</v>
      </c>
      <c r="B1446" s="141">
        <v>531904</v>
      </c>
      <c r="C1446" s="141" t="s">
        <v>3277</v>
      </c>
      <c r="D1446" s="141" t="s">
        <v>1495</v>
      </c>
    </row>
    <row r="1447" spans="1:4" x14ac:dyDescent="0.3">
      <c r="A1447" s="141" t="s">
        <v>3278</v>
      </c>
      <c r="B1447" s="141">
        <v>533104</v>
      </c>
      <c r="C1447" s="141" t="s">
        <v>3279</v>
      </c>
      <c r="D1447" s="141" t="s">
        <v>1761</v>
      </c>
    </row>
    <row r="1448" spans="1:4" x14ac:dyDescent="0.3">
      <c r="A1448" s="141" t="s">
        <v>3280</v>
      </c>
      <c r="B1448" s="141">
        <v>542351</v>
      </c>
      <c r="C1448" s="141" t="s">
        <v>3281</v>
      </c>
      <c r="D1448" s="141" t="s">
        <v>3282</v>
      </c>
    </row>
    <row r="1449" spans="1:4" x14ac:dyDescent="0.3">
      <c r="A1449" s="141" t="s">
        <v>3283</v>
      </c>
      <c r="B1449" s="141">
        <v>507488</v>
      </c>
      <c r="C1449" s="141" t="s">
        <v>3284</v>
      </c>
      <c r="D1449" s="141" t="s">
        <v>1761</v>
      </c>
    </row>
    <row r="1450" spans="1:4" x14ac:dyDescent="0.3">
      <c r="A1450" s="141" t="s">
        <v>3285</v>
      </c>
      <c r="B1450" s="141">
        <v>505255</v>
      </c>
      <c r="C1450" s="141" t="s">
        <v>3286</v>
      </c>
      <c r="D1450" s="141" t="s">
        <v>1137</v>
      </c>
    </row>
    <row r="1451" spans="1:4" x14ac:dyDescent="0.3">
      <c r="A1451" s="141" t="s">
        <v>3287</v>
      </c>
      <c r="B1451" s="141">
        <v>532754</v>
      </c>
      <c r="C1451" s="141" t="s">
        <v>3288</v>
      </c>
      <c r="D1451" s="141" t="s">
        <v>1268</v>
      </c>
    </row>
    <row r="1452" spans="1:4" x14ac:dyDescent="0.3">
      <c r="A1452" s="141" t="s">
        <v>3289</v>
      </c>
      <c r="B1452" s="141">
        <v>540124</v>
      </c>
      <c r="C1452" s="141" t="s">
        <v>3290</v>
      </c>
      <c r="D1452" s="141" t="s">
        <v>1484</v>
      </c>
    </row>
    <row r="1453" spans="1:4" x14ac:dyDescent="0.3">
      <c r="A1453" s="141" t="s">
        <v>3291</v>
      </c>
      <c r="B1453" s="141">
        <v>509567</v>
      </c>
      <c r="C1453" s="141" t="s">
        <v>3292</v>
      </c>
      <c r="D1453" s="141" t="s">
        <v>2058</v>
      </c>
    </row>
    <row r="1454" spans="1:4" x14ac:dyDescent="0.3">
      <c r="A1454" s="141" t="s">
        <v>3293</v>
      </c>
      <c r="B1454" s="141">
        <v>506480</v>
      </c>
      <c r="C1454" s="141" t="s">
        <v>3294</v>
      </c>
      <c r="D1454" s="141" t="s">
        <v>1339</v>
      </c>
    </row>
    <row r="1455" spans="1:4" x14ac:dyDescent="0.3">
      <c r="A1455" s="141" t="s">
        <v>3295</v>
      </c>
      <c r="B1455" s="141">
        <v>530317</v>
      </c>
      <c r="C1455" s="141" t="s">
        <v>1129</v>
      </c>
      <c r="D1455" s="141" t="s">
        <v>1167</v>
      </c>
    </row>
    <row r="1456" spans="1:4" x14ac:dyDescent="0.3">
      <c r="A1456" s="141" t="s">
        <v>3296</v>
      </c>
      <c r="B1456" s="141">
        <v>532734</v>
      </c>
      <c r="C1456" s="141" t="s">
        <v>3297</v>
      </c>
      <c r="D1456" s="141" t="s">
        <v>1161</v>
      </c>
    </row>
    <row r="1457" spans="1:4" x14ac:dyDescent="0.3">
      <c r="A1457" s="141" t="s">
        <v>3298</v>
      </c>
      <c r="B1457" s="141">
        <v>500163</v>
      </c>
      <c r="C1457" s="141" t="s">
        <v>3299</v>
      </c>
      <c r="D1457" s="141" t="s">
        <v>3300</v>
      </c>
    </row>
    <row r="1458" spans="1:4" x14ac:dyDescent="0.3">
      <c r="A1458" s="141" t="s">
        <v>3301</v>
      </c>
      <c r="B1458" s="141">
        <v>500163</v>
      </c>
      <c r="C1458" s="141" t="s">
        <v>3299</v>
      </c>
      <c r="D1458" s="141" t="s">
        <v>3300</v>
      </c>
    </row>
    <row r="1459" spans="1:4" x14ac:dyDescent="0.3">
      <c r="A1459" s="141" t="s">
        <v>3302</v>
      </c>
      <c r="B1459" s="141" t="s">
        <v>1129</v>
      </c>
      <c r="C1459" s="141" t="s">
        <v>3303</v>
      </c>
      <c r="D1459" s="141" t="s">
        <v>1140</v>
      </c>
    </row>
    <row r="1460" spans="1:4" x14ac:dyDescent="0.3">
      <c r="A1460" s="141" t="s">
        <v>3304</v>
      </c>
      <c r="B1460" s="141">
        <v>540743</v>
      </c>
      <c r="C1460" s="141" t="s">
        <v>3305</v>
      </c>
      <c r="D1460" s="141" t="s">
        <v>1327</v>
      </c>
    </row>
    <row r="1461" spans="1:4" x14ac:dyDescent="0.3">
      <c r="A1461" s="141" t="s">
        <v>1</v>
      </c>
      <c r="B1461" s="141">
        <v>532424</v>
      </c>
      <c r="C1461" s="141" t="s">
        <v>3306</v>
      </c>
      <c r="D1461" s="141" t="s">
        <v>1311</v>
      </c>
    </row>
    <row r="1462" spans="1:4" x14ac:dyDescent="0.3">
      <c r="A1462" s="141" t="s">
        <v>3307</v>
      </c>
      <c r="B1462" s="141">
        <v>500164</v>
      </c>
      <c r="C1462" s="141" t="s">
        <v>3308</v>
      </c>
      <c r="D1462" s="141" t="s">
        <v>1177</v>
      </c>
    </row>
    <row r="1463" spans="1:4" x14ac:dyDescent="0.3">
      <c r="A1463" s="141" t="s">
        <v>3309</v>
      </c>
      <c r="B1463" s="141">
        <v>533150</v>
      </c>
      <c r="C1463" s="141" t="s">
        <v>3310</v>
      </c>
      <c r="D1463" s="141" t="s">
        <v>1215</v>
      </c>
    </row>
    <row r="1464" spans="1:4" x14ac:dyDescent="0.3">
      <c r="A1464" s="141" t="s">
        <v>3311</v>
      </c>
      <c r="B1464" s="141">
        <v>538787</v>
      </c>
      <c r="C1464" s="141" t="s">
        <v>1129</v>
      </c>
      <c r="D1464" s="141" t="s">
        <v>1146</v>
      </c>
    </row>
    <row r="1465" spans="1:4" x14ac:dyDescent="0.3">
      <c r="A1465" s="141" t="s">
        <v>3312</v>
      </c>
      <c r="B1465" s="141">
        <v>533189</v>
      </c>
      <c r="C1465" s="141" t="s">
        <v>3313</v>
      </c>
      <c r="D1465" s="141" t="s">
        <v>1243</v>
      </c>
    </row>
    <row r="1466" spans="1:4" x14ac:dyDescent="0.3">
      <c r="A1466" s="141" t="s">
        <v>3314</v>
      </c>
      <c r="B1466" s="141">
        <v>531600</v>
      </c>
      <c r="C1466" s="141" t="s">
        <v>1129</v>
      </c>
      <c r="D1466" s="141" t="s">
        <v>1112</v>
      </c>
    </row>
    <row r="1467" spans="1:4" x14ac:dyDescent="0.3">
      <c r="A1467" s="141" t="s">
        <v>3315</v>
      </c>
      <c r="B1467" s="141">
        <v>532957</v>
      </c>
      <c r="C1467" s="141" t="s">
        <v>1129</v>
      </c>
      <c r="D1467" s="141" t="s">
        <v>1144</v>
      </c>
    </row>
    <row r="1468" spans="1:4" x14ac:dyDescent="0.3">
      <c r="A1468" s="141" t="s">
        <v>3316</v>
      </c>
      <c r="B1468" s="141">
        <v>532630</v>
      </c>
      <c r="C1468" s="141" t="s">
        <v>3317</v>
      </c>
      <c r="D1468" s="141" t="s">
        <v>1243</v>
      </c>
    </row>
    <row r="1469" spans="1:4" x14ac:dyDescent="0.3">
      <c r="A1469" s="141" t="s">
        <v>3318</v>
      </c>
      <c r="B1469" s="141">
        <v>539725</v>
      </c>
      <c r="C1469" s="141" t="s">
        <v>3319</v>
      </c>
      <c r="D1469" s="141" t="s">
        <v>1378</v>
      </c>
    </row>
    <row r="1470" spans="1:4" x14ac:dyDescent="0.3">
      <c r="A1470" s="141" t="s">
        <v>3320</v>
      </c>
      <c r="B1470" s="141">
        <v>532980</v>
      </c>
      <c r="C1470" s="141" t="s">
        <v>3321</v>
      </c>
      <c r="D1470" s="141" t="s">
        <v>1378</v>
      </c>
    </row>
    <row r="1471" spans="1:4" x14ac:dyDescent="0.3">
      <c r="A1471" s="141" t="s">
        <v>3322</v>
      </c>
      <c r="B1471" s="141">
        <v>780012</v>
      </c>
      <c r="C1471" s="141" t="s">
        <v>1129</v>
      </c>
      <c r="D1471" s="141" t="s">
        <v>1220</v>
      </c>
    </row>
    <row r="1472" spans="1:4" x14ac:dyDescent="0.3">
      <c r="A1472" s="141" t="s">
        <v>3323</v>
      </c>
      <c r="B1472" s="141">
        <v>538542</v>
      </c>
      <c r="C1472" s="141" t="s">
        <v>1129</v>
      </c>
      <c r="D1472" s="141" t="s">
        <v>1189</v>
      </c>
    </row>
    <row r="1473" spans="1:4" x14ac:dyDescent="0.3">
      <c r="A1473" s="141" t="s">
        <v>3324</v>
      </c>
      <c r="B1473" s="141">
        <v>538180</v>
      </c>
      <c r="C1473" s="141" t="s">
        <v>3325</v>
      </c>
      <c r="D1473" s="141" t="s">
        <v>1149</v>
      </c>
    </row>
    <row r="1474" spans="1:4" x14ac:dyDescent="0.3">
      <c r="A1474" s="141" t="s">
        <v>3326</v>
      </c>
      <c r="B1474" s="141">
        <v>505576</v>
      </c>
      <c r="C1474" s="141" t="s">
        <v>1129</v>
      </c>
      <c r="D1474" s="141" t="s">
        <v>1146</v>
      </c>
    </row>
    <row r="1475" spans="1:4" x14ac:dyDescent="0.3">
      <c r="A1475" s="141" t="s">
        <v>3327</v>
      </c>
      <c r="B1475" s="141">
        <v>531928</v>
      </c>
      <c r="C1475" s="141" t="s">
        <v>1129</v>
      </c>
      <c r="D1475" s="141" t="s">
        <v>1406</v>
      </c>
    </row>
    <row r="1476" spans="1:4" x14ac:dyDescent="0.3">
      <c r="A1476" s="141" t="s">
        <v>3328</v>
      </c>
      <c r="B1476" s="141">
        <v>540062</v>
      </c>
      <c r="C1476" s="141" t="s">
        <v>1129</v>
      </c>
      <c r="D1476" s="141" t="s">
        <v>1234</v>
      </c>
    </row>
    <row r="1477" spans="1:4" x14ac:dyDescent="0.3">
      <c r="A1477" s="141" t="s">
        <v>3329</v>
      </c>
      <c r="B1477" s="141">
        <v>530579</v>
      </c>
      <c r="C1477" s="141" t="s">
        <v>1129</v>
      </c>
      <c r="D1477" s="141" t="s">
        <v>1146</v>
      </c>
    </row>
    <row r="1478" spans="1:4" x14ac:dyDescent="0.3">
      <c r="A1478" s="141" t="s">
        <v>3330</v>
      </c>
      <c r="B1478" s="141">
        <v>500151</v>
      </c>
      <c r="C1478" s="141" t="s">
        <v>3331</v>
      </c>
      <c r="D1478" s="141" t="s">
        <v>3300</v>
      </c>
    </row>
    <row r="1479" spans="1:4" x14ac:dyDescent="0.3">
      <c r="A1479" s="141" t="s">
        <v>3332</v>
      </c>
      <c r="B1479" s="141">
        <v>526729</v>
      </c>
      <c r="C1479" s="141" t="s">
        <v>3333</v>
      </c>
      <c r="D1479" s="141" t="s">
        <v>1243</v>
      </c>
    </row>
    <row r="1480" spans="1:4" x14ac:dyDescent="0.3">
      <c r="A1480" s="141" t="s">
        <v>3334</v>
      </c>
      <c r="B1480" s="141" t="s">
        <v>1129</v>
      </c>
      <c r="C1480" s="141" t="s">
        <v>3335</v>
      </c>
      <c r="D1480" s="141" t="s">
        <v>1140</v>
      </c>
    </row>
    <row r="1481" spans="1:4" x14ac:dyDescent="0.3">
      <c r="A1481" s="141" t="s">
        <v>3336</v>
      </c>
      <c r="B1481" s="141">
        <v>531439</v>
      </c>
      <c r="C1481" s="141" t="s">
        <v>3337</v>
      </c>
      <c r="D1481" s="141" t="s">
        <v>1115</v>
      </c>
    </row>
    <row r="1482" spans="1:4" x14ac:dyDescent="0.3">
      <c r="A1482" s="141" t="s">
        <v>3338</v>
      </c>
      <c r="B1482" s="141">
        <v>531360</v>
      </c>
      <c r="C1482" s="141" t="s">
        <v>1129</v>
      </c>
      <c r="D1482" s="141" t="s">
        <v>1550</v>
      </c>
    </row>
    <row r="1483" spans="1:4" x14ac:dyDescent="0.3">
      <c r="A1483" s="141" t="s">
        <v>3339</v>
      </c>
      <c r="B1483" s="141">
        <v>513309</v>
      </c>
      <c r="C1483" s="141" t="s">
        <v>1129</v>
      </c>
      <c r="D1483" s="141" t="s">
        <v>1434</v>
      </c>
    </row>
    <row r="1484" spans="1:4" x14ac:dyDescent="0.3">
      <c r="A1484" s="141" t="s">
        <v>3340</v>
      </c>
      <c r="B1484" s="141">
        <v>523676</v>
      </c>
      <c r="C1484" s="141" t="s">
        <v>1129</v>
      </c>
      <c r="D1484" s="141" t="s">
        <v>1243</v>
      </c>
    </row>
    <row r="1485" spans="1:4" x14ac:dyDescent="0.3">
      <c r="A1485" s="141" t="s">
        <v>3341</v>
      </c>
      <c r="B1485" s="141">
        <v>530655</v>
      </c>
      <c r="C1485" s="141" t="s">
        <v>3342</v>
      </c>
      <c r="D1485" s="141" t="s">
        <v>1452</v>
      </c>
    </row>
    <row r="1486" spans="1:4" x14ac:dyDescent="0.3">
      <c r="A1486" s="141" t="s">
        <v>3343</v>
      </c>
      <c r="B1486" s="141">
        <v>530655</v>
      </c>
      <c r="C1486" s="141" t="s">
        <v>3342</v>
      </c>
      <c r="D1486" s="141" t="s">
        <v>1452</v>
      </c>
    </row>
    <row r="1487" spans="1:4" x14ac:dyDescent="0.3">
      <c r="A1487" s="141" t="s">
        <v>3344</v>
      </c>
      <c r="B1487" s="141">
        <v>500166</v>
      </c>
      <c r="C1487" s="141" t="s">
        <v>1129</v>
      </c>
      <c r="D1487" s="141" t="s">
        <v>1536</v>
      </c>
    </row>
    <row r="1488" spans="1:4" x14ac:dyDescent="0.3">
      <c r="A1488" s="141" t="s">
        <v>3345</v>
      </c>
      <c r="B1488" s="141">
        <v>500168</v>
      </c>
      <c r="C1488" s="141" t="s">
        <v>1129</v>
      </c>
      <c r="D1488" s="141" t="s">
        <v>1609</v>
      </c>
    </row>
    <row r="1489" spans="1:4" x14ac:dyDescent="0.3">
      <c r="A1489" s="141" t="s">
        <v>3346</v>
      </c>
      <c r="B1489" s="141">
        <v>500168</v>
      </c>
      <c r="C1489" s="141" t="s">
        <v>1129</v>
      </c>
      <c r="D1489" s="141" t="s">
        <v>1609</v>
      </c>
    </row>
    <row r="1490" spans="1:4" x14ac:dyDescent="0.3">
      <c r="A1490" s="141" t="s">
        <v>3347</v>
      </c>
      <c r="B1490" s="141">
        <v>531913</v>
      </c>
      <c r="C1490" s="141" t="s">
        <v>1129</v>
      </c>
      <c r="D1490" s="141" t="s">
        <v>1452</v>
      </c>
    </row>
    <row r="1491" spans="1:4" x14ac:dyDescent="0.3">
      <c r="A1491" s="141" t="s">
        <v>3348</v>
      </c>
      <c r="B1491" s="141">
        <v>526717</v>
      </c>
      <c r="C1491" s="141" t="s">
        <v>1129</v>
      </c>
      <c r="D1491" s="141" t="s">
        <v>1324</v>
      </c>
    </row>
    <row r="1492" spans="1:4" x14ac:dyDescent="0.3">
      <c r="A1492" s="141" t="s">
        <v>3349</v>
      </c>
      <c r="B1492" s="141">
        <v>531608</v>
      </c>
      <c r="C1492" s="141" t="s">
        <v>1129</v>
      </c>
      <c r="D1492" s="141" t="s">
        <v>2175</v>
      </c>
    </row>
    <row r="1493" spans="1:4" x14ac:dyDescent="0.3">
      <c r="A1493" s="141" t="s">
        <v>3350</v>
      </c>
      <c r="B1493" s="141">
        <v>531111</v>
      </c>
      <c r="C1493" s="141" t="s">
        <v>1129</v>
      </c>
      <c r="D1493" s="141" t="s">
        <v>2175</v>
      </c>
    </row>
    <row r="1494" spans="1:4" x14ac:dyDescent="0.3">
      <c r="A1494" s="141" t="s">
        <v>3351</v>
      </c>
      <c r="B1494" s="141">
        <v>531111</v>
      </c>
      <c r="C1494" s="141" t="s">
        <v>1129</v>
      </c>
      <c r="D1494" s="141" t="s">
        <v>2175</v>
      </c>
    </row>
    <row r="1495" spans="1:4" x14ac:dyDescent="0.3">
      <c r="A1495" s="141" t="s">
        <v>3352</v>
      </c>
      <c r="B1495" s="141">
        <v>509148</v>
      </c>
      <c r="C1495" s="141" t="s">
        <v>1129</v>
      </c>
      <c r="D1495" s="141" t="s">
        <v>1609</v>
      </c>
    </row>
    <row r="1496" spans="1:4" x14ac:dyDescent="0.3">
      <c r="A1496" s="141" t="s">
        <v>3353</v>
      </c>
      <c r="B1496" s="141">
        <v>530709</v>
      </c>
      <c r="C1496" s="141" t="s">
        <v>1129</v>
      </c>
      <c r="D1496" s="141" t="s">
        <v>1146</v>
      </c>
    </row>
    <row r="1497" spans="1:4" x14ac:dyDescent="0.3">
      <c r="A1497" s="141" t="s">
        <v>3354</v>
      </c>
      <c r="B1497" s="141">
        <v>530663</v>
      </c>
      <c r="C1497" s="141" t="s">
        <v>1129</v>
      </c>
      <c r="D1497" s="141" t="s">
        <v>1112</v>
      </c>
    </row>
    <row r="1498" spans="1:4" x14ac:dyDescent="0.3">
      <c r="A1498" s="141" t="s">
        <v>3355</v>
      </c>
      <c r="B1498" s="141">
        <v>532543</v>
      </c>
      <c r="C1498" s="141" t="s">
        <v>3356</v>
      </c>
      <c r="D1498" s="141" t="s">
        <v>1339</v>
      </c>
    </row>
    <row r="1499" spans="1:4" x14ac:dyDescent="0.3">
      <c r="A1499" s="141" t="s">
        <v>3357</v>
      </c>
      <c r="B1499" s="141">
        <v>533761</v>
      </c>
      <c r="C1499" s="141" t="s">
        <v>3358</v>
      </c>
      <c r="D1499" s="141" t="s">
        <v>1527</v>
      </c>
    </row>
    <row r="1500" spans="1:4" x14ac:dyDescent="0.3">
      <c r="A1500" s="141" t="s">
        <v>3359</v>
      </c>
      <c r="B1500" s="141">
        <v>780002</v>
      </c>
      <c r="C1500" s="141" t="s">
        <v>1129</v>
      </c>
      <c r="D1500" s="141" t="s">
        <v>1220</v>
      </c>
    </row>
    <row r="1501" spans="1:4" x14ac:dyDescent="0.3">
      <c r="A1501" s="141" t="s">
        <v>3360</v>
      </c>
      <c r="B1501" s="141">
        <v>590126</v>
      </c>
      <c r="C1501" s="141" t="s">
        <v>1129</v>
      </c>
      <c r="D1501" s="141" t="s">
        <v>2732</v>
      </c>
    </row>
    <row r="1502" spans="1:4" x14ac:dyDescent="0.3">
      <c r="A1502" s="141" t="s">
        <v>3361</v>
      </c>
      <c r="B1502" s="141">
        <v>539235</v>
      </c>
      <c r="C1502" s="141" t="s">
        <v>1129</v>
      </c>
      <c r="D1502" s="141" t="s">
        <v>1536</v>
      </c>
    </row>
    <row r="1503" spans="1:4" x14ac:dyDescent="0.3">
      <c r="A1503" s="141" t="s">
        <v>3362</v>
      </c>
      <c r="B1503" s="141">
        <v>532482</v>
      </c>
      <c r="C1503" s="141" t="s">
        <v>3363</v>
      </c>
      <c r="D1503" s="141" t="s">
        <v>1167</v>
      </c>
    </row>
    <row r="1504" spans="1:4" x14ac:dyDescent="0.3">
      <c r="A1504" s="141" t="s">
        <v>3364</v>
      </c>
      <c r="B1504" s="141">
        <v>532482</v>
      </c>
      <c r="C1504" s="141" t="s">
        <v>3363</v>
      </c>
      <c r="D1504" s="141" t="s">
        <v>1167</v>
      </c>
    </row>
    <row r="1505" spans="1:4" x14ac:dyDescent="0.3">
      <c r="A1505" s="141" t="s">
        <v>3365</v>
      </c>
      <c r="B1505" s="141">
        <v>509488</v>
      </c>
      <c r="C1505" s="141" t="s">
        <v>3366</v>
      </c>
      <c r="D1505" s="141" t="s">
        <v>1314</v>
      </c>
    </row>
    <row r="1506" spans="1:4" x14ac:dyDescent="0.3">
      <c r="A1506" s="141" t="s">
        <v>3367</v>
      </c>
      <c r="B1506" s="141">
        <v>509488</v>
      </c>
      <c r="C1506" s="141" t="s">
        <v>3366</v>
      </c>
      <c r="D1506" s="141" t="s">
        <v>1314</v>
      </c>
    </row>
    <row r="1507" spans="1:4" x14ac:dyDescent="0.3">
      <c r="A1507" s="141" t="s">
        <v>3368</v>
      </c>
      <c r="B1507" s="141">
        <v>500300</v>
      </c>
      <c r="C1507" s="141" t="s">
        <v>3369</v>
      </c>
      <c r="D1507" s="141" t="s">
        <v>1142</v>
      </c>
    </row>
    <row r="1508" spans="1:4" x14ac:dyDescent="0.3">
      <c r="A1508" s="141" t="s">
        <v>3370</v>
      </c>
      <c r="B1508" s="141">
        <v>526751</v>
      </c>
      <c r="C1508" s="141" t="s">
        <v>1129</v>
      </c>
      <c r="D1508" s="141" t="s">
        <v>1123</v>
      </c>
    </row>
    <row r="1509" spans="1:4" x14ac:dyDescent="0.3">
      <c r="A1509" s="141" t="s">
        <v>3371</v>
      </c>
      <c r="B1509" s="141">
        <v>505710</v>
      </c>
      <c r="C1509" s="141" t="s">
        <v>1129</v>
      </c>
      <c r="D1509" s="141" t="s">
        <v>1177</v>
      </c>
    </row>
    <row r="1510" spans="1:4" x14ac:dyDescent="0.3">
      <c r="A1510" s="141" t="s">
        <v>3372</v>
      </c>
      <c r="B1510" s="141">
        <v>505710</v>
      </c>
      <c r="C1510" s="141" t="s">
        <v>1129</v>
      </c>
      <c r="D1510" s="141" t="s">
        <v>1177</v>
      </c>
    </row>
    <row r="1511" spans="1:4" x14ac:dyDescent="0.3">
      <c r="A1511" s="141" t="s">
        <v>3373</v>
      </c>
      <c r="B1511" s="141">
        <v>509546</v>
      </c>
      <c r="C1511" s="141" t="s">
        <v>1129</v>
      </c>
      <c r="D1511" s="141" t="s">
        <v>1330</v>
      </c>
    </row>
    <row r="1512" spans="1:4" x14ac:dyDescent="0.3">
      <c r="A1512" s="141" t="s">
        <v>3374</v>
      </c>
      <c r="B1512" s="141">
        <v>533282</v>
      </c>
      <c r="C1512" s="141" t="s">
        <v>3375</v>
      </c>
      <c r="D1512" s="141" t="s">
        <v>3376</v>
      </c>
    </row>
    <row r="1513" spans="1:4" x14ac:dyDescent="0.3">
      <c r="A1513" s="141" t="s">
        <v>3377</v>
      </c>
      <c r="B1513" s="141">
        <v>533282</v>
      </c>
      <c r="C1513" s="141" t="s">
        <v>3375</v>
      </c>
      <c r="D1513" s="141" t="s">
        <v>3376</v>
      </c>
    </row>
    <row r="1514" spans="1:4" x14ac:dyDescent="0.3">
      <c r="A1514" s="141" t="s">
        <v>3378</v>
      </c>
      <c r="B1514" s="141">
        <v>532015</v>
      </c>
      <c r="C1514" s="141" t="s">
        <v>1129</v>
      </c>
      <c r="D1514" s="141" t="s">
        <v>1144</v>
      </c>
    </row>
    <row r="1515" spans="1:4" x14ac:dyDescent="0.3">
      <c r="A1515" s="141" t="s">
        <v>3379</v>
      </c>
      <c r="B1515" s="141">
        <v>532015</v>
      </c>
      <c r="C1515" s="141" t="s">
        <v>1129</v>
      </c>
      <c r="D1515" s="141" t="s">
        <v>1144</v>
      </c>
    </row>
    <row r="1516" spans="1:4" x14ac:dyDescent="0.3">
      <c r="A1516" s="141" t="s">
        <v>3380</v>
      </c>
      <c r="B1516" s="141">
        <v>501455</v>
      </c>
      <c r="C1516" s="141" t="s">
        <v>3381</v>
      </c>
      <c r="D1516" s="141" t="s">
        <v>1137</v>
      </c>
    </row>
    <row r="1517" spans="1:4" x14ac:dyDescent="0.3">
      <c r="A1517" s="141" t="s">
        <v>3382</v>
      </c>
      <c r="B1517" s="141">
        <v>531737</v>
      </c>
      <c r="C1517" s="141" t="s">
        <v>1129</v>
      </c>
      <c r="D1517" s="141" t="s">
        <v>1550</v>
      </c>
    </row>
    <row r="1518" spans="1:4" x14ac:dyDescent="0.3">
      <c r="A1518" s="141" t="s">
        <v>3383</v>
      </c>
      <c r="B1518" s="141">
        <v>538979</v>
      </c>
      <c r="C1518" s="141" t="s">
        <v>3384</v>
      </c>
      <c r="D1518" s="141" t="s">
        <v>1406</v>
      </c>
    </row>
    <row r="1519" spans="1:4" x14ac:dyDescent="0.3">
      <c r="A1519" s="141" t="s">
        <v>3385</v>
      </c>
      <c r="B1519" s="141">
        <v>526797</v>
      </c>
      <c r="C1519" s="141" t="s">
        <v>3386</v>
      </c>
      <c r="D1519" s="141" t="s">
        <v>1624</v>
      </c>
    </row>
    <row r="1520" spans="1:4" x14ac:dyDescent="0.3">
      <c r="A1520" s="141" t="s">
        <v>3387</v>
      </c>
      <c r="B1520" s="141" t="s">
        <v>1129</v>
      </c>
      <c r="C1520" s="141" t="s">
        <v>3388</v>
      </c>
      <c r="D1520" s="141" t="s">
        <v>1140</v>
      </c>
    </row>
    <row r="1521" spans="1:4" x14ac:dyDescent="0.3">
      <c r="A1521" s="141" t="s">
        <v>3389</v>
      </c>
      <c r="B1521" s="141">
        <v>508918</v>
      </c>
      <c r="C1521" s="141" t="s">
        <v>1129</v>
      </c>
      <c r="D1521" s="141" t="s">
        <v>1234</v>
      </c>
    </row>
    <row r="1522" spans="1:4" x14ac:dyDescent="0.3">
      <c r="A1522" s="141" t="s">
        <v>3390</v>
      </c>
      <c r="B1522" s="141">
        <v>506076</v>
      </c>
      <c r="C1522" s="141" t="s">
        <v>3391</v>
      </c>
      <c r="D1522" s="141" t="s">
        <v>2049</v>
      </c>
    </row>
    <row r="1523" spans="1:4" x14ac:dyDescent="0.3">
      <c r="A1523" s="141" t="s">
        <v>3392</v>
      </c>
      <c r="B1523" s="141">
        <v>531449</v>
      </c>
      <c r="C1523" s="141" t="s">
        <v>1129</v>
      </c>
      <c r="D1523" s="141" t="s">
        <v>1327</v>
      </c>
    </row>
    <row r="1524" spans="1:4" x14ac:dyDescent="0.3">
      <c r="A1524" s="141" t="s">
        <v>3393</v>
      </c>
      <c r="B1524" s="141">
        <v>501314</v>
      </c>
      <c r="C1524" s="141" t="s">
        <v>1129</v>
      </c>
      <c r="D1524" s="141" t="s">
        <v>1151</v>
      </c>
    </row>
    <row r="1525" spans="1:4" x14ac:dyDescent="0.3">
      <c r="A1525" s="141" t="s">
        <v>3394</v>
      </c>
      <c r="B1525" s="141">
        <v>539522</v>
      </c>
      <c r="C1525" s="141" t="s">
        <v>1129</v>
      </c>
      <c r="D1525" s="141" t="s">
        <v>1575</v>
      </c>
    </row>
    <row r="1526" spans="1:4" x14ac:dyDescent="0.3">
      <c r="A1526" s="141" t="s">
        <v>3395</v>
      </c>
      <c r="B1526" s="141">
        <v>539522</v>
      </c>
      <c r="C1526" s="141" t="s">
        <v>1129</v>
      </c>
      <c r="D1526" s="141" t="s">
        <v>1575</v>
      </c>
    </row>
    <row r="1527" spans="1:4" x14ac:dyDescent="0.3">
      <c r="A1527" s="141" t="s">
        <v>3396</v>
      </c>
      <c r="B1527" s="141">
        <v>509152</v>
      </c>
      <c r="C1527" s="141" t="s">
        <v>3397</v>
      </c>
      <c r="D1527" s="141" t="s">
        <v>1609</v>
      </c>
    </row>
    <row r="1528" spans="1:4" x14ac:dyDescent="0.3">
      <c r="A1528" s="141" t="s">
        <v>3398</v>
      </c>
      <c r="B1528" s="141">
        <v>511288</v>
      </c>
      <c r="C1528" s="141" t="s">
        <v>3399</v>
      </c>
      <c r="D1528" s="141" t="s">
        <v>1187</v>
      </c>
    </row>
    <row r="1529" spans="1:4" x14ac:dyDescent="0.3">
      <c r="A1529" s="141" t="s">
        <v>3400</v>
      </c>
      <c r="B1529" s="141">
        <v>511543</v>
      </c>
      <c r="C1529" s="141" t="s">
        <v>1129</v>
      </c>
      <c r="D1529" s="141" t="s">
        <v>1146</v>
      </c>
    </row>
    <row r="1530" spans="1:4" x14ac:dyDescent="0.3">
      <c r="A1530" s="141" t="s">
        <v>3401</v>
      </c>
      <c r="B1530" s="141">
        <v>530605</v>
      </c>
      <c r="C1530" s="141" t="s">
        <v>1129</v>
      </c>
      <c r="D1530" s="141" t="s">
        <v>1144</v>
      </c>
    </row>
    <row r="1531" spans="1:4" x14ac:dyDescent="0.3">
      <c r="A1531" s="141" t="s">
        <v>3402</v>
      </c>
      <c r="B1531" s="141">
        <v>530469</v>
      </c>
      <c r="C1531" s="141" t="s">
        <v>1129</v>
      </c>
      <c r="D1531" s="141" t="s">
        <v>1146</v>
      </c>
    </row>
    <row r="1532" spans="1:4" x14ac:dyDescent="0.3">
      <c r="A1532" s="141" t="s">
        <v>3403</v>
      </c>
      <c r="B1532" s="141">
        <v>532951</v>
      </c>
      <c r="C1532" s="141" t="s">
        <v>3404</v>
      </c>
      <c r="D1532" s="141" t="s">
        <v>1115</v>
      </c>
    </row>
    <row r="1533" spans="1:4" x14ac:dyDescent="0.3">
      <c r="A1533" s="141" t="s">
        <v>3405</v>
      </c>
      <c r="B1533" s="141">
        <v>532139</v>
      </c>
      <c r="C1533" s="141" t="s">
        <v>1129</v>
      </c>
      <c r="D1533" s="141" t="s">
        <v>1459</v>
      </c>
    </row>
    <row r="1534" spans="1:4" x14ac:dyDescent="0.3">
      <c r="A1534" s="141" t="s">
        <v>3406</v>
      </c>
      <c r="B1534" s="141">
        <v>532775</v>
      </c>
      <c r="C1534" s="141" t="s">
        <v>3407</v>
      </c>
      <c r="D1534" s="141" t="s">
        <v>1275</v>
      </c>
    </row>
    <row r="1535" spans="1:4" x14ac:dyDescent="0.3">
      <c r="A1535" s="141" t="s">
        <v>3408</v>
      </c>
      <c r="B1535" s="141">
        <v>500160</v>
      </c>
      <c r="C1535" s="141" t="s">
        <v>3409</v>
      </c>
      <c r="D1535" s="141" t="s">
        <v>2076</v>
      </c>
    </row>
    <row r="1536" spans="1:4" x14ac:dyDescent="0.3">
      <c r="A1536" s="141" t="s">
        <v>3410</v>
      </c>
      <c r="B1536" s="141">
        <v>500170</v>
      </c>
      <c r="C1536" s="141" t="s">
        <v>3411</v>
      </c>
      <c r="D1536" s="141" t="s">
        <v>1144</v>
      </c>
    </row>
    <row r="1537" spans="1:4" x14ac:dyDescent="0.3">
      <c r="A1537" s="141" t="s">
        <v>3412</v>
      </c>
      <c r="B1537" s="141">
        <v>532744</v>
      </c>
      <c r="C1537" s="141" t="s">
        <v>3413</v>
      </c>
      <c r="D1537" s="141" t="s">
        <v>1144</v>
      </c>
    </row>
    <row r="1538" spans="1:4" x14ac:dyDescent="0.3">
      <c r="A1538" s="141" t="s">
        <v>3414</v>
      </c>
      <c r="B1538" s="141">
        <v>540602</v>
      </c>
      <c r="C1538" s="141" t="s">
        <v>3415</v>
      </c>
      <c r="D1538" s="141" t="s">
        <v>2076</v>
      </c>
    </row>
    <row r="1539" spans="1:4" x14ac:dyDescent="0.3">
      <c r="A1539" s="141" t="s">
        <v>3416</v>
      </c>
      <c r="B1539" s="141">
        <v>539479</v>
      </c>
      <c r="C1539" s="141" t="s">
        <v>1129</v>
      </c>
      <c r="D1539" s="141" t="s">
        <v>1137</v>
      </c>
    </row>
    <row r="1540" spans="1:4" x14ac:dyDescent="0.3">
      <c r="A1540" s="141" t="s">
        <v>3417</v>
      </c>
      <c r="B1540" s="141">
        <v>509079</v>
      </c>
      <c r="C1540" s="141" t="s">
        <v>3418</v>
      </c>
      <c r="D1540" s="141" t="s">
        <v>1167</v>
      </c>
    </row>
    <row r="1541" spans="1:4" x14ac:dyDescent="0.3">
      <c r="A1541" s="141" t="s">
        <v>3419</v>
      </c>
      <c r="B1541" s="141">
        <v>530001</v>
      </c>
      <c r="C1541" s="141" t="s">
        <v>3420</v>
      </c>
      <c r="D1541" s="141" t="s">
        <v>1177</v>
      </c>
    </row>
    <row r="1542" spans="1:4" x14ac:dyDescent="0.3">
      <c r="A1542" s="141" t="s">
        <v>3421</v>
      </c>
      <c r="B1542" s="141">
        <v>524226</v>
      </c>
      <c r="C1542" s="141" t="s">
        <v>3422</v>
      </c>
      <c r="D1542" s="141" t="s">
        <v>1327</v>
      </c>
    </row>
    <row r="1543" spans="1:4" x14ac:dyDescent="0.3">
      <c r="A1543" s="141" t="s">
        <v>3423</v>
      </c>
      <c r="B1543" s="141">
        <v>522217</v>
      </c>
      <c r="C1543" s="141" t="s">
        <v>3424</v>
      </c>
      <c r="D1543" s="141" t="s">
        <v>1207</v>
      </c>
    </row>
    <row r="1544" spans="1:4" x14ac:dyDescent="0.3">
      <c r="A1544" s="141" t="s">
        <v>3425</v>
      </c>
      <c r="B1544" s="141">
        <v>523768</v>
      </c>
      <c r="C1544" s="141" t="s">
        <v>1129</v>
      </c>
      <c r="D1544" s="141" t="s">
        <v>1657</v>
      </c>
    </row>
    <row r="1545" spans="1:4" x14ac:dyDescent="0.3">
      <c r="A1545" s="141" t="s">
        <v>3426</v>
      </c>
      <c r="B1545" s="141">
        <v>513507</v>
      </c>
      <c r="C1545" s="141" t="s">
        <v>1129</v>
      </c>
      <c r="D1545" s="141" t="s">
        <v>1452</v>
      </c>
    </row>
    <row r="1546" spans="1:4" x14ac:dyDescent="0.3">
      <c r="A1546" s="141" t="s">
        <v>3427</v>
      </c>
      <c r="B1546" s="141">
        <v>514386</v>
      </c>
      <c r="C1546" s="141" t="s">
        <v>1129</v>
      </c>
      <c r="D1546" s="141" t="s">
        <v>1144</v>
      </c>
    </row>
    <row r="1547" spans="1:4" x14ac:dyDescent="0.3">
      <c r="A1547" s="141" t="s">
        <v>3428</v>
      </c>
      <c r="B1547" s="141">
        <v>526965</v>
      </c>
      <c r="C1547" s="141" t="s">
        <v>1129</v>
      </c>
      <c r="D1547" s="141" t="s">
        <v>1324</v>
      </c>
    </row>
    <row r="1548" spans="1:4" x14ac:dyDescent="0.3">
      <c r="A1548" s="141" t="s">
        <v>3429</v>
      </c>
      <c r="B1548" s="141">
        <v>511441</v>
      </c>
      <c r="C1548" s="141" t="s">
        <v>1129</v>
      </c>
      <c r="D1548" s="141" t="s">
        <v>1112</v>
      </c>
    </row>
    <row r="1549" spans="1:4" x14ac:dyDescent="0.3">
      <c r="A1549" s="141" t="s">
        <v>3430</v>
      </c>
      <c r="B1549" s="141">
        <v>500173</v>
      </c>
      <c r="C1549" s="141" t="s">
        <v>3431</v>
      </c>
      <c r="D1549" s="141" t="s">
        <v>2165</v>
      </c>
    </row>
    <row r="1550" spans="1:4" x14ac:dyDescent="0.3">
      <c r="A1550" s="141" t="s">
        <v>3432</v>
      </c>
      <c r="B1550" s="141">
        <v>531410</v>
      </c>
      <c r="C1550" s="141" t="s">
        <v>1129</v>
      </c>
      <c r="D1550" s="141" t="s">
        <v>1434</v>
      </c>
    </row>
    <row r="1551" spans="1:4" x14ac:dyDescent="0.3">
      <c r="A1551" s="141" t="s">
        <v>3433</v>
      </c>
      <c r="B1551" s="141">
        <v>539336</v>
      </c>
      <c r="C1551" s="141" t="s">
        <v>3434</v>
      </c>
      <c r="D1551" s="141" t="s">
        <v>1260</v>
      </c>
    </row>
    <row r="1552" spans="1:4" x14ac:dyDescent="0.3">
      <c r="A1552" s="141" t="s">
        <v>3435</v>
      </c>
      <c r="B1552" s="141">
        <v>507960</v>
      </c>
      <c r="C1552" s="141" t="s">
        <v>1129</v>
      </c>
      <c r="D1552" s="141" t="s">
        <v>1330</v>
      </c>
    </row>
    <row r="1553" spans="1:4" x14ac:dyDescent="0.3">
      <c r="A1553" s="141" t="s">
        <v>3436</v>
      </c>
      <c r="B1553" s="141">
        <v>540938</v>
      </c>
      <c r="C1553" s="141" t="s">
        <v>1129</v>
      </c>
      <c r="D1553" s="141" t="s">
        <v>1144</v>
      </c>
    </row>
    <row r="1554" spans="1:4" x14ac:dyDescent="0.3">
      <c r="A1554" s="141" t="s">
        <v>3437</v>
      </c>
      <c r="B1554" s="141">
        <v>517300</v>
      </c>
      <c r="C1554" s="141" t="s">
        <v>3438</v>
      </c>
      <c r="D1554" s="141" t="s">
        <v>1268</v>
      </c>
    </row>
    <row r="1555" spans="1:4" x14ac:dyDescent="0.3">
      <c r="A1555" s="141" t="s">
        <v>3439</v>
      </c>
      <c r="B1555" s="141">
        <v>517372</v>
      </c>
      <c r="C1555" s="141" t="s">
        <v>1129</v>
      </c>
      <c r="D1555" s="141" t="s">
        <v>2049</v>
      </c>
    </row>
    <row r="1556" spans="1:4" x14ac:dyDescent="0.3">
      <c r="A1556" s="141" t="s">
        <v>3440</v>
      </c>
      <c r="B1556" s="141">
        <v>531341</v>
      </c>
      <c r="C1556" s="141" t="s">
        <v>1129</v>
      </c>
      <c r="D1556" s="141" t="s">
        <v>1146</v>
      </c>
    </row>
    <row r="1557" spans="1:4" x14ac:dyDescent="0.3">
      <c r="A1557" s="141" t="s">
        <v>3441</v>
      </c>
      <c r="B1557" s="141">
        <v>500174</v>
      </c>
      <c r="C1557" s="141" t="s">
        <v>3442</v>
      </c>
      <c r="D1557" s="141" t="s">
        <v>1146</v>
      </c>
    </row>
    <row r="1558" spans="1:4" x14ac:dyDescent="0.3">
      <c r="A1558" s="141" t="s">
        <v>3443</v>
      </c>
      <c r="B1558" s="141">
        <v>524754</v>
      </c>
      <c r="C1558" s="141" t="s">
        <v>1129</v>
      </c>
      <c r="D1558" s="141" t="s">
        <v>2094</v>
      </c>
    </row>
    <row r="1559" spans="1:4" x14ac:dyDescent="0.3">
      <c r="A1559" s="141" t="s">
        <v>3444</v>
      </c>
      <c r="B1559" s="141">
        <v>531881</v>
      </c>
      <c r="C1559" s="141" t="s">
        <v>1129</v>
      </c>
      <c r="D1559" s="141" t="s">
        <v>1151</v>
      </c>
    </row>
    <row r="1560" spans="1:4" x14ac:dyDescent="0.3">
      <c r="A1560" s="141" t="s">
        <v>3445</v>
      </c>
      <c r="B1560" s="141">
        <v>532181</v>
      </c>
      <c r="C1560" s="141" t="s">
        <v>3446</v>
      </c>
      <c r="D1560" s="141" t="s">
        <v>1807</v>
      </c>
    </row>
    <row r="1561" spans="1:4" x14ac:dyDescent="0.3">
      <c r="A1561" s="141" t="s">
        <v>3447</v>
      </c>
      <c r="B1561" s="141">
        <v>500670</v>
      </c>
      <c r="C1561" s="141" t="s">
        <v>3448</v>
      </c>
      <c r="D1561" s="141" t="s">
        <v>1637</v>
      </c>
    </row>
    <row r="1562" spans="1:4" x14ac:dyDescent="0.3">
      <c r="A1562" s="141" t="s">
        <v>3449</v>
      </c>
      <c r="B1562" s="141">
        <v>513536</v>
      </c>
      <c r="C1562" s="141" t="s">
        <v>1129</v>
      </c>
      <c r="D1562" s="141" t="s">
        <v>1192</v>
      </c>
    </row>
    <row r="1563" spans="1:4" x14ac:dyDescent="0.3">
      <c r="A1563" s="141" t="s">
        <v>3450</v>
      </c>
      <c r="B1563" s="141">
        <v>506858</v>
      </c>
      <c r="C1563" s="141" t="s">
        <v>1129</v>
      </c>
      <c r="D1563" s="141" t="s">
        <v>1506</v>
      </c>
    </row>
    <row r="1564" spans="1:4" x14ac:dyDescent="0.3">
      <c r="A1564" s="141" t="s">
        <v>3451</v>
      </c>
      <c r="B1564" s="141">
        <v>533248</v>
      </c>
      <c r="C1564" s="141" t="s">
        <v>3452</v>
      </c>
      <c r="D1564" s="141" t="s">
        <v>1265</v>
      </c>
    </row>
    <row r="1565" spans="1:4" x14ac:dyDescent="0.3">
      <c r="A1565" s="141" t="s">
        <v>3453</v>
      </c>
      <c r="B1565" s="141">
        <v>517288</v>
      </c>
      <c r="C1565" s="141" t="s">
        <v>1129</v>
      </c>
      <c r="D1565" s="141" t="s">
        <v>1427</v>
      </c>
    </row>
    <row r="1566" spans="1:4" x14ac:dyDescent="0.3">
      <c r="A1566" s="141" t="s">
        <v>3454</v>
      </c>
      <c r="B1566" s="141">
        <v>523836</v>
      </c>
      <c r="C1566" s="141" t="s">
        <v>3455</v>
      </c>
      <c r="D1566" s="141" t="s">
        <v>1324</v>
      </c>
    </row>
    <row r="1567" spans="1:4" x14ac:dyDescent="0.3">
      <c r="A1567" s="141" t="s">
        <v>3456</v>
      </c>
      <c r="B1567" s="141">
        <v>518029</v>
      </c>
      <c r="C1567" s="141" t="s">
        <v>3457</v>
      </c>
      <c r="D1567" s="141" t="s">
        <v>1142</v>
      </c>
    </row>
    <row r="1568" spans="1:4" x14ac:dyDescent="0.3">
      <c r="A1568" s="141" t="s">
        <v>3458</v>
      </c>
      <c r="B1568" s="141">
        <v>500690</v>
      </c>
      <c r="C1568" s="141" t="s">
        <v>3459</v>
      </c>
      <c r="D1568" s="141" t="s">
        <v>1637</v>
      </c>
    </row>
    <row r="1569" spans="1:4" x14ac:dyDescent="0.3">
      <c r="A1569" s="141" t="s">
        <v>3460</v>
      </c>
      <c r="B1569" s="141">
        <v>532160</v>
      </c>
      <c r="C1569" s="141" t="s">
        <v>1129</v>
      </c>
      <c r="D1569" s="141" t="s">
        <v>3461</v>
      </c>
    </row>
    <row r="1570" spans="1:4" x14ac:dyDescent="0.3">
      <c r="A1570" s="141" t="s">
        <v>3462</v>
      </c>
      <c r="B1570" s="141">
        <v>532702</v>
      </c>
      <c r="C1570" s="141" t="s">
        <v>3463</v>
      </c>
      <c r="D1570" s="141" t="s">
        <v>1154</v>
      </c>
    </row>
    <row r="1571" spans="1:4" x14ac:dyDescent="0.3">
      <c r="A1571" s="141" t="s">
        <v>3464</v>
      </c>
      <c r="B1571" s="141">
        <v>524314</v>
      </c>
      <c r="C1571" s="141" t="s">
        <v>1129</v>
      </c>
      <c r="D1571" s="141" t="s">
        <v>1167</v>
      </c>
    </row>
    <row r="1572" spans="1:4" x14ac:dyDescent="0.3">
      <c r="A1572" s="141" t="s">
        <v>3465</v>
      </c>
      <c r="B1572" s="141">
        <v>506879</v>
      </c>
      <c r="C1572" s="141" t="s">
        <v>1129</v>
      </c>
      <c r="D1572" s="141" t="s">
        <v>1167</v>
      </c>
    </row>
    <row r="1573" spans="1:4" x14ac:dyDescent="0.3">
      <c r="A1573" s="141" t="s">
        <v>3466</v>
      </c>
      <c r="B1573" s="141">
        <v>513337</v>
      </c>
      <c r="C1573" s="141" t="s">
        <v>1129</v>
      </c>
      <c r="D1573" s="141" t="s">
        <v>1249</v>
      </c>
    </row>
    <row r="1574" spans="1:4" x14ac:dyDescent="0.3">
      <c r="A1574" s="141" t="s">
        <v>3467</v>
      </c>
      <c r="B1574" s="141">
        <v>506640</v>
      </c>
      <c r="C1574" s="141" t="s">
        <v>1129</v>
      </c>
      <c r="D1574" s="141" t="s">
        <v>1177</v>
      </c>
    </row>
    <row r="1575" spans="1:4" x14ac:dyDescent="0.3">
      <c r="A1575" s="141" t="s">
        <v>3468</v>
      </c>
      <c r="B1575" s="141">
        <v>506640</v>
      </c>
      <c r="C1575" s="141" t="s">
        <v>1129</v>
      </c>
      <c r="D1575" s="141" t="s">
        <v>1177</v>
      </c>
    </row>
    <row r="1576" spans="1:4" x14ac:dyDescent="0.3">
      <c r="A1576" s="141" t="s">
        <v>3469</v>
      </c>
      <c r="B1576" s="141">
        <v>538567</v>
      </c>
      <c r="C1576" s="141" t="s">
        <v>3470</v>
      </c>
      <c r="D1576" s="141" t="s">
        <v>1339</v>
      </c>
    </row>
    <row r="1577" spans="1:4" x14ac:dyDescent="0.3">
      <c r="A1577" s="141" t="s">
        <v>3471</v>
      </c>
      <c r="B1577" s="141">
        <v>538567</v>
      </c>
      <c r="C1577" s="141" t="s">
        <v>3470</v>
      </c>
      <c r="D1577" s="141" t="s">
        <v>1339</v>
      </c>
    </row>
    <row r="1578" spans="1:4" x14ac:dyDescent="0.3">
      <c r="A1578" s="141" t="s">
        <v>3472</v>
      </c>
      <c r="B1578" s="141">
        <v>532425</v>
      </c>
      <c r="C1578" s="141" t="s">
        <v>1129</v>
      </c>
      <c r="D1578" s="141" t="s">
        <v>1177</v>
      </c>
    </row>
    <row r="1579" spans="1:4" x14ac:dyDescent="0.3">
      <c r="A1579" s="141" t="s">
        <v>3473</v>
      </c>
      <c r="B1579" s="141">
        <v>532457</v>
      </c>
      <c r="C1579" s="141" t="s">
        <v>3474</v>
      </c>
      <c r="D1579" s="141" t="s">
        <v>1177</v>
      </c>
    </row>
    <row r="1580" spans="1:4" x14ac:dyDescent="0.3">
      <c r="A1580" s="141" t="s">
        <v>3475</v>
      </c>
      <c r="B1580" s="141">
        <v>523277</v>
      </c>
      <c r="C1580" s="141" t="s">
        <v>1129</v>
      </c>
      <c r="D1580" s="141" t="s">
        <v>1132</v>
      </c>
    </row>
    <row r="1581" spans="1:4" x14ac:dyDescent="0.3">
      <c r="A1581" s="141" t="s">
        <v>3476</v>
      </c>
      <c r="B1581" s="141">
        <v>532708</v>
      </c>
      <c r="C1581" s="141" t="s">
        <v>3477</v>
      </c>
      <c r="D1581" s="141" t="s">
        <v>1268</v>
      </c>
    </row>
    <row r="1582" spans="1:4" x14ac:dyDescent="0.3">
      <c r="A1582" s="141" t="s">
        <v>3478</v>
      </c>
      <c r="B1582" s="141">
        <v>530141</v>
      </c>
      <c r="C1582" s="141" t="s">
        <v>1129</v>
      </c>
      <c r="D1582" s="141" t="s">
        <v>1215</v>
      </c>
    </row>
    <row r="1583" spans="1:4" x14ac:dyDescent="0.3">
      <c r="A1583" s="141" t="s">
        <v>3479</v>
      </c>
      <c r="B1583" s="141">
        <v>533275</v>
      </c>
      <c r="C1583" s="141" t="s">
        <v>3480</v>
      </c>
      <c r="D1583" s="141" t="s">
        <v>1161</v>
      </c>
    </row>
    <row r="1584" spans="1:4" x14ac:dyDescent="0.3">
      <c r="A1584" s="141" t="s">
        <v>3481</v>
      </c>
      <c r="B1584" s="141">
        <v>541019</v>
      </c>
      <c r="C1584" s="141" t="s">
        <v>3482</v>
      </c>
      <c r="D1584" s="141" t="s">
        <v>1527</v>
      </c>
    </row>
    <row r="1585" spans="1:4" x14ac:dyDescent="0.3">
      <c r="A1585" s="141" t="s">
        <v>3483</v>
      </c>
      <c r="B1585" s="141">
        <v>539337</v>
      </c>
      <c r="C1585" s="141" t="s">
        <v>1129</v>
      </c>
      <c r="D1585" s="141" t="s">
        <v>1324</v>
      </c>
    </row>
    <row r="1586" spans="1:4" x14ac:dyDescent="0.3">
      <c r="A1586" s="141" t="s">
        <v>3484</v>
      </c>
      <c r="B1586" s="141">
        <v>502873</v>
      </c>
      <c r="C1586" s="141" t="s">
        <v>1129</v>
      </c>
      <c r="D1586" s="141" t="s">
        <v>1144</v>
      </c>
    </row>
    <row r="1587" spans="1:4" x14ac:dyDescent="0.3">
      <c r="A1587" s="141" t="s">
        <v>3485</v>
      </c>
      <c r="B1587" s="141">
        <v>532145</v>
      </c>
      <c r="C1587" s="141" t="s">
        <v>1129</v>
      </c>
      <c r="D1587" s="141" t="s">
        <v>1330</v>
      </c>
    </row>
    <row r="1588" spans="1:4" x14ac:dyDescent="0.3">
      <c r="A1588" s="141" t="s">
        <v>3486</v>
      </c>
      <c r="B1588" s="141">
        <v>532145</v>
      </c>
      <c r="C1588" s="141" t="s">
        <v>1129</v>
      </c>
      <c r="D1588" s="141" t="s">
        <v>1330</v>
      </c>
    </row>
    <row r="1589" spans="1:4" x14ac:dyDescent="0.3">
      <c r="A1589" s="141" t="s">
        <v>3487</v>
      </c>
      <c r="B1589" s="141">
        <v>539854</v>
      </c>
      <c r="C1589" s="141" t="s">
        <v>1129</v>
      </c>
      <c r="D1589" s="141" t="s">
        <v>1327</v>
      </c>
    </row>
    <row r="1590" spans="1:4" x14ac:dyDescent="0.3">
      <c r="A1590" s="141" t="s">
        <v>3488</v>
      </c>
      <c r="B1590" s="141">
        <v>515147</v>
      </c>
      <c r="C1590" s="141" t="s">
        <v>1129</v>
      </c>
      <c r="D1590" s="141" t="s">
        <v>1324</v>
      </c>
    </row>
    <row r="1591" spans="1:4" x14ac:dyDescent="0.3">
      <c r="A1591" s="141" t="s">
        <v>3489</v>
      </c>
      <c r="B1591" s="141">
        <v>509597</v>
      </c>
      <c r="C1591" s="141" t="s">
        <v>1129</v>
      </c>
      <c r="D1591" s="141" t="s">
        <v>1289</v>
      </c>
    </row>
    <row r="1592" spans="1:4" x14ac:dyDescent="0.3">
      <c r="A1592" s="141" t="s">
        <v>3490</v>
      </c>
      <c r="B1592" s="141">
        <v>531971</v>
      </c>
      <c r="C1592" s="141" t="s">
        <v>1129</v>
      </c>
      <c r="D1592" s="141" t="s">
        <v>1144</v>
      </c>
    </row>
    <row r="1593" spans="1:4" x14ac:dyDescent="0.3">
      <c r="A1593" s="141" t="s">
        <v>3491</v>
      </c>
      <c r="B1593" s="141">
        <v>538081</v>
      </c>
      <c r="C1593" s="141" t="s">
        <v>1129</v>
      </c>
      <c r="D1593" s="141" t="s">
        <v>1144</v>
      </c>
    </row>
    <row r="1594" spans="1:4" x14ac:dyDescent="0.3">
      <c r="A1594" s="141" t="s">
        <v>3492</v>
      </c>
      <c r="B1594" s="141">
        <v>512604</v>
      </c>
      <c r="C1594" s="141" t="s">
        <v>1129</v>
      </c>
      <c r="D1594" s="141" t="s">
        <v>1243</v>
      </c>
    </row>
    <row r="1595" spans="1:4" x14ac:dyDescent="0.3">
      <c r="A1595" s="141" t="s">
        <v>3493</v>
      </c>
      <c r="B1595" s="141">
        <v>542682</v>
      </c>
      <c r="C1595" s="141" t="s">
        <v>3494</v>
      </c>
      <c r="D1595" s="141" t="s">
        <v>1137</v>
      </c>
    </row>
    <row r="1596" spans="1:4" x14ac:dyDescent="0.3">
      <c r="A1596" s="141" t="s">
        <v>3495</v>
      </c>
      <c r="B1596" s="141">
        <v>590043</v>
      </c>
      <c r="C1596" s="141" t="s">
        <v>3496</v>
      </c>
      <c r="D1596" s="141" t="s">
        <v>1484</v>
      </c>
    </row>
    <row r="1597" spans="1:4" x14ac:dyDescent="0.3">
      <c r="A1597" s="141" t="s">
        <v>3497</v>
      </c>
      <c r="B1597" s="141">
        <v>506024</v>
      </c>
      <c r="C1597" s="141" t="s">
        <v>1129</v>
      </c>
      <c r="D1597" s="141" t="s">
        <v>1161</v>
      </c>
    </row>
    <row r="1598" spans="1:4" x14ac:dyDescent="0.3">
      <c r="A1598" s="141" t="s">
        <v>3498</v>
      </c>
      <c r="B1598" s="141">
        <v>526931</v>
      </c>
      <c r="C1598" s="141" t="s">
        <v>1129</v>
      </c>
      <c r="D1598" s="141" t="s">
        <v>1314</v>
      </c>
    </row>
    <row r="1599" spans="1:4" x14ac:dyDescent="0.3">
      <c r="A1599" s="141" t="s">
        <v>3499</v>
      </c>
      <c r="B1599" s="141">
        <v>530055</v>
      </c>
      <c r="C1599" s="141" t="s">
        <v>1129</v>
      </c>
      <c r="D1599" s="141" t="s">
        <v>1550</v>
      </c>
    </row>
    <row r="1600" spans="1:4" x14ac:dyDescent="0.3">
      <c r="A1600" s="141" t="s">
        <v>3500</v>
      </c>
      <c r="B1600" s="141">
        <v>500467</v>
      </c>
      <c r="C1600" s="141" t="s">
        <v>3501</v>
      </c>
      <c r="D1600" s="141" t="s">
        <v>1609</v>
      </c>
    </row>
    <row r="1601" spans="1:4" x14ac:dyDescent="0.3">
      <c r="A1601" s="141" t="s">
        <v>3502</v>
      </c>
      <c r="B1601" s="141">
        <v>532855</v>
      </c>
      <c r="C1601" s="141" t="s">
        <v>1129</v>
      </c>
      <c r="D1601" s="141" t="s">
        <v>1149</v>
      </c>
    </row>
    <row r="1602" spans="1:4" x14ac:dyDescent="0.3">
      <c r="A1602" s="141" t="s">
        <v>3503</v>
      </c>
      <c r="B1602" s="141">
        <v>530927</v>
      </c>
      <c r="C1602" s="141" t="s">
        <v>1129</v>
      </c>
      <c r="D1602" s="141" t="s">
        <v>3461</v>
      </c>
    </row>
    <row r="1603" spans="1:4" x14ac:dyDescent="0.3">
      <c r="A1603" s="141" t="s">
        <v>3504</v>
      </c>
      <c r="B1603" s="141">
        <v>524080</v>
      </c>
      <c r="C1603" s="141" t="s">
        <v>1129</v>
      </c>
      <c r="D1603" s="141" t="s">
        <v>1177</v>
      </c>
    </row>
    <row r="1604" spans="1:4" x14ac:dyDescent="0.3">
      <c r="A1604" s="141" t="s">
        <v>3505</v>
      </c>
      <c r="B1604" s="141">
        <v>780014</v>
      </c>
      <c r="C1604" s="141" t="s">
        <v>1129</v>
      </c>
      <c r="D1604" s="141" t="s">
        <v>1220</v>
      </c>
    </row>
    <row r="1605" spans="1:4" x14ac:dyDescent="0.3">
      <c r="A1605" s="141" t="s">
        <v>3506</v>
      </c>
      <c r="B1605" s="141">
        <v>531387</v>
      </c>
      <c r="C1605" s="141" t="s">
        <v>1129</v>
      </c>
      <c r="D1605" s="141" t="s">
        <v>1146</v>
      </c>
    </row>
    <row r="1606" spans="1:4" x14ac:dyDescent="0.3">
      <c r="A1606" s="141" t="s">
        <v>3507</v>
      </c>
      <c r="B1606" s="141">
        <v>509073</v>
      </c>
      <c r="C1606" s="141" t="s">
        <v>3508</v>
      </c>
      <c r="D1606" s="141" t="s">
        <v>3509</v>
      </c>
    </row>
    <row r="1607" spans="1:4" x14ac:dyDescent="0.3">
      <c r="A1607" s="141" t="s">
        <v>3510</v>
      </c>
      <c r="B1607" s="141">
        <v>533162</v>
      </c>
      <c r="C1607" s="141" t="s">
        <v>3511</v>
      </c>
      <c r="D1607" s="141" t="s">
        <v>1868</v>
      </c>
    </row>
    <row r="1608" spans="1:4" x14ac:dyDescent="0.3">
      <c r="A1608" s="141" t="s">
        <v>3512</v>
      </c>
      <c r="B1608" s="141">
        <v>531531</v>
      </c>
      <c r="C1608" s="141" t="s">
        <v>3513</v>
      </c>
      <c r="D1608" s="141" t="s">
        <v>1189</v>
      </c>
    </row>
    <row r="1609" spans="1:4" x14ac:dyDescent="0.3">
      <c r="A1609" s="141" t="s">
        <v>3514</v>
      </c>
      <c r="B1609" s="141">
        <v>517354</v>
      </c>
      <c r="C1609" s="141" t="s">
        <v>3515</v>
      </c>
      <c r="D1609" s="141" t="s">
        <v>1427</v>
      </c>
    </row>
    <row r="1610" spans="1:4" x14ac:dyDescent="0.3">
      <c r="A1610" s="141" t="s">
        <v>3516</v>
      </c>
      <c r="B1610" s="141">
        <v>517354</v>
      </c>
      <c r="C1610" s="141" t="s">
        <v>3515</v>
      </c>
      <c r="D1610" s="141" t="s">
        <v>1427</v>
      </c>
    </row>
    <row r="1611" spans="1:4" x14ac:dyDescent="0.3">
      <c r="A1611" s="141" t="s">
        <v>3517</v>
      </c>
      <c r="B1611" s="141">
        <v>539176</v>
      </c>
      <c r="C1611" s="141" t="s">
        <v>1129</v>
      </c>
      <c r="D1611" s="141" t="s">
        <v>1137</v>
      </c>
    </row>
    <row r="1612" spans="1:4" x14ac:dyDescent="0.3">
      <c r="A1612" s="141" t="s">
        <v>3518</v>
      </c>
      <c r="B1612" s="141">
        <v>508486</v>
      </c>
      <c r="C1612" s="141" t="s">
        <v>1129</v>
      </c>
      <c r="D1612" s="141" t="s">
        <v>2175</v>
      </c>
    </row>
    <row r="1613" spans="1:4" x14ac:dyDescent="0.3">
      <c r="A1613" s="141" t="s">
        <v>3519</v>
      </c>
      <c r="B1613" s="141">
        <v>532467</v>
      </c>
      <c r="C1613" s="141" t="s">
        <v>1129</v>
      </c>
      <c r="D1613" s="141" t="s">
        <v>1132</v>
      </c>
    </row>
    <row r="1614" spans="1:4" x14ac:dyDescent="0.3">
      <c r="A1614" s="141" t="s">
        <v>3520</v>
      </c>
      <c r="B1614" s="141">
        <v>532334</v>
      </c>
      <c r="C1614" s="141" t="s">
        <v>1129</v>
      </c>
      <c r="D1614" s="141" t="s">
        <v>1215</v>
      </c>
    </row>
    <row r="1615" spans="1:4" x14ac:dyDescent="0.3">
      <c r="A1615" s="141" t="s">
        <v>3521</v>
      </c>
      <c r="B1615" s="141">
        <v>508956</v>
      </c>
      <c r="C1615" s="141" t="s">
        <v>1129</v>
      </c>
      <c r="D1615" s="141" t="s">
        <v>1146</v>
      </c>
    </row>
    <row r="1616" spans="1:4" x14ac:dyDescent="0.3">
      <c r="A1616" s="141" t="s">
        <v>3522</v>
      </c>
      <c r="B1616" s="141">
        <v>532333</v>
      </c>
      <c r="C1616" s="141" t="s">
        <v>1129</v>
      </c>
      <c r="D1616" s="141" t="s">
        <v>1112</v>
      </c>
    </row>
    <row r="1617" spans="1:4" x14ac:dyDescent="0.3">
      <c r="A1617" s="141" t="s">
        <v>3523</v>
      </c>
      <c r="B1617" s="141">
        <v>532216</v>
      </c>
      <c r="C1617" s="141" t="s">
        <v>3524</v>
      </c>
      <c r="D1617" s="141" t="s">
        <v>1146</v>
      </c>
    </row>
    <row r="1618" spans="1:4" x14ac:dyDescent="0.3">
      <c r="A1618" s="141" t="s">
        <v>3525</v>
      </c>
      <c r="B1618" s="141">
        <v>517271</v>
      </c>
      <c r="C1618" s="141" t="s">
        <v>3526</v>
      </c>
      <c r="D1618" s="141" t="s">
        <v>1427</v>
      </c>
    </row>
    <row r="1619" spans="1:4" x14ac:dyDescent="0.3">
      <c r="A1619" s="141" t="s">
        <v>3527</v>
      </c>
      <c r="B1619" s="141">
        <v>539224</v>
      </c>
      <c r="C1619" s="141" t="s">
        <v>1129</v>
      </c>
      <c r="D1619" s="141" t="s">
        <v>1118</v>
      </c>
    </row>
    <row r="1620" spans="1:4" x14ac:dyDescent="0.3">
      <c r="A1620" s="141" t="s">
        <v>3528</v>
      </c>
      <c r="B1620" s="141">
        <v>500179</v>
      </c>
      <c r="C1620" s="141" t="s">
        <v>3529</v>
      </c>
      <c r="D1620" s="141" t="s">
        <v>1454</v>
      </c>
    </row>
    <row r="1621" spans="1:4" x14ac:dyDescent="0.3">
      <c r="A1621" s="141" t="s">
        <v>3530</v>
      </c>
      <c r="B1621" s="141">
        <v>532281</v>
      </c>
      <c r="C1621" s="141" t="s">
        <v>3531</v>
      </c>
      <c r="D1621" s="141" t="s">
        <v>1115</v>
      </c>
    </row>
    <row r="1622" spans="1:4" x14ac:dyDescent="0.3">
      <c r="A1622" s="141" t="s">
        <v>3532</v>
      </c>
      <c r="B1622" s="141">
        <v>541729</v>
      </c>
      <c r="C1622" s="141" t="s">
        <v>3533</v>
      </c>
      <c r="D1622" s="141" t="s">
        <v>3534</v>
      </c>
    </row>
    <row r="1623" spans="1:4" x14ac:dyDescent="0.3">
      <c r="A1623" s="141" t="s">
        <v>3535</v>
      </c>
      <c r="B1623" s="141">
        <v>500180</v>
      </c>
      <c r="C1623" s="141" t="s">
        <v>3536</v>
      </c>
      <c r="D1623" s="141" t="s">
        <v>1447</v>
      </c>
    </row>
    <row r="1624" spans="1:4" x14ac:dyDescent="0.3">
      <c r="A1624" s="141" t="s">
        <v>3537</v>
      </c>
      <c r="B1624" s="141">
        <v>533230</v>
      </c>
      <c r="C1624" s="141" t="s">
        <v>3538</v>
      </c>
      <c r="D1624" s="141" t="s">
        <v>1112</v>
      </c>
    </row>
    <row r="1625" spans="1:4" x14ac:dyDescent="0.3">
      <c r="A1625" s="141" t="s">
        <v>3539</v>
      </c>
      <c r="B1625" s="141">
        <v>540777</v>
      </c>
      <c r="C1625" s="141" t="s">
        <v>3540</v>
      </c>
      <c r="D1625" s="141" t="s">
        <v>3541</v>
      </c>
    </row>
    <row r="1626" spans="1:4" x14ac:dyDescent="0.3">
      <c r="A1626" s="141" t="s">
        <v>3542</v>
      </c>
      <c r="B1626" s="141">
        <v>539787</v>
      </c>
      <c r="C1626" s="141" t="s">
        <v>3543</v>
      </c>
      <c r="D1626" s="141" t="s">
        <v>1599</v>
      </c>
    </row>
    <row r="1627" spans="1:4" x14ac:dyDescent="0.3">
      <c r="A1627" s="141" t="s">
        <v>3544</v>
      </c>
      <c r="B1627" s="141">
        <v>503689</v>
      </c>
      <c r="C1627" s="141" t="s">
        <v>1129</v>
      </c>
      <c r="D1627" s="141" t="s">
        <v>1550</v>
      </c>
    </row>
    <row r="1628" spans="1:4" x14ac:dyDescent="0.3">
      <c r="A1628" s="141" t="s">
        <v>3545</v>
      </c>
      <c r="B1628" s="141" t="s">
        <v>1129</v>
      </c>
      <c r="C1628" s="141" t="s">
        <v>3546</v>
      </c>
      <c r="D1628" s="141" t="s">
        <v>1140</v>
      </c>
    </row>
    <row r="1629" spans="1:4" x14ac:dyDescent="0.3">
      <c r="A1629" s="141" t="s">
        <v>3547</v>
      </c>
      <c r="B1629" s="141">
        <v>526967</v>
      </c>
      <c r="C1629" s="141" t="s">
        <v>1129</v>
      </c>
      <c r="D1629" s="141" t="s">
        <v>1161</v>
      </c>
    </row>
    <row r="1630" spans="1:4" x14ac:dyDescent="0.3">
      <c r="A1630" s="141" t="s">
        <v>3548</v>
      </c>
      <c r="B1630" s="141">
        <v>509631</v>
      </c>
      <c r="C1630" s="141" t="s">
        <v>3549</v>
      </c>
      <c r="D1630" s="141" t="s">
        <v>1314</v>
      </c>
    </row>
    <row r="1631" spans="1:4" x14ac:dyDescent="0.3">
      <c r="A1631" s="141" t="s">
        <v>3550</v>
      </c>
      <c r="B1631" s="141">
        <v>500292</v>
      </c>
      <c r="C1631" s="141" t="s">
        <v>3551</v>
      </c>
      <c r="D1631" s="141" t="s">
        <v>1142</v>
      </c>
    </row>
    <row r="1632" spans="1:4" x14ac:dyDescent="0.3">
      <c r="A1632" s="141" t="s">
        <v>3552</v>
      </c>
      <c r="B1632" s="141">
        <v>500292</v>
      </c>
      <c r="C1632" s="141" t="s">
        <v>3551</v>
      </c>
      <c r="D1632" s="141" t="s">
        <v>1142</v>
      </c>
    </row>
    <row r="1633" spans="1:4" x14ac:dyDescent="0.3">
      <c r="A1633" s="141" t="s">
        <v>3553</v>
      </c>
      <c r="B1633" s="141">
        <v>539174</v>
      </c>
      <c r="C1633" s="141" t="s">
        <v>3554</v>
      </c>
      <c r="D1633" s="141" t="s">
        <v>1146</v>
      </c>
    </row>
    <row r="1634" spans="1:4" x14ac:dyDescent="0.3">
      <c r="A1634" s="141" t="s">
        <v>3555</v>
      </c>
      <c r="B1634" s="141">
        <v>505520</v>
      </c>
      <c r="C1634" s="141" t="s">
        <v>1129</v>
      </c>
      <c r="D1634" s="141" t="s">
        <v>1550</v>
      </c>
    </row>
    <row r="1635" spans="1:4" x14ac:dyDescent="0.3">
      <c r="A1635" s="141" t="s">
        <v>3556</v>
      </c>
      <c r="B1635" s="141">
        <v>531178</v>
      </c>
      <c r="C1635" s="141" t="s">
        <v>1129</v>
      </c>
      <c r="D1635" s="141" t="s">
        <v>1151</v>
      </c>
    </row>
    <row r="1636" spans="1:4" x14ac:dyDescent="0.3">
      <c r="A1636" s="141" t="s">
        <v>3557</v>
      </c>
      <c r="B1636" s="141">
        <v>524590</v>
      </c>
      <c r="C1636" s="141" t="s">
        <v>1129</v>
      </c>
      <c r="D1636" s="141" t="s">
        <v>1151</v>
      </c>
    </row>
    <row r="1637" spans="1:4" x14ac:dyDescent="0.3">
      <c r="A1637" s="141" t="s">
        <v>3558</v>
      </c>
      <c r="B1637" s="141">
        <v>505720</v>
      </c>
      <c r="C1637" s="141" t="s">
        <v>3559</v>
      </c>
      <c r="D1637" s="141" t="s">
        <v>1137</v>
      </c>
    </row>
    <row r="1638" spans="1:4" x14ac:dyDescent="0.3">
      <c r="A1638" s="141" t="s">
        <v>3560</v>
      </c>
      <c r="B1638" s="141">
        <v>519552</v>
      </c>
      <c r="C1638" s="141" t="s">
        <v>3561</v>
      </c>
      <c r="D1638" s="141" t="s">
        <v>1189</v>
      </c>
    </row>
    <row r="1639" spans="1:4" x14ac:dyDescent="0.3">
      <c r="A1639" s="141" t="s">
        <v>3562</v>
      </c>
      <c r="B1639" s="141">
        <v>500182</v>
      </c>
      <c r="C1639" s="141" t="s">
        <v>3563</v>
      </c>
      <c r="D1639" s="141" t="s">
        <v>1787</v>
      </c>
    </row>
    <row r="1640" spans="1:4" x14ac:dyDescent="0.3">
      <c r="A1640" s="141" t="s">
        <v>3564</v>
      </c>
      <c r="B1640" s="141">
        <v>524669</v>
      </c>
      <c r="C1640" s="141" t="s">
        <v>3565</v>
      </c>
      <c r="D1640" s="141" t="s">
        <v>1167</v>
      </c>
    </row>
    <row r="1641" spans="1:4" x14ac:dyDescent="0.3">
      <c r="A1641" s="141" t="s">
        <v>3566</v>
      </c>
      <c r="B1641" s="141">
        <v>534328</v>
      </c>
      <c r="C1641" s="141" t="s">
        <v>3567</v>
      </c>
      <c r="D1641" s="141" t="s">
        <v>1151</v>
      </c>
    </row>
    <row r="1642" spans="1:4" x14ac:dyDescent="0.3">
      <c r="A1642" s="141" t="s">
        <v>3568</v>
      </c>
      <c r="B1642" s="141">
        <v>532129</v>
      </c>
      <c r="C1642" s="141" t="s">
        <v>3569</v>
      </c>
      <c r="D1642" s="141" t="s">
        <v>1115</v>
      </c>
    </row>
    <row r="1643" spans="1:4" x14ac:dyDescent="0.3">
      <c r="A1643" s="141" t="s">
        <v>3570</v>
      </c>
      <c r="B1643" s="141">
        <v>504176</v>
      </c>
      <c r="C1643" s="141" t="s">
        <v>1129</v>
      </c>
      <c r="D1643" s="141" t="s">
        <v>1675</v>
      </c>
    </row>
    <row r="1644" spans="1:4" x14ac:dyDescent="0.3">
      <c r="A1644" s="141" t="s">
        <v>3571</v>
      </c>
      <c r="B1644" s="141">
        <v>504176</v>
      </c>
      <c r="C1644" s="141" t="s">
        <v>1129</v>
      </c>
      <c r="D1644" s="141" t="s">
        <v>1675</v>
      </c>
    </row>
    <row r="1645" spans="1:4" x14ac:dyDescent="0.3">
      <c r="A1645" s="141" t="s">
        <v>3572</v>
      </c>
      <c r="B1645" s="141">
        <v>517080</v>
      </c>
      <c r="C1645" s="141" t="s">
        <v>3573</v>
      </c>
      <c r="D1645" s="141" t="s">
        <v>1527</v>
      </c>
    </row>
    <row r="1646" spans="1:4" x14ac:dyDescent="0.3">
      <c r="A1646" s="141" t="s">
        <v>3574</v>
      </c>
      <c r="B1646" s="141">
        <v>531301</v>
      </c>
      <c r="C1646" s="141" t="s">
        <v>1129</v>
      </c>
      <c r="D1646" s="141" t="s">
        <v>1144</v>
      </c>
    </row>
    <row r="1647" spans="1:4" x14ac:dyDescent="0.3">
      <c r="A1647" s="141" t="s">
        <v>3575</v>
      </c>
      <c r="B1647" s="141">
        <v>524735</v>
      </c>
      <c r="C1647" s="141" t="s">
        <v>3576</v>
      </c>
      <c r="D1647" s="141" t="s">
        <v>1167</v>
      </c>
    </row>
    <row r="1648" spans="1:4" x14ac:dyDescent="0.3">
      <c r="A1648" s="141" t="s">
        <v>3577</v>
      </c>
      <c r="B1648" s="141">
        <v>542332</v>
      </c>
      <c r="C1648" s="141" t="s">
        <v>3578</v>
      </c>
      <c r="D1648" s="141" t="s">
        <v>1112</v>
      </c>
    </row>
    <row r="1649" spans="1:4" x14ac:dyDescent="0.3">
      <c r="A1649" s="141" t="s">
        <v>3579</v>
      </c>
      <c r="B1649" s="141">
        <v>509675</v>
      </c>
      <c r="C1649" s="141" t="s">
        <v>3580</v>
      </c>
      <c r="D1649" s="141" t="s">
        <v>1142</v>
      </c>
    </row>
    <row r="1650" spans="1:4" x14ac:dyDescent="0.3">
      <c r="A1650" s="141" t="s">
        <v>3581</v>
      </c>
      <c r="B1650" s="141">
        <v>532847</v>
      </c>
      <c r="C1650" s="141" t="s">
        <v>3582</v>
      </c>
      <c r="D1650" s="141" t="s">
        <v>2049</v>
      </c>
    </row>
    <row r="1651" spans="1:4" x14ac:dyDescent="0.3">
      <c r="A1651" s="141" t="s">
        <v>3583</v>
      </c>
      <c r="B1651" s="141">
        <v>505712</v>
      </c>
      <c r="C1651" s="141" t="s">
        <v>1129</v>
      </c>
      <c r="D1651" s="141" t="s">
        <v>1484</v>
      </c>
    </row>
    <row r="1652" spans="1:4" x14ac:dyDescent="0.3">
      <c r="A1652" s="141" t="s">
        <v>3584</v>
      </c>
      <c r="B1652" s="141">
        <v>514010</v>
      </c>
      <c r="C1652" s="141" t="s">
        <v>1129</v>
      </c>
      <c r="D1652" s="141" t="s">
        <v>1144</v>
      </c>
    </row>
    <row r="1653" spans="1:4" x14ac:dyDescent="0.3">
      <c r="A1653" s="141" t="s">
        <v>3585</v>
      </c>
      <c r="B1653" s="141">
        <v>500183</v>
      </c>
      <c r="C1653" s="141" t="s">
        <v>3586</v>
      </c>
      <c r="D1653" s="141" t="s">
        <v>1399</v>
      </c>
    </row>
    <row r="1654" spans="1:4" x14ac:dyDescent="0.3">
      <c r="A1654" s="141" t="s">
        <v>3587</v>
      </c>
      <c r="B1654" s="141">
        <v>500184</v>
      </c>
      <c r="C1654" s="141" t="s">
        <v>3588</v>
      </c>
      <c r="D1654" s="141" t="s">
        <v>1289</v>
      </c>
    </row>
    <row r="1655" spans="1:4" x14ac:dyDescent="0.3">
      <c r="A1655" s="141" t="s">
        <v>3589</v>
      </c>
      <c r="B1655" s="141">
        <v>526899</v>
      </c>
      <c r="C1655" s="141" t="s">
        <v>1129</v>
      </c>
      <c r="D1655" s="141" t="s">
        <v>1327</v>
      </c>
    </row>
    <row r="1656" spans="1:4" x14ac:dyDescent="0.3">
      <c r="A1656" s="141" t="s">
        <v>3590</v>
      </c>
      <c r="B1656" s="141">
        <v>513723</v>
      </c>
      <c r="C1656" s="141" t="s">
        <v>1129</v>
      </c>
      <c r="D1656" s="141" t="s">
        <v>1657</v>
      </c>
    </row>
    <row r="1657" spans="1:4" x14ac:dyDescent="0.3">
      <c r="A1657" s="141" t="s">
        <v>3591</v>
      </c>
      <c r="B1657" s="141">
        <v>511169</v>
      </c>
      <c r="C1657" s="141" t="s">
        <v>1129</v>
      </c>
      <c r="D1657" s="141" t="s">
        <v>1146</v>
      </c>
    </row>
    <row r="1658" spans="1:4" x14ac:dyDescent="0.3">
      <c r="A1658" s="141" t="s">
        <v>3592</v>
      </c>
      <c r="B1658" s="141">
        <v>514043</v>
      </c>
      <c r="C1658" s="141" t="s">
        <v>3593</v>
      </c>
      <c r="D1658" s="141" t="s">
        <v>1144</v>
      </c>
    </row>
    <row r="1659" spans="1:4" x14ac:dyDescent="0.3">
      <c r="A1659" s="141" t="s">
        <v>3594</v>
      </c>
      <c r="B1659" s="141">
        <v>531979</v>
      </c>
      <c r="C1659" s="141" t="s">
        <v>1129</v>
      </c>
      <c r="D1659" s="141" t="s">
        <v>1434</v>
      </c>
    </row>
    <row r="1660" spans="1:4" x14ac:dyDescent="0.3">
      <c r="A1660" s="141" t="s">
        <v>3595</v>
      </c>
      <c r="B1660" s="141">
        <v>538652</v>
      </c>
      <c r="C1660" s="141" t="s">
        <v>1129</v>
      </c>
      <c r="D1660" s="141" t="s">
        <v>1151</v>
      </c>
    </row>
    <row r="1661" spans="1:4" x14ac:dyDescent="0.3">
      <c r="A1661" s="141" t="s">
        <v>3596</v>
      </c>
      <c r="B1661" s="141">
        <v>504036</v>
      </c>
      <c r="C1661" s="141" t="s">
        <v>3597</v>
      </c>
      <c r="D1661" s="141" t="s">
        <v>1671</v>
      </c>
    </row>
    <row r="1662" spans="1:4" x14ac:dyDescent="0.3">
      <c r="A1662" s="141" t="s">
        <v>3598</v>
      </c>
      <c r="B1662" s="141">
        <v>539114</v>
      </c>
      <c r="C1662" s="141" t="s">
        <v>1129</v>
      </c>
      <c r="D1662" s="141" t="s">
        <v>1146</v>
      </c>
    </row>
    <row r="1663" spans="1:4" x14ac:dyDescent="0.3">
      <c r="A1663" s="141" t="s">
        <v>3599</v>
      </c>
      <c r="B1663" s="141">
        <v>503881</v>
      </c>
      <c r="C1663" s="141" t="s">
        <v>3600</v>
      </c>
      <c r="D1663" s="141" t="s">
        <v>1144</v>
      </c>
    </row>
    <row r="1664" spans="1:4" x14ac:dyDescent="0.3">
      <c r="A1664" s="141" t="s">
        <v>3601</v>
      </c>
      <c r="B1664" s="141">
        <v>500440</v>
      </c>
      <c r="C1664" s="141" t="s">
        <v>3602</v>
      </c>
      <c r="D1664" s="141" t="s">
        <v>1434</v>
      </c>
    </row>
    <row r="1665" spans="1:4" x14ac:dyDescent="0.3">
      <c r="A1665" s="141" t="s">
        <v>3603</v>
      </c>
      <c r="B1665" s="141" t="s">
        <v>1129</v>
      </c>
      <c r="C1665" s="141" t="s">
        <v>3604</v>
      </c>
      <c r="D1665" s="141" t="s">
        <v>1140</v>
      </c>
    </row>
    <row r="1666" spans="1:4" x14ac:dyDescent="0.3">
      <c r="A1666" s="141" t="s">
        <v>3605</v>
      </c>
      <c r="B1666" s="141">
        <v>509895</v>
      </c>
      <c r="C1666" s="141" t="s">
        <v>1129</v>
      </c>
      <c r="D1666" s="141" t="s">
        <v>1144</v>
      </c>
    </row>
    <row r="1667" spans="1:4" x14ac:dyDescent="0.3">
      <c r="A1667" s="141" t="s">
        <v>3606</v>
      </c>
      <c r="B1667" s="141">
        <v>532859</v>
      </c>
      <c r="C1667" s="141" t="s">
        <v>3607</v>
      </c>
      <c r="D1667" s="141" t="s">
        <v>1459</v>
      </c>
    </row>
    <row r="1668" spans="1:4" x14ac:dyDescent="0.3">
      <c r="A1668" s="141" t="s">
        <v>3608</v>
      </c>
      <c r="B1668" s="141">
        <v>500189</v>
      </c>
      <c r="C1668" s="141" t="s">
        <v>3609</v>
      </c>
      <c r="D1668" s="141" t="s">
        <v>1868</v>
      </c>
    </row>
    <row r="1669" spans="1:4" x14ac:dyDescent="0.3">
      <c r="A1669" s="141" t="s">
        <v>3610</v>
      </c>
      <c r="B1669" s="141">
        <v>514428</v>
      </c>
      <c r="C1669" s="141" t="s">
        <v>1129</v>
      </c>
      <c r="D1669" s="141" t="s">
        <v>1249</v>
      </c>
    </row>
    <row r="1670" spans="1:4" x14ac:dyDescent="0.3">
      <c r="A1670" s="141" t="s">
        <v>3611</v>
      </c>
      <c r="B1670" s="141">
        <v>541154</v>
      </c>
      <c r="C1670" s="141" t="s">
        <v>3612</v>
      </c>
      <c r="D1670" s="141" t="s">
        <v>3613</v>
      </c>
    </row>
    <row r="1671" spans="1:4" x14ac:dyDescent="0.3">
      <c r="A1671" s="141" t="s">
        <v>3614</v>
      </c>
      <c r="B1671" s="141">
        <v>531918</v>
      </c>
      <c r="C1671" s="141" t="s">
        <v>1129</v>
      </c>
      <c r="D1671" s="141" t="s">
        <v>1151</v>
      </c>
    </row>
    <row r="1672" spans="1:4" x14ac:dyDescent="0.3">
      <c r="A1672" s="141" t="s">
        <v>3615</v>
      </c>
      <c r="B1672" s="141">
        <v>532041</v>
      </c>
      <c r="C1672" s="141" t="s">
        <v>3616</v>
      </c>
      <c r="D1672" s="141" t="s">
        <v>1222</v>
      </c>
    </row>
    <row r="1673" spans="1:4" x14ac:dyDescent="0.3">
      <c r="A1673" s="141" t="s">
        <v>3617</v>
      </c>
      <c r="B1673" s="141">
        <v>509635</v>
      </c>
      <c r="C1673" s="141" t="s">
        <v>3618</v>
      </c>
      <c r="D1673" s="141" t="s">
        <v>1484</v>
      </c>
    </row>
    <row r="1674" spans="1:4" x14ac:dyDescent="0.3">
      <c r="A1674" s="141" t="s">
        <v>3619</v>
      </c>
      <c r="B1674" s="141">
        <v>500185</v>
      </c>
      <c r="C1674" s="141" t="s">
        <v>3620</v>
      </c>
      <c r="D1674" s="141" t="s">
        <v>1527</v>
      </c>
    </row>
    <row r="1675" spans="1:4" x14ac:dyDescent="0.3">
      <c r="A1675" s="141" t="s">
        <v>3621</v>
      </c>
      <c r="B1675" s="141">
        <v>513599</v>
      </c>
      <c r="C1675" s="141" t="s">
        <v>3622</v>
      </c>
      <c r="D1675" s="141" t="s">
        <v>1203</v>
      </c>
    </row>
    <row r="1676" spans="1:4" x14ac:dyDescent="0.3">
      <c r="A1676" s="141" t="s">
        <v>3623</v>
      </c>
      <c r="B1676" s="141">
        <v>505725</v>
      </c>
      <c r="C1676" s="141" t="s">
        <v>3624</v>
      </c>
      <c r="D1676" s="141" t="s">
        <v>1314</v>
      </c>
    </row>
    <row r="1677" spans="1:4" x14ac:dyDescent="0.3">
      <c r="A1677" s="141" t="s">
        <v>3625</v>
      </c>
      <c r="B1677" s="141">
        <v>524013</v>
      </c>
      <c r="C1677" s="141" t="s">
        <v>1129</v>
      </c>
      <c r="D1677" s="141" t="s">
        <v>1506</v>
      </c>
    </row>
    <row r="1678" spans="1:4" x14ac:dyDescent="0.3">
      <c r="A1678" s="141" t="s">
        <v>3626</v>
      </c>
      <c r="B1678" s="141">
        <v>519126</v>
      </c>
      <c r="C1678" s="141" t="s">
        <v>1129</v>
      </c>
      <c r="D1678" s="141" t="s">
        <v>1189</v>
      </c>
    </row>
    <row r="1679" spans="1:4" x14ac:dyDescent="0.3">
      <c r="A1679" s="141" t="s">
        <v>3627</v>
      </c>
      <c r="B1679" s="141">
        <v>505893</v>
      </c>
      <c r="C1679" s="141" t="s">
        <v>1129</v>
      </c>
      <c r="D1679" s="141" t="s">
        <v>1484</v>
      </c>
    </row>
    <row r="1680" spans="1:4" x14ac:dyDescent="0.3">
      <c r="A1680" s="141" t="s">
        <v>3628</v>
      </c>
      <c r="B1680" s="141">
        <v>509650</v>
      </c>
      <c r="C1680" s="141" t="s">
        <v>1129</v>
      </c>
      <c r="D1680" s="141" t="s">
        <v>1187</v>
      </c>
    </row>
    <row r="1681" spans="1:4" x14ac:dyDescent="0.3">
      <c r="A1681" s="141" t="s">
        <v>3629</v>
      </c>
      <c r="B1681" s="141">
        <v>533217</v>
      </c>
      <c r="C1681" s="141" t="s">
        <v>3630</v>
      </c>
      <c r="D1681" s="141" t="s">
        <v>1653</v>
      </c>
    </row>
    <row r="1682" spans="1:4" x14ac:dyDescent="0.3">
      <c r="A1682" s="141" t="s">
        <v>3631</v>
      </c>
      <c r="B1682" s="141">
        <v>500500</v>
      </c>
      <c r="C1682" s="141" t="s">
        <v>3632</v>
      </c>
      <c r="D1682" s="141" t="s">
        <v>3059</v>
      </c>
    </row>
    <row r="1683" spans="1:4" x14ac:dyDescent="0.3">
      <c r="A1683" s="141" t="s">
        <v>3633</v>
      </c>
      <c r="B1683" s="141">
        <v>500186</v>
      </c>
      <c r="C1683" s="141" t="s">
        <v>3634</v>
      </c>
      <c r="D1683" s="141" t="s">
        <v>1192</v>
      </c>
    </row>
    <row r="1684" spans="1:4" x14ac:dyDescent="0.3">
      <c r="A1684" s="141" t="s">
        <v>3635</v>
      </c>
      <c r="B1684" s="141">
        <v>500449</v>
      </c>
      <c r="C1684" s="141" t="s">
        <v>1129</v>
      </c>
      <c r="D1684" s="141" t="s">
        <v>1177</v>
      </c>
    </row>
    <row r="1685" spans="1:4" x14ac:dyDescent="0.3">
      <c r="A1685" s="141" t="s">
        <v>3636</v>
      </c>
      <c r="B1685" s="141">
        <v>500104</v>
      </c>
      <c r="C1685" s="141" t="s">
        <v>3637</v>
      </c>
      <c r="D1685" s="141" t="s">
        <v>2058</v>
      </c>
    </row>
    <row r="1686" spans="1:4" x14ac:dyDescent="0.3">
      <c r="A1686" s="141" t="s">
        <v>3638</v>
      </c>
      <c r="B1686" s="141">
        <v>530315</v>
      </c>
      <c r="C1686" s="141" t="s">
        <v>1129</v>
      </c>
      <c r="D1686" s="141" t="s">
        <v>1324</v>
      </c>
    </row>
    <row r="1687" spans="1:4" x14ac:dyDescent="0.3">
      <c r="A1687" s="141" t="s">
        <v>3639</v>
      </c>
      <c r="B1687" s="141">
        <v>500696</v>
      </c>
      <c r="C1687" s="141" t="s">
        <v>3640</v>
      </c>
      <c r="D1687" s="141" t="s">
        <v>1311</v>
      </c>
    </row>
    <row r="1688" spans="1:4" x14ac:dyDescent="0.3">
      <c r="A1688" s="141" t="s">
        <v>3641</v>
      </c>
      <c r="B1688" s="141">
        <v>504713</v>
      </c>
      <c r="C1688" s="141" t="s">
        <v>1129</v>
      </c>
      <c r="D1688" s="141" t="s">
        <v>2049</v>
      </c>
    </row>
    <row r="1689" spans="1:4" x14ac:dyDescent="0.3">
      <c r="A1689" s="141" t="s">
        <v>3642</v>
      </c>
      <c r="B1689" s="141">
        <v>500188</v>
      </c>
      <c r="C1689" s="141" t="s">
        <v>3643</v>
      </c>
      <c r="D1689" s="141" t="s">
        <v>3644</v>
      </c>
    </row>
    <row r="1690" spans="1:4" x14ac:dyDescent="0.3">
      <c r="A1690" s="141" t="s">
        <v>3645</v>
      </c>
      <c r="B1690" s="141">
        <v>515145</v>
      </c>
      <c r="C1690" s="141" t="s">
        <v>3646</v>
      </c>
      <c r="D1690" s="141" t="s">
        <v>1324</v>
      </c>
    </row>
    <row r="1691" spans="1:4" x14ac:dyDescent="0.3">
      <c r="A1691" s="141" t="s">
        <v>3647</v>
      </c>
      <c r="B1691" s="141">
        <v>513039</v>
      </c>
      <c r="C1691" s="141" t="s">
        <v>1129</v>
      </c>
      <c r="D1691" s="141" t="s">
        <v>1137</v>
      </c>
    </row>
    <row r="1692" spans="1:4" x14ac:dyDescent="0.3">
      <c r="A1692" s="141" t="s">
        <v>3648</v>
      </c>
      <c r="B1692" s="141">
        <v>539984</v>
      </c>
      <c r="C1692" s="141" t="s">
        <v>1129</v>
      </c>
      <c r="D1692" s="141" t="s">
        <v>1671</v>
      </c>
    </row>
    <row r="1693" spans="1:4" x14ac:dyDescent="0.3">
      <c r="A1693" s="141" t="s">
        <v>3649</v>
      </c>
      <c r="B1693" s="141">
        <v>530853</v>
      </c>
      <c r="C1693" s="141" t="s">
        <v>1129</v>
      </c>
      <c r="D1693" s="141" t="s">
        <v>2948</v>
      </c>
    </row>
    <row r="1694" spans="1:4" x14ac:dyDescent="0.3">
      <c r="A1694" s="141" t="s">
        <v>3650</v>
      </c>
      <c r="B1694" s="141">
        <v>531743</v>
      </c>
      <c r="C1694" s="141" t="s">
        <v>1129</v>
      </c>
      <c r="D1694" s="141" t="s">
        <v>1151</v>
      </c>
    </row>
    <row r="1695" spans="1:4" x14ac:dyDescent="0.3">
      <c r="A1695" s="141" t="s">
        <v>3651</v>
      </c>
      <c r="B1695" s="141">
        <v>590018</v>
      </c>
      <c r="C1695" s="141" t="s">
        <v>3652</v>
      </c>
      <c r="D1695" s="141" t="s">
        <v>1161</v>
      </c>
    </row>
    <row r="1696" spans="1:4" x14ac:dyDescent="0.3">
      <c r="A1696" s="141" t="s">
        <v>3653</v>
      </c>
      <c r="B1696" s="141">
        <v>521068</v>
      </c>
      <c r="C1696" s="141" t="s">
        <v>1129</v>
      </c>
      <c r="D1696" s="141" t="s">
        <v>1144</v>
      </c>
    </row>
    <row r="1697" spans="1:4" x14ac:dyDescent="0.3">
      <c r="A1697" s="141" t="s">
        <v>3654</v>
      </c>
      <c r="B1697" s="141">
        <v>532359</v>
      </c>
      <c r="C1697" s="141" t="s">
        <v>1129</v>
      </c>
      <c r="D1697" s="141" t="s">
        <v>1222</v>
      </c>
    </row>
    <row r="1698" spans="1:4" x14ac:dyDescent="0.3">
      <c r="A1698" s="141" t="s">
        <v>3655</v>
      </c>
      <c r="B1698" s="141">
        <v>526217</v>
      </c>
      <c r="C1698" s="141" t="s">
        <v>3656</v>
      </c>
      <c r="D1698" s="141" t="s">
        <v>1324</v>
      </c>
    </row>
    <row r="1699" spans="1:4" x14ac:dyDescent="0.3">
      <c r="A1699" s="141" t="s">
        <v>3657</v>
      </c>
      <c r="B1699" s="141" t="s">
        <v>1129</v>
      </c>
      <c r="C1699" s="141" t="s">
        <v>3658</v>
      </c>
      <c r="D1699" s="141" t="s">
        <v>1220</v>
      </c>
    </row>
    <row r="1700" spans="1:4" x14ac:dyDescent="0.3">
      <c r="A1700" s="141" t="s">
        <v>3659</v>
      </c>
      <c r="B1700" s="141">
        <v>541627</v>
      </c>
      <c r="C1700" s="141" t="s">
        <v>3660</v>
      </c>
      <c r="D1700" s="141" t="s">
        <v>2498</v>
      </c>
    </row>
    <row r="1701" spans="1:4" x14ac:dyDescent="0.3">
      <c r="A1701" s="141" t="s">
        <v>3661</v>
      </c>
      <c r="B1701" s="141">
        <v>531661</v>
      </c>
      <c r="C1701" s="141" t="s">
        <v>1129</v>
      </c>
      <c r="D1701" s="141" t="s">
        <v>1137</v>
      </c>
    </row>
    <row r="1702" spans="1:4" x14ac:dyDescent="0.3">
      <c r="A1702" s="141" t="s">
        <v>3662</v>
      </c>
      <c r="B1702" s="141">
        <v>500191</v>
      </c>
      <c r="C1702" s="141" t="s">
        <v>3663</v>
      </c>
      <c r="D1702" s="141" t="s">
        <v>1207</v>
      </c>
    </row>
    <row r="1703" spans="1:4" x14ac:dyDescent="0.3">
      <c r="A1703" s="141" t="s">
        <v>3664</v>
      </c>
      <c r="B1703" s="141">
        <v>522064</v>
      </c>
      <c r="C1703" s="141" t="s">
        <v>3665</v>
      </c>
      <c r="D1703" s="141" t="s">
        <v>1137</v>
      </c>
    </row>
    <row r="1704" spans="1:4" x14ac:dyDescent="0.3">
      <c r="A1704" s="141" t="s">
        <v>3666</v>
      </c>
      <c r="B1704" s="141">
        <v>517174</v>
      </c>
      <c r="C1704" s="141" t="s">
        <v>3667</v>
      </c>
      <c r="D1704" s="141" t="s">
        <v>1427</v>
      </c>
    </row>
    <row r="1705" spans="1:4" x14ac:dyDescent="0.3">
      <c r="A1705" s="141" t="s">
        <v>3668</v>
      </c>
      <c r="B1705" s="141">
        <v>517174</v>
      </c>
      <c r="C1705" s="141" t="s">
        <v>3667</v>
      </c>
      <c r="D1705" s="141" t="s">
        <v>1427</v>
      </c>
    </row>
    <row r="1706" spans="1:4" x14ac:dyDescent="0.3">
      <c r="A1706" s="141" t="s">
        <v>3669</v>
      </c>
      <c r="B1706" s="141">
        <v>500193</v>
      </c>
      <c r="C1706" s="141" t="s">
        <v>3670</v>
      </c>
      <c r="D1706" s="141" t="s">
        <v>1330</v>
      </c>
    </row>
    <row r="1707" spans="1:4" x14ac:dyDescent="0.3">
      <c r="A1707" s="141" t="s">
        <v>3671</v>
      </c>
      <c r="B1707" s="141">
        <v>526683</v>
      </c>
      <c r="C1707" s="141" t="s">
        <v>3672</v>
      </c>
      <c r="D1707" s="141" t="s">
        <v>1330</v>
      </c>
    </row>
    <row r="1708" spans="1:4" x14ac:dyDescent="0.3">
      <c r="A1708" s="141" t="s">
        <v>3673</v>
      </c>
      <c r="B1708" s="141">
        <v>540530</v>
      </c>
      <c r="C1708" s="141" t="s">
        <v>3674</v>
      </c>
      <c r="D1708" s="141" t="s">
        <v>1187</v>
      </c>
    </row>
    <row r="1709" spans="1:4" x14ac:dyDescent="0.3">
      <c r="A1709" s="141" t="s">
        <v>3675</v>
      </c>
      <c r="B1709" s="141">
        <v>532873</v>
      </c>
      <c r="C1709" s="141" t="s">
        <v>3676</v>
      </c>
      <c r="D1709" s="141" t="s">
        <v>1215</v>
      </c>
    </row>
    <row r="1710" spans="1:4" x14ac:dyDescent="0.3">
      <c r="A1710" s="141" t="s">
        <v>3677</v>
      </c>
      <c r="B1710" s="141">
        <v>500010</v>
      </c>
      <c r="C1710" s="141" t="s">
        <v>3678</v>
      </c>
      <c r="D1710" s="141" t="s">
        <v>1187</v>
      </c>
    </row>
    <row r="1711" spans="1:4" x14ac:dyDescent="0.3">
      <c r="A1711" s="141" t="s">
        <v>3679</v>
      </c>
      <c r="B1711" s="141">
        <v>532761</v>
      </c>
      <c r="C1711" s="141" t="s">
        <v>3680</v>
      </c>
      <c r="D1711" s="141" t="s">
        <v>1459</v>
      </c>
    </row>
    <row r="1712" spans="1:4" x14ac:dyDescent="0.3">
      <c r="A1712" s="141" t="s">
        <v>3681</v>
      </c>
      <c r="B1712" s="141">
        <v>526761</v>
      </c>
      <c r="C1712" s="141" t="s">
        <v>1129</v>
      </c>
      <c r="D1712" s="141" t="s">
        <v>1330</v>
      </c>
    </row>
    <row r="1713" spans="1:4" x14ac:dyDescent="0.3">
      <c r="A1713" s="141" t="s">
        <v>3682</v>
      </c>
      <c r="B1713" s="141">
        <v>535217</v>
      </c>
      <c r="C1713" s="141" t="s">
        <v>1129</v>
      </c>
      <c r="D1713" s="141" t="s">
        <v>1327</v>
      </c>
    </row>
    <row r="1714" spans="1:4" x14ac:dyDescent="0.3">
      <c r="A1714" s="141" t="s">
        <v>3683</v>
      </c>
      <c r="B1714" s="141">
        <v>540136</v>
      </c>
      <c r="C1714" s="141" t="s">
        <v>3684</v>
      </c>
      <c r="D1714" s="141" t="s">
        <v>1172</v>
      </c>
    </row>
    <row r="1715" spans="1:4" x14ac:dyDescent="0.3">
      <c r="A1715" s="141" t="s">
        <v>3685</v>
      </c>
      <c r="B1715" s="141">
        <v>531724</v>
      </c>
      <c r="C1715" s="141" t="s">
        <v>1129</v>
      </c>
      <c r="D1715" s="141" t="s">
        <v>1550</v>
      </c>
    </row>
    <row r="1716" spans="1:4" x14ac:dyDescent="0.3">
      <c r="A1716" s="141" t="s">
        <v>3686</v>
      </c>
      <c r="B1716" s="141">
        <v>500187</v>
      </c>
      <c r="C1716" s="141" t="s">
        <v>3687</v>
      </c>
      <c r="D1716" s="141" t="s">
        <v>1324</v>
      </c>
    </row>
    <row r="1717" spans="1:4" x14ac:dyDescent="0.3">
      <c r="A1717" s="141" t="s">
        <v>3688</v>
      </c>
      <c r="B1717" s="141">
        <v>532662</v>
      </c>
      <c r="C1717" s="141" t="s">
        <v>3689</v>
      </c>
      <c r="D1717" s="141" t="s">
        <v>1653</v>
      </c>
    </row>
    <row r="1718" spans="1:4" x14ac:dyDescent="0.3">
      <c r="A1718" s="141" t="s">
        <v>3690</v>
      </c>
      <c r="B1718" s="141">
        <v>532799</v>
      </c>
      <c r="C1718" s="141" t="s">
        <v>3691</v>
      </c>
      <c r="D1718" s="141" t="s">
        <v>1215</v>
      </c>
    </row>
    <row r="1719" spans="1:4" x14ac:dyDescent="0.3">
      <c r="A1719" s="141" t="s">
        <v>3692</v>
      </c>
      <c r="B1719" s="141">
        <v>509820</v>
      </c>
      <c r="C1719" s="141" t="s">
        <v>3693</v>
      </c>
      <c r="D1719" s="141" t="s">
        <v>1324</v>
      </c>
    </row>
    <row r="1720" spans="1:4" x14ac:dyDescent="0.3">
      <c r="A1720" s="141" t="s">
        <v>3694</v>
      </c>
      <c r="B1720" s="141">
        <v>542592</v>
      </c>
      <c r="C1720" s="141" t="s">
        <v>3695</v>
      </c>
      <c r="D1720" s="141" t="s">
        <v>1234</v>
      </c>
    </row>
    <row r="1721" spans="1:4" x14ac:dyDescent="0.3">
      <c r="A1721" s="141" t="s">
        <v>3696</v>
      </c>
      <c r="B1721" s="141" t="s">
        <v>1129</v>
      </c>
      <c r="C1721" s="141" t="s">
        <v>3697</v>
      </c>
      <c r="D1721" s="141" t="s">
        <v>1140</v>
      </c>
    </row>
    <row r="1722" spans="1:4" x14ac:dyDescent="0.3">
      <c r="A1722" s="141" t="s">
        <v>3698</v>
      </c>
      <c r="B1722" s="141">
        <v>539724</v>
      </c>
      <c r="C1722" s="141" t="s">
        <v>1129</v>
      </c>
      <c r="D1722" s="141" t="s">
        <v>1115</v>
      </c>
    </row>
    <row r="1723" spans="1:4" x14ac:dyDescent="0.3">
      <c r="A1723" s="141" t="s">
        <v>3699</v>
      </c>
      <c r="B1723" s="141">
        <v>519463</v>
      </c>
      <c r="C1723" s="141" t="s">
        <v>1129</v>
      </c>
      <c r="D1723" s="141" t="s">
        <v>1327</v>
      </c>
    </row>
    <row r="1724" spans="1:4" x14ac:dyDescent="0.3">
      <c r="A1724" s="141" t="s">
        <v>3700</v>
      </c>
      <c r="B1724" s="141" t="s">
        <v>1129</v>
      </c>
      <c r="C1724" s="141" t="s">
        <v>3701</v>
      </c>
      <c r="D1724" s="141" t="s">
        <v>1140</v>
      </c>
    </row>
    <row r="1725" spans="1:4" x14ac:dyDescent="0.3">
      <c r="A1725" s="141" t="s">
        <v>3702</v>
      </c>
      <c r="B1725" s="141">
        <v>532174</v>
      </c>
      <c r="C1725" s="141" t="s">
        <v>3703</v>
      </c>
      <c r="D1725" s="141" t="s">
        <v>1447</v>
      </c>
    </row>
    <row r="1726" spans="1:4" x14ac:dyDescent="0.3">
      <c r="A1726" s="141" t="s">
        <v>3704</v>
      </c>
      <c r="B1726" s="141">
        <v>540716</v>
      </c>
      <c r="C1726" s="141" t="s">
        <v>3705</v>
      </c>
      <c r="D1726" s="141" t="s">
        <v>3212</v>
      </c>
    </row>
    <row r="1727" spans="1:4" x14ac:dyDescent="0.3">
      <c r="A1727" s="141" t="s">
        <v>3706</v>
      </c>
      <c r="B1727" s="141">
        <v>533244</v>
      </c>
      <c r="C1727" s="141" t="s">
        <v>3707</v>
      </c>
      <c r="D1727" s="141" t="s">
        <v>1112</v>
      </c>
    </row>
    <row r="1728" spans="1:4" x14ac:dyDescent="0.3">
      <c r="A1728" s="141" t="s">
        <v>3708</v>
      </c>
      <c r="B1728" s="141">
        <v>540133</v>
      </c>
      <c r="C1728" s="141" t="s">
        <v>3709</v>
      </c>
      <c r="D1728" s="141" t="s">
        <v>3541</v>
      </c>
    </row>
    <row r="1729" spans="1:4" x14ac:dyDescent="0.3">
      <c r="A1729" s="141" t="s">
        <v>3710</v>
      </c>
      <c r="B1729" s="141">
        <v>555555</v>
      </c>
      <c r="C1729" s="141" t="s">
        <v>3711</v>
      </c>
      <c r="D1729" s="141" t="s">
        <v>1112</v>
      </c>
    </row>
    <row r="1730" spans="1:4" x14ac:dyDescent="0.3">
      <c r="A1730" s="141" t="s">
        <v>3712</v>
      </c>
      <c r="B1730" s="141">
        <v>541179</v>
      </c>
      <c r="C1730" s="141" t="s">
        <v>3713</v>
      </c>
      <c r="D1730" s="141" t="s">
        <v>1112</v>
      </c>
    </row>
    <row r="1731" spans="1:4" x14ac:dyDescent="0.3">
      <c r="A1731" s="141" t="s">
        <v>3714</v>
      </c>
      <c r="B1731" s="141">
        <v>532835</v>
      </c>
      <c r="C1731" s="141" t="s">
        <v>3715</v>
      </c>
      <c r="D1731" s="141" t="s">
        <v>1112</v>
      </c>
    </row>
    <row r="1732" spans="1:4" x14ac:dyDescent="0.3">
      <c r="A1732" s="141" t="s">
        <v>3716</v>
      </c>
      <c r="B1732" s="141">
        <v>531524</v>
      </c>
      <c r="C1732" s="141" t="s">
        <v>3717</v>
      </c>
      <c r="D1732" s="141" t="s">
        <v>1427</v>
      </c>
    </row>
    <row r="1733" spans="1:4" x14ac:dyDescent="0.3">
      <c r="A1733" s="141" t="s">
        <v>3718</v>
      </c>
      <c r="B1733" s="141">
        <v>531524</v>
      </c>
      <c r="C1733" s="141" t="s">
        <v>3717</v>
      </c>
      <c r="D1733" s="141" t="s">
        <v>1427</v>
      </c>
    </row>
    <row r="1734" spans="1:4" x14ac:dyDescent="0.3">
      <c r="A1734" s="141" t="s">
        <v>3719</v>
      </c>
      <c r="B1734" s="141">
        <v>500116</v>
      </c>
      <c r="C1734" s="141" t="s">
        <v>3720</v>
      </c>
      <c r="D1734" s="141" t="s">
        <v>1447</v>
      </c>
    </row>
    <row r="1735" spans="1:4" x14ac:dyDescent="0.3">
      <c r="A1735" s="141" t="s">
        <v>3721</v>
      </c>
      <c r="B1735" s="141">
        <v>539437</v>
      </c>
      <c r="C1735" s="141" t="s">
        <v>3722</v>
      </c>
      <c r="D1735" s="141" t="s">
        <v>1447</v>
      </c>
    </row>
    <row r="1736" spans="1:4" x14ac:dyDescent="0.3">
      <c r="A1736" s="141" t="s">
        <v>3723</v>
      </c>
      <c r="B1736" s="141" t="s">
        <v>1129</v>
      </c>
      <c r="C1736" s="141" t="s">
        <v>3724</v>
      </c>
      <c r="D1736" s="141" t="s">
        <v>1447</v>
      </c>
    </row>
    <row r="1737" spans="1:4" x14ac:dyDescent="0.3">
      <c r="A1737" s="141" t="s">
        <v>3725</v>
      </c>
      <c r="B1737" s="141">
        <v>532659</v>
      </c>
      <c r="C1737" s="141" t="s">
        <v>3726</v>
      </c>
      <c r="D1737" s="141" t="s">
        <v>1146</v>
      </c>
    </row>
    <row r="1738" spans="1:4" x14ac:dyDescent="0.3">
      <c r="A1738" s="141" t="s">
        <v>3727</v>
      </c>
      <c r="B1738" s="141">
        <v>507438</v>
      </c>
      <c r="C1738" s="141" t="s">
        <v>3728</v>
      </c>
      <c r="D1738" s="141" t="s">
        <v>1761</v>
      </c>
    </row>
    <row r="1739" spans="1:4" x14ac:dyDescent="0.3">
      <c r="A1739" s="141" t="s">
        <v>3729</v>
      </c>
      <c r="B1739" s="141">
        <v>505726</v>
      </c>
      <c r="C1739" s="141" t="s">
        <v>3730</v>
      </c>
      <c r="D1739" s="141" t="s">
        <v>1894</v>
      </c>
    </row>
    <row r="1740" spans="1:4" x14ac:dyDescent="0.3">
      <c r="A1740" s="141" t="s">
        <v>3731</v>
      </c>
      <c r="B1740" s="141">
        <v>500106</v>
      </c>
      <c r="C1740" s="141" t="s">
        <v>3732</v>
      </c>
      <c r="D1740" s="141" t="s">
        <v>3461</v>
      </c>
    </row>
    <row r="1741" spans="1:4" x14ac:dyDescent="0.3">
      <c r="A1741" s="141" t="s">
        <v>3733</v>
      </c>
      <c r="B1741" s="141">
        <v>540774</v>
      </c>
      <c r="C1741" s="141" t="s">
        <v>3734</v>
      </c>
      <c r="D1741" s="141" t="s">
        <v>1314</v>
      </c>
    </row>
    <row r="1742" spans="1:4" x14ac:dyDescent="0.3">
      <c r="A1742" s="141" t="s">
        <v>3735</v>
      </c>
      <c r="B1742" s="141">
        <v>540377</v>
      </c>
      <c r="C1742" s="141" t="s">
        <v>1129</v>
      </c>
      <c r="D1742" s="141" t="s">
        <v>1151</v>
      </c>
    </row>
    <row r="1743" spans="1:4" x14ac:dyDescent="0.3">
      <c r="A1743" s="141" t="s">
        <v>3736</v>
      </c>
      <c r="B1743" s="141">
        <v>522289</v>
      </c>
      <c r="C1743" s="141" t="s">
        <v>1129</v>
      </c>
      <c r="D1743" s="141" t="s">
        <v>1151</v>
      </c>
    </row>
    <row r="1744" spans="1:4" x14ac:dyDescent="0.3">
      <c r="A1744" s="141" t="s">
        <v>3737</v>
      </c>
      <c r="B1744" s="141">
        <v>500199</v>
      </c>
      <c r="C1744" s="141" t="s">
        <v>3738</v>
      </c>
      <c r="D1744" s="141" t="s">
        <v>1177</v>
      </c>
    </row>
    <row r="1745" spans="1:4" x14ac:dyDescent="0.3">
      <c r="A1745" s="141" t="s">
        <v>3739</v>
      </c>
      <c r="B1745" s="141">
        <v>517380</v>
      </c>
      <c r="C1745" s="141" t="s">
        <v>3740</v>
      </c>
      <c r="D1745" s="141" t="s">
        <v>1484</v>
      </c>
    </row>
    <row r="1746" spans="1:4" x14ac:dyDescent="0.3">
      <c r="A1746" s="141" t="s">
        <v>3741</v>
      </c>
      <c r="B1746" s="141">
        <v>517380</v>
      </c>
      <c r="C1746" s="141" t="s">
        <v>3740</v>
      </c>
      <c r="D1746" s="141" t="s">
        <v>1484</v>
      </c>
    </row>
    <row r="1747" spans="1:4" x14ac:dyDescent="0.3">
      <c r="A1747" s="141" t="s">
        <v>3742</v>
      </c>
      <c r="B1747" s="141">
        <v>539449</v>
      </c>
      <c r="C1747" s="141" t="s">
        <v>1129</v>
      </c>
      <c r="D1747" s="141" t="s">
        <v>1151</v>
      </c>
    </row>
    <row r="1748" spans="1:4" x14ac:dyDescent="0.3">
      <c r="A1748" s="141" t="s">
        <v>3743</v>
      </c>
      <c r="B1748" s="141">
        <v>532636</v>
      </c>
      <c r="C1748" s="141" t="s">
        <v>3744</v>
      </c>
      <c r="D1748" s="141" t="s">
        <v>1112</v>
      </c>
    </row>
    <row r="1749" spans="1:4" x14ac:dyDescent="0.3">
      <c r="A1749" s="141" t="s">
        <v>3745</v>
      </c>
      <c r="B1749" s="141">
        <v>531968</v>
      </c>
      <c r="C1749" s="141" t="s">
        <v>3746</v>
      </c>
      <c r="D1749" s="141" t="s">
        <v>1215</v>
      </c>
    </row>
    <row r="1750" spans="1:4" x14ac:dyDescent="0.3">
      <c r="A1750" s="141" t="s">
        <v>3747</v>
      </c>
      <c r="B1750" s="141">
        <v>514238</v>
      </c>
      <c r="C1750" s="141" t="s">
        <v>1129</v>
      </c>
      <c r="D1750" s="141" t="s">
        <v>1112</v>
      </c>
    </row>
    <row r="1751" spans="1:4" x14ac:dyDescent="0.3">
      <c r="A1751" s="141" t="s">
        <v>3748</v>
      </c>
      <c r="B1751" s="141">
        <v>532414</v>
      </c>
      <c r="C1751" s="141" t="s">
        <v>1129</v>
      </c>
      <c r="D1751" s="141" t="s">
        <v>1222</v>
      </c>
    </row>
    <row r="1752" spans="1:4" x14ac:dyDescent="0.3">
      <c r="A1752" s="141" t="s">
        <v>3749</v>
      </c>
      <c r="B1752" s="141">
        <v>532907</v>
      </c>
      <c r="C1752" s="141" t="s">
        <v>3750</v>
      </c>
      <c r="D1752" s="141" t="s">
        <v>1527</v>
      </c>
    </row>
    <row r="1753" spans="1:4" x14ac:dyDescent="0.3">
      <c r="A1753" s="141" t="s">
        <v>3751</v>
      </c>
      <c r="B1753" s="141">
        <v>511208</v>
      </c>
      <c r="C1753" s="141" t="s">
        <v>3752</v>
      </c>
      <c r="D1753" s="141" t="s">
        <v>3534</v>
      </c>
    </row>
    <row r="1754" spans="1:4" x14ac:dyDescent="0.3">
      <c r="A1754" s="141" t="s">
        <v>3753</v>
      </c>
      <c r="B1754" s="141">
        <v>533177</v>
      </c>
      <c r="C1754" s="141" t="s">
        <v>3754</v>
      </c>
      <c r="D1754" s="141" t="s">
        <v>1724</v>
      </c>
    </row>
    <row r="1755" spans="1:4" x14ac:dyDescent="0.3">
      <c r="A1755" s="141" t="s">
        <v>3755</v>
      </c>
      <c r="B1755" s="141">
        <v>511628</v>
      </c>
      <c r="C1755" s="141" t="s">
        <v>1129</v>
      </c>
      <c r="D1755" s="141" t="s">
        <v>1146</v>
      </c>
    </row>
    <row r="1756" spans="1:4" x14ac:dyDescent="0.3">
      <c r="A1756" s="141" t="s">
        <v>3756</v>
      </c>
      <c r="B1756" s="141">
        <v>505539</v>
      </c>
      <c r="C1756" s="141" t="s">
        <v>1129</v>
      </c>
      <c r="D1756" s="141" t="s">
        <v>1550</v>
      </c>
    </row>
    <row r="1757" spans="1:4" x14ac:dyDescent="0.3">
      <c r="A1757" s="141" t="s">
        <v>3757</v>
      </c>
      <c r="B1757" s="141">
        <v>513295</v>
      </c>
      <c r="C1757" s="141" t="s">
        <v>1129</v>
      </c>
      <c r="D1757" s="141" t="s">
        <v>1161</v>
      </c>
    </row>
    <row r="1758" spans="1:4" x14ac:dyDescent="0.3">
      <c r="A1758" s="141" t="s">
        <v>3758</v>
      </c>
      <c r="B1758" s="141">
        <v>517571</v>
      </c>
      <c r="C1758" s="141" t="s">
        <v>3759</v>
      </c>
      <c r="D1758" s="141" t="s">
        <v>1172</v>
      </c>
    </row>
    <row r="1759" spans="1:4" x14ac:dyDescent="0.3">
      <c r="A1759" s="141" t="s">
        <v>3760</v>
      </c>
      <c r="B1759" s="141">
        <v>532614</v>
      </c>
      <c r="C1759" s="141" t="s">
        <v>3761</v>
      </c>
      <c r="D1759" s="141" t="s">
        <v>1161</v>
      </c>
    </row>
    <row r="1760" spans="1:4" x14ac:dyDescent="0.3">
      <c r="A1760" s="141" t="s">
        <v>3762</v>
      </c>
      <c r="B1760" s="141">
        <v>531129</v>
      </c>
      <c r="C1760" s="141" t="s">
        <v>1129</v>
      </c>
      <c r="D1760" s="141" t="s">
        <v>1657</v>
      </c>
    </row>
    <row r="1761" spans="1:4" x14ac:dyDescent="0.3">
      <c r="A1761" s="141" t="s">
        <v>3763</v>
      </c>
      <c r="B1761" s="141">
        <v>531672</v>
      </c>
      <c r="C1761" s="141" t="s">
        <v>1129</v>
      </c>
      <c r="D1761" s="141" t="s">
        <v>1112</v>
      </c>
    </row>
    <row r="1762" spans="1:4" x14ac:dyDescent="0.3">
      <c r="A1762" s="141" t="s">
        <v>3764</v>
      </c>
      <c r="B1762" s="141">
        <v>517370</v>
      </c>
      <c r="C1762" s="141" t="s">
        <v>1129</v>
      </c>
      <c r="D1762" s="141" t="s">
        <v>1427</v>
      </c>
    </row>
    <row r="1763" spans="1:4" x14ac:dyDescent="0.3">
      <c r="A1763" s="141" t="s">
        <v>3765</v>
      </c>
      <c r="B1763" s="141">
        <v>538541</v>
      </c>
      <c r="C1763" s="141" t="s">
        <v>1129</v>
      </c>
      <c r="D1763" s="141" t="s">
        <v>1151</v>
      </c>
    </row>
    <row r="1764" spans="1:4" x14ac:dyDescent="0.3">
      <c r="A1764" s="141" t="s">
        <v>3766</v>
      </c>
      <c r="B1764" s="141">
        <v>531594</v>
      </c>
      <c r="C1764" s="141" t="s">
        <v>1129</v>
      </c>
      <c r="D1764" s="141" t="s">
        <v>1137</v>
      </c>
    </row>
    <row r="1765" spans="1:4" x14ac:dyDescent="0.3">
      <c r="A1765" s="141" t="s">
        <v>3767</v>
      </c>
      <c r="B1765" s="141">
        <v>523465</v>
      </c>
      <c r="C1765" s="141" t="s">
        <v>1129</v>
      </c>
      <c r="D1765" s="141" t="s">
        <v>1187</v>
      </c>
    </row>
    <row r="1766" spans="1:4" x14ac:dyDescent="0.3">
      <c r="A1766" s="141" t="s">
        <v>3768</v>
      </c>
      <c r="B1766" s="141">
        <v>536709</v>
      </c>
      <c r="C1766" s="141" t="s">
        <v>1129</v>
      </c>
      <c r="D1766" s="141" t="s">
        <v>1268</v>
      </c>
    </row>
    <row r="1767" spans="1:4" x14ac:dyDescent="0.3">
      <c r="A1767" s="141" t="s">
        <v>3769</v>
      </c>
      <c r="B1767" s="141">
        <v>509162</v>
      </c>
      <c r="C1767" s="141" t="s">
        <v>1129</v>
      </c>
      <c r="D1767" s="141" t="s">
        <v>1609</v>
      </c>
    </row>
    <row r="1768" spans="1:4" x14ac:dyDescent="0.3">
      <c r="A1768" s="141" t="s">
        <v>3770</v>
      </c>
      <c r="B1768" s="141">
        <v>517077</v>
      </c>
      <c r="C1768" s="141" t="s">
        <v>1129</v>
      </c>
      <c r="D1768" s="141" t="s">
        <v>1151</v>
      </c>
    </row>
    <row r="1769" spans="1:4" x14ac:dyDescent="0.3">
      <c r="A1769" s="141" t="s">
        <v>3771</v>
      </c>
      <c r="B1769" s="141">
        <v>511473</v>
      </c>
      <c r="C1769" s="141" t="s">
        <v>3772</v>
      </c>
      <c r="D1769" s="141" t="s">
        <v>1112</v>
      </c>
    </row>
    <row r="1770" spans="1:4" x14ac:dyDescent="0.3">
      <c r="A1770" s="141" t="s">
        <v>3773</v>
      </c>
      <c r="B1770" s="141">
        <v>531505</v>
      </c>
      <c r="C1770" s="141" t="s">
        <v>1129</v>
      </c>
      <c r="D1770" s="141" t="s">
        <v>1146</v>
      </c>
    </row>
    <row r="1771" spans="1:4" x14ac:dyDescent="0.3">
      <c r="A1771" s="141" t="s">
        <v>3774</v>
      </c>
      <c r="B1771" s="141">
        <v>511355</v>
      </c>
      <c r="C1771" s="141" t="s">
        <v>1129</v>
      </c>
      <c r="D1771" s="141" t="s">
        <v>1146</v>
      </c>
    </row>
    <row r="1772" spans="1:4" x14ac:dyDescent="0.3">
      <c r="A1772" s="141" t="s">
        <v>3775</v>
      </c>
      <c r="B1772" s="141">
        <v>535667</v>
      </c>
      <c r="C1772" s="141" t="s">
        <v>1129</v>
      </c>
      <c r="D1772" s="141" t="s">
        <v>1146</v>
      </c>
    </row>
    <row r="1773" spans="1:4" x14ac:dyDescent="0.3">
      <c r="A1773" s="141" t="s">
        <v>3776</v>
      </c>
      <c r="B1773" s="141">
        <v>531253</v>
      </c>
      <c r="C1773" s="141" t="s">
        <v>1129</v>
      </c>
      <c r="D1773" s="141" t="s">
        <v>1289</v>
      </c>
    </row>
    <row r="1774" spans="1:4" x14ac:dyDescent="0.3">
      <c r="A1774" s="141" t="s">
        <v>3777</v>
      </c>
      <c r="B1774" s="141">
        <v>500201</v>
      </c>
      <c r="C1774" s="141" t="s">
        <v>3778</v>
      </c>
      <c r="D1774" s="141" t="s">
        <v>1177</v>
      </c>
    </row>
    <row r="1775" spans="1:4" x14ac:dyDescent="0.3">
      <c r="A1775" s="141" t="s">
        <v>3779</v>
      </c>
      <c r="B1775" s="141">
        <v>540152</v>
      </c>
      <c r="C1775" s="141" t="s">
        <v>1129</v>
      </c>
      <c r="D1775" s="141" t="s">
        <v>1215</v>
      </c>
    </row>
    <row r="1776" spans="1:4" x14ac:dyDescent="0.3">
      <c r="A1776" s="141" t="s">
        <v>3780</v>
      </c>
      <c r="B1776" s="141">
        <v>540565</v>
      </c>
      <c r="C1776" s="141" t="s">
        <v>3781</v>
      </c>
      <c r="D1776" s="141" t="s">
        <v>1149</v>
      </c>
    </row>
    <row r="1777" spans="1:4" x14ac:dyDescent="0.3">
      <c r="A1777" s="141" t="s">
        <v>3782</v>
      </c>
      <c r="B1777" s="141">
        <v>530979</v>
      </c>
      <c r="C1777" s="141" t="s">
        <v>1129</v>
      </c>
      <c r="D1777" s="141" t="s">
        <v>1187</v>
      </c>
    </row>
    <row r="1778" spans="1:4" x14ac:dyDescent="0.3">
      <c r="A1778" s="141" t="s">
        <v>3783</v>
      </c>
      <c r="B1778" s="141">
        <v>531343</v>
      </c>
      <c r="C1778" s="141" t="s">
        <v>1129</v>
      </c>
      <c r="D1778" s="141" t="s">
        <v>1550</v>
      </c>
    </row>
    <row r="1779" spans="1:4" x14ac:dyDescent="0.3">
      <c r="A1779" s="141" t="s">
        <v>3784</v>
      </c>
      <c r="B1779" s="141">
        <v>590065</v>
      </c>
      <c r="C1779" s="141" t="s">
        <v>3785</v>
      </c>
      <c r="D1779" s="141" t="s">
        <v>1151</v>
      </c>
    </row>
    <row r="1780" spans="1:4" x14ac:dyDescent="0.3">
      <c r="A1780" s="141" t="s">
        <v>3786</v>
      </c>
      <c r="B1780" s="141">
        <v>532240</v>
      </c>
      <c r="C1780" s="141" t="s">
        <v>3787</v>
      </c>
      <c r="D1780" s="141" t="s">
        <v>1484</v>
      </c>
    </row>
    <row r="1781" spans="1:4" x14ac:dyDescent="0.3">
      <c r="A1781" s="141" t="s">
        <v>3788</v>
      </c>
      <c r="B1781" s="141">
        <v>513361</v>
      </c>
      <c r="C1781" s="141" t="s">
        <v>1129</v>
      </c>
      <c r="D1781" s="141" t="s">
        <v>1161</v>
      </c>
    </row>
    <row r="1782" spans="1:4" x14ac:dyDescent="0.3">
      <c r="A1782" s="141" t="s">
        <v>3789</v>
      </c>
      <c r="B1782" s="141">
        <v>532189</v>
      </c>
      <c r="C1782" s="141" t="s">
        <v>3790</v>
      </c>
      <c r="D1782" s="141" t="s">
        <v>1330</v>
      </c>
    </row>
    <row r="1783" spans="1:4" x14ac:dyDescent="0.3">
      <c r="A1783" s="141" t="s">
        <v>3791</v>
      </c>
      <c r="B1783" s="141">
        <v>535789</v>
      </c>
      <c r="C1783" s="141" t="s">
        <v>3792</v>
      </c>
      <c r="D1783" s="141" t="s">
        <v>1187</v>
      </c>
    </row>
    <row r="1784" spans="1:4" x14ac:dyDescent="0.3">
      <c r="A1784" s="141" t="s">
        <v>3793</v>
      </c>
      <c r="B1784" s="141">
        <v>533520</v>
      </c>
      <c r="C1784" s="141" t="s">
        <v>3794</v>
      </c>
      <c r="D1784" s="141" t="s">
        <v>1151</v>
      </c>
    </row>
    <row r="1785" spans="1:4" x14ac:dyDescent="0.3">
      <c r="A1785" s="141" t="s">
        <v>3795</v>
      </c>
      <c r="B1785" s="141">
        <v>532832</v>
      </c>
      <c r="C1785" s="141" t="s">
        <v>3796</v>
      </c>
      <c r="D1785" s="141" t="s">
        <v>1215</v>
      </c>
    </row>
    <row r="1786" spans="1:4" x14ac:dyDescent="0.3">
      <c r="A1786" s="141" t="s">
        <v>3797</v>
      </c>
      <c r="B1786" s="141">
        <v>532960</v>
      </c>
      <c r="C1786" s="141" t="s">
        <v>3798</v>
      </c>
      <c r="D1786" s="141" t="s">
        <v>1112</v>
      </c>
    </row>
    <row r="1787" spans="1:4" x14ac:dyDescent="0.3">
      <c r="A1787" s="141" t="s">
        <v>3799</v>
      </c>
      <c r="B1787" s="141">
        <v>514165</v>
      </c>
      <c r="C1787" s="141" t="s">
        <v>1129</v>
      </c>
      <c r="D1787" s="141" t="s">
        <v>1506</v>
      </c>
    </row>
    <row r="1788" spans="1:4" x14ac:dyDescent="0.3">
      <c r="A1788" s="141" t="s">
        <v>3800</v>
      </c>
      <c r="B1788" s="141">
        <v>532814</v>
      </c>
      <c r="C1788" s="141" t="s">
        <v>3801</v>
      </c>
      <c r="D1788" s="141" t="s">
        <v>1447</v>
      </c>
    </row>
    <row r="1789" spans="1:4" x14ac:dyDescent="0.3">
      <c r="A1789" s="141" t="s">
        <v>3802</v>
      </c>
      <c r="B1789" s="141">
        <v>504731</v>
      </c>
      <c r="C1789" s="141" t="s">
        <v>1129</v>
      </c>
      <c r="D1789" s="141" t="s">
        <v>1161</v>
      </c>
    </row>
    <row r="1790" spans="1:4" x14ac:dyDescent="0.3">
      <c r="A1790" s="141" t="s">
        <v>3803</v>
      </c>
      <c r="B1790" s="141">
        <v>509692</v>
      </c>
      <c r="C1790" s="141" t="s">
        <v>3804</v>
      </c>
      <c r="D1790" s="141" t="s">
        <v>1144</v>
      </c>
    </row>
    <row r="1791" spans="1:4" x14ac:dyDescent="0.3">
      <c r="A1791" s="141" t="s">
        <v>3805</v>
      </c>
      <c r="B1791" s="141">
        <v>540750</v>
      </c>
      <c r="C1791" s="141" t="s">
        <v>3806</v>
      </c>
      <c r="D1791" s="141" t="s">
        <v>1268</v>
      </c>
    </row>
    <row r="1792" spans="1:4" x14ac:dyDescent="0.3">
      <c r="A1792" s="141" t="s">
        <v>3807</v>
      </c>
      <c r="B1792" s="141">
        <v>524614</v>
      </c>
      <c r="C1792" s="141" t="s">
        <v>1129</v>
      </c>
      <c r="D1792" s="141" t="s">
        <v>1209</v>
      </c>
    </row>
    <row r="1793" spans="1:4" x14ac:dyDescent="0.3">
      <c r="A1793" s="141" t="s">
        <v>3808</v>
      </c>
      <c r="B1793" s="141">
        <v>504741</v>
      </c>
      <c r="C1793" s="141" t="s">
        <v>3809</v>
      </c>
      <c r="D1793" s="141" t="s">
        <v>1142</v>
      </c>
    </row>
    <row r="1794" spans="1:4" x14ac:dyDescent="0.3">
      <c r="A1794" s="141" t="s">
        <v>3810</v>
      </c>
      <c r="B1794" s="141">
        <v>509051</v>
      </c>
      <c r="C1794" s="141" t="s">
        <v>1129</v>
      </c>
      <c r="D1794" s="141" t="s">
        <v>1222</v>
      </c>
    </row>
    <row r="1795" spans="1:4" x14ac:dyDescent="0.3">
      <c r="A1795" s="141" t="s">
        <v>3811</v>
      </c>
      <c r="B1795" s="141">
        <v>504746</v>
      </c>
      <c r="C1795" s="141" t="s">
        <v>1129</v>
      </c>
      <c r="D1795" s="141" t="s">
        <v>2049</v>
      </c>
    </row>
    <row r="1796" spans="1:4" x14ac:dyDescent="0.3">
      <c r="A1796" s="141" t="s">
        <v>3812</v>
      </c>
      <c r="B1796" s="141">
        <v>533047</v>
      </c>
      <c r="C1796" s="141" t="s">
        <v>3813</v>
      </c>
      <c r="D1796" s="141" t="s">
        <v>1161</v>
      </c>
    </row>
    <row r="1797" spans="1:4" x14ac:dyDescent="0.3">
      <c r="A1797" s="141" t="s">
        <v>3814</v>
      </c>
      <c r="B1797" s="141">
        <v>530965</v>
      </c>
      <c r="C1797" s="141" t="s">
        <v>3815</v>
      </c>
      <c r="D1797" s="141" t="s">
        <v>1339</v>
      </c>
    </row>
    <row r="1798" spans="1:4" x14ac:dyDescent="0.3">
      <c r="A1798" s="141" t="s">
        <v>3816</v>
      </c>
      <c r="B1798" s="141">
        <v>532388</v>
      </c>
      <c r="C1798" s="141" t="s">
        <v>3817</v>
      </c>
      <c r="D1798" s="141" t="s">
        <v>1447</v>
      </c>
    </row>
    <row r="1799" spans="1:4" x14ac:dyDescent="0.3">
      <c r="A1799" s="141" t="s">
        <v>3818</v>
      </c>
      <c r="B1799" s="141">
        <v>500319</v>
      </c>
      <c r="C1799" s="141" t="s">
        <v>1129</v>
      </c>
      <c r="D1799" s="141" t="s">
        <v>1828</v>
      </c>
    </row>
    <row r="1800" spans="1:4" x14ac:dyDescent="0.3">
      <c r="A1800" s="141" t="s">
        <v>3819</v>
      </c>
      <c r="B1800" s="141">
        <v>533329</v>
      </c>
      <c r="C1800" s="141" t="s">
        <v>3820</v>
      </c>
      <c r="D1800" s="141" t="s">
        <v>1243</v>
      </c>
    </row>
    <row r="1801" spans="1:4" x14ac:dyDescent="0.3">
      <c r="A1801" s="141" t="s">
        <v>3821</v>
      </c>
      <c r="B1801" s="141">
        <v>523586</v>
      </c>
      <c r="C1801" s="141" t="s">
        <v>1129</v>
      </c>
      <c r="D1801" s="141" t="s">
        <v>1289</v>
      </c>
    </row>
    <row r="1802" spans="1:4" x14ac:dyDescent="0.3">
      <c r="A1802" s="141" t="s">
        <v>3822</v>
      </c>
      <c r="B1802" s="141">
        <v>501700</v>
      </c>
      <c r="C1802" s="141" t="s">
        <v>1129</v>
      </c>
      <c r="D1802" s="141" t="s">
        <v>1146</v>
      </c>
    </row>
    <row r="1803" spans="1:4" x14ac:dyDescent="0.3">
      <c r="A1803" s="141" t="s">
        <v>3823</v>
      </c>
      <c r="B1803" s="141">
        <v>532745</v>
      </c>
      <c r="C1803" s="141" t="s">
        <v>1129</v>
      </c>
      <c r="D1803" s="141" t="s">
        <v>1112</v>
      </c>
    </row>
    <row r="1804" spans="1:4" x14ac:dyDescent="0.3">
      <c r="A1804" s="141" t="s">
        <v>3824</v>
      </c>
      <c r="B1804" s="141">
        <v>524648</v>
      </c>
      <c r="C1804" s="141" t="s">
        <v>1129</v>
      </c>
      <c r="D1804" s="141" t="s">
        <v>1177</v>
      </c>
    </row>
    <row r="1805" spans="1:4" x14ac:dyDescent="0.3">
      <c r="A1805" s="141" t="s">
        <v>3825</v>
      </c>
      <c r="B1805" s="141">
        <v>530747</v>
      </c>
      <c r="C1805" s="141" t="s">
        <v>1129</v>
      </c>
      <c r="D1805" s="141" t="s">
        <v>1146</v>
      </c>
    </row>
    <row r="1806" spans="1:4" x14ac:dyDescent="0.3">
      <c r="A1806" s="141" t="s">
        <v>3826</v>
      </c>
      <c r="B1806" s="141">
        <v>524342</v>
      </c>
      <c r="C1806" s="141" t="s">
        <v>1129</v>
      </c>
      <c r="D1806" s="141" t="s">
        <v>1177</v>
      </c>
    </row>
    <row r="1807" spans="1:4" x14ac:dyDescent="0.3">
      <c r="A1807" s="141" t="s">
        <v>3827</v>
      </c>
      <c r="B1807" s="141">
        <v>538838</v>
      </c>
      <c r="C1807" s="141" t="s">
        <v>1129</v>
      </c>
      <c r="D1807" s="141" t="s">
        <v>1144</v>
      </c>
    </row>
    <row r="1808" spans="1:4" x14ac:dyDescent="0.3">
      <c r="A1808" s="141" t="s">
        <v>3828</v>
      </c>
      <c r="B1808" s="141">
        <v>521016</v>
      </c>
      <c r="C1808" s="141" t="s">
        <v>3829</v>
      </c>
      <c r="D1808" s="141" t="s">
        <v>1144</v>
      </c>
    </row>
    <row r="1809" spans="1:4" x14ac:dyDescent="0.3">
      <c r="A1809" s="141" t="s">
        <v>3830</v>
      </c>
      <c r="B1809" s="141">
        <v>526887</v>
      </c>
      <c r="C1809" s="141" t="s">
        <v>1129</v>
      </c>
      <c r="D1809" s="141" t="s">
        <v>1146</v>
      </c>
    </row>
    <row r="1810" spans="1:4" x14ac:dyDescent="0.3">
      <c r="A1810" s="141" t="s">
        <v>3831</v>
      </c>
      <c r="B1810" s="141">
        <v>524458</v>
      </c>
      <c r="C1810" s="141" t="s">
        <v>1129</v>
      </c>
      <c r="D1810" s="141" t="s">
        <v>1289</v>
      </c>
    </row>
    <row r="1811" spans="1:4" x14ac:dyDescent="0.3">
      <c r="A1811" s="141" t="s">
        <v>3832</v>
      </c>
      <c r="B1811" s="141">
        <v>506945</v>
      </c>
      <c r="C1811" s="141" t="s">
        <v>1129</v>
      </c>
      <c r="D1811" s="141" t="s">
        <v>1289</v>
      </c>
    </row>
    <row r="1812" spans="1:4" x14ac:dyDescent="0.3">
      <c r="A1812" s="141" t="s">
        <v>3833</v>
      </c>
      <c r="B1812" s="141">
        <v>531565</v>
      </c>
      <c r="C1812" s="141" t="s">
        <v>1129</v>
      </c>
      <c r="D1812" s="141" t="s">
        <v>1215</v>
      </c>
    </row>
    <row r="1813" spans="1:4" x14ac:dyDescent="0.3">
      <c r="A1813" s="141" t="s">
        <v>3834</v>
      </c>
      <c r="B1813" s="141">
        <v>500207</v>
      </c>
      <c r="C1813" s="141" t="s">
        <v>3835</v>
      </c>
      <c r="D1813" s="141" t="s">
        <v>1144</v>
      </c>
    </row>
    <row r="1814" spans="1:4" x14ac:dyDescent="0.3">
      <c r="A1814" s="141" t="s">
        <v>3836</v>
      </c>
      <c r="B1814" s="141">
        <v>500207</v>
      </c>
      <c r="C1814" s="141" t="s">
        <v>3835</v>
      </c>
      <c r="D1814" s="141" t="s">
        <v>1144</v>
      </c>
    </row>
    <row r="1815" spans="1:4" x14ac:dyDescent="0.3">
      <c r="A1815" s="141" t="s">
        <v>3837</v>
      </c>
      <c r="B1815" s="141">
        <v>532717</v>
      </c>
      <c r="C1815" s="141" t="s">
        <v>3838</v>
      </c>
      <c r="D1815" s="141" t="s">
        <v>1172</v>
      </c>
    </row>
    <row r="1816" spans="1:4" x14ac:dyDescent="0.3">
      <c r="A1816" s="141" t="s">
        <v>3839</v>
      </c>
      <c r="B1816" s="141">
        <v>533676</v>
      </c>
      <c r="C1816" s="141" t="s">
        <v>3840</v>
      </c>
      <c r="D1816" s="141" t="s">
        <v>1112</v>
      </c>
    </row>
    <row r="1817" spans="1:4" x14ac:dyDescent="0.3">
      <c r="A1817" s="141" t="s">
        <v>3841</v>
      </c>
      <c r="B1817" s="141">
        <v>541304</v>
      </c>
      <c r="C1817" s="141" t="s">
        <v>1129</v>
      </c>
      <c r="D1817" s="141" t="s">
        <v>1327</v>
      </c>
    </row>
    <row r="1818" spans="1:4" x14ac:dyDescent="0.3">
      <c r="A1818" s="141" t="s">
        <v>3842</v>
      </c>
      <c r="B1818" s="141">
        <v>532100</v>
      </c>
      <c r="C1818" s="141" t="s">
        <v>1129</v>
      </c>
      <c r="D1818" s="141" t="s">
        <v>1222</v>
      </c>
    </row>
    <row r="1819" spans="1:4" x14ac:dyDescent="0.3">
      <c r="A1819" s="141" t="s">
        <v>3843</v>
      </c>
      <c r="B1819" s="141">
        <v>532612</v>
      </c>
      <c r="C1819" s="141" t="s">
        <v>3844</v>
      </c>
      <c r="D1819" s="141" t="s">
        <v>1167</v>
      </c>
    </row>
    <row r="1820" spans="1:4" x14ac:dyDescent="0.3">
      <c r="A1820" s="141" t="s">
        <v>3845</v>
      </c>
      <c r="B1820" s="141">
        <v>539433</v>
      </c>
      <c r="C1820" s="141" t="s">
        <v>1129</v>
      </c>
      <c r="D1820" s="141" t="s">
        <v>1599</v>
      </c>
    </row>
    <row r="1821" spans="1:4" x14ac:dyDescent="0.3">
      <c r="A1821" s="141" t="s">
        <v>3846</v>
      </c>
      <c r="B1821" s="141">
        <v>504092</v>
      </c>
      <c r="C1821" s="141" t="s">
        <v>1129</v>
      </c>
      <c r="D1821" s="141" t="s">
        <v>1289</v>
      </c>
    </row>
    <row r="1822" spans="1:4" x14ac:dyDescent="0.3">
      <c r="A1822" s="141" t="s">
        <v>3847</v>
      </c>
      <c r="B1822" s="141">
        <v>504058</v>
      </c>
      <c r="C1822" s="141" t="s">
        <v>3848</v>
      </c>
      <c r="D1822" s="141" t="s">
        <v>1675</v>
      </c>
    </row>
    <row r="1823" spans="1:4" x14ac:dyDescent="0.3">
      <c r="A1823" s="141" t="s">
        <v>3849</v>
      </c>
      <c r="B1823" s="141">
        <v>533257</v>
      </c>
      <c r="C1823" s="141" t="s">
        <v>3850</v>
      </c>
      <c r="D1823" s="141" t="s">
        <v>1427</v>
      </c>
    </row>
    <row r="1824" spans="1:4" x14ac:dyDescent="0.3">
      <c r="A1824" s="141" t="s">
        <v>3851</v>
      </c>
      <c r="B1824" s="141">
        <v>541336</v>
      </c>
      <c r="C1824" s="141" t="s">
        <v>3852</v>
      </c>
      <c r="D1824" s="141" t="s">
        <v>1146</v>
      </c>
    </row>
    <row r="1825" spans="1:4" x14ac:dyDescent="0.3">
      <c r="A1825" s="141" t="s">
        <v>3853</v>
      </c>
      <c r="B1825" s="141">
        <v>521005</v>
      </c>
      <c r="C1825" s="141" t="s">
        <v>1129</v>
      </c>
      <c r="D1825" s="141" t="s">
        <v>1144</v>
      </c>
    </row>
    <row r="1826" spans="1:4" x14ac:dyDescent="0.3">
      <c r="A1826" s="141" t="s">
        <v>3854</v>
      </c>
      <c r="B1826" s="141">
        <v>532894</v>
      </c>
      <c r="C1826" s="141" t="s">
        <v>3855</v>
      </c>
      <c r="D1826" s="141" t="s">
        <v>1268</v>
      </c>
    </row>
    <row r="1827" spans="1:4" x14ac:dyDescent="0.3">
      <c r="A1827" s="141" t="s">
        <v>3856</v>
      </c>
      <c r="B1827" s="141">
        <v>539175</v>
      </c>
      <c r="C1827" s="141" t="s">
        <v>1129</v>
      </c>
      <c r="D1827" s="141" t="s">
        <v>1637</v>
      </c>
    </row>
    <row r="1828" spans="1:4" x14ac:dyDescent="0.3">
      <c r="A1828" s="141" t="s">
        <v>3857</v>
      </c>
      <c r="B1828" s="141">
        <v>532514</v>
      </c>
      <c r="C1828" s="141" t="s">
        <v>3858</v>
      </c>
      <c r="D1828" s="141" t="s">
        <v>1154</v>
      </c>
    </row>
    <row r="1829" spans="1:4" x14ac:dyDescent="0.3">
      <c r="A1829" s="141" t="s">
        <v>3859</v>
      </c>
      <c r="B1829" s="141">
        <v>532150</v>
      </c>
      <c r="C1829" s="141" t="s">
        <v>3860</v>
      </c>
      <c r="D1829" s="141" t="s">
        <v>1599</v>
      </c>
    </row>
    <row r="1830" spans="1:4" x14ac:dyDescent="0.3">
      <c r="A1830" s="141" t="s">
        <v>3861</v>
      </c>
      <c r="B1830" s="141">
        <v>526445</v>
      </c>
      <c r="C1830" s="141" t="s">
        <v>3862</v>
      </c>
      <c r="D1830" s="141" t="s">
        <v>1327</v>
      </c>
    </row>
    <row r="1831" spans="1:4" x14ac:dyDescent="0.3">
      <c r="A1831" s="141" t="s">
        <v>3863</v>
      </c>
      <c r="B1831" s="141">
        <v>522165</v>
      </c>
      <c r="C1831" s="141" t="s">
        <v>1129</v>
      </c>
      <c r="D1831" s="141" t="s">
        <v>1161</v>
      </c>
    </row>
    <row r="1832" spans="1:4" x14ac:dyDescent="0.3">
      <c r="A1832" s="141" t="s">
        <v>3864</v>
      </c>
      <c r="B1832" s="141">
        <v>503639</v>
      </c>
      <c r="C1832" s="141" t="s">
        <v>1129</v>
      </c>
      <c r="D1832" s="141" t="s">
        <v>1550</v>
      </c>
    </row>
    <row r="1833" spans="1:4" x14ac:dyDescent="0.3">
      <c r="A1833" s="141" t="s">
        <v>3865</v>
      </c>
      <c r="B1833" s="141">
        <v>532305</v>
      </c>
      <c r="C1833" s="141" t="s">
        <v>3866</v>
      </c>
      <c r="D1833" s="141" t="s">
        <v>1167</v>
      </c>
    </row>
    <row r="1834" spans="1:4" x14ac:dyDescent="0.3">
      <c r="A1834" s="141" t="s">
        <v>3867</v>
      </c>
      <c r="B1834" s="141">
        <v>524652</v>
      </c>
      <c r="C1834" s="141" t="s">
        <v>3868</v>
      </c>
      <c r="D1834" s="141" t="s">
        <v>1167</v>
      </c>
    </row>
    <row r="1835" spans="1:4" x14ac:dyDescent="0.3">
      <c r="A1835" s="141" t="s">
        <v>3869</v>
      </c>
      <c r="B1835" s="141">
        <v>532001</v>
      </c>
      <c r="C1835" s="141" t="s">
        <v>1129</v>
      </c>
      <c r="D1835" s="141" t="s">
        <v>1161</v>
      </c>
    </row>
    <row r="1836" spans="1:4" x14ac:dyDescent="0.3">
      <c r="A1836" s="141" t="s">
        <v>3870</v>
      </c>
      <c r="B1836" s="141">
        <v>531841</v>
      </c>
      <c r="C1836" s="141" t="s">
        <v>1129</v>
      </c>
      <c r="D1836" s="141" t="s">
        <v>1146</v>
      </c>
    </row>
    <row r="1837" spans="1:4" x14ac:dyDescent="0.3">
      <c r="A1837" s="141" t="s">
        <v>3871</v>
      </c>
      <c r="B1837" s="141">
        <v>532187</v>
      </c>
      <c r="C1837" s="141" t="s">
        <v>3872</v>
      </c>
      <c r="D1837" s="141" t="s">
        <v>1447</v>
      </c>
    </row>
    <row r="1838" spans="1:4" x14ac:dyDescent="0.3">
      <c r="A1838" s="141" t="s">
        <v>3873</v>
      </c>
      <c r="B1838" s="141">
        <v>501298</v>
      </c>
      <c r="C1838" s="141" t="s">
        <v>1129</v>
      </c>
      <c r="D1838" s="141" t="s">
        <v>1149</v>
      </c>
    </row>
    <row r="1839" spans="1:4" x14ac:dyDescent="0.3">
      <c r="A1839" s="141" t="s">
        <v>3874</v>
      </c>
      <c r="B1839" s="141">
        <v>501295</v>
      </c>
      <c r="C1839" s="141" t="s">
        <v>3875</v>
      </c>
      <c r="D1839" s="141" t="s">
        <v>1146</v>
      </c>
    </row>
    <row r="1840" spans="1:4" x14ac:dyDescent="0.3">
      <c r="A1840" s="141" t="s">
        <v>3876</v>
      </c>
      <c r="B1840" s="141">
        <v>506222</v>
      </c>
      <c r="C1840" s="141" t="s">
        <v>3877</v>
      </c>
      <c r="D1840" s="141" t="s">
        <v>1289</v>
      </c>
    </row>
    <row r="1841" spans="1:4" x14ac:dyDescent="0.3">
      <c r="A1841" s="141" t="s">
        <v>3878</v>
      </c>
      <c r="B1841" s="141">
        <v>506222</v>
      </c>
      <c r="C1841" s="141" t="s">
        <v>3877</v>
      </c>
      <c r="D1841" s="141" t="s">
        <v>1289</v>
      </c>
    </row>
    <row r="1842" spans="1:4" x14ac:dyDescent="0.3">
      <c r="A1842" s="141" t="s">
        <v>3879</v>
      </c>
      <c r="B1842" s="141">
        <v>512025</v>
      </c>
      <c r="C1842" s="141" t="s">
        <v>1129</v>
      </c>
      <c r="D1842" s="141" t="s">
        <v>1550</v>
      </c>
    </row>
    <row r="1843" spans="1:4" x14ac:dyDescent="0.3">
      <c r="A1843" s="141" t="s">
        <v>3880</v>
      </c>
      <c r="B1843" s="141">
        <v>539807</v>
      </c>
      <c r="C1843" s="141" t="s">
        <v>3881</v>
      </c>
      <c r="D1843" s="141" t="s">
        <v>1135</v>
      </c>
    </row>
    <row r="1844" spans="1:4" x14ac:dyDescent="0.3">
      <c r="A1844" s="141" t="s">
        <v>3882</v>
      </c>
      <c r="B1844" s="141">
        <v>533154</v>
      </c>
      <c r="C1844" s="141" t="s">
        <v>3883</v>
      </c>
      <c r="D1844" s="141" t="s">
        <v>1115</v>
      </c>
    </row>
    <row r="1845" spans="1:4" x14ac:dyDescent="0.3">
      <c r="A1845" s="141" t="s">
        <v>3884</v>
      </c>
      <c r="B1845" s="141">
        <v>533154</v>
      </c>
      <c r="C1845" s="141" t="s">
        <v>3883</v>
      </c>
      <c r="D1845" s="141" t="s">
        <v>1115</v>
      </c>
    </row>
    <row r="1846" spans="1:4" x14ac:dyDescent="0.3">
      <c r="A1846" s="141" t="s">
        <v>3885</v>
      </c>
      <c r="B1846" s="141">
        <v>541083</v>
      </c>
      <c r="C1846" s="141" t="s">
        <v>1129</v>
      </c>
      <c r="D1846" s="141" t="s">
        <v>2175</v>
      </c>
    </row>
    <row r="1847" spans="1:4" x14ac:dyDescent="0.3">
      <c r="A1847" s="141" t="s">
        <v>3886</v>
      </c>
      <c r="B1847" s="141">
        <v>532777</v>
      </c>
      <c r="C1847" s="141" t="s">
        <v>3887</v>
      </c>
      <c r="D1847" s="141" t="s">
        <v>3888</v>
      </c>
    </row>
    <row r="1848" spans="1:4" x14ac:dyDescent="0.3">
      <c r="A1848" s="141" t="s">
        <v>3889</v>
      </c>
      <c r="B1848" s="141">
        <v>532777</v>
      </c>
      <c r="C1848" s="141" t="s">
        <v>3887</v>
      </c>
      <c r="D1848" s="141" t="s">
        <v>3888</v>
      </c>
    </row>
    <row r="1849" spans="1:4" x14ac:dyDescent="0.3">
      <c r="A1849" s="141" t="s">
        <v>3890</v>
      </c>
      <c r="B1849" s="141" t="s">
        <v>1129</v>
      </c>
      <c r="C1849" s="141" t="s">
        <v>3891</v>
      </c>
      <c r="D1849" s="141" t="s">
        <v>1140</v>
      </c>
    </row>
    <row r="1850" spans="1:4" x14ac:dyDescent="0.3">
      <c r="A1850" s="141" t="s">
        <v>3892</v>
      </c>
      <c r="B1850" s="141">
        <v>504810</v>
      </c>
      <c r="C1850" s="141" t="s">
        <v>1129</v>
      </c>
      <c r="D1850" s="141" t="s">
        <v>1459</v>
      </c>
    </row>
    <row r="1851" spans="1:4" x14ac:dyDescent="0.3">
      <c r="A1851" s="141" t="s">
        <v>3893</v>
      </c>
      <c r="B1851" s="141">
        <v>504810</v>
      </c>
      <c r="C1851" s="141" t="s">
        <v>1129</v>
      </c>
      <c r="D1851" s="141" t="s">
        <v>1459</v>
      </c>
    </row>
    <row r="1852" spans="1:4" x14ac:dyDescent="0.3">
      <c r="A1852" s="141" t="s">
        <v>3894</v>
      </c>
      <c r="B1852" s="141">
        <v>500209</v>
      </c>
      <c r="C1852" s="141" t="s">
        <v>3895</v>
      </c>
      <c r="D1852" s="141" t="s">
        <v>1115</v>
      </c>
    </row>
    <row r="1853" spans="1:4" x14ac:dyDescent="0.3">
      <c r="A1853" s="141" t="s">
        <v>3896</v>
      </c>
      <c r="B1853" s="141">
        <v>530777</v>
      </c>
      <c r="C1853" s="141" t="s">
        <v>1129</v>
      </c>
      <c r="D1853" s="141" t="s">
        <v>1249</v>
      </c>
    </row>
    <row r="1854" spans="1:4" x14ac:dyDescent="0.3">
      <c r="A1854" s="141" t="s">
        <v>3897</v>
      </c>
      <c r="B1854" s="141">
        <v>537985</v>
      </c>
      <c r="C1854" s="141" t="s">
        <v>1129</v>
      </c>
      <c r="D1854" s="141" t="s">
        <v>1222</v>
      </c>
    </row>
    <row r="1855" spans="1:4" x14ac:dyDescent="0.3">
      <c r="A1855" s="141" t="s">
        <v>3898</v>
      </c>
      <c r="B1855" s="141">
        <v>500210</v>
      </c>
      <c r="C1855" s="141" t="s">
        <v>3899</v>
      </c>
      <c r="D1855" s="141" t="s">
        <v>1137</v>
      </c>
    </row>
    <row r="1856" spans="1:4" x14ac:dyDescent="0.3">
      <c r="A1856" s="141" t="s">
        <v>3900</v>
      </c>
      <c r="B1856" s="141">
        <v>500210</v>
      </c>
      <c r="C1856" s="141" t="s">
        <v>3899</v>
      </c>
      <c r="D1856" s="141" t="s">
        <v>1137</v>
      </c>
    </row>
    <row r="1857" spans="1:4" x14ac:dyDescent="0.3">
      <c r="A1857" s="141" t="s">
        <v>3901</v>
      </c>
      <c r="B1857" s="141">
        <v>530787</v>
      </c>
      <c r="C1857" s="141" t="s">
        <v>1129</v>
      </c>
      <c r="D1857" s="141" t="s">
        <v>3122</v>
      </c>
    </row>
    <row r="1858" spans="1:4" x14ac:dyDescent="0.3">
      <c r="A1858" s="141" t="s">
        <v>3902</v>
      </c>
      <c r="B1858" s="141">
        <v>531929</v>
      </c>
      <c r="C1858" s="141" t="s">
        <v>3903</v>
      </c>
      <c r="D1858" s="141" t="s">
        <v>1249</v>
      </c>
    </row>
    <row r="1859" spans="1:4" x14ac:dyDescent="0.3">
      <c r="A1859" s="141" t="s">
        <v>3904</v>
      </c>
      <c r="B1859" s="141" t="s">
        <v>1129</v>
      </c>
      <c r="C1859" s="141" t="s">
        <v>3905</v>
      </c>
      <c r="D1859" s="141" t="s">
        <v>1140</v>
      </c>
    </row>
    <row r="1860" spans="1:4" x14ac:dyDescent="0.3">
      <c r="A1860" s="141" t="s">
        <v>3906</v>
      </c>
      <c r="B1860" s="141">
        <v>533315</v>
      </c>
      <c r="C1860" s="141" t="s">
        <v>1129</v>
      </c>
      <c r="D1860" s="141" t="s">
        <v>1295</v>
      </c>
    </row>
    <row r="1861" spans="1:4" x14ac:dyDescent="0.3">
      <c r="A1861" s="141" t="s">
        <v>3907</v>
      </c>
      <c r="B1861" s="141">
        <v>517433</v>
      </c>
      <c r="C1861" s="141" t="s">
        <v>1129</v>
      </c>
      <c r="D1861" s="141" t="s">
        <v>1115</v>
      </c>
    </row>
    <row r="1862" spans="1:4" x14ac:dyDescent="0.3">
      <c r="A1862" s="141" t="s">
        <v>3908</v>
      </c>
      <c r="B1862" s="141">
        <v>541983</v>
      </c>
      <c r="C1862" s="141" t="s">
        <v>1129</v>
      </c>
      <c r="D1862" s="141" t="s">
        <v>3909</v>
      </c>
    </row>
    <row r="1863" spans="1:4" x14ac:dyDescent="0.3">
      <c r="A1863" s="141" t="s">
        <v>3910</v>
      </c>
      <c r="B1863" s="141">
        <v>541983</v>
      </c>
      <c r="C1863" s="141" t="s">
        <v>1129</v>
      </c>
      <c r="D1863" s="141" t="s">
        <v>3909</v>
      </c>
    </row>
    <row r="1864" spans="1:4" x14ac:dyDescent="0.3">
      <c r="A1864" s="141" t="s">
        <v>3911</v>
      </c>
      <c r="B1864" s="141">
        <v>523840</v>
      </c>
      <c r="C1864" s="141" t="s">
        <v>1129</v>
      </c>
      <c r="D1864" s="141" t="s">
        <v>1324</v>
      </c>
    </row>
    <row r="1865" spans="1:4" x14ac:dyDescent="0.3">
      <c r="A1865" s="141" t="s">
        <v>3912</v>
      </c>
      <c r="B1865" s="141" t="s">
        <v>1129</v>
      </c>
      <c r="C1865" s="141" t="s">
        <v>3913</v>
      </c>
      <c r="D1865" s="141" t="s">
        <v>1140</v>
      </c>
    </row>
    <row r="1866" spans="1:4" x14ac:dyDescent="0.3">
      <c r="A1866" s="141" t="s">
        <v>3914</v>
      </c>
      <c r="B1866" s="141">
        <v>541353</v>
      </c>
      <c r="C1866" s="141" t="s">
        <v>1129</v>
      </c>
      <c r="D1866" s="141" t="s">
        <v>1527</v>
      </c>
    </row>
    <row r="1867" spans="1:4" x14ac:dyDescent="0.3">
      <c r="A1867" s="141" t="s">
        <v>3915</v>
      </c>
      <c r="B1867" s="141">
        <v>532706</v>
      </c>
      <c r="C1867" s="141" t="s">
        <v>3916</v>
      </c>
      <c r="D1867" s="141" t="s">
        <v>1130</v>
      </c>
    </row>
    <row r="1868" spans="1:4" x14ac:dyDescent="0.3">
      <c r="A1868" s="141" t="s">
        <v>3917</v>
      </c>
      <c r="B1868" s="141">
        <v>539083</v>
      </c>
      <c r="C1868" s="141" t="s">
        <v>3918</v>
      </c>
      <c r="D1868" s="141" t="s">
        <v>1172</v>
      </c>
    </row>
    <row r="1869" spans="1:4" x14ac:dyDescent="0.3">
      <c r="A1869" s="141" t="s">
        <v>3919</v>
      </c>
      <c r="B1869" s="141">
        <v>532851</v>
      </c>
      <c r="C1869" s="141" t="s">
        <v>3920</v>
      </c>
      <c r="D1869" s="141" t="s">
        <v>1273</v>
      </c>
    </row>
    <row r="1870" spans="1:4" x14ac:dyDescent="0.3">
      <c r="A1870" s="141" t="s">
        <v>3921</v>
      </c>
      <c r="B1870" s="141">
        <v>532851</v>
      </c>
      <c r="C1870" s="141" t="s">
        <v>3920</v>
      </c>
      <c r="D1870" s="141" t="s">
        <v>1273</v>
      </c>
    </row>
    <row r="1871" spans="1:4" x14ac:dyDescent="0.3">
      <c r="A1871" s="141" t="s">
        <v>3922</v>
      </c>
      <c r="B1871" s="141">
        <v>500211</v>
      </c>
      <c r="C1871" s="141" t="s">
        <v>1129</v>
      </c>
      <c r="D1871" s="141" t="s">
        <v>1314</v>
      </c>
    </row>
    <row r="1872" spans="1:4" x14ac:dyDescent="0.3">
      <c r="A1872" s="141" t="s">
        <v>3923</v>
      </c>
      <c r="B1872" s="141">
        <v>532774</v>
      </c>
      <c r="C1872" s="141" t="s">
        <v>3924</v>
      </c>
      <c r="D1872" s="141" t="s">
        <v>1115</v>
      </c>
    </row>
    <row r="1873" spans="1:4" x14ac:dyDescent="0.3">
      <c r="A1873" s="141" t="s">
        <v>3925</v>
      </c>
      <c r="B1873" s="141">
        <v>526871</v>
      </c>
      <c r="C1873" s="141" t="s">
        <v>1129</v>
      </c>
      <c r="D1873" s="141" t="s">
        <v>1112</v>
      </c>
    </row>
    <row r="1874" spans="1:4" x14ac:dyDescent="0.3">
      <c r="A1874" s="141" t="s">
        <v>3926</v>
      </c>
      <c r="B1874" s="141">
        <v>531314</v>
      </c>
      <c r="C1874" s="141" t="s">
        <v>3927</v>
      </c>
      <c r="D1874" s="141" t="s">
        <v>1146</v>
      </c>
    </row>
    <row r="1875" spans="1:4" x14ac:dyDescent="0.3">
      <c r="A1875" s="141" t="s">
        <v>3928</v>
      </c>
      <c r="B1875" s="141">
        <v>505358</v>
      </c>
      <c r="C1875" s="141" t="s">
        <v>1129</v>
      </c>
      <c r="D1875" s="141" t="s">
        <v>1137</v>
      </c>
    </row>
    <row r="1876" spans="1:4" x14ac:dyDescent="0.3">
      <c r="A1876" s="141" t="s">
        <v>3929</v>
      </c>
      <c r="B1876" s="141">
        <v>505358</v>
      </c>
      <c r="C1876" s="141" t="s">
        <v>1129</v>
      </c>
      <c r="D1876" s="141" t="s">
        <v>1137</v>
      </c>
    </row>
    <row r="1877" spans="1:4" x14ac:dyDescent="0.3">
      <c r="A1877" s="141" t="s">
        <v>3930</v>
      </c>
      <c r="B1877" s="141">
        <v>535958</v>
      </c>
      <c r="C1877" s="141" t="s">
        <v>3931</v>
      </c>
      <c r="D1877" s="141" t="s">
        <v>1243</v>
      </c>
    </row>
    <row r="1878" spans="1:4" x14ac:dyDescent="0.3">
      <c r="A1878" s="141" t="s">
        <v>3932</v>
      </c>
      <c r="B1878" s="141">
        <v>517423</v>
      </c>
      <c r="C1878" s="141" t="s">
        <v>1129</v>
      </c>
      <c r="D1878" s="141" t="s">
        <v>1427</v>
      </c>
    </row>
    <row r="1879" spans="1:4" x14ac:dyDescent="0.3">
      <c r="A1879" s="141" t="s">
        <v>3933</v>
      </c>
      <c r="B1879" s="141">
        <v>536868</v>
      </c>
      <c r="C1879" s="141" t="s">
        <v>1129</v>
      </c>
      <c r="D1879" s="141" t="s">
        <v>1115</v>
      </c>
    </row>
    <row r="1880" spans="1:4" x14ac:dyDescent="0.3">
      <c r="A1880" s="141" t="s">
        <v>3934</v>
      </c>
      <c r="B1880" s="141">
        <v>539149</v>
      </c>
      <c r="C1880" s="141" t="s">
        <v>1129</v>
      </c>
      <c r="D1880" s="141" t="s">
        <v>1213</v>
      </c>
    </row>
    <row r="1881" spans="1:4" x14ac:dyDescent="0.3">
      <c r="A1881" s="141" t="s">
        <v>3935</v>
      </c>
      <c r="B1881" s="141">
        <v>500212</v>
      </c>
      <c r="C1881" s="141" t="s">
        <v>1129</v>
      </c>
      <c r="D1881" s="141" t="s">
        <v>1146</v>
      </c>
    </row>
    <row r="1882" spans="1:4" x14ac:dyDescent="0.3">
      <c r="A1882" s="141" t="s">
        <v>3936</v>
      </c>
      <c r="B1882" s="141">
        <v>519606</v>
      </c>
      <c r="C1882" s="141" t="s">
        <v>1129</v>
      </c>
      <c r="D1882" s="141" t="s">
        <v>1378</v>
      </c>
    </row>
    <row r="1883" spans="1:4" x14ac:dyDescent="0.3">
      <c r="A1883" s="141" t="s">
        <v>3937</v>
      </c>
      <c r="B1883" s="141">
        <v>531889</v>
      </c>
      <c r="C1883" s="141" t="s">
        <v>1129</v>
      </c>
      <c r="D1883" s="141" t="s">
        <v>1671</v>
      </c>
    </row>
    <row r="1884" spans="1:4" x14ac:dyDescent="0.3">
      <c r="A1884" s="141" t="s">
        <v>3938</v>
      </c>
      <c r="B1884" s="141">
        <v>530921</v>
      </c>
      <c r="C1884" s="141" t="s">
        <v>1129</v>
      </c>
      <c r="D1884" s="141" t="s">
        <v>1249</v>
      </c>
    </row>
    <row r="1885" spans="1:4" x14ac:dyDescent="0.3">
      <c r="A1885" s="141" t="s">
        <v>3939</v>
      </c>
      <c r="B1885" s="141">
        <v>538835</v>
      </c>
      <c r="C1885" s="141" t="s">
        <v>3940</v>
      </c>
      <c r="D1885" s="141" t="s">
        <v>1222</v>
      </c>
    </row>
    <row r="1886" spans="1:4" x14ac:dyDescent="0.3">
      <c r="A1886" s="141" t="s">
        <v>3941</v>
      </c>
      <c r="B1886" s="141">
        <v>534732</v>
      </c>
      <c r="C1886" s="141" t="s">
        <v>1129</v>
      </c>
      <c r="D1886" s="141" t="s">
        <v>1112</v>
      </c>
    </row>
    <row r="1887" spans="1:4" x14ac:dyDescent="0.3">
      <c r="A1887" s="141" t="s">
        <v>3942</v>
      </c>
      <c r="B1887" s="141">
        <v>506134</v>
      </c>
      <c r="C1887" s="141" t="s">
        <v>1129</v>
      </c>
      <c r="D1887" s="141" t="s">
        <v>1249</v>
      </c>
    </row>
    <row r="1888" spans="1:4" x14ac:dyDescent="0.3">
      <c r="A1888" s="141" t="s">
        <v>3943</v>
      </c>
      <c r="B1888" s="141">
        <v>532326</v>
      </c>
      <c r="C1888" s="141" t="s">
        <v>3944</v>
      </c>
      <c r="D1888" s="141" t="s">
        <v>1222</v>
      </c>
    </row>
    <row r="1889" spans="1:4" x14ac:dyDescent="0.3">
      <c r="A1889" s="141" t="s">
        <v>3945</v>
      </c>
      <c r="B1889" s="141">
        <v>511391</v>
      </c>
      <c r="C1889" s="141" t="s">
        <v>1129</v>
      </c>
      <c r="D1889" s="141" t="s">
        <v>1146</v>
      </c>
    </row>
    <row r="1890" spans="1:4" x14ac:dyDescent="0.3">
      <c r="A1890" s="141" t="s">
        <v>3946</v>
      </c>
      <c r="B1890" s="141">
        <v>530259</v>
      </c>
      <c r="C1890" s="141" t="s">
        <v>1129</v>
      </c>
      <c r="D1890" s="141" t="s">
        <v>1201</v>
      </c>
    </row>
    <row r="1891" spans="1:4" x14ac:dyDescent="0.3">
      <c r="A1891" s="141" t="s">
        <v>3947</v>
      </c>
      <c r="B1891" s="141">
        <v>539692</v>
      </c>
      <c r="C1891" s="141" t="s">
        <v>1129</v>
      </c>
      <c r="D1891" s="141" t="s">
        <v>1146</v>
      </c>
    </row>
    <row r="1892" spans="1:4" x14ac:dyDescent="0.3">
      <c r="A1892" s="141" t="s">
        <v>3948</v>
      </c>
      <c r="B1892" s="141">
        <v>539448</v>
      </c>
      <c r="C1892" s="141" t="s">
        <v>3949</v>
      </c>
      <c r="D1892" s="141" t="s">
        <v>3267</v>
      </c>
    </row>
    <row r="1893" spans="1:4" x14ac:dyDescent="0.3">
      <c r="A1893" s="141" t="s">
        <v>3950</v>
      </c>
      <c r="B1893" s="141">
        <v>526512</v>
      </c>
      <c r="C1893" s="141" t="s">
        <v>1129</v>
      </c>
      <c r="D1893" s="141" t="s">
        <v>1192</v>
      </c>
    </row>
    <row r="1894" spans="1:4" x14ac:dyDescent="0.3">
      <c r="A1894" s="141" t="s">
        <v>3951</v>
      </c>
      <c r="B1894" s="141">
        <v>505737</v>
      </c>
      <c r="C1894" s="141" t="s">
        <v>1129</v>
      </c>
      <c r="D1894" s="141" t="s">
        <v>1137</v>
      </c>
    </row>
    <row r="1895" spans="1:4" x14ac:dyDescent="0.3">
      <c r="A1895" s="141" t="s">
        <v>3952</v>
      </c>
      <c r="B1895" s="141">
        <v>505737</v>
      </c>
      <c r="C1895" s="141" t="s">
        <v>1129</v>
      </c>
      <c r="D1895" s="141" t="s">
        <v>1137</v>
      </c>
    </row>
    <row r="1896" spans="1:4" x14ac:dyDescent="0.3">
      <c r="A1896" s="141" t="s">
        <v>3953</v>
      </c>
      <c r="B1896" s="141" t="s">
        <v>1129</v>
      </c>
      <c r="C1896" s="141" t="s">
        <v>3954</v>
      </c>
      <c r="D1896" s="141" t="s">
        <v>1220</v>
      </c>
    </row>
    <row r="1897" spans="1:4" x14ac:dyDescent="0.3">
      <c r="A1897" s="141" t="s">
        <v>3955</v>
      </c>
      <c r="B1897" s="141">
        <v>509709</v>
      </c>
      <c r="C1897" s="141" t="s">
        <v>1129</v>
      </c>
      <c r="D1897" s="141" t="s">
        <v>1249</v>
      </c>
    </row>
    <row r="1898" spans="1:4" x14ac:dyDescent="0.3">
      <c r="A1898" s="141" t="s">
        <v>3956</v>
      </c>
      <c r="B1898" s="141">
        <v>517044</v>
      </c>
      <c r="C1898" s="141" t="s">
        <v>1129</v>
      </c>
      <c r="D1898" s="141" t="s">
        <v>1213</v>
      </c>
    </row>
    <row r="1899" spans="1:4" x14ac:dyDescent="0.3">
      <c r="A1899" s="141" t="s">
        <v>3957</v>
      </c>
      <c r="B1899" s="141">
        <v>530781</v>
      </c>
      <c r="C1899" s="141" t="s">
        <v>1129</v>
      </c>
      <c r="D1899" s="141" t="s">
        <v>1187</v>
      </c>
    </row>
    <row r="1900" spans="1:4" x14ac:dyDescent="0.3">
      <c r="A1900" s="141" t="s">
        <v>3958</v>
      </c>
      <c r="B1900" s="141">
        <v>502330</v>
      </c>
      <c r="C1900" s="141" t="s">
        <v>3959</v>
      </c>
      <c r="D1900" s="141" t="s">
        <v>1123</v>
      </c>
    </row>
    <row r="1901" spans="1:4" x14ac:dyDescent="0.3">
      <c r="A1901" s="141" t="s">
        <v>3960</v>
      </c>
      <c r="B1901" s="141">
        <v>500213</v>
      </c>
      <c r="C1901" s="141" t="s">
        <v>1129</v>
      </c>
      <c r="D1901" s="141" t="s">
        <v>2132</v>
      </c>
    </row>
    <row r="1902" spans="1:4" x14ac:dyDescent="0.3">
      <c r="A1902" s="141" t="s">
        <v>3961</v>
      </c>
      <c r="B1902" s="141">
        <v>532072</v>
      </c>
      <c r="C1902" s="141" t="s">
        <v>1129</v>
      </c>
      <c r="D1902" s="141" t="s">
        <v>1132</v>
      </c>
    </row>
    <row r="1903" spans="1:4" x14ac:dyDescent="0.3">
      <c r="A1903" s="141" t="s">
        <v>3962</v>
      </c>
      <c r="B1903" s="141">
        <v>533181</v>
      </c>
      <c r="C1903" s="141" t="s">
        <v>3963</v>
      </c>
      <c r="D1903" s="141" t="s">
        <v>3888</v>
      </c>
    </row>
    <row r="1904" spans="1:4" x14ac:dyDescent="0.3">
      <c r="A1904" s="141" t="s">
        <v>3964</v>
      </c>
      <c r="B1904" s="141">
        <v>533506</v>
      </c>
      <c r="C1904" s="141" t="s">
        <v>3965</v>
      </c>
      <c r="D1904" s="141" t="s">
        <v>1112</v>
      </c>
    </row>
    <row r="1905" spans="1:4" x14ac:dyDescent="0.3">
      <c r="A1905" s="141" t="s">
        <v>3966</v>
      </c>
      <c r="B1905" s="141">
        <v>533172</v>
      </c>
      <c r="C1905" s="141" t="s">
        <v>3967</v>
      </c>
      <c r="D1905" s="141" t="s">
        <v>1112</v>
      </c>
    </row>
    <row r="1906" spans="1:4" x14ac:dyDescent="0.3">
      <c r="A1906" s="141" t="s">
        <v>3968</v>
      </c>
      <c r="B1906" s="141">
        <v>504786</v>
      </c>
      <c r="C1906" s="141" t="s">
        <v>1129</v>
      </c>
      <c r="D1906" s="141" t="s">
        <v>2049</v>
      </c>
    </row>
    <row r="1907" spans="1:4" x14ac:dyDescent="0.3">
      <c r="A1907" s="141" t="s">
        <v>3969</v>
      </c>
      <c r="B1907" s="141">
        <v>523844</v>
      </c>
      <c r="C1907" s="141" t="s">
        <v>1129</v>
      </c>
      <c r="D1907" s="141" t="s">
        <v>2296</v>
      </c>
    </row>
    <row r="1908" spans="1:4" x14ac:dyDescent="0.3">
      <c r="A1908" s="141" t="s">
        <v>3970</v>
      </c>
      <c r="B1908" s="141">
        <v>523752</v>
      </c>
      <c r="C1908" s="141" t="s">
        <v>1129</v>
      </c>
      <c r="D1908" s="141" t="s">
        <v>1137</v>
      </c>
    </row>
    <row r="1909" spans="1:4" x14ac:dyDescent="0.3">
      <c r="A1909" s="141" t="s">
        <v>3971</v>
      </c>
      <c r="B1909" s="141">
        <v>524164</v>
      </c>
      <c r="C1909" s="141" t="s">
        <v>3972</v>
      </c>
      <c r="D1909" s="141" t="s">
        <v>1167</v>
      </c>
    </row>
    <row r="1910" spans="1:4" x14ac:dyDescent="0.3">
      <c r="A1910" s="141" t="s">
        <v>3973</v>
      </c>
      <c r="B1910" s="141">
        <v>500214</v>
      </c>
      <c r="C1910" s="141" t="s">
        <v>1129</v>
      </c>
      <c r="D1910" s="141" t="s">
        <v>1137</v>
      </c>
    </row>
    <row r="1911" spans="1:4" x14ac:dyDescent="0.3">
      <c r="A1911" s="141" t="s">
        <v>3974</v>
      </c>
      <c r="B1911" s="141">
        <v>500214</v>
      </c>
      <c r="C1911" s="141" t="s">
        <v>1129</v>
      </c>
      <c r="D1911" s="141" t="s">
        <v>1137</v>
      </c>
    </row>
    <row r="1912" spans="1:4" x14ac:dyDescent="0.3">
      <c r="A1912" s="141" t="s">
        <v>3975</v>
      </c>
      <c r="B1912" s="141">
        <v>523638</v>
      </c>
      <c r="C1912" s="141" t="s">
        <v>1129</v>
      </c>
      <c r="D1912" s="141" t="s">
        <v>1484</v>
      </c>
    </row>
    <row r="1913" spans="1:4" x14ac:dyDescent="0.3">
      <c r="A1913" s="141" t="s">
        <v>3976</v>
      </c>
      <c r="B1913" s="141">
        <v>524494</v>
      </c>
      <c r="C1913" s="141" t="s">
        <v>3977</v>
      </c>
      <c r="D1913" s="141" t="s">
        <v>1167</v>
      </c>
    </row>
    <row r="1914" spans="1:4" x14ac:dyDescent="0.3">
      <c r="A1914" s="141" t="s">
        <v>3978</v>
      </c>
      <c r="B1914" s="141">
        <v>512405</v>
      </c>
      <c r="C1914" s="141" t="s">
        <v>1129</v>
      </c>
      <c r="D1914" s="141" t="s">
        <v>1135</v>
      </c>
    </row>
    <row r="1915" spans="1:4" x14ac:dyDescent="0.3">
      <c r="A1915" s="141" t="s">
        <v>3979</v>
      </c>
      <c r="B1915" s="141">
        <v>512405</v>
      </c>
      <c r="C1915" s="141" t="s">
        <v>1129</v>
      </c>
      <c r="D1915" s="141" t="s">
        <v>1135</v>
      </c>
    </row>
    <row r="1916" spans="1:4" x14ac:dyDescent="0.3">
      <c r="A1916" s="141" t="s">
        <v>3980</v>
      </c>
      <c r="B1916" s="141">
        <v>532947</v>
      </c>
      <c r="C1916" s="141" t="s">
        <v>3981</v>
      </c>
      <c r="D1916" s="141" t="s">
        <v>1724</v>
      </c>
    </row>
    <row r="1917" spans="1:4" x14ac:dyDescent="0.3">
      <c r="A1917" s="141" t="s">
        <v>3982</v>
      </c>
      <c r="B1917" s="141">
        <v>540526</v>
      </c>
      <c r="C1917" s="141" t="s">
        <v>3983</v>
      </c>
      <c r="D1917" s="141" t="s">
        <v>1149</v>
      </c>
    </row>
    <row r="1918" spans="1:4" x14ac:dyDescent="0.3">
      <c r="A1918" s="141" t="s">
        <v>3984</v>
      </c>
      <c r="B1918" s="141">
        <v>541956</v>
      </c>
      <c r="C1918" s="141" t="s">
        <v>3985</v>
      </c>
      <c r="D1918" s="141" t="s">
        <v>1527</v>
      </c>
    </row>
    <row r="1919" spans="1:4" x14ac:dyDescent="0.3">
      <c r="A1919" s="141" t="s">
        <v>3986</v>
      </c>
      <c r="B1919" s="141">
        <v>540735</v>
      </c>
      <c r="C1919" s="141" t="s">
        <v>1129</v>
      </c>
      <c r="D1919" s="141" t="s">
        <v>1222</v>
      </c>
    </row>
    <row r="1920" spans="1:4" x14ac:dyDescent="0.3">
      <c r="A1920" s="141" t="s">
        <v>3987</v>
      </c>
      <c r="B1920" s="141" t="s">
        <v>1129</v>
      </c>
      <c r="C1920" s="141" t="s">
        <v>3988</v>
      </c>
      <c r="D1920" s="141" t="s">
        <v>1140</v>
      </c>
    </row>
    <row r="1921" spans="1:4" x14ac:dyDescent="0.3">
      <c r="A1921" s="141" t="s">
        <v>3989</v>
      </c>
      <c r="B1921" s="141">
        <v>531337</v>
      </c>
      <c r="C1921" s="141" t="s">
        <v>1129</v>
      </c>
      <c r="D1921" s="141" t="s">
        <v>1112</v>
      </c>
    </row>
    <row r="1922" spans="1:4" x14ac:dyDescent="0.3">
      <c r="A1922" s="141" t="s">
        <v>3990</v>
      </c>
      <c r="B1922" s="141">
        <v>526859</v>
      </c>
      <c r="C1922" s="141" t="s">
        <v>1129</v>
      </c>
      <c r="D1922" s="141" t="s">
        <v>1146</v>
      </c>
    </row>
    <row r="1923" spans="1:4" x14ac:dyDescent="0.3">
      <c r="A1923" s="141" t="s">
        <v>3991</v>
      </c>
      <c r="B1923" s="141">
        <v>533033</v>
      </c>
      <c r="C1923" s="141" t="s">
        <v>1129</v>
      </c>
      <c r="D1923" s="141" t="s">
        <v>1137</v>
      </c>
    </row>
    <row r="1924" spans="1:4" x14ac:dyDescent="0.3">
      <c r="A1924" s="141" t="s">
        <v>3992</v>
      </c>
      <c r="B1924" s="141">
        <v>540134</v>
      </c>
      <c r="C1924" s="141" t="s">
        <v>1129</v>
      </c>
      <c r="D1924" s="141" t="s">
        <v>1527</v>
      </c>
    </row>
    <row r="1925" spans="1:4" x14ac:dyDescent="0.3">
      <c r="A1925" s="141" t="s">
        <v>3993</v>
      </c>
      <c r="B1925" s="141">
        <v>531109</v>
      </c>
      <c r="C1925" s="141" t="s">
        <v>1129</v>
      </c>
      <c r="D1925" s="141" t="s">
        <v>1289</v>
      </c>
    </row>
    <row r="1926" spans="1:4" x14ac:dyDescent="0.3">
      <c r="A1926" s="141" t="s">
        <v>3994</v>
      </c>
      <c r="B1926" s="141">
        <v>524400</v>
      </c>
      <c r="C1926" s="141" t="s">
        <v>1129</v>
      </c>
      <c r="D1926" s="141" t="s">
        <v>1167</v>
      </c>
    </row>
    <row r="1927" spans="1:4" x14ac:dyDescent="0.3">
      <c r="A1927" s="141" t="s">
        <v>3995</v>
      </c>
      <c r="B1927" s="141">
        <v>506161</v>
      </c>
      <c r="C1927" s="141" t="s">
        <v>1129</v>
      </c>
      <c r="D1927" s="141" t="s">
        <v>1146</v>
      </c>
    </row>
    <row r="1928" spans="1:4" x14ac:dyDescent="0.3">
      <c r="A1928" s="141" t="s">
        <v>3996</v>
      </c>
      <c r="B1928" s="141">
        <v>511609</v>
      </c>
      <c r="C1928" s="141" t="s">
        <v>1129</v>
      </c>
      <c r="D1928" s="141" t="s">
        <v>1146</v>
      </c>
    </row>
    <row r="1929" spans="1:4" x14ac:dyDescent="0.3">
      <c r="A1929" s="141" t="s">
        <v>3997</v>
      </c>
      <c r="B1929" s="141">
        <v>532479</v>
      </c>
      <c r="C1929" s="141" t="s">
        <v>3998</v>
      </c>
      <c r="D1929" s="141" t="s">
        <v>1161</v>
      </c>
    </row>
    <row r="1930" spans="1:4" x14ac:dyDescent="0.3">
      <c r="A1930" s="141" t="s">
        <v>3999</v>
      </c>
      <c r="B1930" s="141">
        <v>508807</v>
      </c>
      <c r="C1930" s="141" t="s">
        <v>1129</v>
      </c>
      <c r="D1930" s="141" t="s">
        <v>1484</v>
      </c>
    </row>
    <row r="1931" spans="1:4" x14ac:dyDescent="0.3">
      <c r="A1931" s="141" t="s">
        <v>4000</v>
      </c>
      <c r="B1931" s="141">
        <v>524622</v>
      </c>
      <c r="C1931" s="141" t="s">
        <v>1129</v>
      </c>
      <c r="D1931" s="141" t="s">
        <v>3888</v>
      </c>
    </row>
    <row r="1932" spans="1:4" x14ac:dyDescent="0.3">
      <c r="A1932" s="141" t="s">
        <v>1834</v>
      </c>
      <c r="B1932" s="141">
        <v>500875</v>
      </c>
      <c r="C1932" s="141" t="s">
        <v>1835</v>
      </c>
      <c r="D1932" s="141" t="s">
        <v>3300</v>
      </c>
    </row>
    <row r="1933" spans="1:4" x14ac:dyDescent="0.3">
      <c r="A1933" s="141" t="s">
        <v>4001</v>
      </c>
      <c r="B1933" s="141">
        <v>509496</v>
      </c>
      <c r="C1933" s="141" t="s">
        <v>4002</v>
      </c>
      <c r="D1933" s="141" t="s">
        <v>1527</v>
      </c>
    </row>
    <row r="1934" spans="1:4" x14ac:dyDescent="0.3">
      <c r="A1934" s="141" t="s">
        <v>4003</v>
      </c>
      <c r="B1934" s="141">
        <v>509496</v>
      </c>
      <c r="C1934" s="141" t="s">
        <v>4002</v>
      </c>
      <c r="D1934" s="141" t="s">
        <v>1527</v>
      </c>
    </row>
    <row r="1935" spans="1:4" x14ac:dyDescent="0.3">
      <c r="A1935" s="141" t="s">
        <v>4004</v>
      </c>
      <c r="B1935" s="141">
        <v>523610</v>
      </c>
      <c r="C1935" s="141" t="s">
        <v>4005</v>
      </c>
      <c r="D1935" s="141" t="s">
        <v>1275</v>
      </c>
    </row>
    <row r="1936" spans="1:4" x14ac:dyDescent="0.3">
      <c r="A1936" s="141" t="s">
        <v>4006</v>
      </c>
      <c r="B1936" s="141">
        <v>522183</v>
      </c>
      <c r="C1936" s="141" t="s">
        <v>1129</v>
      </c>
      <c r="D1936" s="141" t="s">
        <v>1137</v>
      </c>
    </row>
    <row r="1937" spans="1:4" x14ac:dyDescent="0.3">
      <c r="A1937" s="141" t="s">
        <v>4007</v>
      </c>
      <c r="B1937" s="141">
        <v>507580</v>
      </c>
      <c r="C1937" s="141" t="s">
        <v>4008</v>
      </c>
      <c r="D1937" s="141" t="s">
        <v>1177</v>
      </c>
    </row>
    <row r="1938" spans="1:4" x14ac:dyDescent="0.3">
      <c r="A1938" s="141" t="s">
        <v>4009</v>
      </c>
      <c r="B1938" s="141">
        <v>530773</v>
      </c>
      <c r="C1938" s="141" t="s">
        <v>4010</v>
      </c>
      <c r="D1938" s="141" t="s">
        <v>1527</v>
      </c>
    </row>
    <row r="1939" spans="1:4" x14ac:dyDescent="0.3">
      <c r="A1939" s="141" t="s">
        <v>4011</v>
      </c>
      <c r="B1939" s="141">
        <v>522245</v>
      </c>
      <c r="C1939" s="141" t="s">
        <v>1129</v>
      </c>
      <c r="D1939" s="141" t="s">
        <v>1314</v>
      </c>
    </row>
    <row r="1940" spans="1:4" x14ac:dyDescent="0.3">
      <c r="A1940" s="141" t="s">
        <v>4012</v>
      </c>
      <c r="B1940" s="141">
        <v>532341</v>
      </c>
      <c r="C1940" s="141" t="s">
        <v>4013</v>
      </c>
      <c r="D1940" s="141" t="s">
        <v>1115</v>
      </c>
    </row>
    <row r="1941" spans="1:4" x14ac:dyDescent="0.3">
      <c r="A1941" s="141" t="s">
        <v>4014</v>
      </c>
      <c r="B1941" s="141">
        <v>538539</v>
      </c>
      <c r="C1941" s="141" t="s">
        <v>1129</v>
      </c>
      <c r="D1941" s="141" t="s">
        <v>1149</v>
      </c>
    </row>
    <row r="1942" spans="1:4" x14ac:dyDescent="0.3">
      <c r="A1942" s="141" t="s">
        <v>4015</v>
      </c>
      <c r="B1942" s="141">
        <v>530049</v>
      </c>
      <c r="C1942" s="141" t="s">
        <v>1129</v>
      </c>
      <c r="D1942" s="141" t="s">
        <v>1144</v>
      </c>
    </row>
    <row r="1943" spans="1:4" x14ac:dyDescent="0.3">
      <c r="A1943" s="141" t="s">
        <v>4016</v>
      </c>
      <c r="B1943" s="141">
        <v>523062</v>
      </c>
      <c r="C1943" s="141" t="s">
        <v>1129</v>
      </c>
      <c r="D1943" s="141" t="s">
        <v>1146</v>
      </c>
    </row>
    <row r="1944" spans="1:4" x14ac:dyDescent="0.3">
      <c r="A1944" s="141" t="s">
        <v>4017</v>
      </c>
      <c r="B1944" s="141">
        <v>532940</v>
      </c>
      <c r="C1944" s="141" t="s">
        <v>4018</v>
      </c>
      <c r="D1944" s="141" t="s">
        <v>1527</v>
      </c>
    </row>
    <row r="1945" spans="1:4" x14ac:dyDescent="0.3">
      <c r="A1945" s="141" t="s">
        <v>4019</v>
      </c>
      <c r="B1945" s="141">
        <v>506522</v>
      </c>
      <c r="C1945" s="141" t="s">
        <v>1129</v>
      </c>
      <c r="D1945" s="141" t="s">
        <v>1311</v>
      </c>
    </row>
    <row r="1946" spans="1:4" x14ac:dyDescent="0.3">
      <c r="A1946" s="141" t="s">
        <v>4020</v>
      </c>
      <c r="B1946" s="141">
        <v>506522</v>
      </c>
      <c r="C1946" s="141" t="s">
        <v>1129</v>
      </c>
      <c r="D1946" s="141" t="s">
        <v>1311</v>
      </c>
    </row>
    <row r="1947" spans="1:4" x14ac:dyDescent="0.3">
      <c r="A1947" s="141" t="s">
        <v>4021</v>
      </c>
      <c r="B1947" s="141">
        <v>530915</v>
      </c>
      <c r="C1947" s="141" t="s">
        <v>1129</v>
      </c>
      <c r="D1947" s="141" t="s">
        <v>1378</v>
      </c>
    </row>
    <row r="1948" spans="1:4" x14ac:dyDescent="0.3">
      <c r="A1948" s="141" t="s">
        <v>4022</v>
      </c>
      <c r="B1948" s="141">
        <v>538422</v>
      </c>
      <c r="C1948" s="141" t="s">
        <v>1129</v>
      </c>
      <c r="D1948" s="141" t="s">
        <v>1149</v>
      </c>
    </row>
    <row r="1949" spans="1:4" x14ac:dyDescent="0.3">
      <c r="A1949" s="141" t="s">
        <v>4023</v>
      </c>
      <c r="B1949" s="141">
        <v>530711</v>
      </c>
      <c r="C1949" s="141" t="s">
        <v>1129</v>
      </c>
      <c r="D1949" s="141" t="s">
        <v>1484</v>
      </c>
    </row>
    <row r="1950" spans="1:4" x14ac:dyDescent="0.3">
      <c r="A1950" s="141" t="s">
        <v>4024</v>
      </c>
      <c r="B1950" s="141">
        <v>507155</v>
      </c>
      <c r="C1950" s="141" t="s">
        <v>1129</v>
      </c>
      <c r="D1950" s="141" t="s">
        <v>1761</v>
      </c>
    </row>
    <row r="1951" spans="1:4" x14ac:dyDescent="0.3">
      <c r="A1951" s="141" t="s">
        <v>4025</v>
      </c>
      <c r="B1951" s="141">
        <v>532825</v>
      </c>
      <c r="C1951" s="141" t="s">
        <v>1129</v>
      </c>
      <c r="D1951" s="141" t="s">
        <v>1144</v>
      </c>
    </row>
    <row r="1952" spans="1:4" x14ac:dyDescent="0.3">
      <c r="A1952" s="141" t="s">
        <v>4026</v>
      </c>
      <c r="B1952" s="141">
        <v>532705</v>
      </c>
      <c r="C1952" s="141" t="s">
        <v>4027</v>
      </c>
      <c r="D1952" s="141" t="s">
        <v>1653</v>
      </c>
    </row>
    <row r="1953" spans="1:4" x14ac:dyDescent="0.3">
      <c r="A1953" s="141" t="s">
        <v>4028</v>
      </c>
      <c r="B1953" s="141">
        <v>520139</v>
      </c>
      <c r="C1953" s="141" t="s">
        <v>1129</v>
      </c>
      <c r="D1953" s="141" t="s">
        <v>3267</v>
      </c>
    </row>
    <row r="1954" spans="1:4" x14ac:dyDescent="0.3">
      <c r="A1954" s="141" t="s">
        <v>4029</v>
      </c>
      <c r="B1954" s="141">
        <v>530601</v>
      </c>
      <c r="C1954" s="141" t="s">
        <v>1129</v>
      </c>
      <c r="D1954" s="141" t="s">
        <v>1146</v>
      </c>
    </row>
    <row r="1955" spans="1:4" x14ac:dyDescent="0.3">
      <c r="A1955" s="141" t="s">
        <v>4030</v>
      </c>
      <c r="B1955" s="141">
        <v>507789</v>
      </c>
      <c r="C1955" s="141" t="s">
        <v>4031</v>
      </c>
      <c r="D1955" s="141" t="s">
        <v>1167</v>
      </c>
    </row>
    <row r="1956" spans="1:4" x14ac:dyDescent="0.3">
      <c r="A1956" s="141" t="s">
        <v>4032</v>
      </c>
      <c r="B1956" s="141">
        <v>532976</v>
      </c>
      <c r="C1956" s="141" t="s">
        <v>4033</v>
      </c>
      <c r="D1956" s="141" t="s">
        <v>1161</v>
      </c>
    </row>
    <row r="1957" spans="1:4" x14ac:dyDescent="0.3">
      <c r="A1957" s="141" t="s">
        <v>4034</v>
      </c>
      <c r="B1957" s="141">
        <v>512237</v>
      </c>
      <c r="C1957" s="141" t="s">
        <v>4035</v>
      </c>
      <c r="D1957" s="141" t="s">
        <v>1161</v>
      </c>
    </row>
    <row r="1958" spans="1:4" x14ac:dyDescent="0.3">
      <c r="A1958" s="141" t="s">
        <v>4036</v>
      </c>
      <c r="B1958" s="141">
        <v>523467</v>
      </c>
      <c r="C1958" s="141" t="s">
        <v>1129</v>
      </c>
      <c r="D1958" s="141" t="s">
        <v>1657</v>
      </c>
    </row>
    <row r="1959" spans="1:4" x14ac:dyDescent="0.3">
      <c r="A1959" s="141" t="s">
        <v>4037</v>
      </c>
      <c r="B1959" s="141">
        <v>531339</v>
      </c>
      <c r="C1959" s="141" t="s">
        <v>4038</v>
      </c>
      <c r="D1959" s="141" t="s">
        <v>1527</v>
      </c>
    </row>
    <row r="1960" spans="1:4" x14ac:dyDescent="0.3">
      <c r="A1960" s="141" t="s">
        <v>4039</v>
      </c>
      <c r="B1960" s="141">
        <v>514312</v>
      </c>
      <c r="C1960" s="141" t="s">
        <v>1129</v>
      </c>
      <c r="D1960" s="141" t="s">
        <v>1144</v>
      </c>
    </row>
    <row r="1961" spans="1:4" x14ac:dyDescent="0.3">
      <c r="A1961" s="141" t="s">
        <v>4040</v>
      </c>
      <c r="B1961" s="141">
        <v>500219</v>
      </c>
      <c r="C1961" s="141" t="s">
        <v>4041</v>
      </c>
      <c r="D1961" s="141" t="s">
        <v>1249</v>
      </c>
    </row>
    <row r="1962" spans="1:4" x14ac:dyDescent="0.3">
      <c r="A1962" s="141" t="s">
        <v>4040</v>
      </c>
      <c r="B1962" s="141">
        <v>570004</v>
      </c>
      <c r="C1962" s="141" t="s">
        <v>4042</v>
      </c>
      <c r="D1962" s="141" t="s">
        <v>1249</v>
      </c>
    </row>
    <row r="1963" spans="1:4" x14ac:dyDescent="0.3">
      <c r="A1963" s="141" t="s">
        <v>4043</v>
      </c>
      <c r="B1963" s="141">
        <v>539119</v>
      </c>
      <c r="C1963" s="141" t="s">
        <v>1129</v>
      </c>
      <c r="D1963" s="141" t="s">
        <v>1657</v>
      </c>
    </row>
    <row r="1964" spans="1:4" x14ac:dyDescent="0.3">
      <c r="A1964" s="141" t="s">
        <v>4044</v>
      </c>
      <c r="B1964" s="141">
        <v>532033</v>
      </c>
      <c r="C1964" s="141" t="s">
        <v>4045</v>
      </c>
      <c r="D1964" s="141" t="s">
        <v>1868</v>
      </c>
    </row>
    <row r="1965" spans="1:4" x14ac:dyDescent="0.3">
      <c r="A1965" s="141" t="s">
        <v>4046</v>
      </c>
      <c r="B1965" s="141">
        <v>526865</v>
      </c>
      <c r="C1965" s="141" t="s">
        <v>1129</v>
      </c>
      <c r="D1965" s="141" t="s">
        <v>1151</v>
      </c>
    </row>
    <row r="1966" spans="1:4" x14ac:dyDescent="0.3">
      <c r="A1966" s="141" t="s">
        <v>4047</v>
      </c>
      <c r="B1966" s="141">
        <v>526865</v>
      </c>
      <c r="C1966" s="141" t="s">
        <v>1129</v>
      </c>
      <c r="D1966" s="141" t="s">
        <v>1151</v>
      </c>
    </row>
    <row r="1967" spans="1:4" x14ac:dyDescent="0.3">
      <c r="A1967" s="141" t="s">
        <v>4048</v>
      </c>
      <c r="B1967" s="141">
        <v>505212</v>
      </c>
      <c r="C1967" s="141" t="s">
        <v>1129</v>
      </c>
      <c r="D1967" s="141" t="s">
        <v>1484</v>
      </c>
    </row>
    <row r="1968" spans="1:4" x14ac:dyDescent="0.3">
      <c r="A1968" s="141" t="s">
        <v>4049</v>
      </c>
      <c r="B1968" s="141">
        <v>505840</v>
      </c>
      <c r="C1968" s="141" t="s">
        <v>1129</v>
      </c>
      <c r="D1968" s="141" t="s">
        <v>1894</v>
      </c>
    </row>
    <row r="1969" spans="1:4" x14ac:dyDescent="0.3">
      <c r="A1969" s="141" t="s">
        <v>4050</v>
      </c>
      <c r="B1969" s="141">
        <v>532532</v>
      </c>
      <c r="C1969" s="141" t="s">
        <v>4051</v>
      </c>
      <c r="D1969" s="141" t="s">
        <v>1527</v>
      </c>
    </row>
    <row r="1970" spans="1:4" x14ac:dyDescent="0.3">
      <c r="A1970" s="141" t="s">
        <v>4052</v>
      </c>
      <c r="B1970" s="141">
        <v>532627</v>
      </c>
      <c r="C1970" s="141" t="s">
        <v>4053</v>
      </c>
      <c r="D1970" s="141" t="s">
        <v>1268</v>
      </c>
    </row>
    <row r="1971" spans="1:4" x14ac:dyDescent="0.3">
      <c r="A1971" s="141" t="s">
        <v>4054</v>
      </c>
      <c r="B1971" s="141">
        <v>780001</v>
      </c>
      <c r="C1971" s="141" t="s">
        <v>1129</v>
      </c>
      <c r="D1971" s="141" t="s">
        <v>1220</v>
      </c>
    </row>
    <row r="1972" spans="1:4" x14ac:dyDescent="0.3">
      <c r="A1972" s="141" t="s">
        <v>4055</v>
      </c>
      <c r="B1972" s="141" t="s">
        <v>1129</v>
      </c>
      <c r="C1972" s="141" t="s">
        <v>4056</v>
      </c>
      <c r="D1972" s="141" t="s">
        <v>1140</v>
      </c>
    </row>
    <row r="1973" spans="1:4" x14ac:dyDescent="0.3">
      <c r="A1973" s="141" t="s">
        <v>4057</v>
      </c>
      <c r="B1973" s="141" t="s">
        <v>1129</v>
      </c>
      <c r="C1973" s="141" t="s">
        <v>4058</v>
      </c>
      <c r="D1973" s="141" t="s">
        <v>1140</v>
      </c>
    </row>
    <row r="1974" spans="1:4" x14ac:dyDescent="0.3">
      <c r="A1974" s="141" t="s">
        <v>4059</v>
      </c>
      <c r="B1974" s="141" t="s">
        <v>1129</v>
      </c>
      <c r="C1974" s="141" t="s">
        <v>4058</v>
      </c>
      <c r="D1974" s="141" t="s">
        <v>1140</v>
      </c>
    </row>
    <row r="1975" spans="1:4" x14ac:dyDescent="0.3">
      <c r="A1975" s="141" t="s">
        <v>4060</v>
      </c>
      <c r="B1975" s="141">
        <v>538564</v>
      </c>
      <c r="C1975" s="141" t="s">
        <v>1129</v>
      </c>
      <c r="D1975" s="141" t="s">
        <v>1536</v>
      </c>
    </row>
    <row r="1976" spans="1:4" x14ac:dyDescent="0.3">
      <c r="A1976" s="141" t="s">
        <v>4061</v>
      </c>
      <c r="B1976" s="141">
        <v>520051</v>
      </c>
      <c r="C1976" s="141" t="s">
        <v>4062</v>
      </c>
      <c r="D1976" s="141" t="s">
        <v>1484</v>
      </c>
    </row>
    <row r="1977" spans="1:4" x14ac:dyDescent="0.3">
      <c r="A1977" s="141" t="s">
        <v>4063</v>
      </c>
      <c r="B1977" s="141">
        <v>502901</v>
      </c>
      <c r="C1977" s="141" t="s">
        <v>1129</v>
      </c>
      <c r="D1977" s="141" t="s">
        <v>1144</v>
      </c>
    </row>
    <row r="1978" spans="1:4" x14ac:dyDescent="0.3">
      <c r="A1978" s="141" t="s">
        <v>4064</v>
      </c>
      <c r="B1978" s="141">
        <v>500220</v>
      </c>
      <c r="C1978" s="141" t="s">
        <v>1129</v>
      </c>
      <c r="D1978" s="141" t="s">
        <v>1144</v>
      </c>
    </row>
    <row r="1979" spans="1:4" x14ac:dyDescent="0.3">
      <c r="A1979" s="141" t="s">
        <v>4065</v>
      </c>
      <c r="B1979" s="141">
        <v>540394</v>
      </c>
      <c r="C1979" s="141" t="s">
        <v>1129</v>
      </c>
      <c r="D1979" s="141" t="s">
        <v>1151</v>
      </c>
    </row>
    <row r="1980" spans="1:4" x14ac:dyDescent="0.3">
      <c r="A1980" s="141" t="s">
        <v>4066</v>
      </c>
      <c r="B1980" s="141" t="s">
        <v>1129</v>
      </c>
      <c r="C1980" s="141" t="s">
        <v>4067</v>
      </c>
      <c r="D1980" s="141" t="s">
        <v>1140</v>
      </c>
    </row>
    <row r="1981" spans="1:4" x14ac:dyDescent="0.3">
      <c r="A1981" s="141" t="s">
        <v>4068</v>
      </c>
      <c r="B1981" s="141">
        <v>514318</v>
      </c>
      <c r="C1981" s="141" t="s">
        <v>1129</v>
      </c>
      <c r="D1981" s="141" t="s">
        <v>1144</v>
      </c>
    </row>
    <row r="1982" spans="1:4" x14ac:dyDescent="0.3">
      <c r="A1982" s="141" t="s">
        <v>4069</v>
      </c>
      <c r="B1982" s="141">
        <v>526001</v>
      </c>
      <c r="C1982" s="141" t="s">
        <v>1129</v>
      </c>
      <c r="D1982" s="141" t="s">
        <v>1324</v>
      </c>
    </row>
    <row r="1983" spans="1:4" x14ac:dyDescent="0.3">
      <c r="A1983" s="141" t="s">
        <v>4070</v>
      </c>
      <c r="B1983" s="141">
        <v>520066</v>
      </c>
      <c r="C1983" s="141" t="s">
        <v>4071</v>
      </c>
      <c r="D1983" s="141" t="s">
        <v>1484</v>
      </c>
    </row>
    <row r="1984" spans="1:4" x14ac:dyDescent="0.3">
      <c r="A1984" s="141" t="s">
        <v>4072</v>
      </c>
      <c r="B1984" s="141">
        <v>509715</v>
      </c>
      <c r="C1984" s="141" t="s">
        <v>1129</v>
      </c>
      <c r="D1984" s="141" t="s">
        <v>1536</v>
      </c>
    </row>
    <row r="1985" spans="1:4" x14ac:dyDescent="0.3">
      <c r="A1985" s="141" t="s">
        <v>4073</v>
      </c>
      <c r="B1985" s="141">
        <v>513252</v>
      </c>
      <c r="C1985" s="141" t="s">
        <v>1129</v>
      </c>
      <c r="D1985" s="141" t="s">
        <v>1484</v>
      </c>
    </row>
    <row r="1986" spans="1:4" x14ac:dyDescent="0.3">
      <c r="A1986" s="141" t="s">
        <v>4074</v>
      </c>
      <c r="B1986" s="141">
        <v>524330</v>
      </c>
      <c r="C1986" s="141" t="s">
        <v>4075</v>
      </c>
      <c r="D1986" s="141" t="s">
        <v>1289</v>
      </c>
    </row>
    <row r="1987" spans="1:4" x14ac:dyDescent="0.3">
      <c r="A1987" s="141" t="s">
        <v>4076</v>
      </c>
      <c r="B1987" s="141">
        <v>522285</v>
      </c>
      <c r="C1987" s="141" t="s">
        <v>4077</v>
      </c>
      <c r="D1987" s="141" t="s">
        <v>1161</v>
      </c>
    </row>
    <row r="1988" spans="1:4" x14ac:dyDescent="0.3">
      <c r="A1988" s="141" t="s">
        <v>4078</v>
      </c>
      <c r="B1988" s="141">
        <v>539005</v>
      </c>
      <c r="C1988" s="141" t="s">
        <v>1129</v>
      </c>
      <c r="D1988" s="141" t="s">
        <v>1550</v>
      </c>
    </row>
    <row r="1989" spans="1:4" x14ac:dyDescent="0.3">
      <c r="A1989" s="141" t="s">
        <v>4079</v>
      </c>
      <c r="B1989" s="141">
        <v>531323</v>
      </c>
      <c r="C1989" s="141" t="s">
        <v>1129</v>
      </c>
      <c r="D1989" s="141" t="s">
        <v>1144</v>
      </c>
    </row>
    <row r="1990" spans="1:4" x14ac:dyDescent="0.3">
      <c r="A1990" s="141" t="s">
        <v>4080</v>
      </c>
      <c r="B1990" s="141">
        <v>512233</v>
      </c>
      <c r="C1990" s="141" t="s">
        <v>1129</v>
      </c>
      <c r="D1990" s="141" t="s">
        <v>1144</v>
      </c>
    </row>
    <row r="1991" spans="1:4" x14ac:dyDescent="0.3">
      <c r="A1991" s="141" t="s">
        <v>4081</v>
      </c>
      <c r="B1991" s="141">
        <v>500306</v>
      </c>
      <c r="C1991" s="141" t="s">
        <v>1129</v>
      </c>
      <c r="D1991" s="141" t="s">
        <v>1146</v>
      </c>
    </row>
    <row r="1992" spans="1:4" x14ac:dyDescent="0.3">
      <c r="A1992" s="141" t="s">
        <v>4082</v>
      </c>
      <c r="B1992" s="141">
        <v>533207</v>
      </c>
      <c r="C1992" s="141" t="s">
        <v>4083</v>
      </c>
      <c r="D1992" s="141" t="s">
        <v>1724</v>
      </c>
    </row>
    <row r="1993" spans="1:4" x14ac:dyDescent="0.3">
      <c r="A1993" s="141" t="s">
        <v>4084</v>
      </c>
      <c r="B1993" s="141">
        <v>506520</v>
      </c>
      <c r="C1993" s="141" t="s">
        <v>1129</v>
      </c>
      <c r="D1993" s="141" t="s">
        <v>1177</v>
      </c>
    </row>
    <row r="1994" spans="1:4" x14ac:dyDescent="0.3">
      <c r="A1994" s="141" t="s">
        <v>4085</v>
      </c>
      <c r="B1994" s="141" t="s">
        <v>1129</v>
      </c>
      <c r="C1994" s="141" t="s">
        <v>4086</v>
      </c>
      <c r="D1994" s="141" t="s">
        <v>1220</v>
      </c>
    </row>
    <row r="1995" spans="1:4" x14ac:dyDescent="0.3">
      <c r="A1995" s="141" t="s">
        <v>4087</v>
      </c>
      <c r="B1995" s="141">
        <v>506910</v>
      </c>
      <c r="C1995" s="141" t="s">
        <v>1129</v>
      </c>
      <c r="D1995" s="141" t="s">
        <v>1289</v>
      </c>
    </row>
    <row r="1996" spans="1:4" x14ac:dyDescent="0.3">
      <c r="A1996" s="141" t="s">
        <v>4088</v>
      </c>
      <c r="B1996" s="141">
        <v>506910</v>
      </c>
      <c r="C1996" s="141" t="s">
        <v>1129</v>
      </c>
      <c r="D1996" s="141" t="s">
        <v>1289</v>
      </c>
    </row>
    <row r="1997" spans="1:4" x14ac:dyDescent="0.3">
      <c r="A1997" s="141" t="s">
        <v>4089</v>
      </c>
      <c r="B1997" s="141">
        <v>506943</v>
      </c>
      <c r="C1997" s="141" t="s">
        <v>4090</v>
      </c>
      <c r="D1997" s="141" t="s">
        <v>1167</v>
      </c>
    </row>
    <row r="1998" spans="1:4" x14ac:dyDescent="0.3">
      <c r="A1998" s="141" t="s">
        <v>4091</v>
      </c>
      <c r="B1998" s="141">
        <v>514034</v>
      </c>
      <c r="C1998" s="141" t="s">
        <v>4092</v>
      </c>
      <c r="D1998" s="141" t="s">
        <v>1506</v>
      </c>
    </row>
    <row r="1999" spans="1:4" x14ac:dyDescent="0.3">
      <c r="A1999" s="141" t="s">
        <v>4093</v>
      </c>
      <c r="B1999" s="141">
        <v>532605</v>
      </c>
      <c r="C1999" s="141" t="s">
        <v>4094</v>
      </c>
      <c r="D1999" s="141" t="s">
        <v>1484</v>
      </c>
    </row>
    <row r="2000" spans="1:4" x14ac:dyDescent="0.3">
      <c r="A2000" s="141" t="s">
        <v>4095</v>
      </c>
      <c r="B2000" s="141">
        <v>500223</v>
      </c>
      <c r="C2000" s="141" t="s">
        <v>1129</v>
      </c>
      <c r="D2000" s="141" t="s">
        <v>1144</v>
      </c>
    </row>
    <row r="2001" spans="1:4" x14ac:dyDescent="0.3">
      <c r="A2001" s="141" t="s">
        <v>4096</v>
      </c>
      <c r="B2001" s="141">
        <v>524592</v>
      </c>
      <c r="C2001" s="141" t="s">
        <v>1129</v>
      </c>
      <c r="D2001" s="141" t="s">
        <v>1289</v>
      </c>
    </row>
    <row r="2002" spans="1:4" x14ac:dyDescent="0.3">
      <c r="A2002" s="141" t="s">
        <v>4097</v>
      </c>
      <c r="B2002" s="141">
        <v>538837</v>
      </c>
      <c r="C2002" s="141" t="s">
        <v>1129</v>
      </c>
      <c r="D2002" s="141" t="s">
        <v>1135</v>
      </c>
    </row>
    <row r="2003" spans="1:4" x14ac:dyDescent="0.3">
      <c r="A2003" s="141" t="s">
        <v>4098</v>
      </c>
      <c r="B2003" s="141">
        <v>524731</v>
      </c>
      <c r="C2003" s="141" t="s">
        <v>1129</v>
      </c>
      <c r="D2003" s="141" t="s">
        <v>1167</v>
      </c>
    </row>
    <row r="2004" spans="1:4" x14ac:dyDescent="0.3">
      <c r="A2004" s="141" t="s">
        <v>4099</v>
      </c>
      <c r="B2004" s="141">
        <v>532617</v>
      </c>
      <c r="C2004" s="141" t="s">
        <v>4100</v>
      </c>
      <c r="D2004" s="141" t="s">
        <v>3267</v>
      </c>
    </row>
    <row r="2005" spans="1:4" x14ac:dyDescent="0.3">
      <c r="A2005" s="141" t="s">
        <v>4101</v>
      </c>
      <c r="B2005" s="141">
        <v>532617</v>
      </c>
      <c r="C2005" s="141" t="s">
        <v>4100</v>
      </c>
      <c r="D2005" s="141" t="s">
        <v>3267</v>
      </c>
    </row>
    <row r="2006" spans="1:4" x14ac:dyDescent="0.3">
      <c r="A2006" s="141" t="s">
        <v>4102</v>
      </c>
      <c r="B2006" s="141" t="s">
        <v>1129</v>
      </c>
      <c r="C2006" s="141" t="s">
        <v>4103</v>
      </c>
      <c r="D2006" s="141" t="s">
        <v>1140</v>
      </c>
    </row>
    <row r="2007" spans="1:4" x14ac:dyDescent="0.3">
      <c r="A2007" s="141" t="s">
        <v>4104</v>
      </c>
      <c r="B2007" s="141">
        <v>538794</v>
      </c>
      <c r="C2007" s="141" t="s">
        <v>1129</v>
      </c>
      <c r="D2007" s="141" t="s">
        <v>1215</v>
      </c>
    </row>
    <row r="2008" spans="1:4" x14ac:dyDescent="0.3">
      <c r="A2008" s="141" t="s">
        <v>4105</v>
      </c>
      <c r="B2008" s="141" t="s">
        <v>1129</v>
      </c>
      <c r="C2008" s="141" t="s">
        <v>4106</v>
      </c>
      <c r="D2008" s="141" t="s">
        <v>1140</v>
      </c>
    </row>
    <row r="2009" spans="1:4" x14ac:dyDescent="0.3">
      <c r="A2009" s="141" t="s">
        <v>4107</v>
      </c>
      <c r="B2009" s="141">
        <v>517063</v>
      </c>
      <c r="C2009" s="141" t="s">
        <v>1129</v>
      </c>
      <c r="D2009" s="141" t="s">
        <v>1614</v>
      </c>
    </row>
    <row r="2010" spans="1:4" x14ac:dyDescent="0.3">
      <c r="A2010" s="141" t="s">
        <v>4108</v>
      </c>
      <c r="B2010" s="141">
        <v>540850</v>
      </c>
      <c r="C2010" s="141" t="s">
        <v>1129</v>
      </c>
      <c r="D2010" s="141" t="s">
        <v>1189</v>
      </c>
    </row>
    <row r="2011" spans="1:4" x14ac:dyDescent="0.3">
      <c r="A2011" s="141" t="s">
        <v>4109</v>
      </c>
      <c r="B2011" s="141">
        <v>531550</v>
      </c>
      <c r="C2011" s="141" t="s">
        <v>1129</v>
      </c>
      <c r="D2011" s="141" t="s">
        <v>1112</v>
      </c>
    </row>
    <row r="2012" spans="1:4" x14ac:dyDescent="0.3">
      <c r="A2012" s="141" t="s">
        <v>4110</v>
      </c>
      <c r="B2012" s="141">
        <v>532771</v>
      </c>
      <c r="C2012" s="141" t="s">
        <v>4111</v>
      </c>
      <c r="D2012" s="141" t="s">
        <v>1311</v>
      </c>
    </row>
    <row r="2013" spans="1:4" x14ac:dyDescent="0.3">
      <c r="A2013" s="141" t="s">
        <v>4112</v>
      </c>
      <c r="B2013" s="141">
        <v>540651</v>
      </c>
      <c r="C2013" s="141" t="s">
        <v>1129</v>
      </c>
      <c r="D2013" s="141" t="s">
        <v>1427</v>
      </c>
    </row>
    <row r="2014" spans="1:4" x14ac:dyDescent="0.3">
      <c r="A2014" s="141" t="s">
        <v>4113</v>
      </c>
      <c r="B2014" s="141">
        <v>780019</v>
      </c>
      <c r="C2014" s="141" t="s">
        <v>1129</v>
      </c>
      <c r="D2014" s="141" t="s">
        <v>1220</v>
      </c>
    </row>
    <row r="2015" spans="1:4" x14ac:dyDescent="0.3">
      <c r="A2015" s="141" t="s">
        <v>4114</v>
      </c>
      <c r="B2015" s="141">
        <v>511618</v>
      </c>
      <c r="C2015" s="141" t="s">
        <v>4115</v>
      </c>
      <c r="D2015" s="141" t="s">
        <v>1151</v>
      </c>
    </row>
    <row r="2016" spans="1:4" x14ac:dyDescent="0.3">
      <c r="A2016" s="141" t="s">
        <v>4116</v>
      </c>
      <c r="B2016" s="141">
        <v>542653</v>
      </c>
      <c r="C2016" s="141" t="s">
        <v>4117</v>
      </c>
      <c r="D2016" s="141" t="s">
        <v>1685</v>
      </c>
    </row>
    <row r="2017" spans="1:4" x14ac:dyDescent="0.3">
      <c r="A2017" s="141" t="s">
        <v>4118</v>
      </c>
      <c r="B2017" s="141">
        <v>530405</v>
      </c>
      <c r="C2017" s="141" t="s">
        <v>1129</v>
      </c>
      <c r="D2017" s="141" t="s">
        <v>1112</v>
      </c>
    </row>
    <row r="2018" spans="1:4" x14ac:dyDescent="0.3">
      <c r="A2018" s="141" t="s">
        <v>4119</v>
      </c>
      <c r="B2018" s="141">
        <v>533103</v>
      </c>
      <c r="C2018" s="141" t="s">
        <v>4120</v>
      </c>
      <c r="D2018" s="141" t="s">
        <v>1144</v>
      </c>
    </row>
    <row r="2019" spans="1:4" x14ac:dyDescent="0.3">
      <c r="A2019" s="141" t="s">
        <v>4121</v>
      </c>
      <c r="B2019" s="141">
        <v>511034</v>
      </c>
      <c r="C2019" s="141" t="s">
        <v>4122</v>
      </c>
      <c r="D2019" s="141" t="s">
        <v>1192</v>
      </c>
    </row>
    <row r="2020" spans="1:4" x14ac:dyDescent="0.3">
      <c r="A2020" s="141" t="s">
        <v>4123</v>
      </c>
      <c r="B2020" s="141">
        <v>507981</v>
      </c>
      <c r="C2020" s="141" t="s">
        <v>1129</v>
      </c>
      <c r="D2020" s="141" t="s">
        <v>1330</v>
      </c>
    </row>
    <row r="2021" spans="1:4" x14ac:dyDescent="0.3">
      <c r="A2021" s="141" t="s">
        <v>4124</v>
      </c>
      <c r="B2021" s="141">
        <v>539947</v>
      </c>
      <c r="C2021" s="141" t="s">
        <v>1129</v>
      </c>
      <c r="D2021" s="141" t="s">
        <v>1149</v>
      </c>
    </row>
    <row r="2022" spans="1:4" x14ac:dyDescent="0.3">
      <c r="A2022" s="141" t="s">
        <v>4125</v>
      </c>
      <c r="B2022" s="141">
        <v>532624</v>
      </c>
      <c r="C2022" s="141" t="s">
        <v>4126</v>
      </c>
      <c r="D2022" s="141" t="s">
        <v>2368</v>
      </c>
    </row>
    <row r="2023" spans="1:4" x14ac:dyDescent="0.3">
      <c r="A2023" s="141" t="s">
        <v>4127</v>
      </c>
      <c r="B2023" s="141">
        <v>500227</v>
      </c>
      <c r="C2023" s="141" t="s">
        <v>4128</v>
      </c>
      <c r="D2023" s="141" t="s">
        <v>1177</v>
      </c>
    </row>
    <row r="2024" spans="1:4" x14ac:dyDescent="0.3">
      <c r="A2024" s="141" t="s">
        <v>4129</v>
      </c>
      <c r="B2024" s="141">
        <v>536773</v>
      </c>
      <c r="C2024" s="141" t="s">
        <v>4130</v>
      </c>
      <c r="D2024" s="141" t="s">
        <v>1112</v>
      </c>
    </row>
    <row r="2025" spans="1:4" x14ac:dyDescent="0.3">
      <c r="A2025" s="141" t="s">
        <v>4131</v>
      </c>
      <c r="B2025" s="141">
        <v>500378</v>
      </c>
      <c r="C2025" s="141" t="s">
        <v>4132</v>
      </c>
      <c r="D2025" s="141" t="s">
        <v>1527</v>
      </c>
    </row>
    <row r="2026" spans="1:4" x14ac:dyDescent="0.3">
      <c r="A2026" s="141" t="s">
        <v>4133</v>
      </c>
      <c r="B2026" s="141">
        <v>539597</v>
      </c>
      <c r="C2026" s="141" t="s">
        <v>4134</v>
      </c>
      <c r="D2026" s="141" t="s">
        <v>1452</v>
      </c>
    </row>
    <row r="2027" spans="1:4" x14ac:dyDescent="0.3">
      <c r="A2027" s="141" t="s">
        <v>4135</v>
      </c>
      <c r="B2027" s="141">
        <v>532508</v>
      </c>
      <c r="C2027" s="141" t="s">
        <v>4136</v>
      </c>
      <c r="D2027" s="141" t="s">
        <v>1161</v>
      </c>
    </row>
    <row r="2028" spans="1:4" x14ac:dyDescent="0.3">
      <c r="A2028" s="141" t="s">
        <v>4137</v>
      </c>
      <c r="B2028" s="141">
        <v>532286</v>
      </c>
      <c r="C2028" s="141" t="s">
        <v>4138</v>
      </c>
      <c r="D2028" s="141" t="s">
        <v>1161</v>
      </c>
    </row>
    <row r="2029" spans="1:4" x14ac:dyDescent="0.3">
      <c r="A2029" s="141" t="s">
        <v>4139</v>
      </c>
      <c r="B2029" s="141">
        <v>531543</v>
      </c>
      <c r="C2029" s="141" t="s">
        <v>4140</v>
      </c>
      <c r="D2029" s="141" t="s">
        <v>1144</v>
      </c>
    </row>
    <row r="2030" spans="1:4" x14ac:dyDescent="0.3">
      <c r="A2030" s="141" t="s">
        <v>4141</v>
      </c>
      <c r="B2030" s="141">
        <v>540311</v>
      </c>
      <c r="C2030" s="141" t="s">
        <v>4142</v>
      </c>
      <c r="D2030" s="141" t="s">
        <v>1252</v>
      </c>
    </row>
    <row r="2031" spans="1:4" x14ac:dyDescent="0.3">
      <c r="A2031" s="141" t="s">
        <v>4143</v>
      </c>
      <c r="B2031" s="141">
        <v>539225</v>
      </c>
      <c r="C2031" s="141" t="s">
        <v>1129</v>
      </c>
      <c r="D2031" s="141" t="s">
        <v>1154</v>
      </c>
    </row>
    <row r="2032" spans="1:4" x14ac:dyDescent="0.3">
      <c r="A2032" s="141" t="s">
        <v>4144</v>
      </c>
      <c r="B2032" s="141">
        <v>536493</v>
      </c>
      <c r="C2032" s="141" t="s">
        <v>1129</v>
      </c>
      <c r="D2032" s="141" t="s">
        <v>1327</v>
      </c>
    </row>
    <row r="2033" spans="1:4" x14ac:dyDescent="0.3">
      <c r="A2033" s="141" t="s">
        <v>4145</v>
      </c>
      <c r="B2033" s="141">
        <v>532644</v>
      </c>
      <c r="C2033" s="141" t="s">
        <v>4146</v>
      </c>
      <c r="D2033" s="141" t="s">
        <v>1142</v>
      </c>
    </row>
    <row r="2034" spans="1:4" x14ac:dyDescent="0.3">
      <c r="A2034" s="141" t="s">
        <v>4147</v>
      </c>
      <c r="B2034" s="141">
        <v>500380</v>
      </c>
      <c r="C2034" s="141" t="s">
        <v>4148</v>
      </c>
      <c r="D2034" s="141" t="s">
        <v>1142</v>
      </c>
    </row>
    <row r="2035" spans="1:4" x14ac:dyDescent="0.3">
      <c r="A2035" s="141" t="s">
        <v>4149</v>
      </c>
      <c r="B2035" s="141">
        <v>532162</v>
      </c>
      <c r="C2035" s="141" t="s">
        <v>4150</v>
      </c>
      <c r="D2035" s="141" t="s">
        <v>1123</v>
      </c>
    </row>
    <row r="2036" spans="1:4" x14ac:dyDescent="0.3">
      <c r="A2036" s="141" t="s">
        <v>4151</v>
      </c>
      <c r="B2036" s="141">
        <v>530007</v>
      </c>
      <c r="C2036" s="141" t="s">
        <v>4152</v>
      </c>
      <c r="D2036" s="141" t="s">
        <v>1609</v>
      </c>
    </row>
    <row r="2037" spans="1:4" x14ac:dyDescent="0.3">
      <c r="A2037" s="141" t="s">
        <v>4153</v>
      </c>
      <c r="B2037" s="141">
        <v>538765</v>
      </c>
      <c r="C2037" s="141" t="s">
        <v>1129</v>
      </c>
      <c r="D2037" s="141" t="s">
        <v>3888</v>
      </c>
    </row>
    <row r="2038" spans="1:4" x14ac:dyDescent="0.3">
      <c r="A2038" s="141" t="s">
        <v>4154</v>
      </c>
      <c r="B2038" s="141">
        <v>523405</v>
      </c>
      <c r="C2038" s="141" t="s">
        <v>4155</v>
      </c>
      <c r="D2038" s="141" t="s">
        <v>1295</v>
      </c>
    </row>
    <row r="2039" spans="1:4" x14ac:dyDescent="0.3">
      <c r="A2039" s="141" t="s">
        <v>4156</v>
      </c>
      <c r="B2039" s="141">
        <v>522263</v>
      </c>
      <c r="C2039" s="141" t="s">
        <v>4157</v>
      </c>
      <c r="D2039" s="141" t="s">
        <v>1527</v>
      </c>
    </row>
    <row r="2040" spans="1:4" x14ac:dyDescent="0.3">
      <c r="A2040" s="141" t="s">
        <v>4158</v>
      </c>
      <c r="B2040" s="141">
        <v>522263</v>
      </c>
      <c r="C2040" s="141" t="s">
        <v>4157</v>
      </c>
      <c r="D2040" s="141" t="s">
        <v>1527</v>
      </c>
    </row>
    <row r="2041" spans="1:4" x14ac:dyDescent="0.3">
      <c r="A2041" s="141" t="s">
        <v>4159</v>
      </c>
      <c r="B2041" s="141">
        <v>511092</v>
      </c>
      <c r="C2041" s="141" t="s">
        <v>1129</v>
      </c>
      <c r="D2041" s="141" t="s">
        <v>1132</v>
      </c>
    </row>
    <row r="2042" spans="1:4" x14ac:dyDescent="0.3">
      <c r="A2042" s="141" t="s">
        <v>4160</v>
      </c>
      <c r="B2042" s="141">
        <v>523712</v>
      </c>
      <c r="C2042" s="141" t="s">
        <v>1129</v>
      </c>
      <c r="D2042" s="141" t="s">
        <v>1249</v>
      </c>
    </row>
    <row r="2043" spans="1:4" x14ac:dyDescent="0.3">
      <c r="A2043" s="141" t="s">
        <v>4161</v>
      </c>
      <c r="B2043" s="141">
        <v>513691</v>
      </c>
      <c r="C2043" s="141" t="s">
        <v>4162</v>
      </c>
      <c r="D2043" s="141" t="s">
        <v>1484</v>
      </c>
    </row>
    <row r="2044" spans="1:4" x14ac:dyDescent="0.3">
      <c r="A2044" s="141" t="s">
        <v>4163</v>
      </c>
      <c r="B2044" s="141" t="s">
        <v>1129</v>
      </c>
      <c r="C2044" s="141" t="s">
        <v>4164</v>
      </c>
      <c r="D2044" s="141" t="s">
        <v>1220</v>
      </c>
    </row>
    <row r="2045" spans="1:4" x14ac:dyDescent="0.3">
      <c r="A2045" s="141" t="s">
        <v>4165</v>
      </c>
      <c r="B2045" s="141">
        <v>523398</v>
      </c>
      <c r="C2045" s="141" t="s">
        <v>4166</v>
      </c>
      <c r="D2045" s="141" t="s">
        <v>1498</v>
      </c>
    </row>
    <row r="2046" spans="1:4" x14ac:dyDescent="0.3">
      <c r="A2046" s="141" t="s">
        <v>4167</v>
      </c>
      <c r="B2046" s="141">
        <v>523398</v>
      </c>
      <c r="C2046" s="141" t="s">
        <v>4166</v>
      </c>
      <c r="D2046" s="141" t="s">
        <v>1498</v>
      </c>
    </row>
    <row r="2047" spans="1:4" x14ac:dyDescent="0.3">
      <c r="A2047" s="141" t="s">
        <v>4168</v>
      </c>
      <c r="B2047" s="141">
        <v>531861</v>
      </c>
      <c r="C2047" s="141" t="s">
        <v>1129</v>
      </c>
      <c r="D2047" s="141" t="s">
        <v>1112</v>
      </c>
    </row>
    <row r="2048" spans="1:4" x14ac:dyDescent="0.3">
      <c r="A2048" s="141" t="s">
        <v>4169</v>
      </c>
      <c r="B2048" s="141">
        <v>534659</v>
      </c>
      <c r="C2048" s="141" t="s">
        <v>1129</v>
      </c>
      <c r="D2048" s="141" t="s">
        <v>1115</v>
      </c>
    </row>
    <row r="2049" spans="1:4" x14ac:dyDescent="0.3">
      <c r="A2049" s="141" t="s">
        <v>4170</v>
      </c>
      <c r="B2049" s="141">
        <v>542446</v>
      </c>
      <c r="C2049" s="141" t="s">
        <v>4171</v>
      </c>
      <c r="D2049" s="141" t="s">
        <v>1213</v>
      </c>
    </row>
    <row r="2050" spans="1:4" x14ac:dyDescent="0.3">
      <c r="A2050" s="141" t="s">
        <v>4172</v>
      </c>
      <c r="B2050" s="141">
        <v>538092</v>
      </c>
      <c r="C2050" s="141" t="s">
        <v>1129</v>
      </c>
      <c r="D2050" s="141" t="s">
        <v>1536</v>
      </c>
    </row>
    <row r="2051" spans="1:4" x14ac:dyDescent="0.3">
      <c r="A2051" s="141" t="s">
        <v>4173</v>
      </c>
      <c r="B2051" s="141">
        <v>505750</v>
      </c>
      <c r="C2051" s="141" t="s">
        <v>1129</v>
      </c>
      <c r="D2051" s="141" t="s">
        <v>1137</v>
      </c>
    </row>
    <row r="2052" spans="1:4" x14ac:dyDescent="0.3">
      <c r="A2052" s="141" t="s">
        <v>4174</v>
      </c>
      <c r="B2052" s="141">
        <v>508929</v>
      </c>
      <c r="C2052" s="141" t="s">
        <v>1129</v>
      </c>
      <c r="D2052" s="141" t="s">
        <v>1215</v>
      </c>
    </row>
    <row r="2053" spans="1:4" x14ac:dyDescent="0.3">
      <c r="A2053" s="141" t="s">
        <v>4175</v>
      </c>
      <c r="B2053" s="141">
        <v>530985</v>
      </c>
      <c r="C2053" s="141" t="s">
        <v>1129</v>
      </c>
      <c r="D2053" s="141" t="s">
        <v>1146</v>
      </c>
    </row>
    <row r="2054" spans="1:4" x14ac:dyDescent="0.3">
      <c r="A2054" s="141" t="s">
        <v>4176</v>
      </c>
      <c r="B2054" s="141">
        <v>506016</v>
      </c>
      <c r="C2054" s="141" t="s">
        <v>1129</v>
      </c>
      <c r="D2054" s="141" t="s">
        <v>1527</v>
      </c>
    </row>
    <row r="2055" spans="1:4" x14ac:dyDescent="0.3">
      <c r="A2055" s="141" t="s">
        <v>4177</v>
      </c>
      <c r="B2055" s="141">
        <v>504080</v>
      </c>
      <c r="C2055" s="141" t="s">
        <v>1129</v>
      </c>
      <c r="D2055" s="141" t="s">
        <v>1427</v>
      </c>
    </row>
    <row r="2056" spans="1:4" x14ac:dyDescent="0.3">
      <c r="A2056" s="141" t="s">
        <v>4178</v>
      </c>
      <c r="B2056" s="141">
        <v>533148</v>
      </c>
      <c r="C2056" s="141" t="s">
        <v>4179</v>
      </c>
      <c r="D2056" s="141" t="s">
        <v>1268</v>
      </c>
    </row>
    <row r="2057" spans="1:4" x14ac:dyDescent="0.3">
      <c r="A2057" s="141" t="s">
        <v>4180</v>
      </c>
      <c r="B2057" s="141">
        <v>532642</v>
      </c>
      <c r="C2057" s="141" t="s">
        <v>4181</v>
      </c>
      <c r="D2057" s="141" t="s">
        <v>1295</v>
      </c>
    </row>
    <row r="2058" spans="1:4" x14ac:dyDescent="0.3">
      <c r="A2058" s="141" t="s">
        <v>4182</v>
      </c>
      <c r="B2058" s="141">
        <v>500228</v>
      </c>
      <c r="C2058" s="141" t="s">
        <v>4183</v>
      </c>
      <c r="D2058" s="141" t="s">
        <v>1161</v>
      </c>
    </row>
    <row r="2059" spans="1:4" x14ac:dyDescent="0.3">
      <c r="A2059" s="141" t="s">
        <v>4184</v>
      </c>
      <c r="B2059" s="141">
        <v>520057</v>
      </c>
      <c r="C2059" s="141" t="s">
        <v>4185</v>
      </c>
      <c r="D2059" s="141" t="s">
        <v>1484</v>
      </c>
    </row>
    <row r="2060" spans="1:4" x14ac:dyDescent="0.3">
      <c r="A2060" s="141" t="s">
        <v>4186</v>
      </c>
      <c r="B2060" s="141">
        <v>520057</v>
      </c>
      <c r="C2060" s="141" t="s">
        <v>4187</v>
      </c>
      <c r="D2060" s="141" t="s">
        <v>1484</v>
      </c>
    </row>
    <row r="2061" spans="1:4" x14ac:dyDescent="0.3">
      <c r="A2061" s="141" t="s">
        <v>4188</v>
      </c>
      <c r="B2061" s="141">
        <v>534600</v>
      </c>
      <c r="C2061" s="141" t="s">
        <v>1129</v>
      </c>
      <c r="D2061" s="141" t="s">
        <v>1452</v>
      </c>
    </row>
    <row r="2062" spans="1:4" x14ac:dyDescent="0.3">
      <c r="A2062" s="141" t="s">
        <v>4189</v>
      </c>
      <c r="B2062" s="141">
        <v>533155</v>
      </c>
      <c r="C2062" s="141" t="s">
        <v>4190</v>
      </c>
      <c r="D2062" s="141" t="s">
        <v>1618</v>
      </c>
    </row>
    <row r="2063" spans="1:4" x14ac:dyDescent="0.3">
      <c r="A2063" s="141" t="s">
        <v>4191</v>
      </c>
      <c r="B2063" s="141">
        <v>533320</v>
      </c>
      <c r="C2063" s="141" t="s">
        <v>4192</v>
      </c>
      <c r="D2063" s="141" t="s">
        <v>1273</v>
      </c>
    </row>
    <row r="2064" spans="1:4" x14ac:dyDescent="0.3">
      <c r="A2064" s="141" t="s">
        <v>4193</v>
      </c>
      <c r="B2064" s="141">
        <v>530019</v>
      </c>
      <c r="C2064" s="141" t="s">
        <v>4194</v>
      </c>
      <c r="D2064" s="141" t="s">
        <v>1167</v>
      </c>
    </row>
    <row r="2065" spans="1:4" x14ac:dyDescent="0.3">
      <c r="A2065" s="141" t="s">
        <v>4195</v>
      </c>
      <c r="B2065" s="141" t="s">
        <v>1129</v>
      </c>
      <c r="C2065" s="141" t="s">
        <v>4196</v>
      </c>
      <c r="D2065" s="141" t="s">
        <v>1220</v>
      </c>
    </row>
    <row r="2066" spans="1:4" x14ac:dyDescent="0.3">
      <c r="A2066" s="141" t="s">
        <v>4197</v>
      </c>
      <c r="B2066" s="141">
        <v>516078</v>
      </c>
      <c r="C2066" s="141" t="s">
        <v>1129</v>
      </c>
      <c r="D2066" s="141" t="s">
        <v>1324</v>
      </c>
    </row>
    <row r="2067" spans="1:4" x14ac:dyDescent="0.3">
      <c r="A2067" s="141" t="s">
        <v>4198</v>
      </c>
      <c r="B2067" s="141">
        <v>511060</v>
      </c>
      <c r="C2067" s="141" t="s">
        <v>1129</v>
      </c>
      <c r="D2067" s="141" t="s">
        <v>1550</v>
      </c>
    </row>
    <row r="2068" spans="1:4" x14ac:dyDescent="0.3">
      <c r="A2068" s="141" t="s">
        <v>4199</v>
      </c>
      <c r="B2068" s="141">
        <v>539216</v>
      </c>
      <c r="C2068" s="141" t="s">
        <v>1129</v>
      </c>
      <c r="D2068" s="141" t="s">
        <v>1144</v>
      </c>
    </row>
    <row r="2069" spans="1:4" x14ac:dyDescent="0.3">
      <c r="A2069" s="141" t="s">
        <v>4200</v>
      </c>
      <c r="B2069" s="141">
        <v>507987</v>
      </c>
      <c r="C2069" s="141" t="s">
        <v>1129</v>
      </c>
      <c r="D2069" s="141" t="s">
        <v>1146</v>
      </c>
    </row>
    <row r="2070" spans="1:4" x14ac:dyDescent="0.3">
      <c r="A2070" s="141" t="s">
        <v>4201</v>
      </c>
      <c r="B2070" s="141">
        <v>534623</v>
      </c>
      <c r="C2070" s="141" t="s">
        <v>1129</v>
      </c>
      <c r="D2070" s="141" t="s">
        <v>3888</v>
      </c>
    </row>
    <row r="2071" spans="1:4" x14ac:dyDescent="0.3">
      <c r="A2071" s="141" t="s">
        <v>4202</v>
      </c>
      <c r="B2071" s="141">
        <v>535648</v>
      </c>
      <c r="C2071" s="141" t="s">
        <v>4203</v>
      </c>
      <c r="D2071" s="141" t="s">
        <v>1653</v>
      </c>
    </row>
    <row r="2072" spans="1:4" x14ac:dyDescent="0.3">
      <c r="A2072" s="141" t="s">
        <v>4204</v>
      </c>
      <c r="B2072" s="141">
        <v>531035</v>
      </c>
      <c r="C2072" s="141" t="s">
        <v>1129</v>
      </c>
      <c r="D2072" s="141" t="s">
        <v>1787</v>
      </c>
    </row>
    <row r="2073" spans="1:4" x14ac:dyDescent="0.3">
      <c r="A2073" s="141" t="s">
        <v>4205</v>
      </c>
      <c r="B2073" s="141">
        <v>519248</v>
      </c>
      <c r="C2073" s="141" t="s">
        <v>4206</v>
      </c>
      <c r="D2073" s="141" t="s">
        <v>1378</v>
      </c>
    </row>
    <row r="2074" spans="1:4" x14ac:dyDescent="0.3">
      <c r="A2074" s="141" t="s">
        <v>4207</v>
      </c>
      <c r="B2074" s="141">
        <v>542544</v>
      </c>
      <c r="C2074" s="141" t="s">
        <v>4208</v>
      </c>
      <c r="D2074" s="141" t="s">
        <v>1112</v>
      </c>
    </row>
    <row r="2075" spans="1:4" x14ac:dyDescent="0.3">
      <c r="A2075" s="141" t="s">
        <v>4209</v>
      </c>
      <c r="B2075" s="141">
        <v>532926</v>
      </c>
      <c r="C2075" s="141" t="s">
        <v>4210</v>
      </c>
      <c r="D2075" s="141" t="s">
        <v>2948</v>
      </c>
    </row>
    <row r="2076" spans="1:4" x14ac:dyDescent="0.3">
      <c r="A2076" s="141" t="s">
        <v>4211</v>
      </c>
      <c r="B2076" s="141">
        <v>504076</v>
      </c>
      <c r="C2076" s="141" t="s">
        <v>1129</v>
      </c>
      <c r="D2076" s="141" t="s">
        <v>1172</v>
      </c>
    </row>
    <row r="2077" spans="1:4" x14ac:dyDescent="0.3">
      <c r="A2077" s="141" t="s">
        <v>4212</v>
      </c>
      <c r="B2077" s="141">
        <v>514448</v>
      </c>
      <c r="C2077" s="141" t="s">
        <v>1129</v>
      </c>
      <c r="D2077" s="141" t="s">
        <v>1289</v>
      </c>
    </row>
    <row r="2078" spans="1:4" x14ac:dyDescent="0.3">
      <c r="A2078" s="141" t="s">
        <v>4213</v>
      </c>
      <c r="B2078" s="141">
        <v>513250</v>
      </c>
      <c r="C2078" s="141" t="s">
        <v>4214</v>
      </c>
      <c r="D2078" s="141" t="s">
        <v>1172</v>
      </c>
    </row>
    <row r="2079" spans="1:4" x14ac:dyDescent="0.3">
      <c r="A2079" s="141" t="s">
        <v>4215</v>
      </c>
      <c r="B2079" s="141">
        <v>539246</v>
      </c>
      <c r="C2079" s="141" t="s">
        <v>1129</v>
      </c>
      <c r="D2079" s="141" t="s">
        <v>1151</v>
      </c>
    </row>
    <row r="2080" spans="1:4" x14ac:dyDescent="0.3">
      <c r="A2080" s="141" t="s">
        <v>4216</v>
      </c>
      <c r="B2080" s="141">
        <v>532673</v>
      </c>
      <c r="C2080" s="141" t="s">
        <v>4217</v>
      </c>
      <c r="D2080" s="141" t="s">
        <v>1828</v>
      </c>
    </row>
    <row r="2081" spans="1:4" x14ac:dyDescent="0.3">
      <c r="A2081" s="141" t="s">
        <v>4218</v>
      </c>
      <c r="B2081" s="141">
        <v>539686</v>
      </c>
      <c r="C2081" s="141" t="s">
        <v>1129</v>
      </c>
      <c r="D2081" s="141" t="s">
        <v>1268</v>
      </c>
    </row>
    <row r="2082" spans="1:4" x14ac:dyDescent="0.3">
      <c r="A2082" s="141" t="s">
        <v>4219</v>
      </c>
      <c r="B2082" s="141">
        <v>532889</v>
      </c>
      <c r="C2082" s="141" t="s">
        <v>4220</v>
      </c>
      <c r="D2082" s="141" t="s">
        <v>1144</v>
      </c>
    </row>
    <row r="2083" spans="1:4" x14ac:dyDescent="0.3">
      <c r="A2083" s="141" t="s">
        <v>4221</v>
      </c>
      <c r="B2083" s="141">
        <v>511728</v>
      </c>
      <c r="C2083" s="141" t="s">
        <v>1129</v>
      </c>
      <c r="D2083" s="141" t="s">
        <v>1146</v>
      </c>
    </row>
    <row r="2084" spans="1:4" x14ac:dyDescent="0.3">
      <c r="A2084" s="141" t="s">
        <v>4222</v>
      </c>
      <c r="B2084" s="141">
        <v>514360</v>
      </c>
      <c r="C2084" s="141" t="s">
        <v>1129</v>
      </c>
      <c r="D2084" s="141" t="s">
        <v>1527</v>
      </c>
    </row>
    <row r="2085" spans="1:4" x14ac:dyDescent="0.3">
      <c r="A2085" s="141" t="s">
        <v>4223</v>
      </c>
      <c r="B2085" s="141">
        <v>542323</v>
      </c>
      <c r="C2085" s="141" t="s">
        <v>4224</v>
      </c>
      <c r="D2085" s="141" t="s">
        <v>1268</v>
      </c>
    </row>
    <row r="2086" spans="1:4" x14ac:dyDescent="0.3">
      <c r="A2086" s="141" t="s">
        <v>4225</v>
      </c>
      <c r="B2086" s="141">
        <v>540756</v>
      </c>
      <c r="C2086" s="141" t="s">
        <v>1129</v>
      </c>
      <c r="D2086" s="141" t="s">
        <v>3909</v>
      </c>
    </row>
    <row r="2087" spans="1:4" x14ac:dyDescent="0.3">
      <c r="A2087" s="141" t="s">
        <v>4226</v>
      </c>
      <c r="B2087" s="141">
        <v>539393</v>
      </c>
      <c r="C2087" s="141" t="s">
        <v>1129</v>
      </c>
      <c r="D2087" s="141" t="s">
        <v>1807</v>
      </c>
    </row>
    <row r="2088" spans="1:4" x14ac:dyDescent="0.3">
      <c r="A2088" s="141" t="s">
        <v>4227</v>
      </c>
      <c r="B2088" s="141">
        <v>524322</v>
      </c>
      <c r="C2088" s="141" t="s">
        <v>1129</v>
      </c>
      <c r="D2088" s="141" t="s">
        <v>1167</v>
      </c>
    </row>
    <row r="2089" spans="1:4" x14ac:dyDescent="0.3">
      <c r="A2089" s="141" t="s">
        <v>4228</v>
      </c>
      <c r="B2089" s="141">
        <v>524109</v>
      </c>
      <c r="C2089" s="141" t="s">
        <v>4229</v>
      </c>
      <c r="D2089" s="141" t="s">
        <v>1137</v>
      </c>
    </row>
    <row r="2090" spans="1:4" x14ac:dyDescent="0.3">
      <c r="A2090" s="141" t="s">
        <v>4230</v>
      </c>
      <c r="B2090" s="141">
        <v>524675</v>
      </c>
      <c r="C2090" s="141" t="s">
        <v>1129</v>
      </c>
      <c r="D2090" s="141" t="s">
        <v>1151</v>
      </c>
    </row>
    <row r="2091" spans="1:4" x14ac:dyDescent="0.3">
      <c r="A2091" s="141" t="s">
        <v>4231</v>
      </c>
      <c r="B2091" s="141">
        <v>531778</v>
      </c>
      <c r="C2091" s="141" t="s">
        <v>1129</v>
      </c>
      <c r="D2091" s="141" t="s">
        <v>1109</v>
      </c>
    </row>
    <row r="2092" spans="1:4" x14ac:dyDescent="0.3">
      <c r="A2092" s="141" t="s">
        <v>4232</v>
      </c>
      <c r="B2092" s="141">
        <v>504840</v>
      </c>
      <c r="C2092" s="141" t="s">
        <v>1129</v>
      </c>
      <c r="D2092" s="141" t="s">
        <v>1324</v>
      </c>
    </row>
    <row r="2093" spans="1:4" x14ac:dyDescent="0.3">
      <c r="A2093" s="141" t="s">
        <v>4233</v>
      </c>
      <c r="B2093" s="141">
        <v>531780</v>
      </c>
      <c r="C2093" s="141" t="s">
        <v>1129</v>
      </c>
      <c r="D2093" s="141" t="s">
        <v>1151</v>
      </c>
    </row>
    <row r="2094" spans="1:4" x14ac:dyDescent="0.3">
      <c r="A2094" s="141" t="s">
        <v>4234</v>
      </c>
      <c r="B2094" s="141">
        <v>500233</v>
      </c>
      <c r="C2094" s="141" t="s">
        <v>4235</v>
      </c>
      <c r="D2094" s="141" t="s">
        <v>1406</v>
      </c>
    </row>
    <row r="2095" spans="1:4" x14ac:dyDescent="0.3">
      <c r="A2095" s="141" t="s">
        <v>4236</v>
      </c>
      <c r="B2095" s="141">
        <v>500234</v>
      </c>
      <c r="C2095" s="141" t="s">
        <v>4237</v>
      </c>
      <c r="D2095" s="141" t="s">
        <v>1142</v>
      </c>
    </row>
    <row r="2096" spans="1:4" x14ac:dyDescent="0.3">
      <c r="A2096" s="141" t="s">
        <v>4238</v>
      </c>
      <c r="B2096" s="141">
        <v>521054</v>
      </c>
      <c r="C2096" s="141" t="s">
        <v>1129</v>
      </c>
      <c r="D2096" s="141" t="s">
        <v>1144</v>
      </c>
    </row>
    <row r="2097" spans="1:4" x14ac:dyDescent="0.3">
      <c r="A2097" s="141" t="s">
        <v>4239</v>
      </c>
      <c r="B2097" s="141">
        <v>530201</v>
      </c>
      <c r="C2097" s="141" t="s">
        <v>1129</v>
      </c>
      <c r="D2097" s="141" t="s">
        <v>1144</v>
      </c>
    </row>
    <row r="2098" spans="1:4" x14ac:dyDescent="0.3">
      <c r="A2098" s="141" t="s">
        <v>4240</v>
      </c>
      <c r="B2098" s="141">
        <v>539014</v>
      </c>
      <c r="C2098" s="141" t="s">
        <v>1129</v>
      </c>
      <c r="D2098" s="141" t="s">
        <v>1151</v>
      </c>
    </row>
    <row r="2099" spans="1:4" x14ac:dyDescent="0.3">
      <c r="A2099" s="141" t="s">
        <v>4241</v>
      </c>
      <c r="B2099" s="141">
        <v>522287</v>
      </c>
      <c r="C2099" s="141" t="s">
        <v>4242</v>
      </c>
      <c r="D2099" s="141" t="s">
        <v>1172</v>
      </c>
    </row>
    <row r="2100" spans="1:4" x14ac:dyDescent="0.3">
      <c r="A2100" s="141" t="s">
        <v>4243</v>
      </c>
      <c r="B2100" s="141" t="s">
        <v>1129</v>
      </c>
      <c r="C2100" s="141" t="s">
        <v>4244</v>
      </c>
      <c r="D2100" s="141" t="s">
        <v>1220</v>
      </c>
    </row>
    <row r="2101" spans="1:4" x14ac:dyDescent="0.3">
      <c r="A2101" s="141" t="s">
        <v>4245</v>
      </c>
      <c r="B2101" s="141">
        <v>513509</v>
      </c>
      <c r="C2101" s="141" t="s">
        <v>4246</v>
      </c>
      <c r="D2101" s="141" t="s">
        <v>1484</v>
      </c>
    </row>
    <row r="2102" spans="1:4" x14ac:dyDescent="0.3">
      <c r="A2102" s="141" t="s">
        <v>4247</v>
      </c>
      <c r="B2102" s="141">
        <v>533302</v>
      </c>
      <c r="C2102" s="141" t="s">
        <v>4248</v>
      </c>
      <c r="D2102" s="141" t="s">
        <v>1149</v>
      </c>
    </row>
    <row r="2103" spans="1:4" x14ac:dyDescent="0.3">
      <c r="A2103" s="141" t="s">
        <v>4249</v>
      </c>
      <c r="B2103" s="141">
        <v>500235</v>
      </c>
      <c r="C2103" s="141" t="s">
        <v>4250</v>
      </c>
      <c r="D2103" s="141" t="s">
        <v>1161</v>
      </c>
    </row>
    <row r="2104" spans="1:4" x14ac:dyDescent="0.3">
      <c r="A2104" s="141" t="s">
        <v>4251</v>
      </c>
      <c r="B2104" s="141">
        <v>532468</v>
      </c>
      <c r="C2104" s="141" t="s">
        <v>1129</v>
      </c>
      <c r="D2104" s="141" t="s">
        <v>1295</v>
      </c>
    </row>
    <row r="2105" spans="1:4" x14ac:dyDescent="0.3">
      <c r="A2105" s="141" t="s">
        <v>4252</v>
      </c>
      <c r="B2105" s="141">
        <v>514322</v>
      </c>
      <c r="C2105" s="141" t="s">
        <v>1129</v>
      </c>
      <c r="D2105" s="141" t="s">
        <v>1144</v>
      </c>
    </row>
    <row r="2106" spans="1:4" x14ac:dyDescent="0.3">
      <c r="A2106" s="141" t="s">
        <v>4253</v>
      </c>
      <c r="B2106" s="141">
        <v>511131</v>
      </c>
      <c r="C2106" s="141" t="s">
        <v>1129</v>
      </c>
      <c r="D2106" s="141" t="s">
        <v>1215</v>
      </c>
    </row>
    <row r="2107" spans="1:4" x14ac:dyDescent="0.3">
      <c r="A2107" s="141" t="s">
        <v>4254</v>
      </c>
      <c r="B2107" s="141">
        <v>526668</v>
      </c>
      <c r="C2107" s="141" t="s">
        <v>4255</v>
      </c>
      <c r="D2107" s="141" t="s">
        <v>1330</v>
      </c>
    </row>
    <row r="2108" spans="1:4" x14ac:dyDescent="0.3">
      <c r="A2108" s="141" t="s">
        <v>4256</v>
      </c>
      <c r="B2108" s="141">
        <v>532741</v>
      </c>
      <c r="C2108" s="141" t="s">
        <v>4257</v>
      </c>
      <c r="D2108" s="141" t="s">
        <v>1161</v>
      </c>
    </row>
    <row r="2109" spans="1:4" x14ac:dyDescent="0.3">
      <c r="A2109" s="141" t="s">
        <v>4258</v>
      </c>
      <c r="B2109" s="141">
        <v>524604</v>
      </c>
      <c r="C2109" s="141" t="s">
        <v>1129</v>
      </c>
      <c r="D2109" s="141" t="s">
        <v>1167</v>
      </c>
    </row>
    <row r="2110" spans="1:4" x14ac:dyDescent="0.3">
      <c r="A2110" s="141" t="s">
        <v>4259</v>
      </c>
      <c r="B2110" s="141">
        <v>780003</v>
      </c>
      <c r="C2110" s="141" t="s">
        <v>1129</v>
      </c>
      <c r="D2110" s="141" t="s">
        <v>1220</v>
      </c>
    </row>
    <row r="2111" spans="1:4" x14ac:dyDescent="0.3">
      <c r="A2111" s="141" t="s">
        <v>4260</v>
      </c>
      <c r="B2111" s="141">
        <v>506184</v>
      </c>
      <c r="C2111" s="141" t="s">
        <v>4261</v>
      </c>
      <c r="D2111" s="141" t="s">
        <v>1243</v>
      </c>
    </row>
    <row r="2112" spans="1:4" x14ac:dyDescent="0.3">
      <c r="A2112" s="141" t="s">
        <v>4262</v>
      </c>
      <c r="B2112" s="141">
        <v>538896</v>
      </c>
      <c r="C2112" s="141" t="s">
        <v>1129</v>
      </c>
      <c r="D2112" s="141" t="s">
        <v>1177</v>
      </c>
    </row>
    <row r="2113" spans="1:4" x14ac:dyDescent="0.3">
      <c r="A2113" s="141" t="s">
        <v>4263</v>
      </c>
      <c r="B2113" s="141">
        <v>541005</v>
      </c>
      <c r="C2113" s="141" t="s">
        <v>1129</v>
      </c>
      <c r="D2113" s="141" t="s">
        <v>1536</v>
      </c>
    </row>
    <row r="2114" spans="1:4" x14ac:dyDescent="0.3">
      <c r="A2114" s="141" t="s">
        <v>4264</v>
      </c>
      <c r="B2114" s="141">
        <v>521242</v>
      </c>
      <c r="C2114" s="141" t="s">
        <v>1129</v>
      </c>
      <c r="D2114" s="141" t="s">
        <v>1144</v>
      </c>
    </row>
    <row r="2115" spans="1:4" x14ac:dyDescent="0.3">
      <c r="A2115" s="141" t="s">
        <v>4265</v>
      </c>
      <c r="B2115" s="141">
        <v>500236</v>
      </c>
      <c r="C2115" s="141" t="s">
        <v>4266</v>
      </c>
      <c r="D2115" s="141" t="s">
        <v>1495</v>
      </c>
    </row>
    <row r="2116" spans="1:4" x14ac:dyDescent="0.3">
      <c r="A2116" s="141" t="s">
        <v>4267</v>
      </c>
      <c r="B2116" s="141">
        <v>513456</v>
      </c>
      <c r="C2116" s="141" t="s">
        <v>1129</v>
      </c>
      <c r="D2116" s="141" t="s">
        <v>1452</v>
      </c>
    </row>
    <row r="2117" spans="1:4" x14ac:dyDescent="0.3">
      <c r="A2117" s="141" t="s">
        <v>4268</v>
      </c>
      <c r="B2117" s="141">
        <v>506525</v>
      </c>
      <c r="C2117" s="141" t="s">
        <v>4269</v>
      </c>
      <c r="D2117" s="141" t="s">
        <v>1177</v>
      </c>
    </row>
    <row r="2118" spans="1:4" x14ac:dyDescent="0.3">
      <c r="A2118" s="141" t="s">
        <v>4270</v>
      </c>
      <c r="B2118" s="141">
        <v>507779</v>
      </c>
      <c r="C2118" s="141" t="s">
        <v>1129</v>
      </c>
      <c r="D2118" s="141" t="s">
        <v>1324</v>
      </c>
    </row>
    <row r="2119" spans="1:4" x14ac:dyDescent="0.3">
      <c r="A2119" s="141" t="s">
        <v>4271</v>
      </c>
      <c r="B2119" s="141">
        <v>500165</v>
      </c>
      <c r="C2119" s="141" t="s">
        <v>4272</v>
      </c>
      <c r="D2119" s="141" t="s">
        <v>1406</v>
      </c>
    </row>
    <row r="2120" spans="1:4" x14ac:dyDescent="0.3">
      <c r="A2120" s="141" t="s">
        <v>4273</v>
      </c>
      <c r="B2120" s="141">
        <v>540515</v>
      </c>
      <c r="C2120" s="141" t="s">
        <v>1129</v>
      </c>
      <c r="D2120" s="141" t="s">
        <v>1112</v>
      </c>
    </row>
    <row r="2121" spans="1:4" x14ac:dyDescent="0.3">
      <c r="A2121" s="141" t="s">
        <v>4274</v>
      </c>
      <c r="B2121" s="141">
        <v>512399</v>
      </c>
      <c r="C2121" s="141" t="s">
        <v>1129</v>
      </c>
      <c r="D2121" s="141" t="s">
        <v>1112</v>
      </c>
    </row>
    <row r="2122" spans="1:4" x14ac:dyDescent="0.3">
      <c r="A2122" s="141" t="s">
        <v>4275</v>
      </c>
      <c r="B2122" s="141">
        <v>512036</v>
      </c>
      <c r="C2122" s="141" t="s">
        <v>1129</v>
      </c>
      <c r="D2122" s="141" t="s">
        <v>1144</v>
      </c>
    </row>
    <row r="2123" spans="1:4" x14ac:dyDescent="0.3">
      <c r="A2123" s="141" t="s">
        <v>4276</v>
      </c>
      <c r="B2123" s="141">
        <v>539679</v>
      </c>
      <c r="C2123" s="141" t="s">
        <v>1129</v>
      </c>
      <c r="D2123" s="141" t="s">
        <v>1146</v>
      </c>
    </row>
    <row r="2124" spans="1:4" x14ac:dyDescent="0.3">
      <c r="A2124" s="141" t="s">
        <v>4277</v>
      </c>
      <c r="B2124" s="141" t="s">
        <v>1129</v>
      </c>
      <c r="C2124" s="141" t="s">
        <v>4278</v>
      </c>
      <c r="D2124" s="141" t="s">
        <v>1140</v>
      </c>
    </row>
    <row r="2125" spans="1:4" x14ac:dyDescent="0.3">
      <c r="A2125" s="141" t="s">
        <v>4279</v>
      </c>
      <c r="B2125" s="141">
        <v>526115</v>
      </c>
      <c r="C2125" s="141" t="s">
        <v>1129</v>
      </c>
      <c r="D2125" s="141" t="s">
        <v>1243</v>
      </c>
    </row>
    <row r="2126" spans="1:4" x14ac:dyDescent="0.3">
      <c r="A2126" s="141" t="s">
        <v>4280</v>
      </c>
      <c r="B2126" s="141">
        <v>541161</v>
      </c>
      <c r="C2126" s="141" t="s">
        <v>4281</v>
      </c>
      <c r="D2126" s="141" t="s">
        <v>1215</v>
      </c>
    </row>
    <row r="2127" spans="1:4" x14ac:dyDescent="0.3">
      <c r="A2127" s="141" t="s">
        <v>4282</v>
      </c>
      <c r="B2127" s="141">
        <v>533451</v>
      </c>
      <c r="C2127" s="141" t="s">
        <v>4283</v>
      </c>
      <c r="D2127" s="141" t="s">
        <v>1268</v>
      </c>
    </row>
    <row r="2128" spans="1:4" x14ac:dyDescent="0.3">
      <c r="A2128" s="141" t="s">
        <v>4284</v>
      </c>
      <c r="B2128" s="141">
        <v>538928</v>
      </c>
      <c r="C2128" s="141" t="s">
        <v>1129</v>
      </c>
      <c r="D2128" s="141" t="s">
        <v>1146</v>
      </c>
    </row>
    <row r="2129" spans="1:4" x14ac:dyDescent="0.3">
      <c r="A2129" s="141" t="s">
        <v>4285</v>
      </c>
      <c r="B2129" s="141">
        <v>537784</v>
      </c>
      <c r="C2129" s="141" t="s">
        <v>1129</v>
      </c>
      <c r="D2129" s="141" t="s">
        <v>1550</v>
      </c>
    </row>
    <row r="2130" spans="1:4" x14ac:dyDescent="0.3">
      <c r="A2130" s="141" t="s">
        <v>4286</v>
      </c>
      <c r="B2130" s="141">
        <v>590003</v>
      </c>
      <c r="C2130" s="141" t="s">
        <v>4287</v>
      </c>
      <c r="D2130" s="141" t="s">
        <v>1447</v>
      </c>
    </row>
    <row r="2131" spans="1:4" x14ac:dyDescent="0.3">
      <c r="A2131" s="141" t="s">
        <v>4288</v>
      </c>
      <c r="B2131" s="141">
        <v>531687</v>
      </c>
      <c r="C2131" s="141" t="s">
        <v>4289</v>
      </c>
      <c r="D2131" s="141" t="s">
        <v>1327</v>
      </c>
    </row>
    <row r="2132" spans="1:4" x14ac:dyDescent="0.3">
      <c r="A2132" s="141" t="s">
        <v>4290</v>
      </c>
      <c r="B2132" s="141">
        <v>539533</v>
      </c>
      <c r="C2132" s="141" t="s">
        <v>1129</v>
      </c>
      <c r="D2132" s="141" t="s">
        <v>1112</v>
      </c>
    </row>
    <row r="2133" spans="1:4" x14ac:dyDescent="0.3">
      <c r="A2133" s="141" t="s">
        <v>4291</v>
      </c>
      <c r="B2133" s="141">
        <v>502933</v>
      </c>
      <c r="C2133" s="141" t="s">
        <v>1129</v>
      </c>
      <c r="D2133" s="141" t="s">
        <v>1144</v>
      </c>
    </row>
    <row r="2134" spans="1:4" x14ac:dyDescent="0.3">
      <c r="A2134" s="141" t="s">
        <v>4292</v>
      </c>
      <c r="B2134" s="141">
        <v>532925</v>
      </c>
      <c r="C2134" s="141" t="s">
        <v>4293</v>
      </c>
      <c r="D2134" s="141" t="s">
        <v>1527</v>
      </c>
    </row>
    <row r="2135" spans="1:4" x14ac:dyDescent="0.3">
      <c r="A2135" s="141" t="s">
        <v>4294</v>
      </c>
      <c r="B2135" s="141">
        <v>532899</v>
      </c>
      <c r="C2135" s="141" t="s">
        <v>4295</v>
      </c>
      <c r="D2135" s="141" t="s">
        <v>1327</v>
      </c>
    </row>
    <row r="2136" spans="1:4" x14ac:dyDescent="0.3">
      <c r="A2136" s="141" t="s">
        <v>4296</v>
      </c>
      <c r="B2136" s="141">
        <v>524444</v>
      </c>
      <c r="C2136" s="141" t="s">
        <v>1129</v>
      </c>
      <c r="D2136" s="141" t="s">
        <v>1378</v>
      </c>
    </row>
    <row r="2137" spans="1:4" x14ac:dyDescent="0.3">
      <c r="A2137" s="141" t="s">
        <v>4297</v>
      </c>
      <c r="B2137" s="141">
        <v>535136</v>
      </c>
      <c r="C2137" s="141" t="s">
        <v>1129</v>
      </c>
      <c r="D2137" s="141" t="s">
        <v>1144</v>
      </c>
    </row>
    <row r="2138" spans="1:4" x14ac:dyDescent="0.3">
      <c r="A2138" s="141" t="s">
        <v>4298</v>
      </c>
      <c r="B2138" s="141">
        <v>590041</v>
      </c>
      <c r="C2138" s="141" t="s">
        <v>4299</v>
      </c>
      <c r="D2138" s="141" t="s">
        <v>1275</v>
      </c>
    </row>
    <row r="2139" spans="1:4" x14ac:dyDescent="0.3">
      <c r="A2139" s="141" t="s">
        <v>4300</v>
      </c>
      <c r="B2139" s="141">
        <v>530255</v>
      </c>
      <c r="C2139" s="141" t="s">
        <v>1129</v>
      </c>
      <c r="D2139" s="141" t="s">
        <v>1123</v>
      </c>
    </row>
    <row r="2140" spans="1:4" x14ac:dyDescent="0.3">
      <c r="A2140" s="141" t="s">
        <v>4301</v>
      </c>
      <c r="B2140" s="141">
        <v>539276</v>
      </c>
      <c r="C2140" s="141" t="s">
        <v>4302</v>
      </c>
      <c r="D2140" s="141" t="s">
        <v>3909</v>
      </c>
    </row>
    <row r="2141" spans="1:4" x14ac:dyDescent="0.3">
      <c r="A2141" s="141" t="s">
        <v>4303</v>
      </c>
      <c r="B2141" s="141">
        <v>504084</v>
      </c>
      <c r="C2141" s="141" t="s">
        <v>1129</v>
      </c>
      <c r="D2141" s="141" t="s">
        <v>1427</v>
      </c>
    </row>
    <row r="2142" spans="1:4" x14ac:dyDescent="0.3">
      <c r="A2142" s="141" t="s">
        <v>4304</v>
      </c>
      <c r="B2142" s="141">
        <v>539562</v>
      </c>
      <c r="C2142" s="141" t="s">
        <v>1129</v>
      </c>
      <c r="D2142" s="141" t="s">
        <v>1112</v>
      </c>
    </row>
    <row r="2143" spans="1:4" x14ac:dyDescent="0.3">
      <c r="A2143" s="141" t="s">
        <v>4305</v>
      </c>
      <c r="B2143" s="141">
        <v>530357</v>
      </c>
      <c r="C2143" s="141" t="s">
        <v>1129</v>
      </c>
      <c r="D2143" s="141" t="s">
        <v>1112</v>
      </c>
    </row>
    <row r="2144" spans="1:4" x14ac:dyDescent="0.3">
      <c r="A2144" s="141" t="s">
        <v>4306</v>
      </c>
      <c r="B2144" s="141">
        <v>530357</v>
      </c>
      <c r="C2144" s="141" t="s">
        <v>1129</v>
      </c>
      <c r="D2144" s="141" t="s">
        <v>1112</v>
      </c>
    </row>
    <row r="2145" spans="1:4" x14ac:dyDescent="0.3">
      <c r="A2145" s="141" t="s">
        <v>4307</v>
      </c>
      <c r="B2145" s="141">
        <v>526067</v>
      </c>
      <c r="C2145" s="141" t="s">
        <v>1129</v>
      </c>
      <c r="D2145" s="141" t="s">
        <v>1324</v>
      </c>
    </row>
    <row r="2146" spans="1:4" x14ac:dyDescent="0.3">
      <c r="A2146" s="141" t="s">
        <v>4308</v>
      </c>
      <c r="B2146" s="141">
        <v>531784</v>
      </c>
      <c r="C2146" s="141" t="s">
        <v>1129</v>
      </c>
      <c r="D2146" s="141" t="s">
        <v>1527</v>
      </c>
    </row>
    <row r="2147" spans="1:4" x14ac:dyDescent="0.3">
      <c r="A2147" s="141" t="s">
        <v>4309</v>
      </c>
      <c r="B2147" s="141">
        <v>590066</v>
      </c>
      <c r="C2147" s="141" t="s">
        <v>4310</v>
      </c>
      <c r="D2147" s="141" t="s">
        <v>1142</v>
      </c>
    </row>
    <row r="2148" spans="1:4" x14ac:dyDescent="0.3">
      <c r="A2148" s="141" t="s">
        <v>4311</v>
      </c>
      <c r="B2148" s="141">
        <v>533192</v>
      </c>
      <c r="C2148" s="141" t="s">
        <v>4312</v>
      </c>
      <c r="D2148" s="141" t="s">
        <v>1828</v>
      </c>
    </row>
    <row r="2149" spans="1:4" x14ac:dyDescent="0.3">
      <c r="A2149" s="141" t="s">
        <v>4313</v>
      </c>
      <c r="B2149" s="141">
        <v>540385</v>
      </c>
      <c r="C2149" s="141" t="s">
        <v>1129</v>
      </c>
      <c r="D2149" s="141" t="s">
        <v>1112</v>
      </c>
    </row>
    <row r="2150" spans="1:4" x14ac:dyDescent="0.3">
      <c r="A2150" s="141" t="s">
        <v>4314</v>
      </c>
      <c r="B2150" s="141">
        <v>532054</v>
      </c>
      <c r="C2150" s="141" t="s">
        <v>4315</v>
      </c>
      <c r="D2150" s="141" t="s">
        <v>1243</v>
      </c>
    </row>
    <row r="2151" spans="1:4" x14ac:dyDescent="0.3">
      <c r="A2151" s="141" t="s">
        <v>4316</v>
      </c>
      <c r="B2151" s="141">
        <v>532714</v>
      </c>
      <c r="C2151" s="141" t="s">
        <v>4317</v>
      </c>
      <c r="D2151" s="141" t="s">
        <v>1172</v>
      </c>
    </row>
    <row r="2152" spans="1:4" x14ac:dyDescent="0.3">
      <c r="A2152" s="141" t="s">
        <v>4318</v>
      </c>
      <c r="B2152" s="141">
        <v>508993</v>
      </c>
      <c r="C2152" s="141" t="s">
        <v>1129</v>
      </c>
      <c r="D2152" s="141" t="s">
        <v>1215</v>
      </c>
    </row>
    <row r="2153" spans="1:4" x14ac:dyDescent="0.3">
      <c r="A2153" s="141" t="s">
        <v>4319</v>
      </c>
      <c r="B2153" s="141">
        <v>518011</v>
      </c>
      <c r="C2153" s="141" t="s">
        <v>1129</v>
      </c>
      <c r="D2153" s="141" t="s">
        <v>1142</v>
      </c>
    </row>
    <row r="2154" spans="1:4" x14ac:dyDescent="0.3">
      <c r="A2154" s="141" t="s">
        <v>4320</v>
      </c>
      <c r="B2154" s="141" t="s">
        <v>1129</v>
      </c>
      <c r="C2154" s="141" t="s">
        <v>4321</v>
      </c>
      <c r="D2154" s="141" t="s">
        <v>1140</v>
      </c>
    </row>
    <row r="2155" spans="1:4" x14ac:dyDescent="0.3">
      <c r="A2155" s="141" t="s">
        <v>4322</v>
      </c>
      <c r="B2155" s="141">
        <v>517569</v>
      </c>
      <c r="C2155" s="141" t="s">
        <v>4323</v>
      </c>
      <c r="D2155" s="141" t="s">
        <v>1427</v>
      </c>
    </row>
    <row r="2156" spans="1:4" x14ac:dyDescent="0.3">
      <c r="A2156" s="141" t="s">
        <v>4324</v>
      </c>
      <c r="B2156" s="141">
        <v>519602</v>
      </c>
      <c r="C2156" s="141" t="s">
        <v>4325</v>
      </c>
      <c r="D2156" s="141" t="s">
        <v>1222</v>
      </c>
    </row>
    <row r="2157" spans="1:4" x14ac:dyDescent="0.3">
      <c r="A2157" s="141" t="s">
        <v>4326</v>
      </c>
      <c r="B2157" s="141">
        <v>506528</v>
      </c>
      <c r="C2157" s="141" t="s">
        <v>1129</v>
      </c>
      <c r="D2157" s="141" t="s">
        <v>1289</v>
      </c>
    </row>
    <row r="2158" spans="1:4" x14ac:dyDescent="0.3">
      <c r="A2158" s="141" t="s">
        <v>4327</v>
      </c>
      <c r="B2158" s="141">
        <v>531163</v>
      </c>
      <c r="C2158" s="141" t="s">
        <v>4328</v>
      </c>
      <c r="D2158" s="141" t="s">
        <v>1289</v>
      </c>
    </row>
    <row r="2159" spans="1:4" x14ac:dyDescent="0.3">
      <c r="A2159" s="141" t="s">
        <v>4329</v>
      </c>
      <c r="B2159" s="141">
        <v>506530</v>
      </c>
      <c r="C2159" s="141" t="s">
        <v>1129</v>
      </c>
      <c r="D2159" s="141" t="s">
        <v>1324</v>
      </c>
    </row>
    <row r="2160" spans="1:4" x14ac:dyDescent="0.3">
      <c r="A2160" s="141" t="s">
        <v>4330</v>
      </c>
      <c r="B2160" s="141">
        <v>505890</v>
      </c>
      <c r="C2160" s="141" t="s">
        <v>1129</v>
      </c>
      <c r="D2160" s="141" t="s">
        <v>1137</v>
      </c>
    </row>
    <row r="2161" spans="1:4" x14ac:dyDescent="0.3">
      <c r="A2161" s="141" t="s">
        <v>4331</v>
      </c>
      <c r="B2161" s="141">
        <v>505890</v>
      </c>
      <c r="C2161" s="141" t="s">
        <v>1129</v>
      </c>
      <c r="D2161" s="141" t="s">
        <v>1137</v>
      </c>
    </row>
    <row r="2162" spans="1:4" x14ac:dyDescent="0.3">
      <c r="A2162" s="141" t="s">
        <v>4332</v>
      </c>
      <c r="B2162" s="141">
        <v>540953</v>
      </c>
      <c r="C2162" s="141" t="s">
        <v>1129</v>
      </c>
      <c r="D2162" s="141" t="s">
        <v>1243</v>
      </c>
    </row>
    <row r="2163" spans="1:4" x14ac:dyDescent="0.3">
      <c r="A2163" s="141" t="s">
        <v>4333</v>
      </c>
      <c r="B2163" s="141">
        <v>530163</v>
      </c>
      <c r="C2163" s="141" t="s">
        <v>1129</v>
      </c>
      <c r="D2163" s="141" t="s">
        <v>1167</v>
      </c>
    </row>
    <row r="2164" spans="1:4" x14ac:dyDescent="0.3">
      <c r="A2164" s="141" t="s">
        <v>4334</v>
      </c>
      <c r="B2164" s="141">
        <v>532686</v>
      </c>
      <c r="C2164" s="141" t="s">
        <v>4335</v>
      </c>
      <c r="D2164" s="141" t="s">
        <v>1252</v>
      </c>
    </row>
    <row r="2165" spans="1:4" x14ac:dyDescent="0.3">
      <c r="A2165" s="141" t="s">
        <v>4336</v>
      </c>
      <c r="B2165" s="141">
        <v>532686</v>
      </c>
      <c r="C2165" s="141" t="s">
        <v>4335</v>
      </c>
      <c r="D2165" s="141" t="s">
        <v>1252</v>
      </c>
    </row>
    <row r="2166" spans="1:4" x14ac:dyDescent="0.3">
      <c r="A2166" s="141" t="s">
        <v>4337</v>
      </c>
      <c r="B2166" s="141">
        <v>507180</v>
      </c>
      <c r="C2166" s="141" t="s">
        <v>4338</v>
      </c>
      <c r="D2166" s="141" t="s">
        <v>1828</v>
      </c>
    </row>
    <row r="2167" spans="1:4" x14ac:dyDescent="0.3">
      <c r="A2167" s="141" t="s">
        <v>4339</v>
      </c>
      <c r="B2167" s="141">
        <v>524174</v>
      </c>
      <c r="C2167" s="141" t="s">
        <v>1129</v>
      </c>
      <c r="D2167" s="141" t="s">
        <v>1177</v>
      </c>
    </row>
    <row r="2168" spans="1:4" x14ac:dyDescent="0.3">
      <c r="A2168" s="141" t="s">
        <v>4340</v>
      </c>
      <c r="B2168" s="141">
        <v>533289</v>
      </c>
      <c r="C2168" s="141" t="s">
        <v>4341</v>
      </c>
      <c r="D2168" s="141" t="s">
        <v>1450</v>
      </c>
    </row>
    <row r="2169" spans="1:4" x14ac:dyDescent="0.3">
      <c r="A2169" s="141" t="s">
        <v>4342</v>
      </c>
      <c r="B2169" s="141">
        <v>502937</v>
      </c>
      <c r="C2169" s="141" t="s">
        <v>4343</v>
      </c>
      <c r="D2169" s="141" t="s">
        <v>1118</v>
      </c>
    </row>
    <row r="2170" spans="1:4" x14ac:dyDescent="0.3">
      <c r="A2170" s="141" t="s">
        <v>4344</v>
      </c>
      <c r="B2170" s="141">
        <v>532732</v>
      </c>
      <c r="C2170" s="141" t="s">
        <v>4345</v>
      </c>
      <c r="D2170" s="141" t="s">
        <v>1243</v>
      </c>
    </row>
    <row r="2171" spans="1:4" x14ac:dyDescent="0.3">
      <c r="A2171" s="141" t="s">
        <v>4346</v>
      </c>
      <c r="B2171" s="141">
        <v>507948</v>
      </c>
      <c r="C2171" s="141" t="s">
        <v>1129</v>
      </c>
      <c r="D2171" s="141" t="s">
        <v>1146</v>
      </c>
    </row>
    <row r="2172" spans="1:4" x14ac:dyDescent="0.3">
      <c r="A2172" s="141" t="s">
        <v>4347</v>
      </c>
      <c r="B2172" s="141">
        <v>512597</v>
      </c>
      <c r="C2172" s="141" t="s">
        <v>4348</v>
      </c>
      <c r="D2172" s="141" t="s">
        <v>1146</v>
      </c>
    </row>
    <row r="2173" spans="1:4" x14ac:dyDescent="0.3">
      <c r="A2173" s="141" t="s">
        <v>4349</v>
      </c>
      <c r="B2173" s="141" t="s">
        <v>1129</v>
      </c>
      <c r="C2173" s="141" t="s">
        <v>4350</v>
      </c>
      <c r="D2173" s="141" t="s">
        <v>1146</v>
      </c>
    </row>
    <row r="2174" spans="1:4" x14ac:dyDescent="0.3">
      <c r="A2174" s="141" t="s">
        <v>4351</v>
      </c>
      <c r="B2174" s="141">
        <v>500239</v>
      </c>
      <c r="C2174" s="141" t="s">
        <v>1129</v>
      </c>
      <c r="D2174" s="141" t="s">
        <v>1144</v>
      </c>
    </row>
    <row r="2175" spans="1:4" x14ac:dyDescent="0.3">
      <c r="A2175" s="141" t="s">
        <v>4352</v>
      </c>
      <c r="B2175" s="141">
        <v>531609</v>
      </c>
      <c r="C2175" s="141" t="s">
        <v>1129</v>
      </c>
      <c r="D2175" s="141" t="s">
        <v>1324</v>
      </c>
    </row>
    <row r="2176" spans="1:4" x14ac:dyDescent="0.3">
      <c r="A2176" s="141" t="s">
        <v>4353</v>
      </c>
      <c r="B2176" s="141">
        <v>540775</v>
      </c>
      <c r="C2176" s="141" t="s">
        <v>4354</v>
      </c>
      <c r="D2176" s="141" t="s">
        <v>1555</v>
      </c>
    </row>
    <row r="2177" spans="1:4" x14ac:dyDescent="0.3">
      <c r="A2177" s="141" t="s">
        <v>4355</v>
      </c>
      <c r="B2177" s="141">
        <v>540775</v>
      </c>
      <c r="C2177" s="141" t="s">
        <v>4354</v>
      </c>
      <c r="D2177" s="141" t="s">
        <v>1555</v>
      </c>
    </row>
    <row r="2178" spans="1:4" x14ac:dyDescent="0.3">
      <c r="A2178" s="141" t="s">
        <v>4356</v>
      </c>
      <c r="B2178" s="141">
        <v>590068</v>
      </c>
      <c r="C2178" s="141" t="s">
        <v>4357</v>
      </c>
      <c r="D2178" s="141" t="s">
        <v>1151</v>
      </c>
    </row>
    <row r="2179" spans="1:4" x14ac:dyDescent="0.3">
      <c r="A2179" s="141" t="s">
        <v>4358</v>
      </c>
      <c r="B2179" s="141">
        <v>507794</v>
      </c>
      <c r="C2179" s="141" t="s">
        <v>1129</v>
      </c>
      <c r="D2179" s="141" t="s">
        <v>1637</v>
      </c>
    </row>
    <row r="2180" spans="1:4" x14ac:dyDescent="0.3">
      <c r="A2180" s="141" t="s">
        <v>4359</v>
      </c>
      <c r="B2180" s="141">
        <v>504269</v>
      </c>
      <c r="C2180" s="141" t="s">
        <v>4360</v>
      </c>
      <c r="D2180" s="141" t="s">
        <v>1894</v>
      </c>
    </row>
    <row r="2181" spans="1:4" x14ac:dyDescent="0.3">
      <c r="A2181" s="141" t="s">
        <v>4361</v>
      </c>
      <c r="B2181" s="141">
        <v>590068</v>
      </c>
      <c r="C2181" s="141" t="s">
        <v>4357</v>
      </c>
      <c r="D2181" s="141" t="s">
        <v>1151</v>
      </c>
    </row>
    <row r="2182" spans="1:4" x14ac:dyDescent="0.3">
      <c r="A2182" s="141" t="s">
        <v>4362</v>
      </c>
      <c r="B2182" s="141">
        <v>519064</v>
      </c>
      <c r="C2182" s="141" t="s">
        <v>1129</v>
      </c>
      <c r="D2182" s="141" t="s">
        <v>1327</v>
      </c>
    </row>
    <row r="2183" spans="1:4" x14ac:dyDescent="0.3">
      <c r="A2183" s="141" t="s">
        <v>4363</v>
      </c>
      <c r="B2183" s="141">
        <v>531892</v>
      </c>
      <c r="C2183" s="141" t="s">
        <v>4364</v>
      </c>
      <c r="D2183" s="141" t="s">
        <v>1112</v>
      </c>
    </row>
    <row r="2184" spans="1:4" x14ac:dyDescent="0.3">
      <c r="A2184" s="141" t="s">
        <v>4365</v>
      </c>
      <c r="B2184" s="141">
        <v>506178</v>
      </c>
      <c r="C2184" s="141" t="s">
        <v>1129</v>
      </c>
      <c r="D2184" s="141" t="s">
        <v>1151</v>
      </c>
    </row>
    <row r="2185" spans="1:4" x14ac:dyDescent="0.3">
      <c r="A2185" s="141" t="s">
        <v>4366</v>
      </c>
      <c r="B2185" s="141">
        <v>521127</v>
      </c>
      <c r="C2185" s="141" t="s">
        <v>1129</v>
      </c>
      <c r="D2185" s="141" t="s">
        <v>1144</v>
      </c>
    </row>
    <row r="2186" spans="1:4" x14ac:dyDescent="0.3">
      <c r="A2186" s="141" t="s">
        <v>4367</v>
      </c>
      <c r="B2186" s="141">
        <v>539788</v>
      </c>
      <c r="C2186" s="141" t="s">
        <v>1129</v>
      </c>
      <c r="D2186" s="141" t="s">
        <v>1163</v>
      </c>
    </row>
    <row r="2187" spans="1:4" x14ac:dyDescent="0.3">
      <c r="A2187" s="141" t="s">
        <v>4368</v>
      </c>
      <c r="B2187" s="141">
        <v>507435</v>
      </c>
      <c r="C2187" s="141" t="s">
        <v>1129</v>
      </c>
      <c r="D2187" s="141" t="s">
        <v>1761</v>
      </c>
    </row>
    <row r="2188" spans="1:4" x14ac:dyDescent="0.3">
      <c r="A2188" s="141" t="s">
        <v>4369</v>
      </c>
      <c r="B2188" s="141">
        <v>507435</v>
      </c>
      <c r="C2188" s="141" t="s">
        <v>1129</v>
      </c>
      <c r="D2188" s="141" t="s">
        <v>1761</v>
      </c>
    </row>
    <row r="2189" spans="1:4" x14ac:dyDescent="0.3">
      <c r="A2189" s="141" t="s">
        <v>4370</v>
      </c>
      <c r="B2189" s="141">
        <v>535730</v>
      </c>
      <c r="C2189" s="141" t="s">
        <v>1129</v>
      </c>
      <c r="D2189" s="141" t="s">
        <v>1144</v>
      </c>
    </row>
    <row r="2190" spans="1:4" x14ac:dyDescent="0.3">
      <c r="A2190" s="141" t="s">
        <v>4371</v>
      </c>
      <c r="B2190" s="141">
        <v>531692</v>
      </c>
      <c r="C2190" s="141" t="s">
        <v>1129</v>
      </c>
      <c r="D2190" s="141" t="s">
        <v>1330</v>
      </c>
    </row>
    <row r="2191" spans="1:4" x14ac:dyDescent="0.3">
      <c r="A2191" s="141" t="s">
        <v>4372</v>
      </c>
      <c r="B2191" s="141">
        <v>513693</v>
      </c>
      <c r="C2191" s="141" t="s">
        <v>1129</v>
      </c>
      <c r="D2191" s="141" t="s">
        <v>1161</v>
      </c>
    </row>
    <row r="2192" spans="1:4" x14ac:dyDescent="0.3">
      <c r="A2192" s="141" t="s">
        <v>4373</v>
      </c>
      <c r="B2192" s="141">
        <v>540812</v>
      </c>
      <c r="C2192" s="141" t="s">
        <v>1129</v>
      </c>
      <c r="D2192" s="141" t="s">
        <v>1599</v>
      </c>
    </row>
    <row r="2193" spans="1:4" x14ac:dyDescent="0.3">
      <c r="A2193" s="141" t="s">
        <v>4374</v>
      </c>
      <c r="B2193" s="141">
        <v>507946</v>
      </c>
      <c r="C2193" s="141" t="s">
        <v>1129</v>
      </c>
      <c r="D2193" s="141" t="s">
        <v>1151</v>
      </c>
    </row>
    <row r="2194" spans="1:4" x14ac:dyDescent="0.3">
      <c r="A2194" s="141" t="s">
        <v>4375</v>
      </c>
      <c r="B2194" s="141">
        <v>507946</v>
      </c>
      <c r="C2194" s="141" t="s">
        <v>1129</v>
      </c>
      <c r="D2194" s="141" t="s">
        <v>1151</v>
      </c>
    </row>
    <row r="2195" spans="1:4" x14ac:dyDescent="0.3">
      <c r="A2195" s="141" t="s">
        <v>4376</v>
      </c>
      <c r="B2195" s="141">
        <v>535566</v>
      </c>
      <c r="C2195" s="141" t="s">
        <v>1129</v>
      </c>
      <c r="D2195" s="141" t="s">
        <v>1146</v>
      </c>
    </row>
    <row r="2196" spans="1:4" x14ac:dyDescent="0.3">
      <c r="A2196" s="141" t="s">
        <v>4377</v>
      </c>
      <c r="B2196" s="141">
        <v>524699</v>
      </c>
      <c r="C2196" s="141" t="s">
        <v>1129</v>
      </c>
      <c r="D2196" s="141" t="s">
        <v>1177</v>
      </c>
    </row>
    <row r="2197" spans="1:4" x14ac:dyDescent="0.3">
      <c r="A2197" s="141" t="s">
        <v>4378</v>
      </c>
      <c r="B2197" s="141">
        <v>522101</v>
      </c>
      <c r="C2197" s="141" t="s">
        <v>1129</v>
      </c>
      <c r="D2197" s="141" t="s">
        <v>1137</v>
      </c>
    </row>
    <row r="2198" spans="1:4" x14ac:dyDescent="0.3">
      <c r="A2198" s="141" t="s">
        <v>4379</v>
      </c>
      <c r="B2198" s="141">
        <v>523218</v>
      </c>
      <c r="C2198" s="141" t="s">
        <v>4380</v>
      </c>
      <c r="D2198" s="141" t="s">
        <v>1671</v>
      </c>
    </row>
    <row r="2199" spans="1:4" x14ac:dyDescent="0.3">
      <c r="A2199" s="141" t="s">
        <v>4381</v>
      </c>
      <c r="B2199" s="141">
        <v>524500</v>
      </c>
      <c r="C2199" s="141" t="s">
        <v>4382</v>
      </c>
      <c r="D2199" s="141" t="s">
        <v>1167</v>
      </c>
    </row>
    <row r="2200" spans="1:4" x14ac:dyDescent="0.3">
      <c r="A2200" s="141" t="s">
        <v>4383</v>
      </c>
      <c r="B2200" s="141">
        <v>524500</v>
      </c>
      <c r="C2200" s="141" t="s">
        <v>4382</v>
      </c>
      <c r="D2200" s="141" t="s">
        <v>1167</v>
      </c>
    </row>
    <row r="2201" spans="1:4" x14ac:dyDescent="0.3">
      <c r="A2201" s="141" t="s">
        <v>4384</v>
      </c>
      <c r="B2201" s="141">
        <v>532067</v>
      </c>
      <c r="C2201" s="141" t="s">
        <v>1129</v>
      </c>
      <c r="D2201" s="141" t="s">
        <v>1273</v>
      </c>
    </row>
    <row r="2202" spans="1:4" x14ac:dyDescent="0.3">
      <c r="A2202" s="141" t="s">
        <v>4385</v>
      </c>
      <c r="B2202" s="141">
        <v>532067</v>
      </c>
      <c r="C2202" s="141" t="s">
        <v>1129</v>
      </c>
      <c r="D2202" s="141" t="s">
        <v>1273</v>
      </c>
    </row>
    <row r="2203" spans="1:4" x14ac:dyDescent="0.3">
      <c r="A2203" s="141" t="s">
        <v>4386</v>
      </c>
      <c r="B2203" s="141">
        <v>530313</v>
      </c>
      <c r="C2203" s="141" t="s">
        <v>4387</v>
      </c>
      <c r="D2203" s="141" t="s">
        <v>1167</v>
      </c>
    </row>
    <row r="2204" spans="1:4" x14ac:dyDescent="0.3">
      <c r="A2204" s="141" t="s">
        <v>4388</v>
      </c>
      <c r="B2204" s="141">
        <v>500240</v>
      </c>
      <c r="C2204" s="141" t="s">
        <v>1129</v>
      </c>
      <c r="D2204" s="141" t="s">
        <v>1787</v>
      </c>
    </row>
    <row r="2205" spans="1:4" x14ac:dyDescent="0.3">
      <c r="A2205" s="141" t="s">
        <v>4389</v>
      </c>
      <c r="B2205" s="141">
        <v>531274</v>
      </c>
      <c r="C2205" s="141" t="s">
        <v>1129</v>
      </c>
      <c r="D2205" s="141" t="s">
        <v>1146</v>
      </c>
    </row>
    <row r="2206" spans="1:4" x14ac:dyDescent="0.3">
      <c r="A2206" s="141" t="s">
        <v>4390</v>
      </c>
      <c r="B2206" s="141">
        <v>524019</v>
      </c>
      <c r="C2206" s="141" t="s">
        <v>4391</v>
      </c>
      <c r="D2206" s="141" t="s">
        <v>1249</v>
      </c>
    </row>
    <row r="2207" spans="1:4" x14ac:dyDescent="0.3">
      <c r="A2207" s="141" t="s">
        <v>4392</v>
      </c>
      <c r="B2207" s="141">
        <v>524019</v>
      </c>
      <c r="C2207" s="141" t="s">
        <v>4391</v>
      </c>
      <c r="D2207" s="141" t="s">
        <v>1249</v>
      </c>
    </row>
    <row r="2208" spans="1:4" x14ac:dyDescent="0.3">
      <c r="A2208" s="141" t="s">
        <v>4393</v>
      </c>
      <c r="B2208" s="141">
        <v>530215</v>
      </c>
      <c r="C2208" s="141" t="s">
        <v>1129</v>
      </c>
      <c r="D2208" s="141" t="s">
        <v>1215</v>
      </c>
    </row>
    <row r="2209" spans="1:4" x14ac:dyDescent="0.3">
      <c r="A2209" s="141" t="s">
        <v>4394</v>
      </c>
      <c r="B2209" s="141">
        <v>512329</v>
      </c>
      <c r="C2209" s="141" t="s">
        <v>1129</v>
      </c>
      <c r="D2209" s="141" t="s">
        <v>1550</v>
      </c>
    </row>
    <row r="2210" spans="1:4" x14ac:dyDescent="0.3">
      <c r="A2210" s="141" t="s">
        <v>4395</v>
      </c>
      <c r="B2210" s="141">
        <v>540680</v>
      </c>
      <c r="C2210" s="141" t="s">
        <v>4396</v>
      </c>
      <c r="D2210" s="141" t="s">
        <v>1161</v>
      </c>
    </row>
    <row r="2211" spans="1:4" x14ac:dyDescent="0.3">
      <c r="A2211" s="141" t="s">
        <v>4397</v>
      </c>
      <c r="B2211" s="141">
        <v>531413</v>
      </c>
      <c r="C2211" s="141" t="s">
        <v>1129</v>
      </c>
      <c r="D2211" s="141" t="s">
        <v>3122</v>
      </c>
    </row>
    <row r="2212" spans="1:4" x14ac:dyDescent="0.3">
      <c r="A2212" s="141" t="s">
        <v>4398</v>
      </c>
      <c r="B2212" s="141">
        <v>537750</v>
      </c>
      <c r="C2212" s="141" t="s">
        <v>1129</v>
      </c>
      <c r="D2212" s="141" t="s">
        <v>1149</v>
      </c>
    </row>
    <row r="2213" spans="1:4" x14ac:dyDescent="0.3">
      <c r="A2213" s="141" t="s">
        <v>4399</v>
      </c>
      <c r="B2213" s="141">
        <v>532967</v>
      </c>
      <c r="C2213" s="141" t="s">
        <v>4400</v>
      </c>
      <c r="D2213" s="141" t="s">
        <v>1289</v>
      </c>
    </row>
    <row r="2214" spans="1:4" x14ac:dyDescent="0.3">
      <c r="A2214" s="141" t="s">
        <v>4401</v>
      </c>
      <c r="B2214" s="141">
        <v>500241</v>
      </c>
      <c r="C2214" s="141" t="s">
        <v>4402</v>
      </c>
      <c r="D2214" s="141" t="s">
        <v>1137</v>
      </c>
    </row>
    <row r="2215" spans="1:4" x14ac:dyDescent="0.3">
      <c r="A2215" s="141" t="s">
        <v>4403</v>
      </c>
      <c r="B2215" s="141">
        <v>533193</v>
      </c>
      <c r="C2215" s="141" t="s">
        <v>4404</v>
      </c>
      <c r="D2215" s="141" t="s">
        <v>1427</v>
      </c>
    </row>
    <row r="2216" spans="1:4" x14ac:dyDescent="0.3">
      <c r="A2216" s="141" t="s">
        <v>4405</v>
      </c>
      <c r="B2216" s="141">
        <v>500245</v>
      </c>
      <c r="C2216" s="141" t="s">
        <v>1129</v>
      </c>
      <c r="D2216" s="141" t="s">
        <v>1161</v>
      </c>
    </row>
    <row r="2217" spans="1:4" x14ac:dyDescent="0.3">
      <c r="A2217" s="141" t="s">
        <v>4406</v>
      </c>
      <c r="B2217" s="141">
        <v>500243</v>
      </c>
      <c r="C2217" s="141" t="s">
        <v>4407</v>
      </c>
      <c r="D2217" s="141" t="s">
        <v>1137</v>
      </c>
    </row>
    <row r="2218" spans="1:4" x14ac:dyDescent="0.3">
      <c r="A2218" s="141" t="s">
        <v>4408</v>
      </c>
      <c r="B2218" s="141">
        <v>533293</v>
      </c>
      <c r="C2218" s="141" t="s">
        <v>4409</v>
      </c>
      <c r="D2218" s="141" t="s">
        <v>1484</v>
      </c>
    </row>
    <row r="2219" spans="1:4" x14ac:dyDescent="0.3">
      <c r="A2219" s="141" t="s">
        <v>4410</v>
      </c>
      <c r="B2219" s="141">
        <v>505283</v>
      </c>
      <c r="C2219" s="141" t="s">
        <v>1129</v>
      </c>
      <c r="D2219" s="141" t="s">
        <v>1137</v>
      </c>
    </row>
    <row r="2220" spans="1:4" x14ac:dyDescent="0.3">
      <c r="A2220" s="141" t="s">
        <v>4411</v>
      </c>
      <c r="B2220" s="141">
        <v>530145</v>
      </c>
      <c r="C2220" s="141" t="s">
        <v>1129</v>
      </c>
      <c r="D2220" s="141" t="s">
        <v>1249</v>
      </c>
    </row>
    <row r="2221" spans="1:4" x14ac:dyDescent="0.3">
      <c r="A2221" s="141" t="s">
        <v>4412</v>
      </c>
      <c r="B2221" s="141">
        <v>521248</v>
      </c>
      <c r="C2221" s="141" t="s">
        <v>4413</v>
      </c>
      <c r="D2221" s="141" t="s">
        <v>1243</v>
      </c>
    </row>
    <row r="2222" spans="1:4" x14ac:dyDescent="0.3">
      <c r="A2222" s="141" t="s">
        <v>4414</v>
      </c>
      <c r="B2222" s="141">
        <v>532304</v>
      </c>
      <c r="C2222" s="141" t="s">
        <v>1129</v>
      </c>
      <c r="D2222" s="141" t="s">
        <v>1112</v>
      </c>
    </row>
    <row r="2223" spans="1:4" x14ac:dyDescent="0.3">
      <c r="A2223" s="141" t="s">
        <v>4415</v>
      </c>
      <c r="B2223" s="141">
        <v>532304</v>
      </c>
      <c r="C2223" s="141" t="s">
        <v>1129</v>
      </c>
      <c r="D2223" s="141" t="s">
        <v>1112</v>
      </c>
    </row>
    <row r="2224" spans="1:4" x14ac:dyDescent="0.3">
      <c r="A2224" s="141" t="s">
        <v>4416</v>
      </c>
      <c r="B2224" s="141">
        <v>530235</v>
      </c>
      <c r="C2224" s="141" t="s">
        <v>1129</v>
      </c>
      <c r="D2224" s="141" t="s">
        <v>1146</v>
      </c>
    </row>
    <row r="2225" spans="1:4" x14ac:dyDescent="0.3">
      <c r="A2225" s="141" t="s">
        <v>4417</v>
      </c>
      <c r="B2225" s="141">
        <v>526409</v>
      </c>
      <c r="C2225" s="141" t="s">
        <v>1129</v>
      </c>
      <c r="D2225" s="141" t="s">
        <v>1249</v>
      </c>
    </row>
    <row r="2226" spans="1:4" x14ac:dyDescent="0.3">
      <c r="A2226" s="141" t="s">
        <v>4418</v>
      </c>
      <c r="B2226" s="141">
        <v>526409</v>
      </c>
      <c r="C2226" s="141" t="s">
        <v>1129</v>
      </c>
      <c r="D2226" s="141" t="s">
        <v>1249</v>
      </c>
    </row>
    <row r="2227" spans="1:4" x14ac:dyDescent="0.3">
      <c r="A2227" s="141" t="s">
        <v>4419</v>
      </c>
      <c r="B2227" s="141">
        <v>523652</v>
      </c>
      <c r="C2227" s="141" t="s">
        <v>1129</v>
      </c>
      <c r="D2227" s="141" t="s">
        <v>1249</v>
      </c>
    </row>
    <row r="2228" spans="1:4" x14ac:dyDescent="0.3">
      <c r="A2228" s="141" t="s">
        <v>4420</v>
      </c>
      <c r="B2228" s="141">
        <v>521238</v>
      </c>
      <c r="C2228" s="141" t="s">
        <v>1129</v>
      </c>
      <c r="D2228" s="141" t="s">
        <v>1454</v>
      </c>
    </row>
    <row r="2229" spans="1:4" x14ac:dyDescent="0.3">
      <c r="A2229" s="141" t="s">
        <v>4421</v>
      </c>
      <c r="B2229" s="141" t="s">
        <v>1129</v>
      </c>
      <c r="C2229" s="141" t="s">
        <v>4422</v>
      </c>
      <c r="D2229" s="141" t="s">
        <v>1140</v>
      </c>
    </row>
    <row r="2230" spans="1:4" x14ac:dyDescent="0.3">
      <c r="A2230" s="141" t="s">
        <v>4423</v>
      </c>
      <c r="B2230" s="141">
        <v>530771</v>
      </c>
      <c r="C2230" s="141" t="s">
        <v>1129</v>
      </c>
      <c r="D2230" s="141" t="s">
        <v>1146</v>
      </c>
    </row>
    <row r="2231" spans="1:4" x14ac:dyDescent="0.3">
      <c r="A2231" s="141" t="s">
        <v>4424</v>
      </c>
      <c r="B2231" s="141">
        <v>514221</v>
      </c>
      <c r="C2231" s="141" t="s">
        <v>1129</v>
      </c>
      <c r="D2231" s="141" t="s">
        <v>1144</v>
      </c>
    </row>
    <row r="2232" spans="1:4" x14ac:dyDescent="0.3">
      <c r="A2232" s="141" t="s">
        <v>4425</v>
      </c>
      <c r="B2232" s="141">
        <v>517170</v>
      </c>
      <c r="C2232" s="141" t="s">
        <v>4426</v>
      </c>
      <c r="D2232" s="141" t="s">
        <v>1427</v>
      </c>
    </row>
    <row r="2233" spans="1:4" x14ac:dyDescent="0.3">
      <c r="A2233" s="141" t="s">
        <v>4427</v>
      </c>
      <c r="B2233" s="141">
        <v>524520</v>
      </c>
      <c r="C2233" s="141" t="s">
        <v>1129</v>
      </c>
      <c r="D2233" s="141" t="s">
        <v>1318</v>
      </c>
    </row>
    <row r="2234" spans="1:4" x14ac:dyDescent="0.3">
      <c r="A2234" s="141" t="s">
        <v>4428</v>
      </c>
      <c r="B2234" s="141">
        <v>524520</v>
      </c>
      <c r="C2234" s="141" t="s">
        <v>1129</v>
      </c>
      <c r="D2234" s="141" t="s">
        <v>1318</v>
      </c>
    </row>
    <row r="2235" spans="1:4" x14ac:dyDescent="0.3">
      <c r="A2235" s="141" t="s">
        <v>4429</v>
      </c>
      <c r="B2235" s="141">
        <v>531578</v>
      </c>
      <c r="C2235" s="141" t="s">
        <v>1129</v>
      </c>
      <c r="D2235" s="141" t="s">
        <v>1215</v>
      </c>
    </row>
    <row r="2236" spans="1:4" x14ac:dyDescent="0.3">
      <c r="A2236" s="141" t="s">
        <v>4430</v>
      </c>
      <c r="B2236" s="141">
        <v>519415</v>
      </c>
      <c r="C2236" s="141" t="s">
        <v>1129</v>
      </c>
      <c r="D2236" s="141" t="s">
        <v>1189</v>
      </c>
    </row>
    <row r="2237" spans="1:4" x14ac:dyDescent="0.3">
      <c r="A2237" s="141" t="s">
        <v>4431</v>
      </c>
      <c r="B2237" s="141">
        <v>540468</v>
      </c>
      <c r="C2237" s="141" t="s">
        <v>1129</v>
      </c>
      <c r="D2237" s="141" t="s">
        <v>2094</v>
      </c>
    </row>
    <row r="2238" spans="1:4" x14ac:dyDescent="0.3">
      <c r="A2238" s="141" t="s">
        <v>4432</v>
      </c>
      <c r="B2238" s="141">
        <v>532942</v>
      </c>
      <c r="C2238" s="141" t="s">
        <v>4433</v>
      </c>
      <c r="D2238" s="141" t="s">
        <v>1527</v>
      </c>
    </row>
    <row r="2239" spans="1:4" x14ac:dyDescent="0.3">
      <c r="A2239" s="141" t="s">
        <v>4434</v>
      </c>
      <c r="B2239" s="141">
        <v>512559</v>
      </c>
      <c r="C2239" s="141" t="s">
        <v>4435</v>
      </c>
      <c r="D2239" s="141" t="s">
        <v>1327</v>
      </c>
    </row>
    <row r="2240" spans="1:4" x14ac:dyDescent="0.3">
      <c r="A2240" s="141" t="s">
        <v>4436</v>
      </c>
      <c r="B2240" s="141">
        <v>523207</v>
      </c>
      <c r="C2240" s="141" t="s">
        <v>4437</v>
      </c>
      <c r="D2240" s="141" t="s">
        <v>1675</v>
      </c>
    </row>
    <row r="2241" spans="1:4" x14ac:dyDescent="0.3">
      <c r="A2241" s="141" t="s">
        <v>4438</v>
      </c>
      <c r="B2241" s="141">
        <v>532924</v>
      </c>
      <c r="C2241" s="141" t="s">
        <v>4439</v>
      </c>
      <c r="D2241" s="141" t="s">
        <v>1215</v>
      </c>
    </row>
    <row r="2242" spans="1:4" x14ac:dyDescent="0.3">
      <c r="A2242" s="141" t="s">
        <v>4440</v>
      </c>
      <c r="B2242" s="141">
        <v>539910</v>
      </c>
      <c r="C2242" s="141" t="s">
        <v>1129</v>
      </c>
      <c r="D2242" s="141" t="s">
        <v>1132</v>
      </c>
    </row>
    <row r="2243" spans="1:4" x14ac:dyDescent="0.3">
      <c r="A2243" s="141" t="s">
        <v>4441</v>
      </c>
      <c r="B2243" s="141">
        <v>514128</v>
      </c>
      <c r="C2243" s="141" t="s">
        <v>1129</v>
      </c>
      <c r="D2243" s="141" t="s">
        <v>1144</v>
      </c>
    </row>
    <row r="2244" spans="1:4" x14ac:dyDescent="0.3">
      <c r="A2244" s="141" t="s">
        <v>4442</v>
      </c>
      <c r="B2244" s="141">
        <v>524280</v>
      </c>
      <c r="C2244" s="141" t="s">
        <v>4443</v>
      </c>
      <c r="D2244" s="141" t="s">
        <v>1167</v>
      </c>
    </row>
    <row r="2245" spans="1:4" x14ac:dyDescent="0.3">
      <c r="A2245" s="141" t="s">
        <v>4444</v>
      </c>
      <c r="B2245" s="141">
        <v>500247</v>
      </c>
      <c r="C2245" s="141" t="s">
        <v>4445</v>
      </c>
      <c r="D2245" s="141" t="s">
        <v>1447</v>
      </c>
    </row>
    <row r="2246" spans="1:4" x14ac:dyDescent="0.3">
      <c r="A2246" s="141" t="s">
        <v>4446</v>
      </c>
      <c r="B2246" s="141">
        <v>590097</v>
      </c>
      <c r="C2246" s="141" t="s">
        <v>4447</v>
      </c>
      <c r="D2246" s="141" t="s">
        <v>1112</v>
      </c>
    </row>
    <row r="2247" spans="1:4" x14ac:dyDescent="0.3">
      <c r="A2247" s="141" t="s">
        <v>4448</v>
      </c>
      <c r="B2247" s="141">
        <v>590107</v>
      </c>
      <c r="C2247" s="141" t="s">
        <v>4449</v>
      </c>
      <c r="D2247" s="141" t="s">
        <v>1112</v>
      </c>
    </row>
    <row r="2248" spans="1:4" x14ac:dyDescent="0.3">
      <c r="A2248" s="141" t="s">
        <v>4450</v>
      </c>
      <c r="B2248" s="141">
        <v>532985</v>
      </c>
      <c r="C2248" s="141" t="s">
        <v>4451</v>
      </c>
      <c r="D2248" s="141" t="s">
        <v>1112</v>
      </c>
    </row>
    <row r="2249" spans="1:4" x14ac:dyDescent="0.3">
      <c r="A2249" s="141" t="s">
        <v>4452</v>
      </c>
      <c r="B2249" s="141">
        <v>507474</v>
      </c>
      <c r="C2249" s="141" t="s">
        <v>1129</v>
      </c>
      <c r="D2249" s="141" t="s">
        <v>1209</v>
      </c>
    </row>
    <row r="2250" spans="1:4" x14ac:dyDescent="0.3">
      <c r="A2250" s="141" t="s">
        <v>4453</v>
      </c>
      <c r="B2250" s="141" t="s">
        <v>1129</v>
      </c>
      <c r="C2250" s="141" t="s">
        <v>4454</v>
      </c>
      <c r="D2250" s="141" t="s">
        <v>1220</v>
      </c>
    </row>
    <row r="2251" spans="1:4" x14ac:dyDescent="0.3">
      <c r="A2251" s="141" t="s">
        <v>4455</v>
      </c>
      <c r="B2251" s="141">
        <v>530299</v>
      </c>
      <c r="C2251" s="141" t="s">
        <v>4456</v>
      </c>
      <c r="D2251" s="141" t="s">
        <v>1151</v>
      </c>
    </row>
    <row r="2252" spans="1:4" x14ac:dyDescent="0.3">
      <c r="A2252" s="141" t="s">
        <v>4457</v>
      </c>
      <c r="B2252" s="141" t="s">
        <v>1129</v>
      </c>
      <c r="C2252" s="141" t="s">
        <v>4458</v>
      </c>
      <c r="D2252" s="141" t="s">
        <v>1220</v>
      </c>
    </row>
    <row r="2253" spans="1:4" x14ac:dyDescent="0.3">
      <c r="A2253" s="141" t="s">
        <v>4459</v>
      </c>
      <c r="B2253" s="141">
        <v>511138</v>
      </c>
      <c r="C2253" s="141" t="s">
        <v>1129</v>
      </c>
      <c r="D2253" s="141" t="s">
        <v>1146</v>
      </c>
    </row>
    <row r="2254" spans="1:4" x14ac:dyDescent="0.3">
      <c r="A2254" s="141" t="s">
        <v>4460</v>
      </c>
      <c r="B2254" s="141">
        <v>539599</v>
      </c>
      <c r="C2254" s="141" t="s">
        <v>1129</v>
      </c>
      <c r="D2254" s="141" t="s">
        <v>1163</v>
      </c>
    </row>
    <row r="2255" spans="1:4" x14ac:dyDescent="0.3">
      <c r="A2255" s="141" t="s">
        <v>4461</v>
      </c>
      <c r="B2255" s="141">
        <v>523323</v>
      </c>
      <c r="C2255" s="141" t="s">
        <v>1129</v>
      </c>
      <c r="D2255" s="141" t="s">
        <v>1318</v>
      </c>
    </row>
    <row r="2256" spans="1:4" x14ac:dyDescent="0.3">
      <c r="A2256" s="141" t="s">
        <v>4462</v>
      </c>
      <c r="B2256" s="141">
        <v>505585</v>
      </c>
      <c r="C2256" s="141" t="s">
        <v>1129</v>
      </c>
      <c r="D2256" s="141" t="s">
        <v>1550</v>
      </c>
    </row>
    <row r="2257" spans="1:4" x14ac:dyDescent="0.3">
      <c r="A2257" s="141" t="s">
        <v>4463</v>
      </c>
      <c r="B2257" s="141">
        <v>507598</v>
      </c>
      <c r="C2257" s="141" t="s">
        <v>1129</v>
      </c>
      <c r="D2257" s="141" t="s">
        <v>1209</v>
      </c>
    </row>
    <row r="2258" spans="1:4" x14ac:dyDescent="0.3">
      <c r="A2258" s="141" t="s">
        <v>4464</v>
      </c>
      <c r="B2258" s="141">
        <v>532400</v>
      </c>
      <c r="C2258" s="141" t="s">
        <v>4465</v>
      </c>
      <c r="D2258" s="141" t="s">
        <v>1115</v>
      </c>
    </row>
    <row r="2259" spans="1:4" x14ac:dyDescent="0.3">
      <c r="A2259" s="141" t="s">
        <v>4466</v>
      </c>
      <c r="B2259" s="141">
        <v>542651</v>
      </c>
      <c r="C2259" s="141" t="s">
        <v>4467</v>
      </c>
      <c r="D2259" s="141" t="s">
        <v>4468</v>
      </c>
    </row>
    <row r="2260" spans="1:4" x14ac:dyDescent="0.3">
      <c r="A2260" s="141" t="s">
        <v>4469</v>
      </c>
      <c r="B2260" s="141">
        <v>542459</v>
      </c>
      <c r="C2260" s="141" t="s">
        <v>4470</v>
      </c>
      <c r="D2260" s="141" t="s">
        <v>4468</v>
      </c>
    </row>
    <row r="2261" spans="1:4" x14ac:dyDescent="0.3">
      <c r="A2261" s="141" t="s">
        <v>4471</v>
      </c>
      <c r="B2261" s="141">
        <v>501261</v>
      </c>
      <c r="C2261" s="141" t="s">
        <v>1129</v>
      </c>
      <c r="D2261" s="141" t="s">
        <v>1112</v>
      </c>
    </row>
    <row r="2262" spans="1:4" x14ac:dyDescent="0.3">
      <c r="A2262" s="141" t="s">
        <v>4472</v>
      </c>
      <c r="B2262" s="141">
        <v>530813</v>
      </c>
      <c r="C2262" s="141" t="s">
        <v>4473</v>
      </c>
      <c r="D2262" s="141" t="s">
        <v>1189</v>
      </c>
    </row>
    <row r="2263" spans="1:4" x14ac:dyDescent="0.3">
      <c r="A2263" s="141" t="s">
        <v>4474</v>
      </c>
      <c r="B2263" s="141">
        <v>524518</v>
      </c>
      <c r="C2263" s="141" t="s">
        <v>4475</v>
      </c>
      <c r="D2263" s="141" t="s">
        <v>1167</v>
      </c>
    </row>
    <row r="2264" spans="1:4" x14ac:dyDescent="0.3">
      <c r="A2264" s="141" t="s">
        <v>4476</v>
      </c>
      <c r="B2264" s="141">
        <v>530139</v>
      </c>
      <c r="C2264" s="141" t="s">
        <v>1129</v>
      </c>
      <c r="D2264" s="141" t="s">
        <v>1146</v>
      </c>
    </row>
    <row r="2265" spans="1:4" x14ac:dyDescent="0.3">
      <c r="A2265" s="141" t="s">
        <v>4477</v>
      </c>
      <c r="B2265" s="141">
        <v>531328</v>
      </c>
      <c r="C2265" s="141" t="s">
        <v>1129</v>
      </c>
      <c r="D2265" s="141" t="s">
        <v>2094</v>
      </c>
    </row>
    <row r="2266" spans="1:4" x14ac:dyDescent="0.3">
      <c r="A2266" s="141" t="s">
        <v>4478</v>
      </c>
      <c r="B2266" s="141">
        <v>533482</v>
      </c>
      <c r="C2266" s="141" t="s">
        <v>4479</v>
      </c>
      <c r="D2266" s="141" t="s">
        <v>1527</v>
      </c>
    </row>
    <row r="2267" spans="1:4" x14ac:dyDescent="0.3">
      <c r="A2267" s="141" t="s">
        <v>4480</v>
      </c>
      <c r="B2267" s="141" t="s">
        <v>1129</v>
      </c>
      <c r="C2267" s="141" t="s">
        <v>4481</v>
      </c>
      <c r="D2267" s="141" t="s">
        <v>1140</v>
      </c>
    </row>
    <row r="2268" spans="1:4" x14ac:dyDescent="0.3">
      <c r="A2268" s="141" t="s">
        <v>4482</v>
      </c>
      <c r="B2268" s="141">
        <v>539384</v>
      </c>
      <c r="C2268" s="141" t="s">
        <v>1129</v>
      </c>
      <c r="D2268" s="141" t="s">
        <v>1146</v>
      </c>
    </row>
    <row r="2269" spans="1:4" x14ac:dyDescent="0.3">
      <c r="A2269" s="141" t="s">
        <v>4483</v>
      </c>
      <c r="B2269" s="141">
        <v>504392</v>
      </c>
      <c r="C2269" s="141" t="s">
        <v>1129</v>
      </c>
      <c r="D2269" s="141" t="s">
        <v>1112</v>
      </c>
    </row>
    <row r="2270" spans="1:4" x14ac:dyDescent="0.3">
      <c r="A2270" s="141" t="s">
        <v>4484</v>
      </c>
      <c r="B2270" s="141">
        <v>526423</v>
      </c>
      <c r="C2270" s="141" t="s">
        <v>1129</v>
      </c>
      <c r="D2270" s="141" t="s">
        <v>1249</v>
      </c>
    </row>
    <row r="2271" spans="1:4" x14ac:dyDescent="0.3">
      <c r="A2271" s="141" t="s">
        <v>4485</v>
      </c>
      <c r="B2271" s="141">
        <v>526423</v>
      </c>
      <c r="C2271" s="141" t="s">
        <v>1129</v>
      </c>
      <c r="D2271" s="141" t="s">
        <v>1249</v>
      </c>
    </row>
    <row r="2272" spans="1:4" x14ac:dyDescent="0.3">
      <c r="A2272" s="141" t="s">
        <v>4486</v>
      </c>
      <c r="B2272" s="141">
        <v>533210</v>
      </c>
      <c r="C2272" s="141" t="s">
        <v>1129</v>
      </c>
      <c r="D2272" s="141" t="s">
        <v>1378</v>
      </c>
    </row>
    <row r="2273" spans="1:4" x14ac:dyDescent="0.3">
      <c r="A2273" s="141" t="s">
        <v>4487</v>
      </c>
      <c r="B2273" s="141" t="s">
        <v>1129</v>
      </c>
      <c r="C2273" s="141" t="s">
        <v>4488</v>
      </c>
      <c r="D2273" s="141" t="s">
        <v>1140</v>
      </c>
    </row>
    <row r="2274" spans="1:4" x14ac:dyDescent="0.3">
      <c r="A2274" s="141" t="s">
        <v>4489</v>
      </c>
      <c r="B2274" s="141">
        <v>523550</v>
      </c>
      <c r="C2274" s="141" t="s">
        <v>1129</v>
      </c>
      <c r="D2274" s="141" t="s">
        <v>1118</v>
      </c>
    </row>
    <row r="2275" spans="1:4" x14ac:dyDescent="0.3">
      <c r="A2275" s="141" t="s">
        <v>4490</v>
      </c>
      <c r="B2275" s="141">
        <v>500249</v>
      </c>
      <c r="C2275" s="141" t="s">
        <v>4491</v>
      </c>
      <c r="D2275" s="141" t="s">
        <v>1137</v>
      </c>
    </row>
    <row r="2276" spans="1:4" x14ac:dyDescent="0.3">
      <c r="A2276" s="141" t="s">
        <v>4492</v>
      </c>
      <c r="B2276" s="141">
        <v>519421</v>
      </c>
      <c r="C2276" s="141" t="s">
        <v>1129</v>
      </c>
      <c r="D2276" s="141" t="s">
        <v>1189</v>
      </c>
    </row>
    <row r="2277" spans="1:4" x14ac:dyDescent="0.3">
      <c r="A2277" s="141" t="s">
        <v>4493</v>
      </c>
      <c r="B2277" s="141" t="s">
        <v>1129</v>
      </c>
      <c r="C2277" s="141" t="s">
        <v>4494</v>
      </c>
      <c r="D2277" s="141" t="s">
        <v>1140</v>
      </c>
    </row>
    <row r="2278" spans="1:4" x14ac:dyDescent="0.3">
      <c r="A2278" s="141" t="s">
        <v>4495</v>
      </c>
      <c r="B2278" s="141">
        <v>503626</v>
      </c>
      <c r="C2278" s="141" t="s">
        <v>1129</v>
      </c>
      <c r="D2278" s="141" t="s">
        <v>1112</v>
      </c>
    </row>
    <row r="2279" spans="1:4" x14ac:dyDescent="0.3">
      <c r="A2279" s="141" t="s">
        <v>4496</v>
      </c>
      <c r="B2279" s="141">
        <v>532997</v>
      </c>
      <c r="C2279" s="141" t="s">
        <v>4497</v>
      </c>
      <c r="D2279" s="141" t="s">
        <v>1268</v>
      </c>
    </row>
    <row r="2280" spans="1:4" x14ac:dyDescent="0.3">
      <c r="A2280" s="141" t="s">
        <v>4498</v>
      </c>
      <c r="B2280" s="141">
        <v>530149</v>
      </c>
      <c r="C2280" s="141" t="s">
        <v>1129</v>
      </c>
      <c r="D2280" s="141" t="s">
        <v>1144</v>
      </c>
    </row>
    <row r="2281" spans="1:4" x14ac:dyDescent="0.3">
      <c r="A2281" s="141" t="s">
        <v>4499</v>
      </c>
      <c r="B2281" s="141">
        <v>532081</v>
      </c>
      <c r="C2281" s="141" t="s">
        <v>4500</v>
      </c>
      <c r="D2281" s="141" t="s">
        <v>1132</v>
      </c>
    </row>
    <row r="2282" spans="1:4" x14ac:dyDescent="0.3">
      <c r="A2282" s="141" t="s">
        <v>4501</v>
      </c>
      <c r="B2282" s="141">
        <v>532937</v>
      </c>
      <c r="C2282" s="141" t="s">
        <v>1129</v>
      </c>
      <c r="D2282" s="141" t="s">
        <v>1123</v>
      </c>
    </row>
    <row r="2283" spans="1:4" x14ac:dyDescent="0.3">
      <c r="A2283" s="141" t="s">
        <v>4502</v>
      </c>
      <c r="B2283" s="141">
        <v>539408</v>
      </c>
      <c r="C2283" s="141" t="s">
        <v>1129</v>
      </c>
      <c r="D2283" s="141" t="s">
        <v>1146</v>
      </c>
    </row>
    <row r="2284" spans="1:4" x14ac:dyDescent="0.3">
      <c r="A2284" s="141" t="s">
        <v>4503</v>
      </c>
      <c r="B2284" s="141">
        <v>505299</v>
      </c>
      <c r="C2284" s="141" t="s">
        <v>1129</v>
      </c>
      <c r="D2284" s="141" t="s">
        <v>1137</v>
      </c>
    </row>
    <row r="2285" spans="1:4" x14ac:dyDescent="0.3">
      <c r="A2285" s="141" t="s">
        <v>4504</v>
      </c>
      <c r="B2285" s="141">
        <v>513703</v>
      </c>
      <c r="C2285" s="141" t="s">
        <v>1129</v>
      </c>
      <c r="D2285" s="141" t="s">
        <v>1144</v>
      </c>
    </row>
    <row r="2286" spans="1:4" x14ac:dyDescent="0.3">
      <c r="A2286" s="141" t="s">
        <v>4505</v>
      </c>
      <c r="B2286" s="141">
        <v>523594</v>
      </c>
      <c r="C2286" s="141" t="s">
        <v>1129</v>
      </c>
      <c r="D2286" s="141" t="s">
        <v>1249</v>
      </c>
    </row>
    <row r="2287" spans="1:4" x14ac:dyDescent="0.3">
      <c r="A2287" s="141" t="s">
        <v>4506</v>
      </c>
      <c r="B2287" s="141">
        <v>511048</v>
      </c>
      <c r="C2287" s="141" t="s">
        <v>1129</v>
      </c>
      <c r="D2287" s="141" t="s">
        <v>1151</v>
      </c>
    </row>
    <row r="2288" spans="1:4" x14ac:dyDescent="0.3">
      <c r="A2288" s="141" t="s">
        <v>4507</v>
      </c>
      <c r="B2288" s="141">
        <v>514240</v>
      </c>
      <c r="C2288" s="141" t="s">
        <v>1129</v>
      </c>
      <c r="D2288" s="141" t="s">
        <v>1144</v>
      </c>
    </row>
    <row r="2289" spans="1:4" x14ac:dyDescent="0.3">
      <c r="A2289" s="141" t="s">
        <v>4508</v>
      </c>
      <c r="B2289" s="141">
        <v>536170</v>
      </c>
      <c r="C2289" s="141" t="s">
        <v>1129</v>
      </c>
      <c r="D2289" s="141" t="s">
        <v>1151</v>
      </c>
    </row>
    <row r="2290" spans="1:4" x14ac:dyDescent="0.3">
      <c r="A2290" s="141" t="s">
        <v>4509</v>
      </c>
      <c r="B2290" s="141">
        <v>530421</v>
      </c>
      <c r="C2290" s="141" t="s">
        <v>1129</v>
      </c>
      <c r="D2290" s="141" t="s">
        <v>1177</v>
      </c>
    </row>
    <row r="2291" spans="1:4" x14ac:dyDescent="0.3">
      <c r="A2291" s="141" t="s">
        <v>4510</v>
      </c>
      <c r="B2291" s="141">
        <v>531206</v>
      </c>
      <c r="C2291" s="141" t="s">
        <v>1129</v>
      </c>
      <c r="D2291" s="141" t="s">
        <v>1146</v>
      </c>
    </row>
    <row r="2292" spans="1:4" x14ac:dyDescent="0.3">
      <c r="A2292" s="141" t="s">
        <v>4511</v>
      </c>
      <c r="B2292" s="141">
        <v>531882</v>
      </c>
      <c r="C2292" s="141" t="s">
        <v>4512</v>
      </c>
      <c r="D2292" s="141" t="s">
        <v>1189</v>
      </c>
    </row>
    <row r="2293" spans="1:4" x14ac:dyDescent="0.3">
      <c r="A2293" s="141" t="s">
        <v>4513</v>
      </c>
      <c r="B2293" s="141">
        <v>539997</v>
      </c>
      <c r="C2293" s="141" t="s">
        <v>1129</v>
      </c>
      <c r="D2293" s="141" t="s">
        <v>1167</v>
      </c>
    </row>
    <row r="2294" spans="1:4" x14ac:dyDescent="0.3">
      <c r="A2294" s="141" t="s">
        <v>4514</v>
      </c>
      <c r="B2294" s="141">
        <v>537669</v>
      </c>
      <c r="C2294" s="141" t="s">
        <v>1129</v>
      </c>
      <c r="D2294" s="141" t="s">
        <v>1207</v>
      </c>
    </row>
    <row r="2295" spans="1:4" x14ac:dyDescent="0.3">
      <c r="A2295" s="141" t="s">
        <v>4515</v>
      </c>
      <c r="B2295" s="141">
        <v>533519</v>
      </c>
      <c r="C2295" s="141" t="s">
        <v>4516</v>
      </c>
      <c r="D2295" s="141" t="s">
        <v>1295</v>
      </c>
    </row>
    <row r="2296" spans="1:4" x14ac:dyDescent="0.3">
      <c r="A2296" s="141" t="s">
        <v>4517</v>
      </c>
      <c r="B2296" s="141">
        <v>540115</v>
      </c>
      <c r="C2296" s="141" t="s">
        <v>4518</v>
      </c>
      <c r="D2296" s="141" t="s">
        <v>1135</v>
      </c>
    </row>
    <row r="2297" spans="1:4" x14ac:dyDescent="0.3">
      <c r="A2297" s="141" t="s">
        <v>4519</v>
      </c>
      <c r="B2297" s="141">
        <v>526947</v>
      </c>
      <c r="C2297" s="141" t="s">
        <v>4520</v>
      </c>
      <c r="D2297" s="141" t="s">
        <v>2175</v>
      </c>
    </row>
    <row r="2298" spans="1:4" x14ac:dyDescent="0.3">
      <c r="A2298" s="141" t="s">
        <v>4521</v>
      </c>
      <c r="B2298" s="141">
        <v>505693</v>
      </c>
      <c r="C2298" s="141" t="s">
        <v>4522</v>
      </c>
      <c r="D2298" s="141" t="s">
        <v>1314</v>
      </c>
    </row>
    <row r="2299" spans="1:4" x14ac:dyDescent="0.3">
      <c r="A2299" s="141" t="s">
        <v>4523</v>
      </c>
      <c r="B2299" s="141">
        <v>524202</v>
      </c>
      <c r="C2299" s="141" t="s">
        <v>1129</v>
      </c>
      <c r="D2299" s="141" t="s">
        <v>1209</v>
      </c>
    </row>
    <row r="2300" spans="1:4" x14ac:dyDescent="0.3">
      <c r="A2300" s="141" t="s">
        <v>4524</v>
      </c>
      <c r="B2300" s="141">
        <v>524202</v>
      </c>
      <c r="C2300" s="141" t="s">
        <v>1129</v>
      </c>
      <c r="D2300" s="141" t="s">
        <v>1209</v>
      </c>
    </row>
    <row r="2301" spans="1:4" x14ac:dyDescent="0.3">
      <c r="A2301" s="141" t="s">
        <v>4525</v>
      </c>
      <c r="B2301" s="141">
        <v>540026</v>
      </c>
      <c r="C2301" s="141" t="s">
        <v>1129</v>
      </c>
      <c r="D2301" s="141" t="s">
        <v>1215</v>
      </c>
    </row>
    <row r="2302" spans="1:4" x14ac:dyDescent="0.3">
      <c r="A2302" s="141" t="s">
        <v>4526</v>
      </c>
      <c r="B2302" s="141">
        <v>530577</v>
      </c>
      <c r="C2302" s="141" t="s">
        <v>1129</v>
      </c>
      <c r="D2302" s="141" t="s">
        <v>1146</v>
      </c>
    </row>
    <row r="2303" spans="1:4" x14ac:dyDescent="0.3">
      <c r="A2303" s="141" t="s">
        <v>4527</v>
      </c>
      <c r="B2303" s="141">
        <v>524522</v>
      </c>
      <c r="C2303" s="141" t="s">
        <v>1129</v>
      </c>
      <c r="D2303" s="141" t="s">
        <v>1177</v>
      </c>
    </row>
    <row r="2304" spans="1:4" x14ac:dyDescent="0.3">
      <c r="A2304" s="141" t="s">
        <v>4528</v>
      </c>
      <c r="B2304" s="141" t="s">
        <v>1129</v>
      </c>
      <c r="C2304" s="141" t="s">
        <v>4529</v>
      </c>
      <c r="D2304" s="141" t="s">
        <v>1140</v>
      </c>
    </row>
    <row r="2305" spans="1:4" x14ac:dyDescent="0.3">
      <c r="A2305" s="141" t="s">
        <v>4530</v>
      </c>
      <c r="B2305" s="141">
        <v>531842</v>
      </c>
      <c r="C2305" s="141" t="s">
        <v>1129</v>
      </c>
      <c r="D2305" s="141" t="s">
        <v>1151</v>
      </c>
    </row>
    <row r="2306" spans="1:4" x14ac:dyDescent="0.3">
      <c r="A2306" s="141" t="s">
        <v>4531</v>
      </c>
      <c r="B2306" s="141">
        <v>535387</v>
      </c>
      <c r="C2306" s="141" t="s">
        <v>1129</v>
      </c>
      <c r="D2306" s="141" t="s">
        <v>1144</v>
      </c>
    </row>
    <row r="2307" spans="1:4" x14ac:dyDescent="0.3">
      <c r="A2307" s="141" t="s">
        <v>4532</v>
      </c>
      <c r="B2307" s="141">
        <v>535387</v>
      </c>
      <c r="C2307" s="141" t="s">
        <v>1129</v>
      </c>
      <c r="D2307" s="141" t="s">
        <v>1144</v>
      </c>
    </row>
    <row r="2308" spans="1:4" x14ac:dyDescent="0.3">
      <c r="A2308" s="141" t="s">
        <v>4533</v>
      </c>
      <c r="B2308" s="141">
        <v>505302</v>
      </c>
      <c r="C2308" s="141" t="s">
        <v>1129</v>
      </c>
      <c r="D2308" s="141" t="s">
        <v>1137</v>
      </c>
    </row>
    <row r="2309" spans="1:4" x14ac:dyDescent="0.3">
      <c r="A2309" s="141" t="s">
        <v>4534</v>
      </c>
      <c r="B2309" s="141">
        <v>504258</v>
      </c>
      <c r="C2309" s="141" t="s">
        <v>1129</v>
      </c>
      <c r="D2309" s="141" t="s">
        <v>1427</v>
      </c>
    </row>
    <row r="2310" spans="1:4" x14ac:dyDescent="0.3">
      <c r="A2310" s="141" t="s">
        <v>4535</v>
      </c>
      <c r="B2310" s="141" t="s">
        <v>1129</v>
      </c>
      <c r="C2310" s="141" t="s">
        <v>4536</v>
      </c>
      <c r="D2310" s="141" t="s">
        <v>1220</v>
      </c>
    </row>
    <row r="2311" spans="1:4" x14ac:dyDescent="0.3">
      <c r="A2311" s="141" t="s">
        <v>4537</v>
      </c>
      <c r="B2311" s="141">
        <v>500252</v>
      </c>
      <c r="C2311" s="141" t="s">
        <v>4538</v>
      </c>
      <c r="D2311" s="141" t="s">
        <v>1137</v>
      </c>
    </row>
    <row r="2312" spans="1:4" x14ac:dyDescent="0.3">
      <c r="A2312" s="141" t="s">
        <v>4539</v>
      </c>
      <c r="B2312" s="141">
        <v>502958</v>
      </c>
      <c r="C2312" s="141" t="s">
        <v>1129</v>
      </c>
      <c r="D2312" s="141" t="s">
        <v>1144</v>
      </c>
    </row>
    <row r="2313" spans="1:4" x14ac:dyDescent="0.3">
      <c r="A2313" s="141" t="s">
        <v>4540</v>
      </c>
      <c r="B2313" s="141">
        <v>506079</v>
      </c>
      <c r="C2313" s="141" t="s">
        <v>4541</v>
      </c>
      <c r="D2313" s="141" t="s">
        <v>1452</v>
      </c>
    </row>
    <row r="2314" spans="1:4" x14ac:dyDescent="0.3">
      <c r="A2314" s="141" t="s">
        <v>4542</v>
      </c>
      <c r="B2314" s="141">
        <v>534690</v>
      </c>
      <c r="C2314" s="141" t="s">
        <v>4543</v>
      </c>
      <c r="D2314" s="141" t="s">
        <v>1447</v>
      </c>
    </row>
    <row r="2315" spans="1:4" x14ac:dyDescent="0.3">
      <c r="A2315" s="141" t="s">
        <v>4544</v>
      </c>
      <c r="B2315" s="141">
        <v>590075</v>
      </c>
      <c r="C2315" s="141" t="s">
        <v>4545</v>
      </c>
      <c r="D2315" s="141" t="s">
        <v>1144</v>
      </c>
    </row>
    <row r="2316" spans="1:4" x14ac:dyDescent="0.3">
      <c r="A2316" s="141" t="s">
        <v>4546</v>
      </c>
      <c r="B2316" s="141">
        <v>539841</v>
      </c>
      <c r="C2316" s="141" t="s">
        <v>1129</v>
      </c>
      <c r="D2316" s="141" t="s">
        <v>1450</v>
      </c>
    </row>
    <row r="2317" spans="1:4" x14ac:dyDescent="0.3">
      <c r="A2317" s="141" t="s">
        <v>4547</v>
      </c>
      <c r="B2317" s="141">
        <v>509048</v>
      </c>
      <c r="C2317" s="141" t="s">
        <v>1129</v>
      </c>
      <c r="D2317" s="141" t="s">
        <v>1215</v>
      </c>
    </row>
    <row r="2318" spans="1:4" x14ac:dyDescent="0.3">
      <c r="A2318" s="141" t="s">
        <v>4548</v>
      </c>
      <c r="B2318" s="141">
        <v>532275</v>
      </c>
      <c r="C2318" s="141" t="s">
        <v>1129</v>
      </c>
      <c r="D2318" s="141" t="s">
        <v>1146</v>
      </c>
    </row>
    <row r="2319" spans="1:4" x14ac:dyDescent="0.3">
      <c r="A2319" s="141" t="s">
        <v>4549</v>
      </c>
      <c r="B2319" s="141">
        <v>533012</v>
      </c>
      <c r="C2319" s="141" t="s">
        <v>4550</v>
      </c>
      <c r="D2319" s="141" t="s">
        <v>1215</v>
      </c>
    </row>
    <row r="2320" spans="1:4" x14ac:dyDescent="0.3">
      <c r="A2320" s="141" t="s">
        <v>4551</v>
      </c>
      <c r="B2320" s="141">
        <v>540005</v>
      </c>
      <c r="C2320" s="141" t="s">
        <v>4552</v>
      </c>
      <c r="D2320" s="141" t="s">
        <v>1115</v>
      </c>
    </row>
    <row r="2321" spans="1:4" x14ac:dyDescent="0.3">
      <c r="A2321" s="141" t="s">
        <v>4553</v>
      </c>
      <c r="B2321" s="141">
        <v>500510</v>
      </c>
      <c r="C2321" s="141" t="s">
        <v>4554</v>
      </c>
      <c r="D2321" s="141" t="s">
        <v>1527</v>
      </c>
    </row>
    <row r="2322" spans="1:4" x14ac:dyDescent="0.3">
      <c r="A2322" s="141" t="s">
        <v>4555</v>
      </c>
      <c r="B2322" s="141">
        <v>540702</v>
      </c>
      <c r="C2322" s="141" t="s">
        <v>4556</v>
      </c>
      <c r="D2322" s="141" t="s">
        <v>1318</v>
      </c>
    </row>
    <row r="2323" spans="1:4" x14ac:dyDescent="0.3">
      <c r="A2323" s="141" t="s">
        <v>4557</v>
      </c>
      <c r="B2323" s="141">
        <v>531164</v>
      </c>
      <c r="C2323" s="141" t="s">
        <v>1129</v>
      </c>
      <c r="D2323" s="141" t="s">
        <v>1243</v>
      </c>
    </row>
    <row r="2324" spans="1:4" x14ac:dyDescent="0.3">
      <c r="A2324" s="141" t="s">
        <v>4558</v>
      </c>
      <c r="B2324" s="141">
        <v>539909</v>
      </c>
      <c r="C2324" s="141" t="s">
        <v>1129</v>
      </c>
      <c r="D2324" s="141" t="s">
        <v>1146</v>
      </c>
    </row>
    <row r="2325" spans="1:4" x14ac:dyDescent="0.3">
      <c r="A2325" s="141" t="s">
        <v>4559</v>
      </c>
      <c r="B2325" s="141" t="s">
        <v>1129</v>
      </c>
      <c r="C2325" s="141" t="s">
        <v>4560</v>
      </c>
      <c r="D2325" s="141" t="s">
        <v>1140</v>
      </c>
    </row>
    <row r="2326" spans="1:4" x14ac:dyDescent="0.3">
      <c r="A2326" s="141" t="s">
        <v>4561</v>
      </c>
      <c r="B2326" s="141">
        <v>540222</v>
      </c>
      <c r="C2326" s="141" t="s">
        <v>4562</v>
      </c>
      <c r="D2326" s="141" t="s">
        <v>1167</v>
      </c>
    </row>
    <row r="2327" spans="1:4" x14ac:dyDescent="0.3">
      <c r="A2327" s="141" t="s">
        <v>4563</v>
      </c>
      <c r="B2327" s="141">
        <v>532829</v>
      </c>
      <c r="C2327" s="141" t="s">
        <v>1129</v>
      </c>
      <c r="D2327" s="141" t="s">
        <v>1555</v>
      </c>
    </row>
    <row r="2328" spans="1:4" x14ac:dyDescent="0.3">
      <c r="A2328" s="141" t="s">
        <v>4564</v>
      </c>
      <c r="B2328" s="141" t="s">
        <v>1129</v>
      </c>
      <c r="C2328" s="141" t="s">
        <v>4565</v>
      </c>
      <c r="D2328" s="141" t="s">
        <v>1140</v>
      </c>
    </row>
    <row r="2329" spans="1:4" x14ac:dyDescent="0.3">
      <c r="A2329" s="141" t="s">
        <v>4566</v>
      </c>
      <c r="B2329" s="141">
        <v>531288</v>
      </c>
      <c r="C2329" s="141" t="s">
        <v>1129</v>
      </c>
      <c r="D2329" s="141" t="s">
        <v>1146</v>
      </c>
    </row>
    <row r="2330" spans="1:4" x14ac:dyDescent="0.3">
      <c r="A2330" s="141" t="s">
        <v>4567</v>
      </c>
      <c r="B2330" s="141">
        <v>540360</v>
      </c>
      <c r="C2330" s="141" t="s">
        <v>1129</v>
      </c>
      <c r="D2330" s="141" t="s">
        <v>1112</v>
      </c>
    </row>
    <row r="2331" spans="1:4" x14ac:dyDescent="0.3">
      <c r="A2331" s="141" t="s">
        <v>4568</v>
      </c>
      <c r="B2331" s="141">
        <v>508306</v>
      </c>
      <c r="C2331" s="141" t="s">
        <v>1129</v>
      </c>
      <c r="D2331" s="141" t="s">
        <v>1536</v>
      </c>
    </row>
    <row r="2332" spans="1:4" x14ac:dyDescent="0.3">
      <c r="A2332" s="141" t="s">
        <v>4569</v>
      </c>
      <c r="B2332" s="141">
        <v>517415</v>
      </c>
      <c r="C2332" s="141" t="s">
        <v>1129</v>
      </c>
      <c r="D2332" s="141" t="s">
        <v>1459</v>
      </c>
    </row>
    <row r="2333" spans="1:4" x14ac:dyDescent="0.3">
      <c r="A2333" s="141" t="s">
        <v>4570</v>
      </c>
      <c r="B2333" s="141">
        <v>517518</v>
      </c>
      <c r="C2333" s="141" t="s">
        <v>4571</v>
      </c>
      <c r="D2333" s="141" t="s">
        <v>1137</v>
      </c>
    </row>
    <row r="2334" spans="1:4" x14ac:dyDescent="0.3">
      <c r="A2334" s="141" t="s">
        <v>4572</v>
      </c>
      <c r="B2334" s="141">
        <v>509046</v>
      </c>
      <c r="C2334" s="141" t="s">
        <v>1129</v>
      </c>
      <c r="D2334" s="141" t="s">
        <v>1550</v>
      </c>
    </row>
    <row r="2335" spans="1:4" x14ac:dyDescent="0.3">
      <c r="A2335" s="141" t="s">
        <v>4573</v>
      </c>
      <c r="B2335" s="141">
        <v>780021</v>
      </c>
      <c r="C2335" s="141" t="s">
        <v>1129</v>
      </c>
      <c r="D2335" s="141" t="s">
        <v>1220</v>
      </c>
    </row>
    <row r="2336" spans="1:4" x14ac:dyDescent="0.3">
      <c r="A2336" s="141" t="s">
        <v>4574</v>
      </c>
      <c r="B2336" s="141">
        <v>541233</v>
      </c>
      <c r="C2336" s="141" t="s">
        <v>4575</v>
      </c>
      <c r="D2336" s="141" t="s">
        <v>1330</v>
      </c>
    </row>
    <row r="2337" spans="1:4" x14ac:dyDescent="0.3">
      <c r="A2337" s="141" t="s">
        <v>4576</v>
      </c>
      <c r="B2337" s="141">
        <v>533602</v>
      </c>
      <c r="C2337" s="141" t="s">
        <v>1129</v>
      </c>
      <c r="D2337" s="141" t="s">
        <v>1149</v>
      </c>
    </row>
    <row r="2338" spans="1:4" x14ac:dyDescent="0.3">
      <c r="A2338" s="141" t="s">
        <v>4577</v>
      </c>
      <c r="B2338" s="141">
        <v>541196</v>
      </c>
      <c r="C2338" s="141" t="s">
        <v>1129</v>
      </c>
      <c r="D2338" s="141" t="s">
        <v>1213</v>
      </c>
    </row>
    <row r="2339" spans="1:4" x14ac:dyDescent="0.3">
      <c r="A2339" s="141" t="s">
        <v>4578</v>
      </c>
      <c r="B2339" s="141" t="s">
        <v>1129</v>
      </c>
      <c r="C2339" s="141" t="s">
        <v>4579</v>
      </c>
      <c r="D2339" s="141" t="s">
        <v>1140</v>
      </c>
    </row>
    <row r="2340" spans="1:4" x14ac:dyDescent="0.3">
      <c r="A2340" s="141" t="s">
        <v>4580</v>
      </c>
      <c r="B2340" s="141" t="s">
        <v>1129</v>
      </c>
      <c r="C2340" s="141" t="s">
        <v>4579</v>
      </c>
      <c r="D2340" s="141" t="s">
        <v>1140</v>
      </c>
    </row>
    <row r="2341" spans="1:4" x14ac:dyDescent="0.3">
      <c r="A2341" s="141" t="s">
        <v>4581</v>
      </c>
      <c r="B2341" s="141">
        <v>500250</v>
      </c>
      <c r="C2341" s="141" t="s">
        <v>4582</v>
      </c>
      <c r="D2341" s="141" t="s">
        <v>1484</v>
      </c>
    </row>
    <row r="2342" spans="1:4" x14ac:dyDescent="0.3">
      <c r="A2342" s="141" t="s">
        <v>4583</v>
      </c>
      <c r="B2342" s="141">
        <v>533007</v>
      </c>
      <c r="C2342" s="141" t="s">
        <v>4584</v>
      </c>
      <c r="D2342" s="141" t="s">
        <v>2049</v>
      </c>
    </row>
    <row r="2343" spans="1:4" x14ac:dyDescent="0.3">
      <c r="A2343" s="141" t="s">
        <v>4585</v>
      </c>
      <c r="B2343" s="141" t="s">
        <v>1129</v>
      </c>
      <c r="C2343" s="141" t="s">
        <v>4586</v>
      </c>
      <c r="D2343" s="141" t="s">
        <v>1140</v>
      </c>
    </row>
    <row r="2344" spans="1:4" x14ac:dyDescent="0.3">
      <c r="A2344" s="141" t="s">
        <v>4587</v>
      </c>
      <c r="B2344" s="141">
        <v>526596</v>
      </c>
      <c r="C2344" s="141" t="s">
        <v>4588</v>
      </c>
      <c r="D2344" s="141" t="s">
        <v>1555</v>
      </c>
    </row>
    <row r="2345" spans="1:4" x14ac:dyDescent="0.3">
      <c r="A2345" s="141" t="s">
        <v>4589</v>
      </c>
      <c r="B2345" s="141">
        <v>511593</v>
      </c>
      <c r="C2345" s="141" t="s">
        <v>1129</v>
      </c>
      <c r="D2345" s="141" t="s">
        <v>1146</v>
      </c>
    </row>
    <row r="2346" spans="1:4" x14ac:dyDescent="0.3">
      <c r="A2346" s="141" t="s">
        <v>4590</v>
      </c>
      <c r="B2346" s="141">
        <v>531027</v>
      </c>
      <c r="C2346" s="141" t="s">
        <v>1129</v>
      </c>
      <c r="D2346" s="141" t="s">
        <v>1112</v>
      </c>
    </row>
    <row r="2347" spans="1:4" x14ac:dyDescent="0.3">
      <c r="A2347" s="141" t="s">
        <v>4591</v>
      </c>
      <c r="B2347" s="141">
        <v>500253</v>
      </c>
      <c r="C2347" s="141" t="s">
        <v>4592</v>
      </c>
      <c r="D2347" s="141" t="s">
        <v>1187</v>
      </c>
    </row>
    <row r="2348" spans="1:4" x14ac:dyDescent="0.3">
      <c r="A2348" s="141" t="s">
        <v>4593</v>
      </c>
      <c r="B2348" s="141">
        <v>539927</v>
      </c>
      <c r="C2348" s="141" t="s">
        <v>1129</v>
      </c>
      <c r="D2348" s="141" t="s">
        <v>1213</v>
      </c>
    </row>
    <row r="2349" spans="1:4" x14ac:dyDescent="0.3">
      <c r="A2349" s="141" t="s">
        <v>4594</v>
      </c>
      <c r="B2349" s="141">
        <v>507759</v>
      </c>
      <c r="C2349" s="141" t="s">
        <v>1129</v>
      </c>
      <c r="D2349" s="141" t="s">
        <v>1177</v>
      </c>
    </row>
    <row r="2350" spans="1:4" x14ac:dyDescent="0.3">
      <c r="A2350" s="141" t="s">
        <v>4595</v>
      </c>
      <c r="B2350" s="141">
        <v>517463</v>
      </c>
      <c r="C2350" s="141" t="s">
        <v>4596</v>
      </c>
      <c r="D2350" s="141" t="s">
        <v>1671</v>
      </c>
    </row>
    <row r="2351" spans="1:4" x14ac:dyDescent="0.3">
      <c r="A2351" s="141" t="s">
        <v>4597</v>
      </c>
      <c r="B2351" s="141">
        <v>531241</v>
      </c>
      <c r="C2351" s="141" t="s">
        <v>4598</v>
      </c>
      <c r="D2351" s="141" t="s">
        <v>1675</v>
      </c>
    </row>
    <row r="2352" spans="1:4" x14ac:dyDescent="0.3">
      <c r="A2352" s="141" t="s">
        <v>4599</v>
      </c>
      <c r="B2352" s="141">
        <v>531633</v>
      </c>
      <c r="C2352" s="141" t="s">
        <v>4600</v>
      </c>
      <c r="D2352" s="141" t="s">
        <v>1167</v>
      </c>
    </row>
    <row r="2353" spans="1:4" x14ac:dyDescent="0.3">
      <c r="A2353" s="141" t="s">
        <v>4601</v>
      </c>
      <c r="B2353" s="141">
        <v>523457</v>
      </c>
      <c r="C2353" s="141" t="s">
        <v>4602</v>
      </c>
      <c r="D2353" s="141" t="s">
        <v>2165</v>
      </c>
    </row>
    <row r="2354" spans="1:4" x14ac:dyDescent="0.3">
      <c r="A2354" s="141" t="s">
        <v>4603</v>
      </c>
      <c r="B2354" s="141">
        <v>523457</v>
      </c>
      <c r="C2354" s="141" t="s">
        <v>4604</v>
      </c>
      <c r="D2354" s="141" t="s">
        <v>2165</v>
      </c>
    </row>
    <row r="2355" spans="1:4" x14ac:dyDescent="0.3">
      <c r="A2355" s="141" t="s">
        <v>4605</v>
      </c>
      <c r="B2355" s="141">
        <v>524748</v>
      </c>
      <c r="C2355" s="141" t="s">
        <v>1129</v>
      </c>
      <c r="D2355" s="141" t="s">
        <v>1177</v>
      </c>
    </row>
    <row r="2356" spans="1:4" x14ac:dyDescent="0.3">
      <c r="A2356" s="141" t="s">
        <v>4606</v>
      </c>
      <c r="B2356" s="141">
        <v>526604</v>
      </c>
      <c r="C2356" s="141" t="s">
        <v>1129</v>
      </c>
      <c r="D2356" s="141" t="s">
        <v>1137</v>
      </c>
    </row>
    <row r="2357" spans="1:4" x14ac:dyDescent="0.3">
      <c r="A2357" s="141" t="s">
        <v>4607</v>
      </c>
      <c r="B2357" s="141">
        <v>507912</v>
      </c>
      <c r="C2357" s="141" t="s">
        <v>1129</v>
      </c>
      <c r="D2357" s="141" t="s">
        <v>1112</v>
      </c>
    </row>
    <row r="2358" spans="1:4" x14ac:dyDescent="0.3">
      <c r="A2358" s="141" t="s">
        <v>4608</v>
      </c>
      <c r="B2358" s="141">
        <v>540192</v>
      </c>
      <c r="C2358" s="141" t="s">
        <v>1129</v>
      </c>
      <c r="D2358" s="141" t="s">
        <v>1112</v>
      </c>
    </row>
    <row r="2359" spans="1:4" x14ac:dyDescent="0.3">
      <c r="A2359" s="141" t="s">
        <v>4609</v>
      </c>
      <c r="B2359" s="141">
        <v>512455</v>
      </c>
      <c r="C2359" s="141" t="s">
        <v>1129</v>
      </c>
      <c r="D2359" s="141" t="s">
        <v>1161</v>
      </c>
    </row>
    <row r="2360" spans="1:4" x14ac:dyDescent="0.3">
      <c r="A2360" s="141" t="s">
        <v>4610</v>
      </c>
      <c r="B2360" s="141">
        <v>539992</v>
      </c>
      <c r="C2360" s="141" t="s">
        <v>4611</v>
      </c>
      <c r="D2360" s="141" t="s">
        <v>1137</v>
      </c>
    </row>
    <row r="2361" spans="1:4" x14ac:dyDescent="0.3">
      <c r="A2361" s="141" t="s">
        <v>4612</v>
      </c>
      <c r="B2361" s="141">
        <v>590082</v>
      </c>
      <c r="C2361" s="141" t="s">
        <v>1129</v>
      </c>
      <c r="D2361" s="141" t="s">
        <v>1112</v>
      </c>
    </row>
    <row r="2362" spans="1:4" x14ac:dyDescent="0.3">
      <c r="A2362" s="141" t="s">
        <v>4613</v>
      </c>
      <c r="B2362" s="141">
        <v>532740</v>
      </c>
      <c r="C2362" s="141" t="s">
        <v>4614</v>
      </c>
      <c r="D2362" s="141" t="s">
        <v>1137</v>
      </c>
    </row>
    <row r="2363" spans="1:4" x14ac:dyDescent="0.3">
      <c r="A2363" s="141" t="s">
        <v>4615</v>
      </c>
      <c r="B2363" s="141">
        <v>526568</v>
      </c>
      <c r="C2363" s="141" t="s">
        <v>1129</v>
      </c>
      <c r="D2363" s="141" t="s">
        <v>1536</v>
      </c>
    </row>
    <row r="2364" spans="1:4" x14ac:dyDescent="0.3">
      <c r="A2364" s="141" t="s">
        <v>4616</v>
      </c>
      <c r="B2364" s="141">
        <v>534422</v>
      </c>
      <c r="C2364" s="141" t="s">
        <v>1129</v>
      </c>
      <c r="D2364" s="141" t="s">
        <v>1599</v>
      </c>
    </row>
    <row r="2365" spans="1:4" x14ac:dyDescent="0.3">
      <c r="A2365" s="141" t="s">
        <v>4617</v>
      </c>
      <c r="B2365" s="141">
        <v>500284</v>
      </c>
      <c r="C2365" s="141" t="s">
        <v>1129</v>
      </c>
      <c r="D2365" s="141" t="s">
        <v>1177</v>
      </c>
    </row>
    <row r="2366" spans="1:4" x14ac:dyDescent="0.3">
      <c r="A2366" s="141" t="s">
        <v>4618</v>
      </c>
      <c r="B2366" s="141">
        <v>530065</v>
      </c>
      <c r="C2366" s="141" t="s">
        <v>1129</v>
      </c>
      <c r="D2366" s="141" t="s">
        <v>1330</v>
      </c>
    </row>
    <row r="2367" spans="1:4" x14ac:dyDescent="0.3">
      <c r="A2367" s="141" t="s">
        <v>4619</v>
      </c>
      <c r="B2367" s="141">
        <v>540952</v>
      </c>
      <c r="C2367" s="141" t="s">
        <v>1129</v>
      </c>
      <c r="D2367" s="141" t="s">
        <v>1243</v>
      </c>
    </row>
    <row r="2368" spans="1:4" x14ac:dyDescent="0.3">
      <c r="A2368" s="141" t="s">
        <v>4620</v>
      </c>
      <c r="B2368" s="141">
        <v>523475</v>
      </c>
      <c r="C2368" s="141" t="s">
        <v>1129</v>
      </c>
      <c r="D2368" s="141" t="s">
        <v>1189</v>
      </c>
    </row>
    <row r="2369" spans="1:4" x14ac:dyDescent="0.3">
      <c r="A2369" s="141" t="s">
        <v>4621</v>
      </c>
      <c r="B2369" s="141">
        <v>532998</v>
      </c>
      <c r="C2369" s="141" t="s">
        <v>4622</v>
      </c>
      <c r="D2369" s="141" t="s">
        <v>1599</v>
      </c>
    </row>
    <row r="2370" spans="1:4" x14ac:dyDescent="0.3">
      <c r="A2370" s="141" t="s">
        <v>4623</v>
      </c>
      <c r="B2370" s="141">
        <v>533343</v>
      </c>
      <c r="C2370" s="141" t="s">
        <v>4624</v>
      </c>
      <c r="D2370" s="141" t="s">
        <v>1243</v>
      </c>
    </row>
    <row r="2371" spans="1:4" x14ac:dyDescent="0.3">
      <c r="A2371" s="141" t="s">
        <v>4625</v>
      </c>
      <c r="B2371" s="141">
        <v>539227</v>
      </c>
      <c r="C2371" s="141" t="s">
        <v>1129</v>
      </c>
      <c r="D2371" s="141" t="s">
        <v>1137</v>
      </c>
    </row>
    <row r="2372" spans="1:4" x14ac:dyDescent="0.3">
      <c r="A2372" s="141" t="s">
        <v>4626</v>
      </c>
      <c r="B2372" s="141">
        <v>514036</v>
      </c>
      <c r="C2372" s="141" t="s">
        <v>1129</v>
      </c>
      <c r="D2372" s="141" t="s">
        <v>1144</v>
      </c>
    </row>
    <row r="2373" spans="1:4" x14ac:dyDescent="0.3">
      <c r="A2373" s="141" t="s">
        <v>4627</v>
      </c>
      <c r="B2373" s="141">
        <v>532783</v>
      </c>
      <c r="C2373" s="141" t="s">
        <v>4628</v>
      </c>
      <c r="D2373" s="141" t="s">
        <v>1189</v>
      </c>
    </row>
    <row r="2374" spans="1:4" x14ac:dyDescent="0.3">
      <c r="A2374" s="141" t="s">
        <v>4629</v>
      </c>
      <c r="B2374" s="141">
        <v>526179</v>
      </c>
      <c r="C2374" s="141" t="s">
        <v>1129</v>
      </c>
      <c r="D2374" s="141" t="s">
        <v>1366</v>
      </c>
    </row>
    <row r="2375" spans="1:4" x14ac:dyDescent="0.3">
      <c r="A2375" s="141" t="s">
        <v>4630</v>
      </c>
      <c r="B2375" s="141">
        <v>512048</v>
      </c>
      <c r="C2375" s="141" t="s">
        <v>1129</v>
      </c>
      <c r="D2375" s="141" t="s">
        <v>1215</v>
      </c>
    </row>
    <row r="2376" spans="1:4" x14ac:dyDescent="0.3">
      <c r="A2376" s="141" t="s">
        <v>4631</v>
      </c>
      <c r="B2376" s="141">
        <v>532796</v>
      </c>
      <c r="C2376" s="141" t="s">
        <v>4632</v>
      </c>
      <c r="D2376" s="141" t="s">
        <v>1484</v>
      </c>
    </row>
    <row r="2377" spans="1:4" x14ac:dyDescent="0.3">
      <c r="A2377" s="141" t="s">
        <v>4633</v>
      </c>
      <c r="B2377" s="141">
        <v>517206</v>
      </c>
      <c r="C2377" s="141" t="s">
        <v>4634</v>
      </c>
      <c r="D2377" s="141" t="s">
        <v>1484</v>
      </c>
    </row>
    <row r="2378" spans="1:4" x14ac:dyDescent="0.3">
      <c r="A2378" s="141" t="s">
        <v>4635</v>
      </c>
      <c r="B2378" s="141">
        <v>500257</v>
      </c>
      <c r="C2378" s="141" t="s">
        <v>4636</v>
      </c>
      <c r="D2378" s="141" t="s">
        <v>1167</v>
      </c>
    </row>
    <row r="2379" spans="1:4" x14ac:dyDescent="0.3">
      <c r="A2379" s="141" t="s">
        <v>4637</v>
      </c>
      <c r="B2379" s="141">
        <v>539542</v>
      </c>
      <c r="C2379" s="141" t="s">
        <v>4638</v>
      </c>
      <c r="D2379" s="141" t="s">
        <v>1243</v>
      </c>
    </row>
    <row r="2380" spans="1:4" x14ac:dyDescent="0.3">
      <c r="A2380" s="141" t="s">
        <v>4639</v>
      </c>
      <c r="B2380" s="141">
        <v>531402</v>
      </c>
      <c r="C2380" s="141" t="s">
        <v>1129</v>
      </c>
      <c r="D2380" s="141" t="s">
        <v>1151</v>
      </c>
    </row>
    <row r="2381" spans="1:4" x14ac:dyDescent="0.3">
      <c r="A2381" s="141" t="s">
        <v>4640</v>
      </c>
      <c r="B2381" s="141">
        <v>500259</v>
      </c>
      <c r="C2381" s="141" t="s">
        <v>4641</v>
      </c>
      <c r="D2381" s="141" t="s">
        <v>1167</v>
      </c>
    </row>
    <row r="2382" spans="1:4" x14ac:dyDescent="0.3">
      <c r="A2382" s="141" t="s">
        <v>4642</v>
      </c>
      <c r="B2382" s="141">
        <v>530689</v>
      </c>
      <c r="C2382" s="141" t="s">
        <v>1129</v>
      </c>
      <c r="D2382" s="141" t="s">
        <v>1311</v>
      </c>
    </row>
    <row r="2383" spans="1:4" x14ac:dyDescent="0.3">
      <c r="A2383" s="141" t="s">
        <v>4643</v>
      </c>
      <c r="B2383" s="141">
        <v>505320</v>
      </c>
      <c r="C2383" s="141" t="s">
        <v>1129</v>
      </c>
      <c r="D2383" s="141" t="s">
        <v>1137</v>
      </c>
    </row>
    <row r="2384" spans="1:4" x14ac:dyDescent="0.3">
      <c r="A2384" s="141" t="s">
        <v>4644</v>
      </c>
      <c r="B2384" s="141">
        <v>534532</v>
      </c>
      <c r="C2384" s="141" t="s">
        <v>4645</v>
      </c>
      <c r="D2384" s="141" t="s">
        <v>1243</v>
      </c>
    </row>
    <row r="2385" spans="1:4" x14ac:dyDescent="0.3">
      <c r="A2385" s="141" t="s">
        <v>4646</v>
      </c>
      <c r="B2385" s="141">
        <v>526935</v>
      </c>
      <c r="C2385" s="141" t="s">
        <v>1129</v>
      </c>
      <c r="D2385" s="141" t="s">
        <v>1112</v>
      </c>
    </row>
    <row r="2386" spans="1:4" x14ac:dyDescent="0.3">
      <c r="A2386" s="141" t="s">
        <v>4647</v>
      </c>
      <c r="B2386" s="141">
        <v>538890</v>
      </c>
      <c r="C2386" s="141" t="s">
        <v>1129</v>
      </c>
      <c r="D2386" s="141" t="s">
        <v>1144</v>
      </c>
    </row>
    <row r="2387" spans="1:4" x14ac:dyDescent="0.3">
      <c r="A2387" s="141" t="s">
        <v>4648</v>
      </c>
      <c r="B2387" s="141">
        <v>538890</v>
      </c>
      <c r="C2387" s="141" t="s">
        <v>1129</v>
      </c>
      <c r="D2387" s="141" t="s">
        <v>1144</v>
      </c>
    </row>
    <row r="2388" spans="1:4" x14ac:dyDescent="0.3">
      <c r="A2388" s="141" t="s">
        <v>4649</v>
      </c>
      <c r="B2388" s="141" t="s">
        <v>1129</v>
      </c>
      <c r="C2388" s="141" t="s">
        <v>4650</v>
      </c>
      <c r="D2388" s="141" t="s">
        <v>1140</v>
      </c>
    </row>
    <row r="2389" spans="1:4" x14ac:dyDescent="0.3">
      <c r="A2389" s="141" t="s">
        <v>4651</v>
      </c>
      <c r="B2389" s="141">
        <v>506543</v>
      </c>
      <c r="C2389" s="141" t="s">
        <v>1129</v>
      </c>
      <c r="D2389" s="141" t="s">
        <v>1637</v>
      </c>
    </row>
    <row r="2390" spans="1:4" x14ac:dyDescent="0.3">
      <c r="A2390" s="141" t="s">
        <v>4652</v>
      </c>
      <c r="B2390" s="141">
        <v>532906</v>
      </c>
      <c r="C2390" s="141" t="s">
        <v>4653</v>
      </c>
      <c r="D2390" s="141" t="s">
        <v>1527</v>
      </c>
    </row>
    <row r="2391" spans="1:4" x14ac:dyDescent="0.3">
      <c r="A2391" s="141" t="s">
        <v>4654</v>
      </c>
      <c r="B2391" s="141">
        <v>507836</v>
      </c>
      <c r="C2391" s="141" t="s">
        <v>1129</v>
      </c>
      <c r="D2391" s="141" t="s">
        <v>1330</v>
      </c>
    </row>
    <row r="2392" spans="1:4" x14ac:dyDescent="0.3">
      <c r="A2392" s="141" t="s">
        <v>4655</v>
      </c>
      <c r="B2392" s="141">
        <v>507836</v>
      </c>
      <c r="C2392" s="141" t="s">
        <v>1129</v>
      </c>
      <c r="D2392" s="141" t="s">
        <v>1330</v>
      </c>
    </row>
    <row r="2393" spans="1:4" x14ac:dyDescent="0.3">
      <c r="A2393" s="141" t="s">
        <v>4656</v>
      </c>
      <c r="B2393" s="141">
        <v>541973</v>
      </c>
      <c r="C2393" s="141" t="s">
        <v>1129</v>
      </c>
      <c r="D2393" s="141" t="s">
        <v>1330</v>
      </c>
    </row>
    <row r="2394" spans="1:4" x14ac:dyDescent="0.3">
      <c r="A2394" s="141" t="s">
        <v>4657</v>
      </c>
      <c r="B2394" s="141">
        <v>523248</v>
      </c>
      <c r="C2394" s="141" t="s">
        <v>1129</v>
      </c>
      <c r="D2394" s="141" t="s">
        <v>1249</v>
      </c>
    </row>
    <row r="2395" spans="1:4" x14ac:dyDescent="0.3">
      <c r="A2395" s="141" t="s">
        <v>4658</v>
      </c>
      <c r="B2395" s="141">
        <v>501471</v>
      </c>
      <c r="C2395" s="141" t="s">
        <v>1129</v>
      </c>
      <c r="D2395" s="141" t="s">
        <v>1151</v>
      </c>
    </row>
    <row r="2396" spans="1:4" x14ac:dyDescent="0.3">
      <c r="A2396" s="141" t="s">
        <v>4659</v>
      </c>
      <c r="B2396" s="141" t="s">
        <v>1129</v>
      </c>
      <c r="C2396" s="141" t="s">
        <v>4660</v>
      </c>
      <c r="D2396" s="141" t="s">
        <v>1140</v>
      </c>
    </row>
    <row r="2397" spans="1:4" x14ac:dyDescent="0.3">
      <c r="A2397" s="141" t="s">
        <v>4661</v>
      </c>
      <c r="B2397" s="141">
        <v>512600</v>
      </c>
      <c r="C2397" s="141" t="s">
        <v>1129</v>
      </c>
      <c r="D2397" s="141" t="s">
        <v>1151</v>
      </c>
    </row>
    <row r="2398" spans="1:4" x14ac:dyDescent="0.3">
      <c r="A2398" s="141" t="s">
        <v>4662</v>
      </c>
      <c r="B2398" s="141" t="s">
        <v>1129</v>
      </c>
      <c r="C2398" s="141" t="s">
        <v>4663</v>
      </c>
      <c r="D2398" s="141" t="s">
        <v>1140</v>
      </c>
    </row>
    <row r="2399" spans="1:4" x14ac:dyDescent="0.3">
      <c r="A2399" s="141" t="s">
        <v>4664</v>
      </c>
      <c r="B2399" s="141">
        <v>539894</v>
      </c>
      <c r="C2399" s="141" t="s">
        <v>1129</v>
      </c>
      <c r="D2399" s="141" t="s">
        <v>1527</v>
      </c>
    </row>
    <row r="2400" spans="1:4" x14ac:dyDescent="0.3">
      <c r="A2400" s="141" t="s">
        <v>4665</v>
      </c>
      <c r="B2400" s="141">
        <v>515093</v>
      </c>
      <c r="C2400" s="141" t="s">
        <v>4666</v>
      </c>
      <c r="D2400" s="141" t="s">
        <v>1657</v>
      </c>
    </row>
    <row r="2401" spans="1:4" x14ac:dyDescent="0.3">
      <c r="A2401" s="141" t="s">
        <v>4667</v>
      </c>
      <c r="B2401" s="141">
        <v>780009</v>
      </c>
      <c r="C2401" s="141" t="s">
        <v>1129</v>
      </c>
      <c r="D2401" s="141" t="s">
        <v>1220</v>
      </c>
    </row>
    <row r="2402" spans="1:4" x14ac:dyDescent="0.3">
      <c r="A2402" s="141" t="s">
        <v>4668</v>
      </c>
      <c r="B2402" s="141">
        <v>531497</v>
      </c>
      <c r="C2402" s="141" t="s">
        <v>4669</v>
      </c>
      <c r="D2402" s="141" t="s">
        <v>1527</v>
      </c>
    </row>
    <row r="2403" spans="1:4" x14ac:dyDescent="0.3">
      <c r="A2403" s="141" t="s">
        <v>4670</v>
      </c>
      <c r="B2403" s="141">
        <v>519279</v>
      </c>
      <c r="C2403" s="141" t="s">
        <v>1129</v>
      </c>
      <c r="D2403" s="141" t="s">
        <v>1327</v>
      </c>
    </row>
    <row r="2404" spans="1:4" x14ac:dyDescent="0.3">
      <c r="A2404" s="141" t="s">
        <v>4671</v>
      </c>
      <c r="B2404" s="141">
        <v>515059</v>
      </c>
      <c r="C2404" s="141" t="s">
        <v>1129</v>
      </c>
      <c r="D2404" s="141" t="s">
        <v>1378</v>
      </c>
    </row>
    <row r="2405" spans="1:4" x14ac:dyDescent="0.3">
      <c r="A2405" s="141" t="s">
        <v>4672</v>
      </c>
      <c r="B2405" s="141">
        <v>511000</v>
      </c>
      <c r="C2405" s="141" t="s">
        <v>1129</v>
      </c>
      <c r="D2405" s="141" t="s">
        <v>1146</v>
      </c>
    </row>
    <row r="2406" spans="1:4" x14ac:dyDescent="0.3">
      <c r="A2406" s="141" t="s">
        <v>4673</v>
      </c>
      <c r="B2406" s="141">
        <v>531910</v>
      </c>
      <c r="C2406" s="141" t="s">
        <v>1129</v>
      </c>
      <c r="D2406" s="141" t="s">
        <v>1167</v>
      </c>
    </row>
    <row r="2407" spans="1:4" x14ac:dyDescent="0.3">
      <c r="A2407" s="141" t="s">
        <v>4674</v>
      </c>
      <c r="B2407" s="141" t="s">
        <v>1129</v>
      </c>
      <c r="C2407" s="141" t="s">
        <v>4675</v>
      </c>
      <c r="D2407" s="141" t="s">
        <v>1140</v>
      </c>
    </row>
    <row r="2408" spans="1:4" x14ac:dyDescent="0.3">
      <c r="A2408" s="141" t="s">
        <v>4676</v>
      </c>
      <c r="B2408" s="141" t="s">
        <v>1129</v>
      </c>
      <c r="C2408" s="141" t="s">
        <v>4677</v>
      </c>
      <c r="D2408" s="141" t="s">
        <v>1140</v>
      </c>
    </row>
    <row r="2409" spans="1:4" x14ac:dyDescent="0.3">
      <c r="A2409" s="141" t="s">
        <v>4678</v>
      </c>
      <c r="B2409" s="141">
        <v>590134</v>
      </c>
      <c r="C2409" s="141" t="s">
        <v>4679</v>
      </c>
      <c r="D2409" s="141" t="s">
        <v>1637</v>
      </c>
    </row>
    <row r="2410" spans="1:4" x14ac:dyDescent="0.3">
      <c r="A2410" s="141" t="s">
        <v>4680</v>
      </c>
      <c r="B2410" s="141">
        <v>538401</v>
      </c>
      <c r="C2410" s="141" t="s">
        <v>1129</v>
      </c>
      <c r="D2410" s="141" t="s">
        <v>1671</v>
      </c>
    </row>
    <row r="2411" spans="1:4" x14ac:dyDescent="0.3">
      <c r="A2411" s="141" t="s">
        <v>4681</v>
      </c>
      <c r="B2411" s="141">
        <v>500264</v>
      </c>
      <c r="C2411" s="141" t="s">
        <v>1129</v>
      </c>
      <c r="D2411" s="141" t="s">
        <v>1144</v>
      </c>
    </row>
    <row r="2412" spans="1:4" x14ac:dyDescent="0.3">
      <c r="A2412" s="141" t="s">
        <v>4682</v>
      </c>
      <c r="B2412" s="141">
        <v>540650</v>
      </c>
      <c r="C2412" s="141" t="s">
        <v>4683</v>
      </c>
      <c r="D2412" s="141" t="s">
        <v>1828</v>
      </c>
    </row>
    <row r="2413" spans="1:4" x14ac:dyDescent="0.3">
      <c r="A2413" s="141" t="s">
        <v>4684</v>
      </c>
      <c r="B2413" s="141">
        <v>524000</v>
      </c>
      <c r="C2413" s="141" t="s">
        <v>4685</v>
      </c>
      <c r="D2413" s="141" t="s">
        <v>1146</v>
      </c>
    </row>
    <row r="2414" spans="1:4" x14ac:dyDescent="0.3">
      <c r="A2414" s="141" t="s">
        <v>4686</v>
      </c>
      <c r="B2414" s="141">
        <v>517449</v>
      </c>
      <c r="C2414" s="141" t="s">
        <v>1129</v>
      </c>
      <c r="D2414" s="141" t="s">
        <v>2049</v>
      </c>
    </row>
    <row r="2415" spans="1:4" x14ac:dyDescent="0.3">
      <c r="A2415" s="141" t="s">
        <v>4687</v>
      </c>
      <c r="B2415" s="141">
        <v>512377</v>
      </c>
      <c r="C2415" s="141" t="s">
        <v>1129</v>
      </c>
      <c r="D2415" s="141" t="s">
        <v>1550</v>
      </c>
    </row>
    <row r="2416" spans="1:4" x14ac:dyDescent="0.3">
      <c r="A2416" s="141" t="s">
        <v>4688</v>
      </c>
      <c r="B2416" s="141">
        <v>532896</v>
      </c>
      <c r="C2416" s="141" t="s">
        <v>4689</v>
      </c>
      <c r="D2416" s="141" t="s">
        <v>1123</v>
      </c>
    </row>
    <row r="2417" spans="1:4" x14ac:dyDescent="0.3">
      <c r="A2417" s="141" t="s">
        <v>4690</v>
      </c>
      <c r="B2417" s="141">
        <v>523384</v>
      </c>
      <c r="C2417" s="141" t="s">
        <v>4691</v>
      </c>
      <c r="D2417" s="141" t="s">
        <v>1146</v>
      </c>
    </row>
    <row r="2418" spans="1:4" x14ac:dyDescent="0.3">
      <c r="A2418" s="141" t="s">
        <v>4692</v>
      </c>
      <c r="B2418" s="141">
        <v>519612</v>
      </c>
      <c r="C2418" s="141" t="s">
        <v>1129</v>
      </c>
      <c r="D2418" s="141" t="s">
        <v>1189</v>
      </c>
    </row>
    <row r="2419" spans="1:4" x14ac:dyDescent="0.3">
      <c r="A2419" s="141" t="s">
        <v>4693</v>
      </c>
      <c r="B2419" s="141">
        <v>514450</v>
      </c>
      <c r="C2419" s="141" t="s">
        <v>1129</v>
      </c>
      <c r="D2419" s="141" t="s">
        <v>2049</v>
      </c>
    </row>
    <row r="2420" spans="1:4" x14ac:dyDescent="0.3">
      <c r="A2420" s="141" t="s">
        <v>4694</v>
      </c>
      <c r="B2420" s="141">
        <v>513460</v>
      </c>
      <c r="C2420" s="141" t="s">
        <v>1129</v>
      </c>
      <c r="D2420" s="141" t="s">
        <v>1452</v>
      </c>
    </row>
    <row r="2421" spans="1:4" x14ac:dyDescent="0.3">
      <c r="A2421" s="141" t="s">
        <v>4695</v>
      </c>
      <c r="B2421" s="141">
        <v>513554</v>
      </c>
      <c r="C2421" s="141" t="s">
        <v>4696</v>
      </c>
      <c r="D2421" s="141" t="s">
        <v>1452</v>
      </c>
    </row>
    <row r="2422" spans="1:4" x14ac:dyDescent="0.3">
      <c r="A2422" s="141" t="s">
        <v>4697</v>
      </c>
      <c r="B2422" s="141">
        <v>531515</v>
      </c>
      <c r="C2422" s="141" t="s">
        <v>1129</v>
      </c>
      <c r="D2422" s="141" t="s">
        <v>1151</v>
      </c>
    </row>
    <row r="2423" spans="1:4" x14ac:dyDescent="0.3">
      <c r="A2423" s="141" t="s">
        <v>4698</v>
      </c>
      <c r="B2423" s="141">
        <v>539957</v>
      </c>
      <c r="C2423" s="141" t="s">
        <v>4699</v>
      </c>
      <c r="D2423" s="141" t="s">
        <v>1154</v>
      </c>
    </row>
    <row r="2424" spans="1:4" x14ac:dyDescent="0.3">
      <c r="A2424" s="141" t="s">
        <v>4700</v>
      </c>
      <c r="B2424" s="141">
        <v>500108</v>
      </c>
      <c r="C2424" s="141" t="s">
        <v>4701</v>
      </c>
      <c r="D2424" s="141" t="s">
        <v>2073</v>
      </c>
    </row>
    <row r="2425" spans="1:4" x14ac:dyDescent="0.3">
      <c r="A2425" s="141" t="s">
        <v>4702</v>
      </c>
      <c r="B2425" s="141">
        <v>530441</v>
      </c>
      <c r="C2425" s="141" t="s">
        <v>1129</v>
      </c>
      <c r="D2425" s="141" t="s">
        <v>1550</v>
      </c>
    </row>
    <row r="2426" spans="1:4" x14ac:dyDescent="0.3">
      <c r="A2426" s="141" t="s">
        <v>4703</v>
      </c>
      <c r="B2426" s="141">
        <v>530441</v>
      </c>
      <c r="C2426" s="141" t="s">
        <v>1129</v>
      </c>
      <c r="D2426" s="141" t="s">
        <v>1550</v>
      </c>
    </row>
    <row r="2427" spans="1:4" x14ac:dyDescent="0.3">
      <c r="A2427" s="141" t="s">
        <v>4704</v>
      </c>
      <c r="B2427" s="141">
        <v>505523</v>
      </c>
      <c r="C2427" s="141" t="s">
        <v>1129</v>
      </c>
      <c r="D2427" s="141" t="s">
        <v>1151</v>
      </c>
    </row>
    <row r="2428" spans="1:4" x14ac:dyDescent="0.3">
      <c r="A2428" s="141" t="s">
        <v>4705</v>
      </c>
      <c r="B2428" s="141">
        <v>500266</v>
      </c>
      <c r="C2428" s="141" t="s">
        <v>4706</v>
      </c>
      <c r="D2428" s="141" t="s">
        <v>1149</v>
      </c>
    </row>
    <row r="2429" spans="1:4" x14ac:dyDescent="0.3">
      <c r="A2429" s="141" t="s">
        <v>4707</v>
      </c>
      <c r="B2429" s="141">
        <v>500265</v>
      </c>
      <c r="C2429" s="141" t="s">
        <v>4708</v>
      </c>
      <c r="D2429" s="141" t="s">
        <v>1527</v>
      </c>
    </row>
    <row r="2430" spans="1:4" x14ac:dyDescent="0.3">
      <c r="A2430" s="141" t="s">
        <v>4709</v>
      </c>
      <c r="B2430" s="141">
        <v>526795</v>
      </c>
      <c r="C2430" s="141" t="s">
        <v>1129</v>
      </c>
      <c r="D2430" s="141" t="s">
        <v>1201</v>
      </c>
    </row>
    <row r="2431" spans="1:4" x14ac:dyDescent="0.3">
      <c r="A2431" s="141" t="s">
        <v>4710</v>
      </c>
      <c r="B2431" s="141">
        <v>512337</v>
      </c>
      <c r="C2431" s="141" t="s">
        <v>1129</v>
      </c>
      <c r="D2431" s="141" t="s">
        <v>1151</v>
      </c>
    </row>
    <row r="2432" spans="1:4" x14ac:dyDescent="0.3">
      <c r="A2432" s="141" t="s">
        <v>4711</v>
      </c>
      <c r="B2432" s="141">
        <v>539383</v>
      </c>
      <c r="C2432" s="141" t="s">
        <v>1129</v>
      </c>
      <c r="D2432" s="141" t="s">
        <v>1115</v>
      </c>
    </row>
    <row r="2433" spans="1:4" x14ac:dyDescent="0.3">
      <c r="A2433" s="141" t="s">
        <v>4712</v>
      </c>
      <c r="B2433" s="141">
        <v>531648</v>
      </c>
      <c r="C2433" s="141" t="s">
        <v>1129</v>
      </c>
      <c r="D2433" s="141" t="s">
        <v>1203</v>
      </c>
    </row>
    <row r="2434" spans="1:4" x14ac:dyDescent="0.3">
      <c r="A2434" s="141" t="s">
        <v>4713</v>
      </c>
      <c r="B2434" s="141">
        <v>542677</v>
      </c>
      <c r="C2434" s="141" t="s">
        <v>4714</v>
      </c>
      <c r="D2434" s="141" t="s">
        <v>1215</v>
      </c>
    </row>
    <row r="2435" spans="1:4" x14ac:dyDescent="0.3">
      <c r="A2435" s="141" t="s">
        <v>4715</v>
      </c>
      <c r="B2435" s="141" t="s">
        <v>1129</v>
      </c>
      <c r="C2435" s="141" t="s">
        <v>4716</v>
      </c>
      <c r="D2435" s="141" t="s">
        <v>1140</v>
      </c>
    </row>
    <row r="2436" spans="1:4" x14ac:dyDescent="0.3">
      <c r="A2436" s="141" t="s">
        <v>4717</v>
      </c>
      <c r="B2436" s="141" t="s">
        <v>1129</v>
      </c>
      <c r="C2436" s="141" t="s">
        <v>4718</v>
      </c>
      <c r="D2436" s="141" t="s">
        <v>1140</v>
      </c>
    </row>
    <row r="2437" spans="1:4" x14ac:dyDescent="0.3">
      <c r="A2437" s="141" t="s">
        <v>4719</v>
      </c>
      <c r="B2437" s="141">
        <v>532720</v>
      </c>
      <c r="C2437" s="141" t="s">
        <v>4720</v>
      </c>
      <c r="D2437" s="141" t="s">
        <v>1146</v>
      </c>
    </row>
    <row r="2438" spans="1:4" x14ac:dyDescent="0.3">
      <c r="A2438" s="141" t="s">
        <v>4721</v>
      </c>
      <c r="B2438" s="141">
        <v>500520</v>
      </c>
      <c r="C2438" s="141" t="s">
        <v>4722</v>
      </c>
      <c r="D2438" s="141" t="s">
        <v>3059</v>
      </c>
    </row>
    <row r="2439" spans="1:4" x14ac:dyDescent="0.3">
      <c r="A2439" s="141" t="s">
        <v>4723</v>
      </c>
      <c r="B2439" s="141">
        <v>532756</v>
      </c>
      <c r="C2439" s="141" t="s">
        <v>4724</v>
      </c>
      <c r="D2439" s="141" t="s">
        <v>2049</v>
      </c>
    </row>
    <row r="2440" spans="1:4" x14ac:dyDescent="0.3">
      <c r="A2440" s="141" t="s">
        <v>4725</v>
      </c>
      <c r="B2440" s="141">
        <v>533088</v>
      </c>
      <c r="C2440" s="141" t="s">
        <v>4726</v>
      </c>
      <c r="D2440" s="141" t="s">
        <v>1330</v>
      </c>
    </row>
    <row r="2441" spans="1:4" x14ac:dyDescent="0.3">
      <c r="A2441" s="141" t="s">
        <v>4727</v>
      </c>
      <c r="B2441" s="141">
        <v>533088</v>
      </c>
      <c r="C2441" s="141" t="s">
        <v>4726</v>
      </c>
      <c r="D2441" s="141" t="s">
        <v>1330</v>
      </c>
    </row>
    <row r="2442" spans="1:4" x14ac:dyDescent="0.3">
      <c r="A2442" s="141" t="s">
        <v>4728</v>
      </c>
      <c r="B2442" s="141">
        <v>532313</v>
      </c>
      <c r="C2442" s="141" t="s">
        <v>4729</v>
      </c>
      <c r="D2442" s="141" t="s">
        <v>1215</v>
      </c>
    </row>
    <row r="2443" spans="1:4" x14ac:dyDescent="0.3">
      <c r="A2443" s="141" t="s">
        <v>4730</v>
      </c>
      <c r="B2443" s="141">
        <v>540768</v>
      </c>
      <c r="C2443" s="141" t="s">
        <v>4731</v>
      </c>
      <c r="D2443" s="141" t="s">
        <v>1450</v>
      </c>
    </row>
    <row r="2444" spans="1:4" x14ac:dyDescent="0.3">
      <c r="A2444" s="141" t="s">
        <v>4732</v>
      </c>
      <c r="B2444" s="141">
        <v>542503</v>
      </c>
      <c r="C2444" s="141" t="s">
        <v>4733</v>
      </c>
      <c r="D2444" s="141" t="s">
        <v>3107</v>
      </c>
    </row>
    <row r="2445" spans="1:4" x14ac:dyDescent="0.3">
      <c r="A2445" s="141" t="s">
        <v>4734</v>
      </c>
      <c r="B2445" s="141">
        <v>590078</v>
      </c>
      <c r="C2445" s="141" t="s">
        <v>4735</v>
      </c>
      <c r="D2445" s="141" t="s">
        <v>1161</v>
      </c>
    </row>
    <row r="2446" spans="1:4" x14ac:dyDescent="0.3">
      <c r="A2446" s="141" t="s">
        <v>4736</v>
      </c>
      <c r="B2446" s="141">
        <v>513430</v>
      </c>
      <c r="C2446" s="141" t="s">
        <v>1129</v>
      </c>
      <c r="D2446" s="141" t="s">
        <v>1434</v>
      </c>
    </row>
    <row r="2447" spans="1:4" x14ac:dyDescent="0.3">
      <c r="A2447" s="141" t="s">
        <v>4737</v>
      </c>
      <c r="B2447" s="141">
        <v>539289</v>
      </c>
      <c r="C2447" s="141" t="s">
        <v>4738</v>
      </c>
      <c r="D2447" s="141" t="s">
        <v>1115</v>
      </c>
    </row>
    <row r="2448" spans="1:4" x14ac:dyDescent="0.3">
      <c r="A2448" s="141" t="s">
        <v>4739</v>
      </c>
      <c r="B2448" s="141">
        <v>500267</v>
      </c>
      <c r="C2448" s="141" t="s">
        <v>1129</v>
      </c>
      <c r="D2448" s="141" t="s">
        <v>1787</v>
      </c>
    </row>
    <row r="2449" spans="1:4" x14ac:dyDescent="0.3">
      <c r="A2449" s="141" t="s">
        <v>4740</v>
      </c>
      <c r="B2449" s="141">
        <v>539229</v>
      </c>
      <c r="C2449" s="141" t="s">
        <v>1129</v>
      </c>
      <c r="D2449" s="141" t="s">
        <v>1118</v>
      </c>
    </row>
    <row r="2450" spans="1:4" x14ac:dyDescent="0.3">
      <c r="A2450" s="141" t="s">
        <v>4741</v>
      </c>
      <c r="B2450" s="141">
        <v>506919</v>
      </c>
      <c r="C2450" s="141" t="s">
        <v>1129</v>
      </c>
      <c r="D2450" s="141" t="s">
        <v>1167</v>
      </c>
    </row>
    <row r="2451" spans="1:4" x14ac:dyDescent="0.3">
      <c r="A2451" s="141" t="s">
        <v>4742</v>
      </c>
      <c r="B2451" s="141">
        <v>539400</v>
      </c>
      <c r="C2451" s="141" t="s">
        <v>1129</v>
      </c>
      <c r="D2451" s="141" t="s">
        <v>1243</v>
      </c>
    </row>
    <row r="2452" spans="1:4" x14ac:dyDescent="0.3">
      <c r="A2452" s="141" t="s">
        <v>4743</v>
      </c>
      <c r="B2452" s="141">
        <v>539400</v>
      </c>
      <c r="C2452" s="141" t="s">
        <v>1129</v>
      </c>
      <c r="D2452" s="141" t="s">
        <v>1243</v>
      </c>
    </row>
    <row r="2453" spans="1:4" x14ac:dyDescent="0.3">
      <c r="A2453" s="141" t="s">
        <v>4744</v>
      </c>
      <c r="B2453" s="141">
        <v>532728</v>
      </c>
      <c r="C2453" s="141" t="s">
        <v>4745</v>
      </c>
      <c r="D2453" s="141" t="s">
        <v>1123</v>
      </c>
    </row>
    <row r="2454" spans="1:4" x14ac:dyDescent="0.3">
      <c r="A2454" s="141" t="s">
        <v>4746</v>
      </c>
      <c r="B2454" s="141">
        <v>513269</v>
      </c>
      <c r="C2454" s="141" t="s">
        <v>4747</v>
      </c>
      <c r="D2454" s="141" t="s">
        <v>1527</v>
      </c>
    </row>
    <row r="2455" spans="1:4" x14ac:dyDescent="0.3">
      <c r="A2455" s="141" t="s">
        <v>4748</v>
      </c>
      <c r="B2455" s="141">
        <v>513269</v>
      </c>
      <c r="C2455" s="141" t="s">
        <v>4747</v>
      </c>
      <c r="D2455" s="141" t="s">
        <v>1527</v>
      </c>
    </row>
    <row r="2456" spans="1:4" x14ac:dyDescent="0.3">
      <c r="A2456" s="141" t="s">
        <v>4749</v>
      </c>
      <c r="B2456" s="141">
        <v>533169</v>
      </c>
      <c r="C2456" s="141" t="s">
        <v>4750</v>
      </c>
      <c r="D2456" s="141" t="s">
        <v>1527</v>
      </c>
    </row>
    <row r="2457" spans="1:4" x14ac:dyDescent="0.3">
      <c r="A2457" s="141" t="s">
        <v>4751</v>
      </c>
      <c r="B2457" s="141">
        <v>539045</v>
      </c>
      <c r="C2457" s="141" t="s">
        <v>4752</v>
      </c>
      <c r="D2457" s="141" t="s">
        <v>1434</v>
      </c>
    </row>
    <row r="2458" spans="1:4" x14ac:dyDescent="0.3">
      <c r="A2458" s="141" t="s">
        <v>4753</v>
      </c>
      <c r="B2458" s="141">
        <v>539046</v>
      </c>
      <c r="C2458" s="141" t="s">
        <v>4754</v>
      </c>
      <c r="D2458" s="141" t="s">
        <v>1161</v>
      </c>
    </row>
    <row r="2459" spans="1:4" x14ac:dyDescent="0.3">
      <c r="A2459" s="141" t="s">
        <v>4755</v>
      </c>
      <c r="B2459" s="141">
        <v>532932</v>
      </c>
      <c r="C2459" s="141" t="s">
        <v>4756</v>
      </c>
      <c r="D2459" s="141" t="s">
        <v>1324</v>
      </c>
    </row>
    <row r="2460" spans="1:4" x14ac:dyDescent="0.3">
      <c r="A2460" s="141" t="s">
        <v>4757</v>
      </c>
      <c r="B2460" s="141">
        <v>539044</v>
      </c>
      <c r="C2460" s="141" t="s">
        <v>4758</v>
      </c>
      <c r="D2460" s="141" t="s">
        <v>1161</v>
      </c>
    </row>
    <row r="2461" spans="1:4" x14ac:dyDescent="0.3">
      <c r="A2461" s="141" t="s">
        <v>4759</v>
      </c>
      <c r="B2461" s="141">
        <v>500268</v>
      </c>
      <c r="C2461" s="141" t="s">
        <v>4760</v>
      </c>
      <c r="D2461" s="141" t="s">
        <v>1343</v>
      </c>
    </row>
    <row r="2462" spans="1:4" x14ac:dyDescent="0.3">
      <c r="A2462" s="141" t="s">
        <v>4761</v>
      </c>
      <c r="B2462" s="141">
        <v>531213</v>
      </c>
      <c r="C2462" s="141" t="s">
        <v>4762</v>
      </c>
      <c r="D2462" s="141" t="s">
        <v>1146</v>
      </c>
    </row>
    <row r="2463" spans="1:4" x14ac:dyDescent="0.3">
      <c r="A2463" s="141" t="s">
        <v>4763</v>
      </c>
      <c r="B2463" s="141">
        <v>540402</v>
      </c>
      <c r="C2463" s="141" t="s">
        <v>1129</v>
      </c>
      <c r="D2463" s="141" t="s">
        <v>1215</v>
      </c>
    </row>
    <row r="2464" spans="1:4" x14ac:dyDescent="0.3">
      <c r="A2464" s="141" t="s">
        <v>4764</v>
      </c>
      <c r="B2464" s="141" t="s">
        <v>1129</v>
      </c>
      <c r="C2464" s="141" t="s">
        <v>4765</v>
      </c>
      <c r="D2464" s="141" t="s">
        <v>1140</v>
      </c>
    </row>
    <row r="2465" spans="1:4" x14ac:dyDescent="0.3">
      <c r="A2465" s="141" t="s">
        <v>4766</v>
      </c>
      <c r="B2465" s="141">
        <v>533204</v>
      </c>
      <c r="C2465" s="141" t="s">
        <v>4767</v>
      </c>
      <c r="D2465" s="141" t="s">
        <v>1144</v>
      </c>
    </row>
    <row r="2466" spans="1:4" x14ac:dyDescent="0.3">
      <c r="A2466" s="141" t="s">
        <v>4768</v>
      </c>
      <c r="B2466" s="141">
        <v>505850</v>
      </c>
      <c r="C2466" s="141" t="s">
        <v>4769</v>
      </c>
      <c r="D2466" s="141" t="s">
        <v>1146</v>
      </c>
    </row>
    <row r="2467" spans="1:4" x14ac:dyDescent="0.3">
      <c r="A2467" s="141" t="s">
        <v>4770</v>
      </c>
      <c r="B2467" s="141">
        <v>502157</v>
      </c>
      <c r="C2467" s="141" t="s">
        <v>4771</v>
      </c>
      <c r="D2467" s="141" t="s">
        <v>1142</v>
      </c>
    </row>
    <row r="2468" spans="1:4" x14ac:dyDescent="0.3">
      <c r="A2468" s="141" t="s">
        <v>4772</v>
      </c>
      <c r="B2468" s="141">
        <v>532637</v>
      </c>
      <c r="C2468" s="141" t="s">
        <v>4773</v>
      </c>
      <c r="D2468" s="141" t="s">
        <v>1167</v>
      </c>
    </row>
    <row r="2469" spans="1:4" x14ac:dyDescent="0.3">
      <c r="A2469" s="141" t="s">
        <v>4774</v>
      </c>
      <c r="B2469" s="141">
        <v>537800</v>
      </c>
      <c r="C2469" s="141" t="s">
        <v>1129</v>
      </c>
      <c r="D2469" s="141" t="s">
        <v>1146</v>
      </c>
    </row>
    <row r="2470" spans="1:4" x14ac:dyDescent="0.3">
      <c r="A2470" s="141" t="s">
        <v>4775</v>
      </c>
      <c r="B2470" s="141">
        <v>514418</v>
      </c>
      <c r="C2470" s="141" t="s">
        <v>1129</v>
      </c>
      <c r="D2470" s="141" t="s">
        <v>1177</v>
      </c>
    </row>
    <row r="2471" spans="1:4" x14ac:dyDescent="0.3">
      <c r="A2471" s="141" t="s">
        <v>4776</v>
      </c>
      <c r="B2471" s="141">
        <v>539275</v>
      </c>
      <c r="C2471" s="141" t="s">
        <v>1129</v>
      </c>
      <c r="D2471" s="141" t="s">
        <v>1327</v>
      </c>
    </row>
    <row r="2472" spans="1:4" x14ac:dyDescent="0.3">
      <c r="A2472" s="141" t="s">
        <v>4777</v>
      </c>
      <c r="B2472" s="141">
        <v>516007</v>
      </c>
      <c r="C2472" s="141" t="s">
        <v>4778</v>
      </c>
      <c r="D2472" s="141" t="s">
        <v>1624</v>
      </c>
    </row>
    <row r="2473" spans="1:4" x14ac:dyDescent="0.3">
      <c r="A2473" s="141" t="s">
        <v>4779</v>
      </c>
      <c r="B2473" s="141">
        <v>530011</v>
      </c>
      <c r="C2473" s="141" t="s">
        <v>4780</v>
      </c>
      <c r="D2473" s="141" t="s">
        <v>1637</v>
      </c>
    </row>
    <row r="2474" spans="1:4" x14ac:dyDescent="0.3">
      <c r="A2474" s="141" t="s">
        <v>4781</v>
      </c>
      <c r="B2474" s="141">
        <v>500109</v>
      </c>
      <c r="C2474" s="141" t="s">
        <v>4782</v>
      </c>
      <c r="D2474" s="141" t="s">
        <v>2058</v>
      </c>
    </row>
    <row r="2475" spans="1:4" x14ac:dyDescent="0.3">
      <c r="A2475" s="141" t="s">
        <v>4783</v>
      </c>
      <c r="B2475" s="141">
        <v>530243</v>
      </c>
      <c r="C2475" s="141" t="s">
        <v>1129</v>
      </c>
      <c r="D2475" s="141" t="s">
        <v>1222</v>
      </c>
    </row>
    <row r="2476" spans="1:4" x14ac:dyDescent="0.3">
      <c r="A2476" s="141" t="s">
        <v>4784</v>
      </c>
      <c r="B2476" s="141">
        <v>507938</v>
      </c>
      <c r="C2476" s="141" t="s">
        <v>1129</v>
      </c>
      <c r="D2476" s="141" t="s">
        <v>1146</v>
      </c>
    </row>
    <row r="2477" spans="1:4" x14ac:dyDescent="0.3">
      <c r="A2477" s="141" t="s">
        <v>4785</v>
      </c>
      <c r="B2477" s="141">
        <v>533078</v>
      </c>
      <c r="C2477" s="141" t="s">
        <v>1129</v>
      </c>
      <c r="D2477" s="141" t="s">
        <v>1215</v>
      </c>
    </row>
    <row r="2478" spans="1:4" x14ac:dyDescent="0.3">
      <c r="A2478" s="141" t="s">
        <v>4786</v>
      </c>
      <c r="B2478" s="141">
        <v>540396</v>
      </c>
      <c r="C2478" s="141" t="s">
        <v>1129</v>
      </c>
      <c r="D2478" s="141" t="s">
        <v>1144</v>
      </c>
    </row>
    <row r="2479" spans="1:4" x14ac:dyDescent="0.3">
      <c r="A2479" s="141" t="s">
        <v>4787</v>
      </c>
      <c r="B2479" s="141">
        <v>540396</v>
      </c>
      <c r="C2479" s="141" t="s">
        <v>1129</v>
      </c>
      <c r="D2479" s="141" t="s">
        <v>1144</v>
      </c>
    </row>
    <row r="2480" spans="1:4" x14ac:dyDescent="0.3">
      <c r="A2480" s="141" t="s">
        <v>4788</v>
      </c>
      <c r="B2480" s="141">
        <v>541974</v>
      </c>
      <c r="C2480" s="141" t="s">
        <v>1129</v>
      </c>
      <c r="D2480" s="141" t="s">
        <v>1378</v>
      </c>
    </row>
    <row r="2481" spans="1:4" x14ac:dyDescent="0.3">
      <c r="A2481" s="141" t="s">
        <v>4789</v>
      </c>
      <c r="B2481" s="141">
        <v>539207</v>
      </c>
      <c r="C2481" s="141" t="s">
        <v>4790</v>
      </c>
      <c r="D2481" s="141" t="s">
        <v>1564</v>
      </c>
    </row>
    <row r="2482" spans="1:4" x14ac:dyDescent="0.3">
      <c r="A2482" s="141" t="s">
        <v>4791</v>
      </c>
      <c r="B2482" s="141">
        <v>530537</v>
      </c>
      <c r="C2482" s="141" t="s">
        <v>1129</v>
      </c>
      <c r="D2482" s="141" t="s">
        <v>1187</v>
      </c>
    </row>
    <row r="2483" spans="1:4" x14ac:dyDescent="0.3">
      <c r="A2483" s="141" t="s">
        <v>4792</v>
      </c>
      <c r="B2483" s="141">
        <v>511758</v>
      </c>
      <c r="C2483" s="141" t="s">
        <v>1129</v>
      </c>
      <c r="D2483" s="141" t="s">
        <v>1146</v>
      </c>
    </row>
    <row r="2484" spans="1:4" x14ac:dyDescent="0.3">
      <c r="A2484" s="141" t="s">
        <v>4793</v>
      </c>
      <c r="B2484" s="141">
        <v>512303</v>
      </c>
      <c r="C2484" s="141" t="s">
        <v>1129</v>
      </c>
      <c r="D2484" s="141" t="s">
        <v>1550</v>
      </c>
    </row>
    <row r="2485" spans="1:4" x14ac:dyDescent="0.3">
      <c r="A2485" s="141" t="s">
        <v>4794</v>
      </c>
      <c r="B2485" s="141">
        <v>505324</v>
      </c>
      <c r="C2485" s="141" t="s">
        <v>4795</v>
      </c>
      <c r="D2485" s="141" t="s">
        <v>1137</v>
      </c>
    </row>
    <row r="2486" spans="1:4" x14ac:dyDescent="0.3">
      <c r="A2486" s="141" t="s">
        <v>4796</v>
      </c>
      <c r="B2486" s="141">
        <v>505324</v>
      </c>
      <c r="C2486" s="141" t="s">
        <v>4795</v>
      </c>
      <c r="D2486" s="141" t="s">
        <v>1137</v>
      </c>
    </row>
    <row r="2487" spans="1:4" x14ac:dyDescent="0.3">
      <c r="A2487" s="141" t="s">
        <v>4797</v>
      </c>
      <c r="B2487" s="141">
        <v>538970</v>
      </c>
      <c r="C2487" s="141" t="s">
        <v>1129</v>
      </c>
      <c r="D2487" s="141" t="s">
        <v>1215</v>
      </c>
    </row>
    <row r="2488" spans="1:4" x14ac:dyDescent="0.3">
      <c r="A2488" s="141" t="s">
        <v>4798</v>
      </c>
      <c r="B2488" s="141">
        <v>521018</v>
      </c>
      <c r="C2488" s="141" t="s">
        <v>4799</v>
      </c>
      <c r="D2488" s="141" t="s">
        <v>1144</v>
      </c>
    </row>
    <row r="2489" spans="1:4" x14ac:dyDescent="0.3">
      <c r="A2489" s="141" t="s">
        <v>4800</v>
      </c>
      <c r="B2489" s="141">
        <v>503101</v>
      </c>
      <c r="C2489" s="141" t="s">
        <v>4801</v>
      </c>
      <c r="D2489" s="141" t="s">
        <v>1215</v>
      </c>
    </row>
    <row r="2490" spans="1:4" x14ac:dyDescent="0.3">
      <c r="A2490" s="141" t="s">
        <v>4802</v>
      </c>
      <c r="B2490" s="141">
        <v>502250</v>
      </c>
      <c r="C2490" s="141" t="s">
        <v>1129</v>
      </c>
      <c r="D2490" s="141" t="s">
        <v>1657</v>
      </c>
    </row>
    <row r="2491" spans="1:4" x14ac:dyDescent="0.3">
      <c r="A2491" s="141" t="s">
        <v>4803</v>
      </c>
      <c r="B2491" s="141">
        <v>513544</v>
      </c>
      <c r="C2491" s="141" t="s">
        <v>1129</v>
      </c>
      <c r="D2491" s="141" t="s">
        <v>1203</v>
      </c>
    </row>
    <row r="2492" spans="1:4" x14ac:dyDescent="0.3">
      <c r="A2492" s="141" t="s">
        <v>4804</v>
      </c>
      <c r="B2492" s="141">
        <v>530543</v>
      </c>
      <c r="C2492" s="141" t="s">
        <v>1129</v>
      </c>
      <c r="D2492" s="141" t="s">
        <v>1215</v>
      </c>
    </row>
    <row r="2493" spans="1:4" x14ac:dyDescent="0.3">
      <c r="A2493" s="141" t="s">
        <v>4805</v>
      </c>
      <c r="B2493" s="141">
        <v>540254</v>
      </c>
      <c r="C2493" s="141" t="s">
        <v>1129</v>
      </c>
      <c r="D2493" s="141" t="s">
        <v>1146</v>
      </c>
    </row>
    <row r="2494" spans="1:4" x14ac:dyDescent="0.3">
      <c r="A2494" s="141" t="s">
        <v>4806</v>
      </c>
      <c r="B2494" s="141">
        <v>500206</v>
      </c>
      <c r="C2494" s="141" t="s">
        <v>1129</v>
      </c>
      <c r="D2494" s="141" t="s">
        <v>1146</v>
      </c>
    </row>
    <row r="2495" spans="1:4" x14ac:dyDescent="0.3">
      <c r="A2495" s="141" t="s">
        <v>4807</v>
      </c>
      <c r="B2495" s="141">
        <v>531642</v>
      </c>
      <c r="C2495" s="141" t="s">
        <v>4808</v>
      </c>
      <c r="D2495" s="141" t="s">
        <v>1311</v>
      </c>
    </row>
    <row r="2496" spans="1:4" x14ac:dyDescent="0.3">
      <c r="A2496" s="141" t="s">
        <v>4809</v>
      </c>
      <c r="B2496" s="141" t="s">
        <v>1129</v>
      </c>
      <c r="C2496" s="141" t="s">
        <v>4810</v>
      </c>
      <c r="D2496" s="141" t="s">
        <v>1140</v>
      </c>
    </row>
    <row r="2497" spans="1:4" x14ac:dyDescent="0.3">
      <c r="A2497" s="141" t="s">
        <v>4811</v>
      </c>
      <c r="B2497" s="141" t="s">
        <v>1129</v>
      </c>
      <c r="C2497" s="141" t="s">
        <v>4810</v>
      </c>
      <c r="D2497" s="141" t="s">
        <v>1140</v>
      </c>
    </row>
    <row r="2498" spans="1:4" x14ac:dyDescent="0.3">
      <c r="A2498" s="141" t="s">
        <v>4812</v>
      </c>
      <c r="B2498" s="141">
        <v>531503</v>
      </c>
      <c r="C2498" s="141" t="s">
        <v>1129</v>
      </c>
      <c r="D2498" s="141" t="s">
        <v>1144</v>
      </c>
    </row>
    <row r="2499" spans="1:4" x14ac:dyDescent="0.3">
      <c r="A2499" s="141" t="s">
        <v>4813</v>
      </c>
      <c r="B2499" s="141">
        <v>526891</v>
      </c>
      <c r="C2499" s="141" t="s">
        <v>1129</v>
      </c>
      <c r="D2499" s="141" t="s">
        <v>1112</v>
      </c>
    </row>
    <row r="2500" spans="1:4" x14ac:dyDescent="0.3">
      <c r="A2500" s="141" t="s">
        <v>4814</v>
      </c>
      <c r="B2500" s="141">
        <v>524404</v>
      </c>
      <c r="C2500" s="141" t="s">
        <v>4815</v>
      </c>
      <c r="D2500" s="141" t="s">
        <v>1167</v>
      </c>
    </row>
    <row r="2501" spans="1:4" x14ac:dyDescent="0.3">
      <c r="A2501" s="141" t="s">
        <v>4816</v>
      </c>
      <c r="B2501" s="141" t="s">
        <v>1129</v>
      </c>
      <c r="C2501" s="141" t="s">
        <v>4817</v>
      </c>
      <c r="D2501" s="141" t="s">
        <v>1140</v>
      </c>
    </row>
    <row r="2502" spans="1:4" x14ac:dyDescent="0.3">
      <c r="A2502" s="141" t="s">
        <v>4818</v>
      </c>
      <c r="B2502" s="141">
        <v>517467</v>
      </c>
      <c r="C2502" s="141" t="s">
        <v>1129</v>
      </c>
      <c r="D2502" s="141" t="s">
        <v>1427</v>
      </c>
    </row>
    <row r="2503" spans="1:4" x14ac:dyDescent="0.3">
      <c r="A2503" s="141" t="s">
        <v>4819</v>
      </c>
      <c r="B2503" s="141">
        <v>523566</v>
      </c>
      <c r="C2503" s="141" t="s">
        <v>1129</v>
      </c>
      <c r="D2503" s="141" t="s">
        <v>1215</v>
      </c>
    </row>
    <row r="2504" spans="1:4" x14ac:dyDescent="0.3">
      <c r="A2504" s="141" t="s">
        <v>4820</v>
      </c>
      <c r="B2504" s="141">
        <v>531540</v>
      </c>
      <c r="C2504" s="141" t="s">
        <v>1129</v>
      </c>
      <c r="D2504" s="141" t="s">
        <v>1527</v>
      </c>
    </row>
    <row r="2505" spans="1:4" x14ac:dyDescent="0.3">
      <c r="A2505" s="141" t="s">
        <v>4821</v>
      </c>
      <c r="B2505" s="141">
        <v>531319</v>
      </c>
      <c r="C2505" s="141" t="s">
        <v>1129</v>
      </c>
      <c r="D2505" s="141" t="s">
        <v>1146</v>
      </c>
    </row>
    <row r="2506" spans="1:4" x14ac:dyDescent="0.3">
      <c r="A2506" s="141" t="s">
        <v>4822</v>
      </c>
      <c r="B2506" s="141">
        <v>532500</v>
      </c>
      <c r="C2506" s="141" t="s">
        <v>4823</v>
      </c>
      <c r="D2506" s="141" t="s">
        <v>3059</v>
      </c>
    </row>
    <row r="2507" spans="1:4" x14ac:dyDescent="0.3">
      <c r="A2507" s="141" t="s">
        <v>4824</v>
      </c>
      <c r="B2507" s="141">
        <v>532500</v>
      </c>
      <c r="C2507" s="141" t="s">
        <v>4823</v>
      </c>
      <c r="D2507" s="141" t="s">
        <v>3059</v>
      </c>
    </row>
    <row r="2508" spans="1:4" x14ac:dyDescent="0.3">
      <c r="A2508" s="141" t="s">
        <v>4825</v>
      </c>
      <c r="B2508" s="141" t="s">
        <v>1129</v>
      </c>
      <c r="C2508" s="141" t="s">
        <v>4826</v>
      </c>
      <c r="D2508" s="141" t="s">
        <v>1140</v>
      </c>
    </row>
    <row r="2509" spans="1:4" x14ac:dyDescent="0.3">
      <c r="A2509" s="141" t="s">
        <v>4827</v>
      </c>
      <c r="B2509" s="141">
        <v>540749</v>
      </c>
      <c r="C2509" s="141" t="s">
        <v>4828</v>
      </c>
      <c r="D2509" s="141" t="s">
        <v>1146</v>
      </c>
    </row>
    <row r="2510" spans="1:4" x14ac:dyDescent="0.3">
      <c r="A2510" s="141" t="s">
        <v>4829</v>
      </c>
      <c r="B2510" s="141" t="s">
        <v>1129</v>
      </c>
      <c r="C2510" s="141" t="s">
        <v>4830</v>
      </c>
      <c r="D2510" s="141" t="s">
        <v>1220</v>
      </c>
    </row>
    <row r="2511" spans="1:4" x14ac:dyDescent="0.3">
      <c r="A2511" s="141" t="s">
        <v>4831</v>
      </c>
      <c r="B2511" s="141">
        <v>523704</v>
      </c>
      <c r="C2511" s="141" t="s">
        <v>4832</v>
      </c>
      <c r="D2511" s="141" t="s">
        <v>1222</v>
      </c>
    </row>
    <row r="2512" spans="1:4" x14ac:dyDescent="0.3">
      <c r="A2512" s="141" t="s">
        <v>4833</v>
      </c>
      <c r="B2512" s="141">
        <v>506867</v>
      </c>
      <c r="C2512" s="141" t="s">
        <v>1129</v>
      </c>
      <c r="D2512" s="141" t="s">
        <v>1144</v>
      </c>
    </row>
    <row r="2513" spans="1:4" x14ac:dyDescent="0.3">
      <c r="A2513" s="141" t="s">
        <v>4834</v>
      </c>
      <c r="B2513" s="141">
        <v>511768</v>
      </c>
      <c r="C2513" s="141" t="s">
        <v>1129</v>
      </c>
      <c r="D2513" s="141" t="s">
        <v>1146</v>
      </c>
    </row>
    <row r="2514" spans="1:4" x14ac:dyDescent="0.3">
      <c r="A2514" s="141" t="s">
        <v>4835</v>
      </c>
      <c r="B2514" s="141">
        <v>511688</v>
      </c>
      <c r="C2514" s="141" t="s">
        <v>1129</v>
      </c>
      <c r="D2514" s="141" t="s">
        <v>1146</v>
      </c>
    </row>
    <row r="2515" spans="1:4" x14ac:dyDescent="0.3">
      <c r="A2515" s="141" t="s">
        <v>4836</v>
      </c>
      <c r="B2515" s="141">
        <v>540704</v>
      </c>
      <c r="C2515" s="141" t="s">
        <v>4837</v>
      </c>
      <c r="D2515" s="141" t="s">
        <v>1135</v>
      </c>
    </row>
    <row r="2516" spans="1:4" x14ac:dyDescent="0.3">
      <c r="A2516" s="141" t="s">
        <v>4838</v>
      </c>
      <c r="B2516" s="141">
        <v>539219</v>
      </c>
      <c r="C2516" s="141" t="s">
        <v>1129</v>
      </c>
      <c r="D2516" s="141" t="s">
        <v>2049</v>
      </c>
    </row>
    <row r="2517" spans="1:4" x14ac:dyDescent="0.3">
      <c r="A2517" s="141" t="s">
        <v>4839</v>
      </c>
      <c r="B2517" s="141">
        <v>500248</v>
      </c>
      <c r="C2517" s="141" t="s">
        <v>1129</v>
      </c>
      <c r="D2517" s="141" t="s">
        <v>1249</v>
      </c>
    </row>
    <row r="2518" spans="1:4" x14ac:dyDescent="0.3">
      <c r="A2518" s="141" t="s">
        <v>4840</v>
      </c>
      <c r="B2518" s="141">
        <v>523371</v>
      </c>
      <c r="C2518" s="141" t="s">
        <v>4841</v>
      </c>
      <c r="D2518" s="141" t="s">
        <v>1828</v>
      </c>
    </row>
    <row r="2519" spans="1:4" x14ac:dyDescent="0.3">
      <c r="A2519" s="141" t="s">
        <v>4842</v>
      </c>
      <c r="B2519" s="141">
        <v>539981</v>
      </c>
      <c r="C2519" s="141" t="s">
        <v>4843</v>
      </c>
      <c r="D2519" s="141" t="s">
        <v>1295</v>
      </c>
    </row>
    <row r="2520" spans="1:4" x14ac:dyDescent="0.3">
      <c r="A2520" s="141" t="s">
        <v>4844</v>
      </c>
      <c r="B2520" s="141">
        <v>534563</v>
      </c>
      <c r="C2520" s="141" t="s">
        <v>4845</v>
      </c>
      <c r="D2520" s="141" t="s">
        <v>1137</v>
      </c>
    </row>
    <row r="2521" spans="1:4" x14ac:dyDescent="0.3">
      <c r="A2521" s="141" t="s">
        <v>4846</v>
      </c>
      <c r="B2521" s="141">
        <v>500271</v>
      </c>
      <c r="C2521" s="141" t="s">
        <v>4847</v>
      </c>
      <c r="D2521" s="141" t="s">
        <v>3541</v>
      </c>
    </row>
    <row r="2522" spans="1:4" x14ac:dyDescent="0.3">
      <c r="A2522" s="141" t="s">
        <v>4848</v>
      </c>
      <c r="B2522" s="141">
        <v>539981</v>
      </c>
      <c r="C2522" s="141" t="s">
        <v>4849</v>
      </c>
      <c r="D2522" s="141" t="s">
        <v>1295</v>
      </c>
    </row>
    <row r="2523" spans="1:4" x14ac:dyDescent="0.3">
      <c r="A2523" s="141" t="s">
        <v>4850</v>
      </c>
      <c r="B2523" s="141">
        <v>539940</v>
      </c>
      <c r="C2523" s="141" t="s">
        <v>4851</v>
      </c>
      <c r="D2523" s="141" t="s">
        <v>1295</v>
      </c>
    </row>
    <row r="2524" spans="1:4" x14ac:dyDescent="0.3">
      <c r="A2524" s="141" t="s">
        <v>4852</v>
      </c>
      <c r="B2524" s="141">
        <v>534338</v>
      </c>
      <c r="C2524" s="141" t="s">
        <v>1129</v>
      </c>
      <c r="D2524" s="141" t="s">
        <v>1215</v>
      </c>
    </row>
    <row r="2525" spans="1:4" x14ac:dyDescent="0.3">
      <c r="A2525" s="141" t="s">
        <v>4853</v>
      </c>
      <c r="B2525" s="141">
        <v>526538</v>
      </c>
      <c r="C2525" s="141" t="s">
        <v>1129</v>
      </c>
      <c r="D2525" s="141" t="s">
        <v>1167</v>
      </c>
    </row>
    <row r="2526" spans="1:4" x14ac:dyDescent="0.3">
      <c r="A2526" s="141" t="s">
        <v>4854</v>
      </c>
      <c r="B2526" s="141">
        <v>540401</v>
      </c>
      <c r="C2526" s="141" t="s">
        <v>1129</v>
      </c>
      <c r="D2526" s="141" t="s">
        <v>1151</v>
      </c>
    </row>
    <row r="2527" spans="1:4" x14ac:dyDescent="0.3">
      <c r="A2527" s="141" t="s">
        <v>4855</v>
      </c>
      <c r="B2527" s="141">
        <v>539519</v>
      </c>
      <c r="C2527" s="141" t="s">
        <v>1129</v>
      </c>
      <c r="D2527" s="141" t="s">
        <v>1163</v>
      </c>
    </row>
    <row r="2528" spans="1:4" x14ac:dyDescent="0.3">
      <c r="A2528" s="141" t="s">
        <v>4856</v>
      </c>
      <c r="B2528" s="141">
        <v>531221</v>
      </c>
      <c r="C2528" s="141" t="s">
        <v>1129</v>
      </c>
      <c r="D2528" s="141" t="s">
        <v>1657</v>
      </c>
    </row>
    <row r="2529" spans="1:4" x14ac:dyDescent="0.3">
      <c r="A2529" s="141" t="s">
        <v>4857</v>
      </c>
      <c r="B2529" s="141">
        <v>531680</v>
      </c>
      <c r="C2529" s="141" t="s">
        <v>1129</v>
      </c>
      <c r="D2529" s="141" t="s">
        <v>1243</v>
      </c>
    </row>
    <row r="2530" spans="1:4" x14ac:dyDescent="0.3">
      <c r="A2530" s="141" t="s">
        <v>4858</v>
      </c>
      <c r="B2530" s="141">
        <v>522249</v>
      </c>
      <c r="C2530" s="141" t="s">
        <v>4859</v>
      </c>
      <c r="D2530" s="141" t="s">
        <v>1144</v>
      </c>
    </row>
    <row r="2531" spans="1:4" x14ac:dyDescent="0.3">
      <c r="A2531" s="141" t="s">
        <v>4860</v>
      </c>
      <c r="B2531" s="141">
        <v>523792</v>
      </c>
      <c r="C2531" s="141" t="s">
        <v>4861</v>
      </c>
      <c r="D2531" s="141" t="s">
        <v>1137</v>
      </c>
    </row>
    <row r="2532" spans="1:4" x14ac:dyDescent="0.3">
      <c r="A2532" s="141" t="s">
        <v>4862</v>
      </c>
      <c r="B2532" s="141">
        <v>533152</v>
      </c>
      <c r="C2532" s="141" t="s">
        <v>4863</v>
      </c>
      <c r="D2532" s="141" t="s">
        <v>1527</v>
      </c>
    </row>
    <row r="2533" spans="1:4" x14ac:dyDescent="0.3">
      <c r="A2533" s="141" t="s">
        <v>4864</v>
      </c>
      <c r="B2533" s="141">
        <v>532852</v>
      </c>
      <c r="C2533" s="141" t="s">
        <v>4865</v>
      </c>
      <c r="D2533" s="141" t="s">
        <v>1149</v>
      </c>
    </row>
    <row r="2534" spans="1:4" x14ac:dyDescent="0.3">
      <c r="A2534" s="141" t="s">
        <v>4866</v>
      </c>
      <c r="B2534" s="141">
        <v>532654</v>
      </c>
      <c r="C2534" s="141" t="s">
        <v>4867</v>
      </c>
      <c r="D2534" s="141" t="s">
        <v>1536</v>
      </c>
    </row>
    <row r="2535" spans="1:4" x14ac:dyDescent="0.3">
      <c r="A2535" s="141" t="s">
        <v>4868</v>
      </c>
      <c r="B2535" s="141">
        <v>532654</v>
      </c>
      <c r="C2535" s="141" t="s">
        <v>4867</v>
      </c>
      <c r="D2535" s="141" t="s">
        <v>1536</v>
      </c>
    </row>
    <row r="2536" spans="1:4" x14ac:dyDescent="0.3">
      <c r="A2536" s="141" t="s">
        <v>4869</v>
      </c>
      <c r="B2536" s="141">
        <v>532629</v>
      </c>
      <c r="C2536" s="141" t="s">
        <v>4870</v>
      </c>
      <c r="D2536" s="141" t="s">
        <v>1527</v>
      </c>
    </row>
    <row r="2537" spans="1:4" x14ac:dyDescent="0.3">
      <c r="A2537" s="141" t="s">
        <v>4871</v>
      </c>
      <c r="B2537" s="141">
        <v>512267</v>
      </c>
      <c r="C2537" s="141" t="s">
        <v>1129</v>
      </c>
      <c r="D2537" s="141" t="s">
        <v>1132</v>
      </c>
    </row>
    <row r="2538" spans="1:4" x14ac:dyDescent="0.3">
      <c r="A2538" s="141" t="s">
        <v>4872</v>
      </c>
      <c r="B2538" s="141">
        <v>531146</v>
      </c>
      <c r="C2538" s="141" t="s">
        <v>1129</v>
      </c>
      <c r="D2538" s="141" t="s">
        <v>1167</v>
      </c>
    </row>
    <row r="2539" spans="1:4" x14ac:dyDescent="0.3">
      <c r="A2539" s="141" t="s">
        <v>4873</v>
      </c>
      <c r="B2539" s="141">
        <v>523144</v>
      </c>
      <c r="C2539" s="141" t="s">
        <v>1129</v>
      </c>
      <c r="D2539" s="141" t="s">
        <v>1167</v>
      </c>
    </row>
    <row r="2540" spans="1:4" x14ac:dyDescent="0.3">
      <c r="A2540" s="141" t="s">
        <v>4874</v>
      </c>
      <c r="B2540" s="141">
        <v>539938</v>
      </c>
      <c r="C2540" s="141" t="s">
        <v>4875</v>
      </c>
      <c r="D2540" s="141" t="s">
        <v>1112</v>
      </c>
    </row>
    <row r="2541" spans="1:4" x14ac:dyDescent="0.3">
      <c r="A2541" s="141" t="s">
        <v>4876</v>
      </c>
      <c r="B2541" s="141">
        <v>540937</v>
      </c>
      <c r="C2541" s="141" t="s">
        <v>1129</v>
      </c>
      <c r="D2541" s="141" t="s">
        <v>1167</v>
      </c>
    </row>
    <row r="2542" spans="1:4" x14ac:dyDescent="0.3">
      <c r="A2542" s="141" t="s">
        <v>4877</v>
      </c>
      <c r="B2542" s="141">
        <v>526301</v>
      </c>
      <c r="C2542" s="141" t="s">
        <v>1129</v>
      </c>
      <c r="D2542" s="141" t="s">
        <v>1318</v>
      </c>
    </row>
    <row r="2543" spans="1:4" x14ac:dyDescent="0.3">
      <c r="A2543" s="141" t="s">
        <v>4878</v>
      </c>
      <c r="B2543" s="141">
        <v>538834</v>
      </c>
      <c r="C2543" s="141" t="s">
        <v>1129</v>
      </c>
      <c r="D2543" s="141" t="s">
        <v>1146</v>
      </c>
    </row>
    <row r="2544" spans="1:4" x14ac:dyDescent="0.3">
      <c r="A2544" s="141" t="s">
        <v>4879</v>
      </c>
      <c r="B2544" s="141">
        <v>512505</v>
      </c>
      <c r="C2544" s="141" t="s">
        <v>1129</v>
      </c>
      <c r="D2544" s="141" t="s">
        <v>1452</v>
      </c>
    </row>
    <row r="2545" spans="1:4" x14ac:dyDescent="0.3">
      <c r="A2545" s="141" t="s">
        <v>4880</v>
      </c>
      <c r="B2545" s="141">
        <v>540519</v>
      </c>
      <c r="C2545" s="141" t="s">
        <v>1129</v>
      </c>
      <c r="D2545" s="141" t="s">
        <v>1137</v>
      </c>
    </row>
    <row r="2546" spans="1:4" x14ac:dyDescent="0.3">
      <c r="A2546" s="141" t="s">
        <v>4881</v>
      </c>
      <c r="B2546" s="141">
        <v>511276</v>
      </c>
      <c r="C2546" s="141" t="s">
        <v>1129</v>
      </c>
      <c r="D2546" s="141" t="s">
        <v>1327</v>
      </c>
    </row>
    <row r="2547" spans="1:4" x14ac:dyDescent="0.3">
      <c r="A2547" s="141" t="s">
        <v>4882</v>
      </c>
      <c r="B2547" s="141">
        <v>531176</v>
      </c>
      <c r="C2547" s="141" t="s">
        <v>1129</v>
      </c>
      <c r="D2547" s="141" t="s">
        <v>1146</v>
      </c>
    </row>
    <row r="2548" spans="1:4" x14ac:dyDescent="0.3">
      <c r="A2548" s="141" t="s">
        <v>4883</v>
      </c>
      <c r="B2548" s="141">
        <v>531417</v>
      </c>
      <c r="C2548" s="141" t="s">
        <v>1129</v>
      </c>
      <c r="D2548" s="141" t="s">
        <v>1146</v>
      </c>
    </row>
    <row r="2549" spans="1:4" x14ac:dyDescent="0.3">
      <c r="A2549" s="141" t="s">
        <v>4884</v>
      </c>
      <c r="B2549" s="141">
        <v>532105</v>
      </c>
      <c r="C2549" s="141" t="s">
        <v>1129</v>
      </c>
      <c r="D2549" s="141" t="s">
        <v>1550</v>
      </c>
    </row>
    <row r="2550" spans="1:4" x14ac:dyDescent="0.3">
      <c r="A2550" s="141" t="s">
        <v>4885</v>
      </c>
      <c r="B2550" s="141">
        <v>532105</v>
      </c>
      <c r="C2550" s="141" t="s">
        <v>1129</v>
      </c>
      <c r="D2550" s="141" t="s">
        <v>1550</v>
      </c>
    </row>
    <row r="2551" spans="1:4" x14ac:dyDescent="0.3">
      <c r="A2551" s="141" t="s">
        <v>4886</v>
      </c>
      <c r="B2551" s="141">
        <v>539767</v>
      </c>
      <c r="C2551" s="141" t="s">
        <v>1129</v>
      </c>
      <c r="D2551" s="141" t="s">
        <v>1215</v>
      </c>
    </row>
    <row r="2552" spans="1:4" x14ac:dyDescent="0.3">
      <c r="A2552" s="141" t="s">
        <v>4887</v>
      </c>
      <c r="B2552" s="141">
        <v>532408</v>
      </c>
      <c r="C2552" s="141" t="s">
        <v>4888</v>
      </c>
      <c r="D2552" s="141" t="s">
        <v>1222</v>
      </c>
    </row>
    <row r="2553" spans="1:4" x14ac:dyDescent="0.3">
      <c r="A2553" s="141" t="s">
        <v>4889</v>
      </c>
      <c r="B2553" s="141">
        <v>541352</v>
      </c>
      <c r="C2553" s="141" t="s">
        <v>1129</v>
      </c>
      <c r="D2553" s="141" t="s">
        <v>1209</v>
      </c>
    </row>
    <row r="2554" spans="1:4" x14ac:dyDescent="0.3">
      <c r="A2554" s="141" t="s">
        <v>4890</v>
      </c>
      <c r="B2554" s="141">
        <v>532865</v>
      </c>
      <c r="C2554" s="141" t="s">
        <v>4891</v>
      </c>
      <c r="D2554" s="141" t="s">
        <v>1289</v>
      </c>
    </row>
    <row r="2555" spans="1:4" x14ac:dyDescent="0.3">
      <c r="A2555" s="141" t="s">
        <v>4892</v>
      </c>
      <c r="B2555" s="141">
        <v>511367</v>
      </c>
      <c r="C2555" s="141" t="s">
        <v>1129</v>
      </c>
      <c r="D2555" s="141" t="s">
        <v>1146</v>
      </c>
    </row>
    <row r="2556" spans="1:4" x14ac:dyDescent="0.3">
      <c r="A2556" s="141" t="s">
        <v>4893</v>
      </c>
      <c r="B2556" s="141">
        <v>511367</v>
      </c>
      <c r="C2556" s="141" t="s">
        <v>1129</v>
      </c>
      <c r="D2556" s="141" t="s">
        <v>1146</v>
      </c>
    </row>
    <row r="2557" spans="1:4" x14ac:dyDescent="0.3">
      <c r="A2557" s="141" t="s">
        <v>4894</v>
      </c>
      <c r="B2557" s="141">
        <v>539012</v>
      </c>
      <c r="C2557" s="141" t="s">
        <v>1129</v>
      </c>
      <c r="D2557" s="141" t="s">
        <v>1135</v>
      </c>
    </row>
    <row r="2558" spans="1:4" x14ac:dyDescent="0.3">
      <c r="A2558" s="141" t="s">
        <v>4895</v>
      </c>
      <c r="B2558" s="141">
        <v>540730</v>
      </c>
      <c r="C2558" s="141" t="s">
        <v>1129</v>
      </c>
      <c r="D2558" s="141" t="s">
        <v>1151</v>
      </c>
    </row>
    <row r="2559" spans="1:4" x14ac:dyDescent="0.3">
      <c r="A2559" s="141" t="s">
        <v>4896</v>
      </c>
      <c r="B2559" s="141">
        <v>511740</v>
      </c>
      <c r="C2559" s="141" t="s">
        <v>1129</v>
      </c>
      <c r="D2559" s="141" t="s">
        <v>1187</v>
      </c>
    </row>
    <row r="2560" spans="1:4" x14ac:dyDescent="0.3">
      <c r="A2560" s="141" t="s">
        <v>4897</v>
      </c>
      <c r="B2560" s="141">
        <v>511377</v>
      </c>
      <c r="C2560" s="141" t="s">
        <v>1129</v>
      </c>
      <c r="D2560" s="141" t="s">
        <v>1146</v>
      </c>
    </row>
    <row r="2561" spans="1:4" x14ac:dyDescent="0.3">
      <c r="A2561" s="141" t="s">
        <v>4898</v>
      </c>
      <c r="B2561" s="141">
        <v>511738</v>
      </c>
      <c r="C2561" s="141" t="s">
        <v>1129</v>
      </c>
      <c r="D2561" s="141" t="s">
        <v>1112</v>
      </c>
    </row>
    <row r="2562" spans="1:4" x14ac:dyDescent="0.3">
      <c r="A2562" s="141" t="s">
        <v>4899</v>
      </c>
      <c r="B2562" s="141">
        <v>532307</v>
      </c>
      <c r="C2562" s="141" t="s">
        <v>4900</v>
      </c>
      <c r="D2562" s="141" t="s">
        <v>1222</v>
      </c>
    </row>
    <row r="2563" spans="1:4" x14ac:dyDescent="0.3">
      <c r="A2563" s="141" t="s">
        <v>4901</v>
      </c>
      <c r="B2563" s="141">
        <v>531127</v>
      </c>
      <c r="C2563" s="141" t="s">
        <v>1129</v>
      </c>
      <c r="D2563" s="141" t="s">
        <v>1146</v>
      </c>
    </row>
    <row r="2564" spans="1:4" x14ac:dyDescent="0.3">
      <c r="A2564" s="141" t="s">
        <v>4902</v>
      </c>
      <c r="B2564" s="141">
        <v>523828</v>
      </c>
      <c r="C2564" s="141" t="s">
        <v>4903</v>
      </c>
      <c r="D2564" s="141" t="s">
        <v>1484</v>
      </c>
    </row>
    <row r="2565" spans="1:4" x14ac:dyDescent="0.3">
      <c r="A2565" s="141" t="s">
        <v>4904</v>
      </c>
      <c r="B2565" s="141">
        <v>531727</v>
      </c>
      <c r="C2565" s="141" t="s">
        <v>1129</v>
      </c>
      <c r="D2565" s="141" t="s">
        <v>1484</v>
      </c>
    </row>
    <row r="2566" spans="1:4" x14ac:dyDescent="0.3">
      <c r="A2566" s="141" t="s">
        <v>4905</v>
      </c>
      <c r="B2566" s="141">
        <v>539126</v>
      </c>
      <c r="C2566" s="141" t="s">
        <v>4906</v>
      </c>
      <c r="D2566" s="141" t="s">
        <v>1724</v>
      </c>
    </row>
    <row r="2567" spans="1:4" x14ac:dyDescent="0.3">
      <c r="A2567" s="141" t="s">
        <v>4907</v>
      </c>
      <c r="B2567" s="141">
        <v>538942</v>
      </c>
      <c r="C2567" s="141" t="s">
        <v>1129</v>
      </c>
      <c r="D2567" s="141" t="s">
        <v>1550</v>
      </c>
    </row>
    <row r="2568" spans="1:4" x14ac:dyDescent="0.3">
      <c r="A2568" s="141" t="s">
        <v>4908</v>
      </c>
      <c r="B2568" s="141">
        <v>526235</v>
      </c>
      <c r="C2568" s="141" t="s">
        <v>4909</v>
      </c>
      <c r="D2568" s="141" t="s">
        <v>1118</v>
      </c>
    </row>
    <row r="2569" spans="1:4" x14ac:dyDescent="0.3">
      <c r="A2569" s="141" t="s">
        <v>4910</v>
      </c>
      <c r="B2569" s="141">
        <v>500126</v>
      </c>
      <c r="C2569" s="141" t="s">
        <v>4911</v>
      </c>
      <c r="D2569" s="141" t="s">
        <v>1167</v>
      </c>
    </row>
    <row r="2570" spans="1:4" x14ac:dyDescent="0.3">
      <c r="A2570" s="141" t="s">
        <v>4912</v>
      </c>
      <c r="B2570" s="141">
        <v>538964</v>
      </c>
      <c r="C2570" s="141" t="s">
        <v>1129</v>
      </c>
      <c r="D2570" s="141" t="s">
        <v>1167</v>
      </c>
    </row>
    <row r="2571" spans="1:4" x14ac:dyDescent="0.3">
      <c r="A2571" s="141" t="s">
        <v>4913</v>
      </c>
      <c r="B2571" s="141">
        <v>531357</v>
      </c>
      <c r="C2571" s="141" t="s">
        <v>1129</v>
      </c>
      <c r="D2571" s="141" t="s">
        <v>1151</v>
      </c>
    </row>
    <row r="2572" spans="1:4" x14ac:dyDescent="0.3">
      <c r="A2572" s="141" t="s">
        <v>4914</v>
      </c>
      <c r="B2572" s="141">
        <v>512415</v>
      </c>
      <c r="C2572" s="141" t="s">
        <v>1129</v>
      </c>
      <c r="D2572" s="141" t="s">
        <v>1550</v>
      </c>
    </row>
    <row r="2573" spans="1:4" x14ac:dyDescent="0.3">
      <c r="A2573" s="141" t="s">
        <v>4915</v>
      </c>
      <c r="B2573" s="141">
        <v>500274</v>
      </c>
      <c r="C2573" s="141" t="s">
        <v>1129</v>
      </c>
      <c r="D2573" s="141" t="s">
        <v>1167</v>
      </c>
    </row>
    <row r="2574" spans="1:4" x14ac:dyDescent="0.3">
      <c r="A2574" s="141" t="s">
        <v>4916</v>
      </c>
      <c r="B2574" s="141">
        <v>531810</v>
      </c>
      <c r="C2574" s="141" t="s">
        <v>1129</v>
      </c>
      <c r="D2574" s="141" t="s">
        <v>1452</v>
      </c>
    </row>
    <row r="2575" spans="1:4" x14ac:dyDescent="0.3">
      <c r="A2575" s="141" t="s">
        <v>4917</v>
      </c>
      <c r="B2575" s="141">
        <v>531810</v>
      </c>
      <c r="C2575" s="141" t="s">
        <v>1129</v>
      </c>
      <c r="D2575" s="141" t="s">
        <v>1452</v>
      </c>
    </row>
    <row r="2576" spans="1:4" x14ac:dyDescent="0.3">
      <c r="A2576" s="141" t="s">
        <v>4918</v>
      </c>
      <c r="B2576" s="141">
        <v>513335</v>
      </c>
      <c r="C2576" s="141" t="s">
        <v>4919</v>
      </c>
      <c r="D2576" s="141" t="s">
        <v>2049</v>
      </c>
    </row>
    <row r="2577" spans="1:4" x14ac:dyDescent="0.3">
      <c r="A2577" s="141" t="s">
        <v>4920</v>
      </c>
      <c r="B2577" s="141">
        <v>532990</v>
      </c>
      <c r="C2577" s="141" t="s">
        <v>4921</v>
      </c>
      <c r="D2577" s="141" t="s">
        <v>1161</v>
      </c>
    </row>
    <row r="2578" spans="1:4" x14ac:dyDescent="0.3">
      <c r="A2578" s="141" t="s">
        <v>4922</v>
      </c>
      <c r="B2578" s="141">
        <v>500159</v>
      </c>
      <c r="C2578" s="141" t="s">
        <v>1129</v>
      </c>
      <c r="D2578" s="141" t="s">
        <v>1123</v>
      </c>
    </row>
    <row r="2579" spans="1:4" x14ac:dyDescent="0.3">
      <c r="A2579" s="141" t="s">
        <v>4923</v>
      </c>
      <c r="B2579" s="141">
        <v>542650</v>
      </c>
      <c r="C2579" s="141" t="s">
        <v>4924</v>
      </c>
      <c r="D2579" s="141" t="s">
        <v>1318</v>
      </c>
    </row>
    <row r="2580" spans="1:4" x14ac:dyDescent="0.3">
      <c r="A2580" s="141" t="s">
        <v>4925</v>
      </c>
      <c r="B2580" s="141">
        <v>540150</v>
      </c>
      <c r="C2580" s="141" t="s">
        <v>1129</v>
      </c>
      <c r="D2580" s="141" t="s">
        <v>1527</v>
      </c>
    </row>
    <row r="2581" spans="1:4" x14ac:dyDescent="0.3">
      <c r="A2581" s="141" t="s">
        <v>4926</v>
      </c>
      <c r="B2581" s="141">
        <v>513496</v>
      </c>
      <c r="C2581" s="141" t="s">
        <v>1129</v>
      </c>
      <c r="D2581" s="141" t="s">
        <v>3644</v>
      </c>
    </row>
    <row r="2582" spans="1:4" x14ac:dyDescent="0.3">
      <c r="A2582" s="141" t="s">
        <v>4927</v>
      </c>
      <c r="B2582" s="141">
        <v>531613</v>
      </c>
      <c r="C2582" s="141" t="s">
        <v>4928</v>
      </c>
      <c r="D2582" s="141" t="s">
        <v>1685</v>
      </c>
    </row>
    <row r="2583" spans="1:4" x14ac:dyDescent="0.3">
      <c r="A2583" s="141" t="s">
        <v>4929</v>
      </c>
      <c r="B2583" s="141">
        <v>526622</v>
      </c>
      <c r="C2583" s="141" t="s">
        <v>1129</v>
      </c>
      <c r="D2583" s="141" t="s">
        <v>1450</v>
      </c>
    </row>
    <row r="2584" spans="1:4" x14ac:dyDescent="0.3">
      <c r="A2584" s="141" t="s">
        <v>4930</v>
      </c>
      <c r="B2584" s="141">
        <v>526622</v>
      </c>
      <c r="C2584" s="141" t="s">
        <v>1129</v>
      </c>
      <c r="D2584" s="141" t="s">
        <v>1450</v>
      </c>
    </row>
    <row r="2585" spans="1:4" x14ac:dyDescent="0.3">
      <c r="A2585" s="141" t="s">
        <v>4931</v>
      </c>
      <c r="B2585" s="141">
        <v>513721</v>
      </c>
      <c r="C2585" s="141" t="s">
        <v>1129</v>
      </c>
      <c r="D2585" s="141" t="s">
        <v>1161</v>
      </c>
    </row>
    <row r="2586" spans="1:4" x14ac:dyDescent="0.3">
      <c r="A2586" s="141" t="s">
        <v>4932</v>
      </c>
      <c r="B2586" s="141">
        <v>532850</v>
      </c>
      <c r="C2586" s="141" t="s">
        <v>4933</v>
      </c>
      <c r="D2586" s="141" t="s">
        <v>1671</v>
      </c>
    </row>
    <row r="2587" spans="1:4" x14ac:dyDescent="0.3">
      <c r="A2587" s="141" t="s">
        <v>4934</v>
      </c>
      <c r="B2587" s="141">
        <v>523343</v>
      </c>
      <c r="C2587" s="141" t="s">
        <v>1129</v>
      </c>
      <c r="D2587" s="141" t="s">
        <v>1146</v>
      </c>
    </row>
    <row r="2588" spans="1:4" x14ac:dyDescent="0.3">
      <c r="A2588" s="141" t="s">
        <v>4935</v>
      </c>
      <c r="B2588" s="141">
        <v>523343</v>
      </c>
      <c r="C2588" s="141" t="s">
        <v>1129</v>
      </c>
      <c r="D2588" s="141" t="s">
        <v>1146</v>
      </c>
    </row>
    <row r="2589" spans="1:4" x14ac:dyDescent="0.3">
      <c r="A2589" s="141" t="s">
        <v>4936</v>
      </c>
      <c r="B2589" s="141">
        <v>526251</v>
      </c>
      <c r="C2589" s="141" t="s">
        <v>1129</v>
      </c>
      <c r="D2589" s="141" t="s">
        <v>1112</v>
      </c>
    </row>
    <row r="2590" spans="1:4" x14ac:dyDescent="0.3">
      <c r="A2590" s="141" t="s">
        <v>4937</v>
      </c>
      <c r="B2590" s="141">
        <v>500277</v>
      </c>
      <c r="C2590" s="141" t="s">
        <v>1129</v>
      </c>
      <c r="D2590" s="141" t="s">
        <v>1144</v>
      </c>
    </row>
    <row r="2591" spans="1:4" x14ac:dyDescent="0.3">
      <c r="A2591" s="141" t="s">
        <v>4938</v>
      </c>
      <c r="B2591" s="141">
        <v>531192</v>
      </c>
      <c r="C2591" s="141" t="s">
        <v>1129</v>
      </c>
      <c r="D2591" s="141" t="s">
        <v>1146</v>
      </c>
    </row>
    <row r="2592" spans="1:4" x14ac:dyDescent="0.3">
      <c r="A2592" s="141" t="s">
        <v>4939</v>
      </c>
      <c r="B2592" s="141">
        <v>540744</v>
      </c>
      <c r="C2592" s="141" t="s">
        <v>1129</v>
      </c>
      <c r="D2592" s="141" t="s">
        <v>1161</v>
      </c>
    </row>
    <row r="2593" spans="1:4" x14ac:dyDescent="0.3">
      <c r="A2593" s="141" t="s">
        <v>4940</v>
      </c>
      <c r="B2593" s="141">
        <v>533310</v>
      </c>
      <c r="C2593" s="141" t="s">
        <v>4941</v>
      </c>
      <c r="D2593" s="141" t="s">
        <v>4942</v>
      </c>
    </row>
    <row r="2594" spans="1:4" x14ac:dyDescent="0.3">
      <c r="A2594" s="141" t="s">
        <v>4943</v>
      </c>
      <c r="B2594" s="141">
        <v>526570</v>
      </c>
      <c r="C2594" s="141" t="s">
        <v>1129</v>
      </c>
      <c r="D2594" s="141" t="s">
        <v>1657</v>
      </c>
    </row>
    <row r="2595" spans="1:4" x14ac:dyDescent="0.3">
      <c r="A2595" s="141" t="s">
        <v>4944</v>
      </c>
      <c r="B2595" s="141">
        <v>538895</v>
      </c>
      <c r="C2595" s="141" t="s">
        <v>1129</v>
      </c>
      <c r="D2595" s="141" t="s">
        <v>1151</v>
      </c>
    </row>
    <row r="2596" spans="1:4" x14ac:dyDescent="0.3">
      <c r="A2596" s="141" t="s">
        <v>4945</v>
      </c>
      <c r="B2596" s="141">
        <v>541337</v>
      </c>
      <c r="C2596" s="141" t="s">
        <v>1129</v>
      </c>
      <c r="D2596" s="141" t="s">
        <v>1406</v>
      </c>
    </row>
    <row r="2597" spans="1:4" x14ac:dyDescent="0.3">
      <c r="A2597" s="141" t="s">
        <v>4946</v>
      </c>
      <c r="B2597" s="141">
        <v>531338</v>
      </c>
      <c r="C2597" s="141" t="s">
        <v>1129</v>
      </c>
      <c r="D2597" s="141" t="s">
        <v>1657</v>
      </c>
    </row>
    <row r="2598" spans="1:4" x14ac:dyDescent="0.3">
      <c r="A2598" s="141" t="s">
        <v>4947</v>
      </c>
      <c r="B2598" s="141">
        <v>511018</v>
      </c>
      <c r="C2598" s="141" t="s">
        <v>1129</v>
      </c>
      <c r="D2598" s="141" t="s">
        <v>1550</v>
      </c>
    </row>
    <row r="2599" spans="1:4" x14ac:dyDescent="0.3">
      <c r="A2599" s="141" t="s">
        <v>4948</v>
      </c>
      <c r="B2599" s="141">
        <v>507621</v>
      </c>
      <c r="C2599" s="141" t="s">
        <v>1129</v>
      </c>
      <c r="D2599" s="141" t="s">
        <v>1189</v>
      </c>
    </row>
    <row r="2600" spans="1:4" x14ac:dyDescent="0.3">
      <c r="A2600" s="141" t="s">
        <v>4949</v>
      </c>
      <c r="B2600" s="141">
        <v>511187</v>
      </c>
      <c r="C2600" s="141" t="s">
        <v>1129</v>
      </c>
      <c r="D2600" s="141" t="s">
        <v>1550</v>
      </c>
    </row>
    <row r="2601" spans="1:4" x14ac:dyDescent="0.3">
      <c r="A2601" s="141" t="s">
        <v>4950</v>
      </c>
      <c r="B2601" s="141" t="s">
        <v>1129</v>
      </c>
      <c r="C2601" s="141" t="s">
        <v>4951</v>
      </c>
      <c r="D2601" s="141" t="s">
        <v>1140</v>
      </c>
    </row>
    <row r="2602" spans="1:4" x14ac:dyDescent="0.3">
      <c r="A2602" s="141" t="s">
        <v>4952</v>
      </c>
      <c r="B2602" s="141">
        <v>531456</v>
      </c>
      <c r="C2602" s="141" t="s">
        <v>1129</v>
      </c>
      <c r="D2602" s="141" t="s">
        <v>1144</v>
      </c>
    </row>
    <row r="2603" spans="1:4" x14ac:dyDescent="0.3">
      <c r="A2603" s="141" t="s">
        <v>4953</v>
      </c>
      <c r="B2603" s="141">
        <v>538962</v>
      </c>
      <c r="C2603" s="141" t="s">
        <v>4954</v>
      </c>
      <c r="D2603" s="141" t="s">
        <v>1484</v>
      </c>
    </row>
    <row r="2604" spans="1:4" x14ac:dyDescent="0.3">
      <c r="A2604" s="141" t="s">
        <v>4955</v>
      </c>
      <c r="B2604" s="141">
        <v>539303</v>
      </c>
      <c r="C2604" s="141" t="s">
        <v>1129</v>
      </c>
      <c r="D2604" s="141" t="s">
        <v>1146</v>
      </c>
    </row>
    <row r="2605" spans="1:4" x14ac:dyDescent="0.3">
      <c r="A2605" s="141" t="s">
        <v>4956</v>
      </c>
      <c r="B2605" s="141">
        <v>532539</v>
      </c>
      <c r="C2605" s="141" t="s">
        <v>4957</v>
      </c>
      <c r="D2605" s="141" t="s">
        <v>1484</v>
      </c>
    </row>
    <row r="2606" spans="1:4" x14ac:dyDescent="0.3">
      <c r="A2606" s="141" t="s">
        <v>4958</v>
      </c>
      <c r="B2606" s="141">
        <v>517344</v>
      </c>
      <c r="C2606" s="141" t="s">
        <v>4959</v>
      </c>
      <c r="D2606" s="141" t="s">
        <v>1222</v>
      </c>
    </row>
    <row r="2607" spans="1:4" x14ac:dyDescent="0.3">
      <c r="A2607" s="141" t="s">
        <v>4960</v>
      </c>
      <c r="B2607" s="141">
        <v>517344</v>
      </c>
      <c r="C2607" s="141" t="s">
        <v>4959</v>
      </c>
      <c r="D2607" s="141" t="s">
        <v>1222</v>
      </c>
    </row>
    <row r="2608" spans="1:4" x14ac:dyDescent="0.3">
      <c r="A2608" s="141" t="s">
        <v>4961</v>
      </c>
      <c r="B2608" s="141">
        <v>532819</v>
      </c>
      <c r="C2608" s="141" t="s">
        <v>4962</v>
      </c>
      <c r="D2608" s="141" t="s">
        <v>1115</v>
      </c>
    </row>
    <row r="2609" spans="1:4" x14ac:dyDescent="0.3">
      <c r="A2609" s="141" t="s">
        <v>4963</v>
      </c>
      <c r="B2609" s="141">
        <v>523373</v>
      </c>
      <c r="C2609" s="141" t="s">
        <v>1129</v>
      </c>
      <c r="D2609" s="141" t="s">
        <v>1243</v>
      </c>
    </row>
    <row r="2610" spans="1:4" x14ac:dyDescent="0.3">
      <c r="A2610" s="141" t="s">
        <v>4964</v>
      </c>
      <c r="B2610" s="141">
        <v>523373</v>
      </c>
      <c r="C2610" s="141" t="s">
        <v>1129</v>
      </c>
      <c r="D2610" s="141" t="s">
        <v>1243</v>
      </c>
    </row>
    <row r="2611" spans="1:4" x14ac:dyDescent="0.3">
      <c r="A2611" s="141" t="s">
        <v>4965</v>
      </c>
      <c r="B2611" s="141">
        <v>532164</v>
      </c>
      <c r="C2611" s="141" t="s">
        <v>1129</v>
      </c>
      <c r="D2611" s="141" t="s">
        <v>1146</v>
      </c>
    </row>
    <row r="2612" spans="1:4" x14ac:dyDescent="0.3">
      <c r="A2612" s="141" t="s">
        <v>4966</v>
      </c>
      <c r="B2612" s="141">
        <v>505797</v>
      </c>
      <c r="C2612" s="141" t="s">
        <v>1129</v>
      </c>
      <c r="D2612" s="141" t="s">
        <v>1314</v>
      </c>
    </row>
    <row r="2613" spans="1:4" x14ac:dyDescent="0.3">
      <c r="A2613" s="141" t="s">
        <v>4967</v>
      </c>
      <c r="B2613" s="141">
        <v>500279</v>
      </c>
      <c r="C2613" s="141" t="s">
        <v>4968</v>
      </c>
      <c r="D2613" s="141" t="s">
        <v>1498</v>
      </c>
    </row>
    <row r="2614" spans="1:4" x14ac:dyDescent="0.3">
      <c r="A2614" s="141" t="s">
        <v>4969</v>
      </c>
      <c r="B2614" s="141">
        <v>505336</v>
      </c>
      <c r="C2614" s="141" t="s">
        <v>1129</v>
      </c>
      <c r="D2614" s="141" t="s">
        <v>1137</v>
      </c>
    </row>
    <row r="2615" spans="1:4" x14ac:dyDescent="0.3">
      <c r="A2615" s="141" t="s">
        <v>4970</v>
      </c>
      <c r="B2615" s="141">
        <v>505336</v>
      </c>
      <c r="C2615" s="141" t="s">
        <v>1129</v>
      </c>
      <c r="D2615" s="141" t="s">
        <v>1137</v>
      </c>
    </row>
    <row r="2616" spans="1:4" x14ac:dyDescent="0.3">
      <c r="A2616" s="141" t="s">
        <v>4971</v>
      </c>
      <c r="B2616" s="141">
        <v>526642</v>
      </c>
      <c r="C2616" s="141" t="s">
        <v>4972</v>
      </c>
      <c r="D2616" s="141" t="s">
        <v>1555</v>
      </c>
    </row>
    <row r="2617" spans="1:4" x14ac:dyDescent="0.3">
      <c r="A2617" s="141" t="s">
        <v>4973</v>
      </c>
      <c r="B2617" s="141">
        <v>539220</v>
      </c>
      <c r="C2617" s="141" t="s">
        <v>1129</v>
      </c>
      <c r="D2617" s="141" t="s">
        <v>1243</v>
      </c>
    </row>
    <row r="2618" spans="1:4" x14ac:dyDescent="0.3">
      <c r="A2618" s="141" t="s">
        <v>4974</v>
      </c>
      <c r="B2618" s="141">
        <v>541195</v>
      </c>
      <c r="C2618" s="141" t="s">
        <v>4975</v>
      </c>
      <c r="D2618" s="141" t="s">
        <v>1452</v>
      </c>
    </row>
    <row r="2619" spans="1:4" x14ac:dyDescent="0.3">
      <c r="A2619" s="141" t="s">
        <v>4976</v>
      </c>
      <c r="B2619" s="141">
        <v>539594</v>
      </c>
      <c r="C2619" s="141" t="s">
        <v>1129</v>
      </c>
      <c r="D2619" s="141" t="s">
        <v>1327</v>
      </c>
    </row>
    <row r="2620" spans="1:4" x14ac:dyDescent="0.3">
      <c r="A2620" s="141" t="s">
        <v>4977</v>
      </c>
      <c r="B2620" s="141" t="s">
        <v>1129</v>
      </c>
      <c r="C2620" s="141" t="s">
        <v>4978</v>
      </c>
      <c r="D2620" s="141" t="s">
        <v>1140</v>
      </c>
    </row>
    <row r="2621" spans="1:4" x14ac:dyDescent="0.3">
      <c r="A2621" s="141" t="s">
        <v>4979</v>
      </c>
      <c r="B2621" s="141">
        <v>523782</v>
      </c>
      <c r="C2621" s="141" t="s">
        <v>1129</v>
      </c>
      <c r="D2621" s="141" t="s">
        <v>1151</v>
      </c>
    </row>
    <row r="2622" spans="1:4" x14ac:dyDescent="0.3">
      <c r="A2622" s="141" t="s">
        <v>4980</v>
      </c>
      <c r="B2622" s="141">
        <v>523782</v>
      </c>
      <c r="C2622" s="141" t="s">
        <v>1129</v>
      </c>
      <c r="D2622" s="141" t="s">
        <v>1151</v>
      </c>
    </row>
    <row r="2623" spans="1:4" x14ac:dyDescent="0.3">
      <c r="A2623" s="141" t="s">
        <v>4981</v>
      </c>
      <c r="B2623" s="141">
        <v>540078</v>
      </c>
      <c r="C2623" s="141" t="s">
        <v>1129</v>
      </c>
      <c r="D2623" s="141" t="s">
        <v>1324</v>
      </c>
    </row>
    <row r="2624" spans="1:4" x14ac:dyDescent="0.3">
      <c r="A2624" s="141" t="s">
        <v>4982</v>
      </c>
      <c r="B2624" s="141" t="s">
        <v>1129</v>
      </c>
      <c r="C2624" s="141" t="s">
        <v>4983</v>
      </c>
      <c r="D2624" s="141" t="s">
        <v>1140</v>
      </c>
    </row>
    <row r="2625" spans="1:4" x14ac:dyDescent="0.3">
      <c r="A2625" s="141" t="s">
        <v>4984</v>
      </c>
      <c r="B2625" s="141">
        <v>522036</v>
      </c>
      <c r="C2625" s="141" t="s">
        <v>4985</v>
      </c>
      <c r="D2625" s="141" t="s">
        <v>1314</v>
      </c>
    </row>
    <row r="2626" spans="1:4" x14ac:dyDescent="0.3">
      <c r="A2626" s="141" t="s">
        <v>4986</v>
      </c>
      <c r="B2626" s="141">
        <v>522241</v>
      </c>
      <c r="C2626" s="141" t="s">
        <v>4987</v>
      </c>
      <c r="D2626" s="141" t="s">
        <v>2049</v>
      </c>
    </row>
    <row r="2627" spans="1:4" x14ac:dyDescent="0.3">
      <c r="A2627" s="141" t="s">
        <v>4988</v>
      </c>
      <c r="B2627" s="141">
        <v>509196</v>
      </c>
      <c r="C2627" s="141" t="s">
        <v>4989</v>
      </c>
      <c r="D2627" s="141" t="s">
        <v>4990</v>
      </c>
    </row>
    <row r="2628" spans="1:4" x14ac:dyDescent="0.3">
      <c r="A2628" s="141" t="s">
        <v>4991</v>
      </c>
      <c r="B2628" s="141" t="s">
        <v>1129</v>
      </c>
      <c r="C2628" s="141" t="s">
        <v>4992</v>
      </c>
      <c r="D2628" s="141" t="s">
        <v>1140</v>
      </c>
    </row>
    <row r="2629" spans="1:4" x14ac:dyDescent="0.3">
      <c r="A2629" s="141" t="s">
        <v>4993</v>
      </c>
      <c r="B2629" s="141">
        <v>513377</v>
      </c>
      <c r="C2629" s="141" t="s">
        <v>4994</v>
      </c>
      <c r="D2629" s="141" t="s">
        <v>1151</v>
      </c>
    </row>
    <row r="2630" spans="1:4" x14ac:dyDescent="0.3">
      <c r="A2630" s="141" t="s">
        <v>4995</v>
      </c>
      <c r="B2630" s="141">
        <v>503772</v>
      </c>
      <c r="C2630" s="141" t="s">
        <v>1129</v>
      </c>
      <c r="D2630" s="141" t="s">
        <v>1151</v>
      </c>
    </row>
    <row r="2631" spans="1:4" x14ac:dyDescent="0.3">
      <c r="A2631" s="141" t="s">
        <v>4996</v>
      </c>
      <c r="B2631" s="141">
        <v>503015</v>
      </c>
      <c r="C2631" s="141" t="s">
        <v>1129</v>
      </c>
      <c r="D2631" s="141" t="s">
        <v>1151</v>
      </c>
    </row>
    <row r="2632" spans="1:4" x14ac:dyDescent="0.3">
      <c r="A2632" s="141" t="s">
        <v>4997</v>
      </c>
      <c r="B2632" s="141">
        <v>539762</v>
      </c>
      <c r="C2632" s="141" t="s">
        <v>1129</v>
      </c>
      <c r="D2632" s="141" t="s">
        <v>1327</v>
      </c>
    </row>
    <row r="2633" spans="1:4" x14ac:dyDescent="0.3">
      <c r="A2633" s="141" t="s">
        <v>4998</v>
      </c>
      <c r="B2633" s="141">
        <v>519287</v>
      </c>
      <c r="C2633" s="141" t="s">
        <v>1129</v>
      </c>
      <c r="D2633" s="141" t="s">
        <v>1189</v>
      </c>
    </row>
    <row r="2634" spans="1:4" x14ac:dyDescent="0.3">
      <c r="A2634" s="141" t="s">
        <v>4999</v>
      </c>
      <c r="B2634" s="141">
        <v>503015</v>
      </c>
      <c r="C2634" s="141" t="s">
        <v>1129</v>
      </c>
      <c r="D2634" s="141" t="s">
        <v>1151</v>
      </c>
    </row>
    <row r="2635" spans="1:4" x14ac:dyDescent="0.3">
      <c r="A2635" s="141" t="s">
        <v>5000</v>
      </c>
      <c r="B2635" s="141">
        <v>509760</v>
      </c>
      <c r="C2635" s="141" t="s">
        <v>1129</v>
      </c>
      <c r="D2635" s="141" t="s">
        <v>1112</v>
      </c>
    </row>
    <row r="2636" spans="1:4" x14ac:dyDescent="0.3">
      <c r="A2636" s="141" t="s">
        <v>5001</v>
      </c>
      <c r="B2636" s="141">
        <v>513303</v>
      </c>
      <c r="C2636" s="141" t="s">
        <v>5002</v>
      </c>
      <c r="D2636" s="141" t="s">
        <v>5003</v>
      </c>
    </row>
    <row r="2637" spans="1:4" x14ac:dyDescent="0.3">
      <c r="A2637" s="141" t="s">
        <v>5004</v>
      </c>
      <c r="B2637" s="141">
        <v>537092</v>
      </c>
      <c r="C2637" s="141" t="s">
        <v>1129</v>
      </c>
      <c r="D2637" s="141" t="s">
        <v>1112</v>
      </c>
    </row>
    <row r="2638" spans="1:4" x14ac:dyDescent="0.3">
      <c r="A2638" s="141" t="s">
        <v>5005</v>
      </c>
      <c r="B2638" s="141">
        <v>519003</v>
      </c>
      <c r="C2638" s="141" t="s">
        <v>1129</v>
      </c>
      <c r="D2638" s="141" t="s">
        <v>1327</v>
      </c>
    </row>
    <row r="2639" spans="1:4" x14ac:dyDescent="0.3">
      <c r="A2639" s="141" t="s">
        <v>5006</v>
      </c>
      <c r="B2639" s="141">
        <v>500890</v>
      </c>
      <c r="C2639" s="141" t="s">
        <v>5007</v>
      </c>
      <c r="D2639" s="141" t="s">
        <v>1609</v>
      </c>
    </row>
    <row r="2640" spans="1:4" x14ac:dyDescent="0.3">
      <c r="A2640" s="141" t="s">
        <v>5008</v>
      </c>
      <c r="B2640" s="141">
        <v>503776</v>
      </c>
      <c r="C2640" s="141" t="s">
        <v>1129</v>
      </c>
      <c r="D2640" s="141" t="s">
        <v>1273</v>
      </c>
    </row>
    <row r="2641" spans="1:4" x14ac:dyDescent="0.3">
      <c r="A2641" s="141" t="s">
        <v>5009</v>
      </c>
      <c r="B2641" s="141">
        <v>506261</v>
      </c>
      <c r="C2641" s="141" t="s">
        <v>1129</v>
      </c>
      <c r="D2641" s="141" t="s">
        <v>1427</v>
      </c>
    </row>
    <row r="2642" spans="1:4" x14ac:dyDescent="0.3">
      <c r="A2642" s="141" t="s">
        <v>5010</v>
      </c>
      <c r="B2642" s="141" t="s">
        <v>1129</v>
      </c>
      <c r="C2642" s="141" t="s">
        <v>5011</v>
      </c>
      <c r="D2642" s="141" t="s">
        <v>1140</v>
      </c>
    </row>
    <row r="2643" spans="1:4" x14ac:dyDescent="0.3">
      <c r="A2643" s="141" t="s">
        <v>5012</v>
      </c>
      <c r="B2643" s="141">
        <v>531453</v>
      </c>
      <c r="C2643" s="141" t="s">
        <v>5013</v>
      </c>
      <c r="D2643" s="141" t="s">
        <v>1144</v>
      </c>
    </row>
    <row r="2644" spans="1:4" x14ac:dyDescent="0.3">
      <c r="A2644" s="141" t="s">
        <v>5014</v>
      </c>
      <c r="B2644" s="141">
        <v>530169</v>
      </c>
      <c r="C2644" s="141" t="s">
        <v>1129</v>
      </c>
      <c r="D2644" s="141" t="s">
        <v>1123</v>
      </c>
    </row>
    <row r="2645" spans="1:4" x14ac:dyDescent="0.3">
      <c r="A2645" s="141" t="s">
        <v>5015</v>
      </c>
      <c r="B2645" s="141">
        <v>532140</v>
      </c>
      <c r="C2645" s="141" t="s">
        <v>1129</v>
      </c>
      <c r="D2645" s="141" t="s">
        <v>1144</v>
      </c>
    </row>
    <row r="2646" spans="1:4" x14ac:dyDescent="0.3">
      <c r="A2646" s="141" t="s">
        <v>5016</v>
      </c>
      <c r="B2646" s="141">
        <v>530047</v>
      </c>
      <c r="C2646" s="141" t="s">
        <v>5017</v>
      </c>
      <c r="D2646" s="141" t="s">
        <v>1144</v>
      </c>
    </row>
    <row r="2647" spans="1:4" x14ac:dyDescent="0.3">
      <c r="A2647" s="141" t="s">
        <v>5018</v>
      </c>
      <c r="B2647" s="141">
        <v>533286</v>
      </c>
      <c r="C2647" s="141" t="s">
        <v>5019</v>
      </c>
      <c r="D2647" s="141" t="s">
        <v>1109</v>
      </c>
    </row>
    <row r="2648" spans="1:4" x14ac:dyDescent="0.3">
      <c r="A2648" s="141" t="s">
        <v>5020</v>
      </c>
      <c r="B2648" s="141" t="s">
        <v>1129</v>
      </c>
      <c r="C2648" s="141" t="s">
        <v>5021</v>
      </c>
      <c r="D2648" s="141" t="s">
        <v>1140</v>
      </c>
    </row>
    <row r="2649" spans="1:4" x14ac:dyDescent="0.3">
      <c r="A2649" s="141" t="s">
        <v>5022</v>
      </c>
      <c r="B2649" s="141">
        <v>533080</v>
      </c>
      <c r="C2649" s="141" t="s">
        <v>5023</v>
      </c>
      <c r="D2649" s="141" t="s">
        <v>1324</v>
      </c>
    </row>
    <row r="2650" spans="1:4" x14ac:dyDescent="0.3">
      <c r="A2650" s="141" t="s">
        <v>5024</v>
      </c>
      <c r="B2650" s="141">
        <v>526263</v>
      </c>
      <c r="C2650" s="141" t="s">
        <v>5025</v>
      </c>
      <c r="D2650" s="141" t="s">
        <v>1459</v>
      </c>
    </row>
    <row r="2651" spans="1:4" x14ac:dyDescent="0.3">
      <c r="A2651" s="141" t="s">
        <v>5026</v>
      </c>
      <c r="B2651" s="141">
        <v>511551</v>
      </c>
      <c r="C2651" s="141" t="s">
        <v>1129</v>
      </c>
      <c r="D2651" s="141" t="s">
        <v>1112</v>
      </c>
    </row>
    <row r="2652" spans="1:4" x14ac:dyDescent="0.3">
      <c r="A2652" s="141" t="s">
        <v>5027</v>
      </c>
      <c r="B2652" s="141">
        <v>535910</v>
      </c>
      <c r="C2652" s="141" t="s">
        <v>1129</v>
      </c>
      <c r="D2652" s="141" t="s">
        <v>1146</v>
      </c>
    </row>
    <row r="2653" spans="1:4" x14ac:dyDescent="0.3">
      <c r="A2653" s="141" t="s">
        <v>5028</v>
      </c>
      <c r="B2653" s="141">
        <v>532078</v>
      </c>
      <c r="C2653" s="141" t="s">
        <v>1129</v>
      </c>
      <c r="D2653" s="141" t="s">
        <v>1161</v>
      </c>
    </row>
    <row r="2654" spans="1:4" x14ac:dyDescent="0.3">
      <c r="A2654" s="141" t="s">
        <v>5029</v>
      </c>
      <c r="B2654" s="141">
        <v>513446</v>
      </c>
      <c r="C2654" s="141" t="s">
        <v>5030</v>
      </c>
      <c r="D2654" s="141" t="s">
        <v>1161</v>
      </c>
    </row>
    <row r="2655" spans="1:4" x14ac:dyDescent="0.3">
      <c r="A2655" s="141" t="s">
        <v>5031</v>
      </c>
      <c r="B2655" s="141">
        <v>532723</v>
      </c>
      <c r="C2655" s="141" t="s">
        <v>1129</v>
      </c>
      <c r="D2655" s="141" t="s">
        <v>1215</v>
      </c>
    </row>
    <row r="2656" spans="1:4" x14ac:dyDescent="0.3">
      <c r="A2656" s="141" t="s">
        <v>5032</v>
      </c>
      <c r="B2656" s="141">
        <v>505343</v>
      </c>
      <c r="C2656" s="141" t="s">
        <v>1129</v>
      </c>
      <c r="D2656" s="141" t="s">
        <v>1550</v>
      </c>
    </row>
    <row r="2657" spans="1:4" x14ac:dyDescent="0.3">
      <c r="A2657" s="141" t="s">
        <v>5033</v>
      </c>
      <c r="B2657" s="141">
        <v>505343</v>
      </c>
      <c r="C2657" s="141" t="s">
        <v>1129</v>
      </c>
      <c r="D2657" s="141" t="s">
        <v>1550</v>
      </c>
    </row>
    <row r="2658" spans="1:4" x14ac:dyDescent="0.3">
      <c r="A2658" s="141" t="s">
        <v>5034</v>
      </c>
      <c r="B2658" s="141">
        <v>524084</v>
      </c>
      <c r="C2658" s="141" t="s">
        <v>5035</v>
      </c>
      <c r="D2658" s="141" t="s">
        <v>1273</v>
      </c>
    </row>
    <row r="2659" spans="1:4" x14ac:dyDescent="0.3">
      <c r="A2659" s="141" t="s">
        <v>5036</v>
      </c>
      <c r="B2659" s="141">
        <v>524084</v>
      </c>
      <c r="C2659" s="141" t="s">
        <v>5035</v>
      </c>
      <c r="D2659" s="141" t="s">
        <v>1273</v>
      </c>
    </row>
    <row r="2660" spans="1:4" x14ac:dyDescent="0.3">
      <c r="A2660" s="141" t="s">
        <v>5037</v>
      </c>
      <c r="B2660" s="141">
        <v>538836</v>
      </c>
      <c r="C2660" s="141" t="s">
        <v>5038</v>
      </c>
      <c r="D2660" s="141" t="s">
        <v>1243</v>
      </c>
    </row>
    <row r="2661" spans="1:4" x14ac:dyDescent="0.3">
      <c r="A2661" s="141" t="s">
        <v>5039</v>
      </c>
      <c r="B2661" s="141">
        <v>530167</v>
      </c>
      <c r="C2661" s="141" t="s">
        <v>1129</v>
      </c>
      <c r="D2661" s="141" t="s">
        <v>1146</v>
      </c>
    </row>
    <row r="2662" spans="1:4" x14ac:dyDescent="0.3">
      <c r="A2662" s="141" t="s">
        <v>5040</v>
      </c>
      <c r="B2662" s="141">
        <v>539199</v>
      </c>
      <c r="C2662" s="141" t="s">
        <v>1129</v>
      </c>
      <c r="D2662" s="141" t="s">
        <v>1112</v>
      </c>
    </row>
    <row r="2663" spans="1:4" x14ac:dyDescent="0.3">
      <c r="A2663" s="141" t="s">
        <v>5041</v>
      </c>
      <c r="B2663" s="141">
        <v>532621</v>
      </c>
      <c r="C2663" s="141" t="s">
        <v>5042</v>
      </c>
      <c r="D2663" s="141" t="s">
        <v>1144</v>
      </c>
    </row>
    <row r="2664" spans="1:4" x14ac:dyDescent="0.3">
      <c r="A2664" s="141" t="s">
        <v>5043</v>
      </c>
      <c r="B2664" s="141">
        <v>511549</v>
      </c>
      <c r="C2664" s="141" t="s">
        <v>1129</v>
      </c>
      <c r="D2664" s="141" t="s">
        <v>1146</v>
      </c>
    </row>
    <row r="2665" spans="1:4" x14ac:dyDescent="0.3">
      <c r="A2665" s="141" t="s">
        <v>5044</v>
      </c>
      <c r="B2665" s="141">
        <v>500288</v>
      </c>
      <c r="C2665" s="141" t="s">
        <v>5045</v>
      </c>
      <c r="D2665" s="141" t="s">
        <v>1167</v>
      </c>
    </row>
    <row r="2666" spans="1:4" x14ac:dyDescent="0.3">
      <c r="A2666" s="141" t="s">
        <v>5046</v>
      </c>
      <c r="B2666" s="141">
        <v>526237</v>
      </c>
      <c r="C2666" s="141" t="s">
        <v>1129</v>
      </c>
      <c r="D2666" s="141" t="s">
        <v>1146</v>
      </c>
    </row>
    <row r="2667" spans="1:4" x14ac:dyDescent="0.3">
      <c r="A2667" s="141" t="s">
        <v>5047</v>
      </c>
      <c r="B2667" s="141">
        <v>523160</v>
      </c>
      <c r="C2667" s="141" t="s">
        <v>1129</v>
      </c>
      <c r="D2667" s="141" t="s">
        <v>1314</v>
      </c>
    </row>
    <row r="2668" spans="1:4" x14ac:dyDescent="0.3">
      <c r="A2668" s="141" t="s">
        <v>5048</v>
      </c>
      <c r="B2668" s="141">
        <v>523160</v>
      </c>
      <c r="C2668" s="141" t="s">
        <v>1129</v>
      </c>
      <c r="D2668" s="141" t="s">
        <v>1314</v>
      </c>
    </row>
    <row r="2669" spans="1:4" x14ac:dyDescent="0.3">
      <c r="A2669" s="141" t="s">
        <v>5049</v>
      </c>
      <c r="B2669" s="141">
        <v>513305</v>
      </c>
      <c r="C2669" s="141" t="s">
        <v>5050</v>
      </c>
      <c r="D2669" s="141" t="s">
        <v>1550</v>
      </c>
    </row>
    <row r="2670" spans="1:4" x14ac:dyDescent="0.3">
      <c r="A2670" s="141" t="s">
        <v>5051</v>
      </c>
      <c r="B2670" s="141">
        <v>532407</v>
      </c>
      <c r="C2670" s="141" t="s">
        <v>1129</v>
      </c>
      <c r="D2670" s="141" t="s">
        <v>1222</v>
      </c>
    </row>
    <row r="2671" spans="1:4" x14ac:dyDescent="0.3">
      <c r="A2671" s="141" t="s">
        <v>5052</v>
      </c>
      <c r="B2671" s="141" t="s">
        <v>1129</v>
      </c>
      <c r="C2671" s="141" t="s">
        <v>5053</v>
      </c>
      <c r="D2671" s="141" t="s">
        <v>1220</v>
      </c>
    </row>
    <row r="2672" spans="1:4" x14ac:dyDescent="0.3">
      <c r="A2672" s="141" t="s">
        <v>5054</v>
      </c>
      <c r="B2672" s="141">
        <v>517334</v>
      </c>
      <c r="C2672" s="141" t="s">
        <v>5055</v>
      </c>
      <c r="D2672" s="141" t="s">
        <v>1484</v>
      </c>
    </row>
    <row r="2673" spans="1:4" x14ac:dyDescent="0.3">
      <c r="A2673" s="141" t="s">
        <v>5056</v>
      </c>
      <c r="B2673" s="141">
        <v>532892</v>
      </c>
      <c r="C2673" s="141" t="s">
        <v>5057</v>
      </c>
      <c r="D2673" s="141" t="s">
        <v>1146</v>
      </c>
    </row>
    <row r="2674" spans="1:4" x14ac:dyDescent="0.3">
      <c r="A2674" s="141" t="s">
        <v>5058</v>
      </c>
      <c r="B2674" s="141">
        <v>590115</v>
      </c>
      <c r="C2674" s="141" t="s">
        <v>5059</v>
      </c>
      <c r="D2674" s="141" t="s">
        <v>1112</v>
      </c>
    </row>
    <row r="2675" spans="1:4" x14ac:dyDescent="0.3">
      <c r="A2675" s="141" t="s">
        <v>5060</v>
      </c>
      <c r="B2675" s="141">
        <v>533385</v>
      </c>
      <c r="C2675" s="141" t="s">
        <v>5061</v>
      </c>
      <c r="D2675" s="141" t="s">
        <v>1112</v>
      </c>
    </row>
    <row r="2676" spans="1:4" x14ac:dyDescent="0.3">
      <c r="A2676" s="141" t="s">
        <v>5062</v>
      </c>
      <c r="B2676" s="141">
        <v>507522</v>
      </c>
      <c r="C2676" s="141" t="s">
        <v>1129</v>
      </c>
      <c r="D2676" s="141" t="s">
        <v>1761</v>
      </c>
    </row>
    <row r="2677" spans="1:4" x14ac:dyDescent="0.3">
      <c r="A2677" s="141" t="s">
        <v>5063</v>
      </c>
      <c r="B2677" s="141">
        <v>526299</v>
      </c>
      <c r="C2677" s="141" t="s">
        <v>5064</v>
      </c>
      <c r="D2677" s="141" t="s">
        <v>1115</v>
      </c>
    </row>
    <row r="2678" spans="1:4" x14ac:dyDescent="0.3">
      <c r="A2678" s="141" t="s">
        <v>5065</v>
      </c>
      <c r="B2678" s="141">
        <v>500450</v>
      </c>
      <c r="C2678" s="141" t="s">
        <v>1129</v>
      </c>
      <c r="D2678" s="141" t="s">
        <v>1112</v>
      </c>
    </row>
    <row r="2679" spans="1:4" x14ac:dyDescent="0.3">
      <c r="A2679" s="141" t="s">
        <v>5066</v>
      </c>
      <c r="B2679" s="141">
        <v>526143</v>
      </c>
      <c r="C2679" s="141" t="s">
        <v>1129</v>
      </c>
      <c r="D2679" s="141" t="s">
        <v>1324</v>
      </c>
    </row>
    <row r="2680" spans="1:4" x14ac:dyDescent="0.3">
      <c r="A2680" s="141" t="s">
        <v>5067</v>
      </c>
      <c r="B2680" s="141">
        <v>532440</v>
      </c>
      <c r="C2680" s="141" t="s">
        <v>5068</v>
      </c>
      <c r="D2680" s="141" t="s">
        <v>3122</v>
      </c>
    </row>
    <row r="2681" spans="1:4" x14ac:dyDescent="0.3">
      <c r="A2681" s="141" t="s">
        <v>5069</v>
      </c>
      <c r="B2681" s="141">
        <v>540809</v>
      </c>
      <c r="C2681" s="141" t="s">
        <v>1129</v>
      </c>
      <c r="D2681" s="141" t="s">
        <v>1151</v>
      </c>
    </row>
    <row r="2682" spans="1:4" x14ac:dyDescent="0.3">
      <c r="A2682" s="141" t="s">
        <v>5070</v>
      </c>
      <c r="B2682" s="141">
        <v>500290</v>
      </c>
      <c r="C2682" s="141" t="s">
        <v>5071</v>
      </c>
      <c r="D2682" s="141" t="s">
        <v>1609</v>
      </c>
    </row>
    <row r="2683" spans="1:4" x14ac:dyDescent="0.3">
      <c r="A2683" s="141" t="s">
        <v>5072</v>
      </c>
      <c r="B2683" s="141">
        <v>532376</v>
      </c>
      <c r="C2683" s="141" t="s">
        <v>5073</v>
      </c>
      <c r="D2683" s="141" t="s">
        <v>1275</v>
      </c>
    </row>
    <row r="2684" spans="1:4" x14ac:dyDescent="0.3">
      <c r="A2684" s="141" t="s">
        <v>5074</v>
      </c>
      <c r="B2684" s="141">
        <v>512065</v>
      </c>
      <c r="C2684" s="141" t="s">
        <v>1129</v>
      </c>
      <c r="D2684" s="141" t="s">
        <v>1146</v>
      </c>
    </row>
    <row r="2685" spans="1:4" x14ac:dyDescent="0.3">
      <c r="A2685" s="141" t="s">
        <v>5075</v>
      </c>
      <c r="B2685" s="141">
        <v>532650</v>
      </c>
      <c r="C2685" s="141" t="s">
        <v>5076</v>
      </c>
      <c r="D2685" s="141" t="s">
        <v>1452</v>
      </c>
    </row>
    <row r="2686" spans="1:4" x14ac:dyDescent="0.3">
      <c r="A2686" s="141" t="s">
        <v>5077</v>
      </c>
      <c r="B2686" s="141">
        <v>508922</v>
      </c>
      <c r="C2686" s="141" t="s">
        <v>1129</v>
      </c>
      <c r="D2686" s="141" t="s">
        <v>2175</v>
      </c>
    </row>
    <row r="2687" spans="1:4" x14ac:dyDescent="0.3">
      <c r="A2687" s="141" t="s">
        <v>5078</v>
      </c>
      <c r="B2687" s="141">
        <v>508922</v>
      </c>
      <c r="C2687" s="141" t="s">
        <v>1129</v>
      </c>
      <c r="D2687" s="141" t="s">
        <v>2175</v>
      </c>
    </row>
    <row r="2688" spans="1:4" x14ac:dyDescent="0.3">
      <c r="A2688" s="141" t="s">
        <v>5079</v>
      </c>
      <c r="B2688" s="141" t="s">
        <v>1129</v>
      </c>
      <c r="C2688" s="141" t="s">
        <v>5080</v>
      </c>
      <c r="D2688" s="141" t="s">
        <v>2175</v>
      </c>
    </row>
    <row r="2689" spans="1:4" x14ac:dyDescent="0.3">
      <c r="A2689" s="141" t="s">
        <v>5081</v>
      </c>
      <c r="B2689" s="141">
        <v>542597</v>
      </c>
      <c r="C2689" s="141" t="s">
        <v>5082</v>
      </c>
      <c r="D2689" s="141" t="s">
        <v>1495</v>
      </c>
    </row>
    <row r="2690" spans="1:4" x14ac:dyDescent="0.3">
      <c r="A2690" s="141" t="s">
        <v>5083</v>
      </c>
      <c r="B2690" s="141">
        <v>534312</v>
      </c>
      <c r="C2690" s="141" t="s">
        <v>5084</v>
      </c>
      <c r="D2690" s="141" t="s">
        <v>1234</v>
      </c>
    </row>
    <row r="2691" spans="1:4" x14ac:dyDescent="0.3">
      <c r="A2691" s="141" t="s">
        <v>5085</v>
      </c>
      <c r="B2691" s="141">
        <v>531919</v>
      </c>
      <c r="C2691" s="141" t="s">
        <v>1129</v>
      </c>
      <c r="D2691" s="141" t="s">
        <v>1149</v>
      </c>
    </row>
    <row r="2692" spans="1:4" x14ac:dyDescent="0.3">
      <c r="A2692" s="141" t="s">
        <v>5086</v>
      </c>
      <c r="B2692" s="141">
        <v>539819</v>
      </c>
      <c r="C2692" s="141" t="s">
        <v>1129</v>
      </c>
      <c r="D2692" s="141" t="s">
        <v>1112</v>
      </c>
    </row>
    <row r="2693" spans="1:4" x14ac:dyDescent="0.3">
      <c r="A2693" s="141" t="s">
        <v>5087</v>
      </c>
      <c r="B2693" s="141">
        <v>538743</v>
      </c>
      <c r="C2693" s="141" t="s">
        <v>1129</v>
      </c>
      <c r="D2693" s="141" t="s">
        <v>1115</v>
      </c>
    </row>
    <row r="2694" spans="1:4" x14ac:dyDescent="0.3">
      <c r="A2694" s="141" t="s">
        <v>5088</v>
      </c>
      <c r="B2694" s="141">
        <v>532097</v>
      </c>
      <c r="C2694" s="141" t="s">
        <v>5089</v>
      </c>
      <c r="D2694" s="141" t="s">
        <v>1527</v>
      </c>
    </row>
    <row r="2695" spans="1:4" x14ac:dyDescent="0.3">
      <c r="A2695" s="141" t="s">
        <v>5090</v>
      </c>
      <c r="B2695" s="141">
        <v>500460</v>
      </c>
      <c r="C2695" s="141" t="s">
        <v>5091</v>
      </c>
      <c r="D2695" s="141" t="s">
        <v>1161</v>
      </c>
    </row>
    <row r="2696" spans="1:4" x14ac:dyDescent="0.3">
      <c r="A2696" s="141" t="s">
        <v>5092</v>
      </c>
      <c r="B2696" s="141">
        <v>523832</v>
      </c>
      <c r="C2696" s="141" t="s">
        <v>5093</v>
      </c>
      <c r="D2696" s="141" t="s">
        <v>1247</v>
      </c>
    </row>
    <row r="2697" spans="1:4" x14ac:dyDescent="0.3">
      <c r="A2697" s="141" t="s">
        <v>5094</v>
      </c>
      <c r="B2697" s="141">
        <v>530341</v>
      </c>
      <c r="C2697" s="141" t="s">
        <v>1129</v>
      </c>
      <c r="D2697" s="141" t="s">
        <v>1112</v>
      </c>
    </row>
    <row r="2698" spans="1:4" x14ac:dyDescent="0.3">
      <c r="A2698" s="141" t="s">
        <v>5095</v>
      </c>
      <c r="B2698" s="141">
        <v>535204</v>
      </c>
      <c r="C2698" s="141" t="s">
        <v>1129</v>
      </c>
      <c r="D2698" s="141" t="s">
        <v>1151</v>
      </c>
    </row>
    <row r="2699" spans="1:4" x14ac:dyDescent="0.3">
      <c r="A2699" s="141" t="s">
        <v>5096</v>
      </c>
      <c r="B2699" s="141">
        <v>532357</v>
      </c>
      <c r="C2699" s="141" t="s">
        <v>5097</v>
      </c>
      <c r="D2699" s="141" t="s">
        <v>1132</v>
      </c>
    </row>
    <row r="2700" spans="1:4" x14ac:dyDescent="0.3">
      <c r="A2700" s="141" t="s">
        <v>5098</v>
      </c>
      <c r="B2700" s="141">
        <v>501477</v>
      </c>
      <c r="C2700" s="141" t="s">
        <v>1129</v>
      </c>
      <c r="D2700" s="141" t="s">
        <v>1151</v>
      </c>
    </row>
    <row r="2701" spans="1:4" x14ac:dyDescent="0.3">
      <c r="A2701" s="141" t="s">
        <v>5099</v>
      </c>
      <c r="B2701" s="141">
        <v>501477</v>
      </c>
      <c r="C2701" s="141" t="s">
        <v>1129</v>
      </c>
      <c r="D2701" s="141" t="s">
        <v>1151</v>
      </c>
    </row>
    <row r="2702" spans="1:4" x14ac:dyDescent="0.3">
      <c r="A2702" s="141" t="s">
        <v>5100</v>
      </c>
      <c r="B2702" s="141">
        <v>534091</v>
      </c>
      <c r="C2702" s="141" t="s">
        <v>5101</v>
      </c>
      <c r="D2702" s="141" t="s">
        <v>1149</v>
      </c>
    </row>
    <row r="2703" spans="1:4" x14ac:dyDescent="0.3">
      <c r="A2703" s="141" t="s">
        <v>5102</v>
      </c>
      <c r="B2703" s="141">
        <v>534091</v>
      </c>
      <c r="C2703" s="141" t="s">
        <v>5101</v>
      </c>
      <c r="D2703" s="141" t="s">
        <v>1149</v>
      </c>
    </row>
    <row r="2704" spans="1:4" x14ac:dyDescent="0.3">
      <c r="A2704" s="141" t="s">
        <v>5103</v>
      </c>
      <c r="B2704" s="141">
        <v>526169</v>
      </c>
      <c r="C2704" s="141" t="s">
        <v>1129</v>
      </c>
      <c r="D2704" s="141" t="s">
        <v>1609</v>
      </c>
    </row>
    <row r="2705" spans="1:4" x14ac:dyDescent="0.3">
      <c r="A2705" s="141" t="s">
        <v>5104</v>
      </c>
      <c r="B2705" s="141">
        <v>526169</v>
      </c>
      <c r="C2705" s="141" t="s">
        <v>1129</v>
      </c>
      <c r="D2705" s="141" t="s">
        <v>1609</v>
      </c>
    </row>
    <row r="2706" spans="1:4" x14ac:dyDescent="0.3">
      <c r="A2706" s="141" t="s">
        <v>5105</v>
      </c>
      <c r="B2706" s="141">
        <v>505594</v>
      </c>
      <c r="C2706" s="141" t="s">
        <v>1129</v>
      </c>
      <c r="D2706" s="141" t="s">
        <v>1550</v>
      </c>
    </row>
    <row r="2707" spans="1:4" x14ac:dyDescent="0.3">
      <c r="A2707" s="141" t="s">
        <v>5106</v>
      </c>
      <c r="B2707" s="141">
        <v>504356</v>
      </c>
      <c r="C2707" s="141" t="s">
        <v>1129</v>
      </c>
      <c r="D2707" s="141" t="s">
        <v>1550</v>
      </c>
    </row>
    <row r="2708" spans="1:4" x14ac:dyDescent="0.3">
      <c r="A2708" s="141" t="s">
        <v>5107</v>
      </c>
      <c r="B2708" s="141">
        <v>520059</v>
      </c>
      <c r="C2708" s="141" t="s">
        <v>5108</v>
      </c>
      <c r="D2708" s="141" t="s">
        <v>1484</v>
      </c>
    </row>
    <row r="2709" spans="1:4" x14ac:dyDescent="0.3">
      <c r="A2709" s="141" t="s">
        <v>5109</v>
      </c>
      <c r="B2709" s="141">
        <v>520043</v>
      </c>
      <c r="C2709" s="141" t="s">
        <v>5110</v>
      </c>
      <c r="D2709" s="141" t="s">
        <v>1484</v>
      </c>
    </row>
    <row r="2710" spans="1:4" x14ac:dyDescent="0.3">
      <c r="A2710" s="141" t="s">
        <v>5111</v>
      </c>
      <c r="B2710" s="141">
        <v>511200</v>
      </c>
      <c r="C2710" s="141" t="s">
        <v>1129</v>
      </c>
      <c r="D2710" s="141" t="s">
        <v>1550</v>
      </c>
    </row>
    <row r="2711" spans="1:4" x14ac:dyDescent="0.3">
      <c r="A2711" s="141" t="s">
        <v>5112</v>
      </c>
      <c r="B2711" s="141">
        <v>511401</v>
      </c>
      <c r="C2711" s="141" t="s">
        <v>5113</v>
      </c>
      <c r="D2711" s="141" t="s">
        <v>1112</v>
      </c>
    </row>
    <row r="2712" spans="1:4" x14ac:dyDescent="0.3">
      <c r="A2712" s="141" t="s">
        <v>5114</v>
      </c>
      <c r="B2712" s="141">
        <v>531821</v>
      </c>
      <c r="C2712" s="141" t="s">
        <v>1129</v>
      </c>
      <c r="D2712" s="141" t="s">
        <v>1112</v>
      </c>
    </row>
    <row r="2713" spans="1:4" x14ac:dyDescent="0.3">
      <c r="A2713" s="141" t="s">
        <v>5115</v>
      </c>
      <c r="B2713" s="141">
        <v>515037</v>
      </c>
      <c r="C2713" s="141" t="s">
        <v>5116</v>
      </c>
      <c r="D2713" s="141" t="s">
        <v>1406</v>
      </c>
    </row>
    <row r="2714" spans="1:4" x14ac:dyDescent="0.3">
      <c r="A2714" s="141" t="s">
        <v>5117</v>
      </c>
      <c r="B2714" s="141">
        <v>540366</v>
      </c>
      <c r="C2714" s="141" t="s">
        <v>5118</v>
      </c>
      <c r="D2714" s="141" t="s">
        <v>1868</v>
      </c>
    </row>
    <row r="2715" spans="1:4" x14ac:dyDescent="0.3">
      <c r="A2715" s="141" t="s">
        <v>5119</v>
      </c>
      <c r="B2715" s="141">
        <v>511766</v>
      </c>
      <c r="C2715" s="141" t="s">
        <v>5120</v>
      </c>
      <c r="D2715" s="141" t="s">
        <v>1146</v>
      </c>
    </row>
    <row r="2716" spans="1:4" x14ac:dyDescent="0.3">
      <c r="A2716" s="141" t="s">
        <v>5121</v>
      </c>
      <c r="B2716" s="141">
        <v>533398</v>
      </c>
      <c r="C2716" s="141" t="s">
        <v>5122</v>
      </c>
      <c r="D2716" s="141" t="s">
        <v>1146</v>
      </c>
    </row>
    <row r="2717" spans="1:4" x14ac:dyDescent="0.3">
      <c r="A2717" s="141" t="s">
        <v>5123</v>
      </c>
      <c r="B2717" s="141">
        <v>532991</v>
      </c>
      <c r="C2717" s="141" t="s">
        <v>5124</v>
      </c>
      <c r="D2717" s="141" t="s">
        <v>1215</v>
      </c>
    </row>
    <row r="2718" spans="1:4" x14ac:dyDescent="0.3">
      <c r="A2718" s="141" t="s">
        <v>5125</v>
      </c>
      <c r="B2718" s="141">
        <v>538862</v>
      </c>
      <c r="C2718" s="141" t="s">
        <v>1129</v>
      </c>
      <c r="D2718" s="141" t="s">
        <v>1112</v>
      </c>
    </row>
    <row r="2719" spans="1:4" x14ac:dyDescent="0.3">
      <c r="A2719" s="141" t="s">
        <v>5126</v>
      </c>
      <c r="B2719" s="141">
        <v>506734</v>
      </c>
      <c r="C2719" s="141" t="s">
        <v>1129</v>
      </c>
      <c r="D2719" s="141" t="s">
        <v>1177</v>
      </c>
    </row>
    <row r="2720" spans="1:4" x14ac:dyDescent="0.3">
      <c r="A2720" s="141" t="s">
        <v>5127</v>
      </c>
      <c r="B2720" s="141">
        <v>535205</v>
      </c>
      <c r="C2720" s="141" t="s">
        <v>1129</v>
      </c>
      <c r="D2720" s="141" t="s">
        <v>1151</v>
      </c>
    </row>
    <row r="2721" spans="1:4" x14ac:dyDescent="0.3">
      <c r="A2721" s="141" t="s">
        <v>5128</v>
      </c>
      <c r="B2721" s="141" t="s">
        <v>1129</v>
      </c>
      <c r="C2721" s="141" t="s">
        <v>5129</v>
      </c>
      <c r="D2721" s="141" t="s">
        <v>1220</v>
      </c>
    </row>
    <row r="2722" spans="1:4" x14ac:dyDescent="0.3">
      <c r="A2722" s="141" t="s">
        <v>5130</v>
      </c>
      <c r="B2722" s="141">
        <v>512024</v>
      </c>
      <c r="C2722" s="141" t="s">
        <v>1129</v>
      </c>
      <c r="D2722" s="141" t="s">
        <v>1203</v>
      </c>
    </row>
    <row r="2723" spans="1:4" x14ac:dyDescent="0.3">
      <c r="A2723" s="141" t="s">
        <v>5131</v>
      </c>
      <c r="B2723" s="141">
        <v>530897</v>
      </c>
      <c r="C2723" s="141" t="s">
        <v>1129</v>
      </c>
      <c r="D2723" s="141" t="s">
        <v>1318</v>
      </c>
    </row>
    <row r="2724" spans="1:4" x14ac:dyDescent="0.3">
      <c r="A2724" s="141" t="s">
        <v>5132</v>
      </c>
      <c r="B2724" s="141">
        <v>516082</v>
      </c>
      <c r="C2724" s="141" t="s">
        <v>5133</v>
      </c>
      <c r="D2724" s="141" t="s">
        <v>1123</v>
      </c>
    </row>
    <row r="2725" spans="1:4" x14ac:dyDescent="0.3">
      <c r="A2725" s="141" t="s">
        <v>5134</v>
      </c>
      <c r="B2725" s="141">
        <v>532623</v>
      </c>
      <c r="C2725" s="141" t="s">
        <v>1129</v>
      </c>
      <c r="D2725" s="141" t="s">
        <v>1151</v>
      </c>
    </row>
    <row r="2726" spans="1:4" x14ac:dyDescent="0.3">
      <c r="A2726" s="141" t="s">
        <v>5135</v>
      </c>
      <c r="B2726" s="141">
        <v>512279</v>
      </c>
      <c r="C2726" s="141" t="s">
        <v>1129</v>
      </c>
      <c r="D2726" s="141" t="s">
        <v>1550</v>
      </c>
    </row>
    <row r="2727" spans="1:4" x14ac:dyDescent="0.3">
      <c r="A2727" s="141" t="s">
        <v>5136</v>
      </c>
      <c r="B2727" s="141">
        <v>524709</v>
      </c>
      <c r="C2727" s="141" t="s">
        <v>5137</v>
      </c>
      <c r="D2727" s="141" t="s">
        <v>1273</v>
      </c>
    </row>
    <row r="2728" spans="1:4" x14ac:dyDescent="0.3">
      <c r="A2728" s="141" t="s">
        <v>5138</v>
      </c>
      <c r="B2728" s="141" t="s">
        <v>1129</v>
      </c>
      <c r="C2728" s="141" t="s">
        <v>5139</v>
      </c>
      <c r="D2728" s="141" t="s">
        <v>1220</v>
      </c>
    </row>
    <row r="2729" spans="1:4" x14ac:dyDescent="0.3">
      <c r="A2729" s="141" t="s">
        <v>5140</v>
      </c>
      <c r="B2729" s="141">
        <v>531832</v>
      </c>
      <c r="C2729" s="141" t="s">
        <v>1129</v>
      </c>
      <c r="D2729" s="141" t="s">
        <v>1327</v>
      </c>
    </row>
    <row r="2730" spans="1:4" x14ac:dyDescent="0.3">
      <c r="A2730" s="141" t="s">
        <v>5141</v>
      </c>
      <c r="B2730" s="141">
        <v>539917</v>
      </c>
      <c r="C2730" s="141" t="s">
        <v>5142</v>
      </c>
      <c r="D2730" s="141" t="s">
        <v>1637</v>
      </c>
    </row>
    <row r="2731" spans="1:4" x14ac:dyDescent="0.3">
      <c r="A2731" s="141" t="s">
        <v>5143</v>
      </c>
      <c r="B2731" s="141">
        <v>534184</v>
      </c>
      <c r="C2731" s="141" t="s">
        <v>5144</v>
      </c>
      <c r="D2731" s="141" t="s">
        <v>1192</v>
      </c>
    </row>
    <row r="2732" spans="1:4" x14ac:dyDescent="0.3">
      <c r="A2732" s="141" t="s">
        <v>5145</v>
      </c>
      <c r="B2732" s="141">
        <v>532362</v>
      </c>
      <c r="C2732" s="141" t="s">
        <v>1129</v>
      </c>
      <c r="D2732" s="141" t="s">
        <v>1161</v>
      </c>
    </row>
    <row r="2733" spans="1:4" x14ac:dyDescent="0.3">
      <c r="A2733" s="141" t="s">
        <v>5146</v>
      </c>
      <c r="B2733" s="141">
        <v>532895</v>
      </c>
      <c r="C2733" s="141" t="s">
        <v>5147</v>
      </c>
      <c r="D2733" s="141" t="s">
        <v>1149</v>
      </c>
    </row>
    <row r="2734" spans="1:4" x14ac:dyDescent="0.3">
      <c r="A2734" s="141" t="s">
        <v>5148</v>
      </c>
      <c r="B2734" s="141">
        <v>521109</v>
      </c>
      <c r="C2734" s="141" t="s">
        <v>5149</v>
      </c>
      <c r="D2734" s="141" t="s">
        <v>1144</v>
      </c>
    </row>
    <row r="2735" spans="1:4" x14ac:dyDescent="0.3">
      <c r="A2735" s="141" t="s">
        <v>5150</v>
      </c>
      <c r="B2735" s="141">
        <v>532952</v>
      </c>
      <c r="C2735" s="141" t="s">
        <v>5151</v>
      </c>
      <c r="D2735" s="141" t="s">
        <v>1149</v>
      </c>
    </row>
    <row r="2736" spans="1:4" x14ac:dyDescent="0.3">
      <c r="A2736" s="141" t="s">
        <v>5152</v>
      </c>
      <c r="B2736" s="141">
        <v>519136</v>
      </c>
      <c r="C2736" s="141" t="s">
        <v>5153</v>
      </c>
      <c r="D2736" s="141" t="s">
        <v>1144</v>
      </c>
    </row>
    <row r="2737" spans="1:4" x14ac:dyDescent="0.3">
      <c r="A2737" s="141" t="s">
        <v>5154</v>
      </c>
      <c r="B2737" s="141">
        <v>523391</v>
      </c>
      <c r="C2737" s="141" t="s">
        <v>5155</v>
      </c>
      <c r="D2737" s="141" t="s">
        <v>1144</v>
      </c>
    </row>
    <row r="2738" spans="1:4" x14ac:dyDescent="0.3">
      <c r="A2738" s="141" t="s">
        <v>5156</v>
      </c>
      <c r="B2738" s="141">
        <v>500296</v>
      </c>
      <c r="C2738" s="141" t="s">
        <v>5157</v>
      </c>
      <c r="D2738" s="141" t="s">
        <v>1144</v>
      </c>
    </row>
    <row r="2739" spans="1:4" x14ac:dyDescent="0.3">
      <c r="A2739" s="141" t="s">
        <v>5158</v>
      </c>
      <c r="B2739" s="141">
        <v>541418</v>
      </c>
      <c r="C2739" s="141" t="s">
        <v>1129</v>
      </c>
      <c r="D2739" s="141" t="s">
        <v>1189</v>
      </c>
    </row>
    <row r="2740" spans="1:4" x14ac:dyDescent="0.3">
      <c r="A2740" s="141" t="s">
        <v>5159</v>
      </c>
      <c r="B2740" s="141">
        <v>531212</v>
      </c>
      <c r="C2740" s="141" t="s">
        <v>1129</v>
      </c>
      <c r="D2740" s="141" t="s">
        <v>1146</v>
      </c>
    </row>
    <row r="2741" spans="1:4" x14ac:dyDescent="0.3">
      <c r="A2741" s="141" t="s">
        <v>5160</v>
      </c>
      <c r="B2741" s="141">
        <v>532256</v>
      </c>
      <c r="C2741" s="141" t="s">
        <v>5161</v>
      </c>
      <c r="D2741" s="141" t="s">
        <v>1146</v>
      </c>
    </row>
    <row r="2742" spans="1:4" x14ac:dyDescent="0.3">
      <c r="A2742" s="141" t="s">
        <v>5162</v>
      </c>
      <c r="B2742" s="141">
        <v>538395</v>
      </c>
      <c r="C2742" s="141" t="s">
        <v>1129</v>
      </c>
      <c r="D2742" s="141" t="s">
        <v>1112</v>
      </c>
    </row>
    <row r="2743" spans="1:4" x14ac:dyDescent="0.3">
      <c r="A2743" s="141" t="s">
        <v>5163</v>
      </c>
      <c r="B2743" s="141">
        <v>532641</v>
      </c>
      <c r="C2743" s="141" t="s">
        <v>5164</v>
      </c>
      <c r="D2743" s="141" t="s">
        <v>1144</v>
      </c>
    </row>
    <row r="2744" spans="1:4" x14ac:dyDescent="0.3">
      <c r="A2744" s="141" t="s">
        <v>5165</v>
      </c>
      <c r="B2744" s="141" t="s">
        <v>1129</v>
      </c>
      <c r="C2744" s="141" t="s">
        <v>5166</v>
      </c>
      <c r="D2744" s="141" t="s">
        <v>1140</v>
      </c>
    </row>
    <row r="2745" spans="1:4" x14ac:dyDescent="0.3">
      <c r="A2745" s="141" t="s">
        <v>5167</v>
      </c>
      <c r="B2745" s="141">
        <v>539551</v>
      </c>
      <c r="C2745" s="141" t="s">
        <v>5168</v>
      </c>
      <c r="D2745" s="141" t="s">
        <v>1599</v>
      </c>
    </row>
    <row r="2746" spans="1:4" x14ac:dyDescent="0.3">
      <c r="A2746" s="141" t="s">
        <v>5169</v>
      </c>
      <c r="B2746" s="141">
        <v>540080</v>
      </c>
      <c r="C2746" s="141" t="s">
        <v>1129</v>
      </c>
      <c r="D2746" s="141" t="s">
        <v>1161</v>
      </c>
    </row>
    <row r="2747" spans="1:4" x14ac:dyDescent="0.3">
      <c r="A2747" s="141" t="s">
        <v>5170</v>
      </c>
      <c r="B2747" s="141">
        <v>519455</v>
      </c>
      <c r="C2747" s="141" t="s">
        <v>1129</v>
      </c>
      <c r="D2747" s="141" t="s">
        <v>1243</v>
      </c>
    </row>
    <row r="2748" spans="1:4" x14ac:dyDescent="0.3">
      <c r="A2748" s="141" t="s">
        <v>5171</v>
      </c>
      <c r="B2748" s="141">
        <v>540204</v>
      </c>
      <c r="C2748" s="141" t="s">
        <v>5172</v>
      </c>
      <c r="D2748" s="141" t="s">
        <v>1213</v>
      </c>
    </row>
    <row r="2749" spans="1:4" x14ac:dyDescent="0.3">
      <c r="A2749" s="141" t="s">
        <v>5173</v>
      </c>
      <c r="B2749" s="141">
        <v>531416</v>
      </c>
      <c r="C2749" s="141" t="s">
        <v>1129</v>
      </c>
      <c r="D2749" s="141" t="s">
        <v>1215</v>
      </c>
    </row>
    <row r="2750" spans="1:4" x14ac:dyDescent="0.3">
      <c r="A2750" s="141" t="s">
        <v>5174</v>
      </c>
      <c r="B2750" s="141" t="s">
        <v>1129</v>
      </c>
      <c r="C2750" s="141" t="s">
        <v>5175</v>
      </c>
      <c r="D2750" s="141" t="s">
        <v>1140</v>
      </c>
    </row>
    <row r="2751" spans="1:4" x14ac:dyDescent="0.3">
      <c r="A2751" s="141" t="s">
        <v>5176</v>
      </c>
      <c r="B2751" s="141">
        <v>526739</v>
      </c>
      <c r="C2751" s="141" t="s">
        <v>1129</v>
      </c>
      <c r="D2751" s="141" t="s">
        <v>1289</v>
      </c>
    </row>
    <row r="2752" spans="1:4" x14ac:dyDescent="0.3">
      <c r="A2752" s="141" t="s">
        <v>5177</v>
      </c>
      <c r="B2752" s="141">
        <v>517431</v>
      </c>
      <c r="C2752" s="141" t="s">
        <v>5178</v>
      </c>
      <c r="D2752" s="141" t="s">
        <v>1249</v>
      </c>
    </row>
    <row r="2753" spans="1:4" x14ac:dyDescent="0.3">
      <c r="A2753" s="141" t="s">
        <v>5179</v>
      </c>
      <c r="B2753" s="141">
        <v>539595</v>
      </c>
      <c r="C2753" s="141" t="s">
        <v>1129</v>
      </c>
      <c r="D2753" s="141" t="s">
        <v>1112</v>
      </c>
    </row>
    <row r="2754" spans="1:4" x14ac:dyDescent="0.3">
      <c r="A2754" s="141" t="s">
        <v>5180</v>
      </c>
      <c r="B2754" s="141">
        <v>524816</v>
      </c>
      <c r="C2754" s="141" t="s">
        <v>5181</v>
      </c>
      <c r="D2754" s="141" t="s">
        <v>1167</v>
      </c>
    </row>
    <row r="2755" spans="1:4" x14ac:dyDescent="0.3">
      <c r="A2755" s="141" t="s">
        <v>5182</v>
      </c>
      <c r="B2755" s="141">
        <v>537291</v>
      </c>
      <c r="C2755" s="141" t="s">
        <v>5183</v>
      </c>
      <c r="D2755" s="141" t="s">
        <v>1327</v>
      </c>
    </row>
    <row r="2756" spans="1:4" x14ac:dyDescent="0.3">
      <c r="A2756" s="141" t="s">
        <v>5184</v>
      </c>
      <c r="B2756" s="141">
        <v>537291</v>
      </c>
      <c r="C2756" s="141" t="s">
        <v>5183</v>
      </c>
      <c r="D2756" s="141" t="s">
        <v>1327</v>
      </c>
    </row>
    <row r="2757" spans="1:4" x14ac:dyDescent="0.3">
      <c r="A2757" s="141" t="s">
        <v>5185</v>
      </c>
      <c r="B2757" s="141">
        <v>502407</v>
      </c>
      <c r="C2757" s="141" t="s">
        <v>1129</v>
      </c>
      <c r="D2757" s="141" t="s">
        <v>1123</v>
      </c>
    </row>
    <row r="2758" spans="1:4" x14ac:dyDescent="0.3">
      <c r="A2758" s="141" t="s">
        <v>5186</v>
      </c>
      <c r="B2758" s="141">
        <v>532234</v>
      </c>
      <c r="C2758" s="141" t="s">
        <v>5187</v>
      </c>
      <c r="D2758" s="141" t="s">
        <v>1434</v>
      </c>
    </row>
    <row r="2759" spans="1:4" x14ac:dyDescent="0.3">
      <c r="A2759" s="141" t="s">
        <v>5188</v>
      </c>
      <c r="B2759" s="141">
        <v>523630</v>
      </c>
      <c r="C2759" s="141" t="s">
        <v>5189</v>
      </c>
      <c r="D2759" s="141" t="s">
        <v>1637</v>
      </c>
    </row>
    <row r="2760" spans="1:4" x14ac:dyDescent="0.3">
      <c r="A2760" s="141" t="s">
        <v>5190</v>
      </c>
      <c r="B2760" s="141">
        <v>531289</v>
      </c>
      <c r="C2760" s="141" t="s">
        <v>1129</v>
      </c>
      <c r="D2760" s="141" t="s">
        <v>1452</v>
      </c>
    </row>
    <row r="2761" spans="1:4" x14ac:dyDescent="0.3">
      <c r="A2761" s="141" t="s">
        <v>5191</v>
      </c>
      <c r="B2761" s="141">
        <v>531651</v>
      </c>
      <c r="C2761" s="141" t="s">
        <v>1129</v>
      </c>
      <c r="D2761" s="141" t="s">
        <v>1161</v>
      </c>
    </row>
    <row r="2762" spans="1:4" x14ac:dyDescent="0.3">
      <c r="A2762" s="141" t="s">
        <v>5192</v>
      </c>
      <c r="B2762" s="141">
        <v>507813</v>
      </c>
      <c r="C2762" s="141" t="s">
        <v>1129</v>
      </c>
      <c r="D2762" s="141" t="s">
        <v>2165</v>
      </c>
    </row>
    <row r="2763" spans="1:4" x14ac:dyDescent="0.3">
      <c r="A2763" s="141" t="s">
        <v>5193</v>
      </c>
      <c r="B2763" s="141">
        <v>500298</v>
      </c>
      <c r="C2763" s="141" t="s">
        <v>1129</v>
      </c>
      <c r="D2763" s="141" t="s">
        <v>1177</v>
      </c>
    </row>
    <row r="2764" spans="1:4" x14ac:dyDescent="0.3">
      <c r="A2764" s="141" t="s">
        <v>5194</v>
      </c>
      <c r="B2764" s="141">
        <v>526616</v>
      </c>
      <c r="C2764" s="141" t="s">
        <v>1129</v>
      </c>
      <c r="D2764" s="141" t="s">
        <v>1249</v>
      </c>
    </row>
    <row r="2765" spans="1:4" x14ac:dyDescent="0.3">
      <c r="A2765" s="141" t="s">
        <v>5195</v>
      </c>
      <c r="B2765" s="141">
        <v>531287</v>
      </c>
      <c r="C2765" s="141" t="s">
        <v>1129</v>
      </c>
      <c r="D2765" s="141" t="s">
        <v>1249</v>
      </c>
    </row>
    <row r="2766" spans="1:4" x14ac:dyDescent="0.3">
      <c r="A2766" s="141" t="s">
        <v>5196</v>
      </c>
      <c r="B2766" s="141">
        <v>516062</v>
      </c>
      <c r="C2766" s="141" t="s">
        <v>1129</v>
      </c>
      <c r="D2766" s="141" t="s">
        <v>1624</v>
      </c>
    </row>
    <row r="2767" spans="1:4" x14ac:dyDescent="0.3">
      <c r="A2767" s="141" t="s">
        <v>5197</v>
      </c>
      <c r="B2767" s="141">
        <v>504882</v>
      </c>
      <c r="C2767" s="141" t="s">
        <v>1129</v>
      </c>
      <c r="D2767" s="141" t="s">
        <v>1215</v>
      </c>
    </row>
    <row r="2768" spans="1:4" x14ac:dyDescent="0.3">
      <c r="A2768" s="141" t="s">
        <v>5198</v>
      </c>
      <c r="B2768" s="141">
        <v>504882</v>
      </c>
      <c r="C2768" s="141" t="s">
        <v>1129</v>
      </c>
      <c r="D2768" s="141" t="s">
        <v>1215</v>
      </c>
    </row>
    <row r="2769" spans="1:4" x14ac:dyDescent="0.3">
      <c r="A2769" s="141" t="s">
        <v>5199</v>
      </c>
      <c r="B2769" s="141">
        <v>513179</v>
      </c>
      <c r="C2769" s="141" t="s">
        <v>5200</v>
      </c>
      <c r="D2769" s="141" t="s">
        <v>1161</v>
      </c>
    </row>
    <row r="2770" spans="1:4" x14ac:dyDescent="0.3">
      <c r="A2770" s="141" t="s">
        <v>5201</v>
      </c>
      <c r="B2770" s="141">
        <v>530119</v>
      </c>
      <c r="C2770" s="141" t="s">
        <v>1129</v>
      </c>
      <c r="D2770" s="141" t="s">
        <v>1378</v>
      </c>
    </row>
    <row r="2771" spans="1:4" x14ac:dyDescent="0.3">
      <c r="A2771" s="141" t="s">
        <v>5202</v>
      </c>
      <c r="B2771" s="141">
        <v>531834</v>
      </c>
      <c r="C2771" s="141" t="s">
        <v>1129</v>
      </c>
      <c r="D2771" s="141" t="s">
        <v>1327</v>
      </c>
    </row>
    <row r="2772" spans="1:4" x14ac:dyDescent="0.3">
      <c r="A2772" s="141" t="s">
        <v>5203</v>
      </c>
      <c r="B2772" s="141">
        <v>524654</v>
      </c>
      <c r="C2772" s="141" t="s">
        <v>1129</v>
      </c>
      <c r="D2772" s="141" t="s">
        <v>1167</v>
      </c>
    </row>
    <row r="2773" spans="1:4" x14ac:dyDescent="0.3">
      <c r="A2773" s="141" t="s">
        <v>5204</v>
      </c>
      <c r="B2773" s="141">
        <v>538926</v>
      </c>
      <c r="C2773" s="141" t="s">
        <v>1129</v>
      </c>
      <c r="D2773" s="141" t="s">
        <v>1327</v>
      </c>
    </row>
    <row r="2774" spans="1:4" x14ac:dyDescent="0.3">
      <c r="A2774" s="141" t="s">
        <v>5205</v>
      </c>
      <c r="B2774" s="141">
        <v>513023</v>
      </c>
      <c r="C2774" s="141" t="s">
        <v>5206</v>
      </c>
      <c r="D2774" s="141" t="s">
        <v>1268</v>
      </c>
    </row>
    <row r="2775" spans="1:4" x14ac:dyDescent="0.3">
      <c r="A2775" s="141" t="s">
        <v>5207</v>
      </c>
      <c r="B2775" s="141">
        <v>539521</v>
      </c>
      <c r="C2775" s="141" t="s">
        <v>1129</v>
      </c>
      <c r="D2775" s="141" t="s">
        <v>1112</v>
      </c>
    </row>
    <row r="2776" spans="1:4" x14ac:dyDescent="0.3">
      <c r="A2776" s="141" t="s">
        <v>5208</v>
      </c>
      <c r="B2776" s="141">
        <v>532504</v>
      </c>
      <c r="C2776" s="141" t="s">
        <v>5209</v>
      </c>
      <c r="D2776" s="141" t="s">
        <v>1177</v>
      </c>
    </row>
    <row r="2777" spans="1:4" x14ac:dyDescent="0.3">
      <c r="A2777" s="141" t="s">
        <v>5210</v>
      </c>
      <c r="B2777" s="141">
        <v>531494</v>
      </c>
      <c r="C2777" s="141" t="s">
        <v>1129</v>
      </c>
      <c r="D2777" s="141" t="s">
        <v>1215</v>
      </c>
    </row>
    <row r="2778" spans="1:4" x14ac:dyDescent="0.3">
      <c r="A2778" s="141" t="s">
        <v>5211</v>
      </c>
      <c r="B2778" s="141">
        <v>539332</v>
      </c>
      <c r="C2778" s="141" t="s">
        <v>5212</v>
      </c>
      <c r="D2778" s="141" t="s">
        <v>1252</v>
      </c>
    </row>
    <row r="2779" spans="1:4" x14ac:dyDescent="0.3">
      <c r="A2779" s="141" t="s">
        <v>5213</v>
      </c>
      <c r="B2779" s="141">
        <v>539525</v>
      </c>
      <c r="C2779" s="141" t="s">
        <v>1129</v>
      </c>
      <c r="D2779" s="141" t="s">
        <v>1163</v>
      </c>
    </row>
    <row r="2780" spans="1:4" x14ac:dyDescent="0.3">
      <c r="A2780" s="141" t="s">
        <v>5214</v>
      </c>
      <c r="B2780" s="141">
        <v>508989</v>
      </c>
      <c r="C2780" s="141" t="s">
        <v>5215</v>
      </c>
      <c r="D2780" s="141" t="s">
        <v>1653</v>
      </c>
    </row>
    <row r="2781" spans="1:4" x14ac:dyDescent="0.3">
      <c r="A2781" s="141" t="s">
        <v>5216</v>
      </c>
      <c r="B2781" s="141">
        <v>538668</v>
      </c>
      <c r="C2781" s="141" t="s">
        <v>1129</v>
      </c>
      <c r="D2781" s="141" t="s">
        <v>1146</v>
      </c>
    </row>
    <row r="2782" spans="1:4" x14ac:dyDescent="0.3">
      <c r="A2782" s="141" t="s">
        <v>5217</v>
      </c>
      <c r="B2782" s="141">
        <v>523242</v>
      </c>
      <c r="C2782" s="141" t="s">
        <v>1129</v>
      </c>
      <c r="D2782" s="141" t="s">
        <v>1555</v>
      </c>
    </row>
    <row r="2783" spans="1:4" x14ac:dyDescent="0.3">
      <c r="A2783" s="141" t="s">
        <v>5218</v>
      </c>
      <c r="B2783" s="141">
        <v>534309</v>
      </c>
      <c r="C2783" s="141" t="s">
        <v>5219</v>
      </c>
      <c r="D2783" s="141" t="s">
        <v>1527</v>
      </c>
    </row>
    <row r="2784" spans="1:4" x14ac:dyDescent="0.3">
      <c r="A2784" s="141" t="s">
        <v>5220</v>
      </c>
      <c r="B2784" s="141">
        <v>534309</v>
      </c>
      <c r="C2784" s="141" t="s">
        <v>5219</v>
      </c>
      <c r="D2784" s="141" t="s">
        <v>1527</v>
      </c>
    </row>
    <row r="2785" spans="1:4" x14ac:dyDescent="0.3">
      <c r="A2785" s="141" t="s">
        <v>5221</v>
      </c>
      <c r="B2785" s="141">
        <v>519506</v>
      </c>
      <c r="C2785" s="141" t="s">
        <v>1129</v>
      </c>
      <c r="D2785" s="141" t="s">
        <v>1189</v>
      </c>
    </row>
    <row r="2786" spans="1:4" x14ac:dyDescent="0.3">
      <c r="A2786" s="141" t="s">
        <v>5222</v>
      </c>
      <c r="B2786" s="141">
        <v>531452</v>
      </c>
      <c r="C2786" s="141" t="s">
        <v>1129</v>
      </c>
      <c r="D2786" s="141" t="s">
        <v>1146</v>
      </c>
    </row>
    <row r="2787" spans="1:4" x14ac:dyDescent="0.3">
      <c r="A2787" s="141" t="s">
        <v>5223</v>
      </c>
      <c r="B2787" s="141">
        <v>500294</v>
      </c>
      <c r="C2787" s="141" t="s">
        <v>5224</v>
      </c>
      <c r="D2787" s="141" t="s">
        <v>1527</v>
      </c>
    </row>
    <row r="2788" spans="1:4" x14ac:dyDescent="0.3">
      <c r="A2788" s="141" t="s">
        <v>5225</v>
      </c>
      <c r="B2788" s="141">
        <v>502168</v>
      </c>
      <c r="C2788" s="141" t="s">
        <v>5226</v>
      </c>
      <c r="D2788" s="141" t="s">
        <v>1142</v>
      </c>
    </row>
    <row r="2789" spans="1:4" x14ac:dyDescent="0.3">
      <c r="A2789" s="141" t="s">
        <v>5227</v>
      </c>
      <c r="B2789" s="141">
        <v>530557</v>
      </c>
      <c r="C2789" s="141" t="s">
        <v>1129</v>
      </c>
      <c r="D2789" s="141" t="s">
        <v>1112</v>
      </c>
    </row>
    <row r="2790" spans="1:4" x14ac:dyDescent="0.3">
      <c r="A2790" s="141" t="s">
        <v>5228</v>
      </c>
      <c r="B2790" s="141">
        <v>511535</v>
      </c>
      <c r="C2790" s="141" t="s">
        <v>1129</v>
      </c>
      <c r="D2790" s="141" t="s">
        <v>1112</v>
      </c>
    </row>
    <row r="2791" spans="1:4" x14ac:dyDescent="0.3">
      <c r="A2791" s="141" t="s">
        <v>5229</v>
      </c>
      <c r="B2791" s="141">
        <v>532649</v>
      </c>
      <c r="C2791" s="141" t="s">
        <v>5230</v>
      </c>
      <c r="D2791" s="141" t="s">
        <v>1167</v>
      </c>
    </row>
    <row r="2792" spans="1:4" x14ac:dyDescent="0.3">
      <c r="A2792" s="141" t="s">
        <v>5231</v>
      </c>
      <c r="B2792" s="141">
        <v>508670</v>
      </c>
      <c r="C2792" s="141" t="s">
        <v>1129</v>
      </c>
      <c r="D2792" s="141" t="s">
        <v>1536</v>
      </c>
    </row>
    <row r="2793" spans="1:4" x14ac:dyDescent="0.3">
      <c r="A2793" s="141" t="s">
        <v>5232</v>
      </c>
      <c r="B2793" s="141">
        <v>531049</v>
      </c>
      <c r="C2793" s="141" t="s">
        <v>1129</v>
      </c>
      <c r="D2793" s="141" t="s">
        <v>1657</v>
      </c>
    </row>
    <row r="2794" spans="1:4" x14ac:dyDescent="0.3">
      <c r="A2794" s="141" t="s">
        <v>5233</v>
      </c>
      <c r="B2794" s="141">
        <v>539409</v>
      </c>
      <c r="C2794" s="141" t="s">
        <v>1129</v>
      </c>
      <c r="D2794" s="141" t="s">
        <v>1151</v>
      </c>
    </row>
    <row r="2795" spans="1:4" x14ac:dyDescent="0.3">
      <c r="A2795" s="141" t="s">
        <v>5234</v>
      </c>
      <c r="B2795" s="141">
        <v>537838</v>
      </c>
      <c r="C2795" s="141" t="s">
        <v>1129</v>
      </c>
      <c r="D2795" s="141" t="s">
        <v>1151</v>
      </c>
    </row>
    <row r="2796" spans="1:4" x14ac:dyDescent="0.3">
      <c r="A2796" s="141" t="s">
        <v>5235</v>
      </c>
      <c r="B2796" s="141">
        <v>519560</v>
      </c>
      <c r="C2796" s="141" t="s">
        <v>1129</v>
      </c>
      <c r="D2796" s="141" t="s">
        <v>1327</v>
      </c>
    </row>
    <row r="2797" spans="1:4" x14ac:dyDescent="0.3">
      <c r="A2797" s="141" t="s">
        <v>5236</v>
      </c>
      <c r="B2797" s="141">
        <v>539016</v>
      </c>
      <c r="C2797" s="141" t="s">
        <v>1129</v>
      </c>
      <c r="D2797" s="141" t="s">
        <v>1146</v>
      </c>
    </row>
    <row r="2798" spans="1:4" x14ac:dyDescent="0.3">
      <c r="A2798" s="141" t="s">
        <v>5237</v>
      </c>
      <c r="B2798" s="141">
        <v>532864</v>
      </c>
      <c r="C2798" s="141" t="s">
        <v>5238</v>
      </c>
      <c r="D2798" s="141" t="s">
        <v>2049</v>
      </c>
    </row>
    <row r="2799" spans="1:4" x14ac:dyDescent="0.3">
      <c r="A2799" s="141" t="s">
        <v>5239</v>
      </c>
      <c r="B2799" s="141">
        <v>504112</v>
      </c>
      <c r="C2799" s="141" t="s">
        <v>5240</v>
      </c>
      <c r="D2799" s="141" t="s">
        <v>2756</v>
      </c>
    </row>
    <row r="2800" spans="1:4" x14ac:dyDescent="0.3">
      <c r="A2800" s="141" t="s">
        <v>5241</v>
      </c>
      <c r="B2800" s="141">
        <v>514332</v>
      </c>
      <c r="C2800" s="141" t="s">
        <v>1129</v>
      </c>
      <c r="D2800" s="141" t="s">
        <v>1215</v>
      </c>
    </row>
    <row r="2801" spans="1:4" x14ac:dyDescent="0.3">
      <c r="A2801" s="141" t="s">
        <v>5242</v>
      </c>
      <c r="B2801" s="141">
        <v>526195</v>
      </c>
      <c r="C2801" s="141" t="s">
        <v>1129</v>
      </c>
      <c r="D2801" s="141" t="s">
        <v>1243</v>
      </c>
    </row>
    <row r="2802" spans="1:4" x14ac:dyDescent="0.3">
      <c r="A2802" s="141" t="s">
        <v>5243</v>
      </c>
      <c r="B2802" s="141">
        <v>526195</v>
      </c>
      <c r="C2802" s="141" t="s">
        <v>1129</v>
      </c>
      <c r="D2802" s="141" t="s">
        <v>1243</v>
      </c>
    </row>
    <row r="2803" spans="1:4" x14ac:dyDescent="0.3">
      <c r="A2803" s="141" t="s">
        <v>5244</v>
      </c>
      <c r="B2803" s="141">
        <v>542665</v>
      </c>
      <c r="C2803" s="141" t="s">
        <v>5245</v>
      </c>
      <c r="D2803" s="141" t="s">
        <v>1289</v>
      </c>
    </row>
    <row r="2804" spans="1:4" x14ac:dyDescent="0.3">
      <c r="A2804" s="141" t="s">
        <v>5246</v>
      </c>
      <c r="B2804" s="141">
        <v>512522</v>
      </c>
      <c r="C2804" s="141" t="s">
        <v>1129</v>
      </c>
      <c r="D2804" s="141" t="s">
        <v>1151</v>
      </c>
    </row>
    <row r="2805" spans="1:4" x14ac:dyDescent="0.3">
      <c r="A2805" s="141" t="s">
        <v>5247</v>
      </c>
      <c r="B2805" s="141">
        <v>505355</v>
      </c>
      <c r="C2805" s="141" t="s">
        <v>5248</v>
      </c>
      <c r="D2805" s="141" t="s">
        <v>1550</v>
      </c>
    </row>
    <row r="2806" spans="1:4" x14ac:dyDescent="0.3">
      <c r="A2806" s="141" t="s">
        <v>5249</v>
      </c>
      <c r="B2806" s="141">
        <v>500790</v>
      </c>
      <c r="C2806" s="141" t="s">
        <v>5250</v>
      </c>
      <c r="D2806" s="141" t="s">
        <v>1189</v>
      </c>
    </row>
    <row r="2807" spans="1:4" x14ac:dyDescent="0.3">
      <c r="A2807" s="141" t="s">
        <v>5251</v>
      </c>
      <c r="B2807" s="141">
        <v>500790</v>
      </c>
      <c r="C2807" s="141" t="s">
        <v>5250</v>
      </c>
      <c r="D2807" s="141" t="s">
        <v>1189</v>
      </c>
    </row>
    <row r="2808" spans="1:4" x14ac:dyDescent="0.3">
      <c r="A2808" s="141" t="s">
        <v>5252</v>
      </c>
      <c r="B2808" s="141">
        <v>509040</v>
      </c>
      <c r="C2808" s="141" t="s">
        <v>1129</v>
      </c>
      <c r="D2808" s="141" t="s">
        <v>1222</v>
      </c>
    </row>
    <row r="2809" spans="1:4" x14ac:dyDescent="0.3">
      <c r="A2809" s="141" t="s">
        <v>5253</v>
      </c>
      <c r="B2809" s="141">
        <v>509040</v>
      </c>
      <c r="C2809" s="141" t="s">
        <v>1129</v>
      </c>
      <c r="D2809" s="141" t="s">
        <v>1222</v>
      </c>
    </row>
    <row r="2810" spans="1:4" x14ac:dyDescent="0.3">
      <c r="A2810" s="141" t="s">
        <v>5254</v>
      </c>
      <c r="B2810" s="141">
        <v>542117</v>
      </c>
      <c r="C2810" s="141" t="s">
        <v>1129</v>
      </c>
      <c r="D2810" s="141" t="s">
        <v>1220</v>
      </c>
    </row>
    <row r="2811" spans="1:4" x14ac:dyDescent="0.3">
      <c r="A2811" s="141" t="s">
        <v>5255</v>
      </c>
      <c r="B2811" s="141">
        <v>511658</v>
      </c>
      <c r="C2811" s="141" t="s">
        <v>1129</v>
      </c>
      <c r="D2811" s="141" t="s">
        <v>1222</v>
      </c>
    </row>
    <row r="2812" spans="1:4" x14ac:dyDescent="0.3">
      <c r="A2812" s="141" t="s">
        <v>5256</v>
      </c>
      <c r="B2812" s="141">
        <v>523558</v>
      </c>
      <c r="C2812" s="141" t="s">
        <v>1129</v>
      </c>
      <c r="D2812" s="141" t="s">
        <v>1671</v>
      </c>
    </row>
    <row r="2813" spans="1:4" x14ac:dyDescent="0.3">
      <c r="A2813" s="141" t="s">
        <v>5257</v>
      </c>
      <c r="B2813" s="141">
        <v>532798</v>
      </c>
      <c r="C2813" s="141" t="s">
        <v>5258</v>
      </c>
      <c r="D2813" s="141" t="s">
        <v>1295</v>
      </c>
    </row>
    <row r="2814" spans="1:4" x14ac:dyDescent="0.3">
      <c r="A2814" s="141" t="s">
        <v>5259</v>
      </c>
      <c r="B2814" s="141">
        <v>532887</v>
      </c>
      <c r="C2814" s="141" t="s">
        <v>5260</v>
      </c>
      <c r="D2814" s="141" t="s">
        <v>1172</v>
      </c>
    </row>
    <row r="2815" spans="1:4" x14ac:dyDescent="0.3">
      <c r="A2815" s="141" t="s">
        <v>5261</v>
      </c>
      <c r="B2815" s="141">
        <v>524558</v>
      </c>
      <c r="C2815" s="141" t="s">
        <v>5262</v>
      </c>
      <c r="D2815" s="141" t="s">
        <v>1167</v>
      </c>
    </row>
    <row r="2816" spans="1:4" x14ac:dyDescent="0.3">
      <c r="A2816" s="141" t="s">
        <v>5263</v>
      </c>
      <c r="B2816" s="141">
        <v>532529</v>
      </c>
      <c r="C2816" s="141" t="s">
        <v>5264</v>
      </c>
      <c r="D2816" s="141" t="s">
        <v>1868</v>
      </c>
    </row>
    <row r="2817" spans="1:4" x14ac:dyDescent="0.3">
      <c r="A2817" s="141" t="s">
        <v>5265</v>
      </c>
      <c r="B2817" s="141">
        <v>540243</v>
      </c>
      <c r="C2817" s="141" t="s">
        <v>1129</v>
      </c>
      <c r="D2817" s="141" t="s">
        <v>1151</v>
      </c>
    </row>
    <row r="2818" spans="1:4" x14ac:dyDescent="0.3">
      <c r="A2818" s="141" t="s">
        <v>5266</v>
      </c>
      <c r="B2818" s="141">
        <v>508867</v>
      </c>
      <c r="C2818" s="141" t="s">
        <v>1129</v>
      </c>
      <c r="D2818" s="141" t="s">
        <v>1222</v>
      </c>
    </row>
    <row r="2819" spans="1:4" x14ac:dyDescent="0.3">
      <c r="A2819" s="141" t="s">
        <v>5267</v>
      </c>
      <c r="B2819" s="141">
        <v>501479</v>
      </c>
      <c r="C2819" s="141" t="s">
        <v>1129</v>
      </c>
      <c r="D2819" s="141" t="s">
        <v>1151</v>
      </c>
    </row>
    <row r="2820" spans="1:4" x14ac:dyDescent="0.3">
      <c r="A2820" s="141" t="s">
        <v>5268</v>
      </c>
      <c r="B2820" s="141">
        <v>536644</v>
      </c>
      <c r="C2820" s="141" t="s">
        <v>1129</v>
      </c>
      <c r="D2820" s="141" t="s">
        <v>1151</v>
      </c>
    </row>
    <row r="2821" spans="1:4" x14ac:dyDescent="0.3">
      <c r="A2821" s="141" t="s">
        <v>5269</v>
      </c>
      <c r="B2821" s="141">
        <v>540900</v>
      </c>
      <c r="C2821" s="141" t="s">
        <v>5270</v>
      </c>
      <c r="D2821" s="141" t="s">
        <v>1115</v>
      </c>
    </row>
    <row r="2822" spans="1:4" x14ac:dyDescent="0.3">
      <c r="A2822" s="141" t="s">
        <v>5271</v>
      </c>
      <c r="B2822" s="141">
        <v>532416</v>
      </c>
      <c r="C2822" s="141" t="s">
        <v>5272</v>
      </c>
      <c r="D2822" s="141" t="s">
        <v>1653</v>
      </c>
    </row>
    <row r="2823" spans="1:4" x14ac:dyDescent="0.3">
      <c r="A2823" s="141" t="s">
        <v>5273</v>
      </c>
      <c r="B2823" s="141">
        <v>538874</v>
      </c>
      <c r="C2823" s="141" t="s">
        <v>1129</v>
      </c>
      <c r="D2823" s="141" t="s">
        <v>1112</v>
      </c>
    </row>
    <row r="2824" spans="1:4" x14ac:dyDescent="0.3">
      <c r="A2824" s="141" t="s">
        <v>5274</v>
      </c>
      <c r="B2824" s="141">
        <v>524774</v>
      </c>
      <c r="C2824" s="141" t="s">
        <v>1129</v>
      </c>
      <c r="D2824" s="141" t="s">
        <v>1167</v>
      </c>
    </row>
    <row r="2825" spans="1:4" x14ac:dyDescent="0.3">
      <c r="A2825" s="141" t="s">
        <v>5275</v>
      </c>
      <c r="B2825" s="141">
        <v>517554</v>
      </c>
      <c r="C2825" s="141" t="s">
        <v>1129</v>
      </c>
      <c r="D2825" s="141" t="s">
        <v>1209</v>
      </c>
    </row>
    <row r="2826" spans="1:4" x14ac:dyDescent="0.3">
      <c r="A2826" s="141" t="s">
        <v>5276</v>
      </c>
      <c r="B2826" s="141">
        <v>533098</v>
      </c>
      <c r="C2826" s="141" t="s">
        <v>5277</v>
      </c>
      <c r="D2826" s="141" t="s">
        <v>1268</v>
      </c>
    </row>
    <row r="2827" spans="1:4" x14ac:dyDescent="0.3">
      <c r="A2827" s="141" t="s">
        <v>5278</v>
      </c>
      <c r="B2827" s="141">
        <v>526721</v>
      </c>
      <c r="C2827" s="141" t="s">
        <v>1129</v>
      </c>
      <c r="D2827" s="141" t="s">
        <v>1307</v>
      </c>
    </row>
    <row r="2828" spans="1:4" x14ac:dyDescent="0.3">
      <c r="A2828" s="141" t="s">
        <v>5279</v>
      </c>
      <c r="B2828" s="141">
        <v>523209</v>
      </c>
      <c r="C2828" s="141" t="s">
        <v>1129</v>
      </c>
      <c r="D2828" s="141" t="s">
        <v>1146</v>
      </c>
    </row>
    <row r="2829" spans="1:4" x14ac:dyDescent="0.3">
      <c r="A2829" s="141" t="s">
        <v>5280</v>
      </c>
      <c r="B2829" s="141">
        <v>512103</v>
      </c>
      <c r="C2829" s="141" t="s">
        <v>1129</v>
      </c>
      <c r="D2829" s="141" t="s">
        <v>1657</v>
      </c>
    </row>
    <row r="2830" spans="1:4" x14ac:dyDescent="0.3">
      <c r="A2830" s="141" t="s">
        <v>5281</v>
      </c>
      <c r="B2830" s="141">
        <v>531083</v>
      </c>
      <c r="C2830" s="141" t="s">
        <v>1129</v>
      </c>
      <c r="D2830" s="141" t="s">
        <v>1222</v>
      </c>
    </row>
    <row r="2831" spans="1:4" x14ac:dyDescent="0.3">
      <c r="A2831" s="141" t="s">
        <v>5282</v>
      </c>
      <c r="B2831" s="141">
        <v>500304</v>
      </c>
      <c r="C2831" s="141" t="s">
        <v>5283</v>
      </c>
      <c r="D2831" s="141" t="s">
        <v>1614</v>
      </c>
    </row>
    <row r="2832" spans="1:4" x14ac:dyDescent="0.3">
      <c r="A2832" s="141" t="s">
        <v>5284</v>
      </c>
      <c r="B2832" s="141">
        <v>532541</v>
      </c>
      <c r="C2832" s="141" t="s">
        <v>5285</v>
      </c>
      <c r="D2832" s="141" t="s">
        <v>1115</v>
      </c>
    </row>
    <row r="2833" spans="1:4" x14ac:dyDescent="0.3">
      <c r="A2833" s="141" t="s">
        <v>5286</v>
      </c>
      <c r="B2833" s="141">
        <v>526159</v>
      </c>
      <c r="C2833" s="141" t="s">
        <v>1129</v>
      </c>
      <c r="D2833" s="141" t="s">
        <v>1151</v>
      </c>
    </row>
    <row r="2834" spans="1:4" x14ac:dyDescent="0.3">
      <c r="A2834" s="141" t="s">
        <v>5287</v>
      </c>
      <c r="B2834" s="141">
        <v>531272</v>
      </c>
      <c r="C2834" s="141" t="s">
        <v>1129</v>
      </c>
      <c r="D2834" s="141" t="s">
        <v>1146</v>
      </c>
    </row>
    <row r="2835" spans="1:4" x14ac:dyDescent="0.3">
      <c r="A2835" s="141" t="s">
        <v>5288</v>
      </c>
      <c r="B2835" s="141">
        <v>530377</v>
      </c>
      <c r="C2835" s="141" t="s">
        <v>5289</v>
      </c>
      <c r="D2835" s="141" t="s">
        <v>1215</v>
      </c>
    </row>
    <row r="2836" spans="1:4" x14ac:dyDescent="0.3">
      <c r="A2836" s="141" t="s">
        <v>5290</v>
      </c>
      <c r="B2836" s="141">
        <v>542231</v>
      </c>
      <c r="C2836" s="141" t="s">
        <v>5291</v>
      </c>
      <c r="D2836" s="141" t="s">
        <v>1215</v>
      </c>
    </row>
    <row r="2837" spans="1:4" x14ac:dyDescent="0.3">
      <c r="A2837" s="141" t="s">
        <v>5292</v>
      </c>
      <c r="B2837" s="141">
        <v>502294</v>
      </c>
      <c r="C2837" s="141" t="s">
        <v>1129</v>
      </c>
      <c r="D2837" s="141" t="s">
        <v>1657</v>
      </c>
    </row>
    <row r="2838" spans="1:4" x14ac:dyDescent="0.3">
      <c r="A2838" s="141" t="s">
        <v>5293</v>
      </c>
      <c r="B2838" s="141">
        <v>530129</v>
      </c>
      <c r="C2838" s="141" t="s">
        <v>1129</v>
      </c>
      <c r="D2838" s="141" t="s">
        <v>1452</v>
      </c>
    </row>
    <row r="2839" spans="1:4" x14ac:dyDescent="0.3">
      <c r="A2839" s="141" t="s">
        <v>5294</v>
      </c>
      <c r="B2839" s="141">
        <v>523385</v>
      </c>
      <c r="C2839" s="141" t="s">
        <v>5295</v>
      </c>
      <c r="D2839" s="141" t="s">
        <v>1249</v>
      </c>
    </row>
    <row r="2840" spans="1:4" x14ac:dyDescent="0.3">
      <c r="A2840" s="141" t="s">
        <v>5296</v>
      </c>
      <c r="B2840" s="141">
        <v>512004</v>
      </c>
      <c r="C2840" s="141" t="s">
        <v>1129</v>
      </c>
      <c r="D2840" s="141" t="s">
        <v>1550</v>
      </c>
    </row>
    <row r="2841" spans="1:4" x14ac:dyDescent="0.3">
      <c r="A2841" s="141" t="s">
        <v>5297</v>
      </c>
      <c r="B2841" s="141">
        <v>531598</v>
      </c>
      <c r="C2841" s="141" t="s">
        <v>1129</v>
      </c>
      <c r="D2841" s="141" t="s">
        <v>1189</v>
      </c>
    </row>
    <row r="2842" spans="1:4" x14ac:dyDescent="0.3">
      <c r="A2842" s="141" t="s">
        <v>5298</v>
      </c>
      <c r="B2842" s="141">
        <v>530971</v>
      </c>
      <c r="C2842" s="141" t="s">
        <v>1129</v>
      </c>
      <c r="D2842" s="141" t="s">
        <v>1151</v>
      </c>
    </row>
    <row r="2843" spans="1:4" x14ac:dyDescent="0.3">
      <c r="A2843" s="141" t="s">
        <v>5299</v>
      </c>
      <c r="B2843" s="141">
        <v>511714</v>
      </c>
      <c r="C2843" s="141" t="s">
        <v>1129</v>
      </c>
      <c r="D2843" s="141" t="s">
        <v>1215</v>
      </c>
    </row>
    <row r="2844" spans="1:4" x14ac:dyDescent="0.3">
      <c r="A2844" s="141" t="s">
        <v>5300</v>
      </c>
      <c r="B2844" s="141">
        <v>539843</v>
      </c>
      <c r="C2844" s="141" t="s">
        <v>1129</v>
      </c>
      <c r="D2844" s="141" t="s">
        <v>1115</v>
      </c>
    </row>
    <row r="2845" spans="1:4" x14ac:dyDescent="0.3">
      <c r="A2845" s="141" t="s">
        <v>5301</v>
      </c>
      <c r="B2845" s="141">
        <v>532986</v>
      </c>
      <c r="C2845" s="141" t="s">
        <v>1129</v>
      </c>
      <c r="D2845" s="141" t="s">
        <v>1527</v>
      </c>
    </row>
    <row r="2846" spans="1:4" x14ac:dyDescent="0.3">
      <c r="A2846" s="141" t="s">
        <v>5302</v>
      </c>
      <c r="B2846" s="141" t="s">
        <v>1129</v>
      </c>
      <c r="C2846" s="141" t="s">
        <v>5303</v>
      </c>
      <c r="D2846" s="141" t="s">
        <v>1220</v>
      </c>
    </row>
    <row r="2847" spans="1:4" x14ac:dyDescent="0.3">
      <c r="A2847" s="141" t="s">
        <v>5304</v>
      </c>
      <c r="B2847" s="141">
        <v>512425</v>
      </c>
      <c r="C2847" s="141" t="s">
        <v>1129</v>
      </c>
      <c r="D2847" s="141" t="s">
        <v>1151</v>
      </c>
    </row>
    <row r="2848" spans="1:4" x14ac:dyDescent="0.3">
      <c r="A2848" s="141" t="s">
        <v>5305</v>
      </c>
      <c r="B2848" s="141">
        <v>500307</v>
      </c>
      <c r="C2848" s="141" t="s">
        <v>1129</v>
      </c>
      <c r="D2848" s="141" t="s">
        <v>1550</v>
      </c>
    </row>
    <row r="2849" spans="1:4" x14ac:dyDescent="0.3">
      <c r="A2849" s="141" t="s">
        <v>5306</v>
      </c>
      <c r="B2849" s="141">
        <v>539311</v>
      </c>
      <c r="C2849" s="141" t="s">
        <v>1129</v>
      </c>
      <c r="D2849" s="141" t="s">
        <v>1112</v>
      </c>
    </row>
    <row r="2850" spans="1:4" x14ac:dyDescent="0.3">
      <c r="A2850" s="141" t="s">
        <v>5307</v>
      </c>
      <c r="B2850" s="141">
        <v>539311</v>
      </c>
      <c r="C2850" s="141" t="s">
        <v>1129</v>
      </c>
      <c r="D2850" s="141" t="s">
        <v>1112</v>
      </c>
    </row>
    <row r="2851" spans="1:4" x14ac:dyDescent="0.3">
      <c r="A2851" s="141" t="s">
        <v>5308</v>
      </c>
      <c r="B2851" s="141">
        <v>532722</v>
      </c>
      <c r="C2851" s="141" t="s">
        <v>5309</v>
      </c>
      <c r="D2851" s="141" t="s">
        <v>1406</v>
      </c>
    </row>
    <row r="2852" spans="1:4" x14ac:dyDescent="0.3">
      <c r="A2852" s="141" t="s">
        <v>5310</v>
      </c>
      <c r="B2852" s="141">
        <v>533202</v>
      </c>
      <c r="C2852" s="141" t="s">
        <v>5311</v>
      </c>
      <c r="D2852" s="141" t="s">
        <v>1215</v>
      </c>
    </row>
    <row r="2853" spans="1:4" x14ac:dyDescent="0.3">
      <c r="A2853" s="141" t="s">
        <v>5312</v>
      </c>
      <c r="B2853" s="141">
        <v>508875</v>
      </c>
      <c r="C2853" s="141" t="s">
        <v>1129</v>
      </c>
      <c r="D2853" s="141" t="s">
        <v>1550</v>
      </c>
    </row>
    <row r="2854" spans="1:4" x14ac:dyDescent="0.3">
      <c r="A2854" s="141" t="s">
        <v>5313</v>
      </c>
      <c r="B2854" s="141">
        <v>532854</v>
      </c>
      <c r="C2854" s="141" t="s">
        <v>5314</v>
      </c>
      <c r="D2854" s="141" t="s">
        <v>1137</v>
      </c>
    </row>
    <row r="2855" spans="1:4" x14ac:dyDescent="0.3">
      <c r="A2855" s="141" t="s">
        <v>5315</v>
      </c>
      <c r="B2855" s="141">
        <v>532698</v>
      </c>
      <c r="C2855" s="141" t="s">
        <v>5316</v>
      </c>
      <c r="D2855" s="141" t="s">
        <v>1144</v>
      </c>
    </row>
    <row r="2856" spans="1:4" x14ac:dyDescent="0.3">
      <c r="A2856" s="141" t="s">
        <v>5317</v>
      </c>
      <c r="B2856" s="141" t="s">
        <v>1129</v>
      </c>
      <c r="C2856" s="141" t="s">
        <v>5318</v>
      </c>
      <c r="D2856" s="141" t="s">
        <v>1140</v>
      </c>
    </row>
    <row r="2857" spans="1:4" x14ac:dyDescent="0.3">
      <c r="A2857" s="141" t="s">
        <v>5319</v>
      </c>
      <c r="B2857" s="141">
        <v>506532</v>
      </c>
      <c r="C2857" s="141" t="s">
        <v>1129</v>
      </c>
      <c r="D2857" s="141" t="s">
        <v>1289</v>
      </c>
    </row>
    <row r="2858" spans="1:4" x14ac:dyDescent="0.3">
      <c r="A2858" s="141" t="s">
        <v>5320</v>
      </c>
      <c r="B2858" s="141">
        <v>506532</v>
      </c>
      <c r="C2858" s="141" t="s">
        <v>1129</v>
      </c>
      <c r="D2858" s="141" t="s">
        <v>1289</v>
      </c>
    </row>
    <row r="2859" spans="1:4" x14ac:dyDescent="0.3">
      <c r="A2859" s="141" t="s">
        <v>5321</v>
      </c>
      <c r="B2859" s="141">
        <v>512381</v>
      </c>
      <c r="C2859" s="141" t="s">
        <v>1129</v>
      </c>
      <c r="D2859" s="141" t="s">
        <v>1151</v>
      </c>
    </row>
    <row r="2860" spans="1:4" x14ac:dyDescent="0.3">
      <c r="A2860" s="141" t="s">
        <v>5322</v>
      </c>
      <c r="B2860" s="141">
        <v>512245</v>
      </c>
      <c r="C2860" s="141" t="s">
        <v>1129</v>
      </c>
      <c r="D2860" s="141" t="s">
        <v>1550</v>
      </c>
    </row>
    <row r="2861" spans="1:4" x14ac:dyDescent="0.3">
      <c r="A2861" s="141" t="s">
        <v>5323</v>
      </c>
      <c r="B2861" s="141">
        <v>538772</v>
      </c>
      <c r="C2861" s="141" t="s">
        <v>1129</v>
      </c>
      <c r="D2861" s="141" t="s">
        <v>1146</v>
      </c>
    </row>
    <row r="2862" spans="1:4" x14ac:dyDescent="0.3">
      <c r="A2862" s="141" t="s">
        <v>5324</v>
      </c>
      <c r="B2862" s="141">
        <v>519494</v>
      </c>
      <c r="C2862" s="141" t="s">
        <v>5325</v>
      </c>
      <c r="D2862" s="141" t="s">
        <v>1378</v>
      </c>
    </row>
    <row r="2863" spans="1:4" x14ac:dyDescent="0.3">
      <c r="A2863" s="141" t="s">
        <v>5326</v>
      </c>
      <c r="B2863" s="141">
        <v>513683</v>
      </c>
      <c r="C2863" s="141" t="s">
        <v>5327</v>
      </c>
      <c r="D2863" s="141" t="s">
        <v>1268</v>
      </c>
    </row>
    <row r="2864" spans="1:4" x14ac:dyDescent="0.3">
      <c r="A2864" s="141" t="s">
        <v>5328</v>
      </c>
      <c r="B2864" s="141">
        <v>513683</v>
      </c>
      <c r="C2864" s="141" t="s">
        <v>5329</v>
      </c>
      <c r="D2864" s="141" t="s">
        <v>1268</v>
      </c>
    </row>
    <row r="2865" spans="1:4" x14ac:dyDescent="0.3">
      <c r="A2865" s="141" t="s">
        <v>5330</v>
      </c>
      <c r="B2865" s="141">
        <v>526371</v>
      </c>
      <c r="C2865" s="141" t="s">
        <v>5331</v>
      </c>
      <c r="D2865" s="141" t="s">
        <v>1109</v>
      </c>
    </row>
    <row r="2866" spans="1:4" x14ac:dyDescent="0.3">
      <c r="A2866" s="141" t="s">
        <v>5332</v>
      </c>
      <c r="B2866" s="141">
        <v>500730</v>
      </c>
      <c r="C2866" s="141" t="s">
        <v>5333</v>
      </c>
      <c r="D2866" s="141" t="s">
        <v>1289</v>
      </c>
    </row>
    <row r="2867" spans="1:4" x14ac:dyDescent="0.3">
      <c r="A2867" s="141" t="s">
        <v>5334</v>
      </c>
      <c r="B2867" s="141">
        <v>532481</v>
      </c>
      <c r="C2867" s="141" t="s">
        <v>5335</v>
      </c>
      <c r="D2867" s="141" t="s">
        <v>1724</v>
      </c>
    </row>
    <row r="2868" spans="1:4" x14ac:dyDescent="0.3">
      <c r="A2868" s="141" t="s">
        <v>5336</v>
      </c>
      <c r="B2868" s="141" t="s">
        <v>1129</v>
      </c>
      <c r="C2868" s="141" t="s">
        <v>5337</v>
      </c>
      <c r="D2868" s="141" t="s">
        <v>1220</v>
      </c>
    </row>
    <row r="2869" spans="1:4" x14ac:dyDescent="0.3">
      <c r="A2869" s="141" t="s">
        <v>5338</v>
      </c>
      <c r="B2869" s="141">
        <v>524414</v>
      </c>
      <c r="C2869" s="141" t="s">
        <v>1129</v>
      </c>
      <c r="D2869" s="141" t="s">
        <v>1151</v>
      </c>
    </row>
    <row r="2870" spans="1:4" x14ac:dyDescent="0.3">
      <c r="A2870" s="141" t="s">
        <v>5339</v>
      </c>
      <c r="B2870" s="141">
        <v>534615</v>
      </c>
      <c r="C2870" s="141" t="s">
        <v>5340</v>
      </c>
      <c r="D2870" s="141" t="s">
        <v>1450</v>
      </c>
    </row>
    <row r="2871" spans="1:4" x14ac:dyDescent="0.3">
      <c r="A2871" s="141" t="s">
        <v>5341</v>
      </c>
      <c r="B2871" s="141">
        <v>542628</v>
      </c>
      <c r="C2871" s="141" t="s">
        <v>5342</v>
      </c>
      <c r="D2871" s="141" t="s">
        <v>1495</v>
      </c>
    </row>
    <row r="2872" spans="1:4" x14ac:dyDescent="0.3">
      <c r="A2872" s="141" t="s">
        <v>5343</v>
      </c>
      <c r="B2872" s="141">
        <v>539110</v>
      </c>
      <c r="C2872" s="141" t="s">
        <v>1129</v>
      </c>
      <c r="D2872" s="141" t="s">
        <v>1146</v>
      </c>
    </row>
    <row r="2873" spans="1:4" x14ac:dyDescent="0.3">
      <c r="A2873" s="141" t="s">
        <v>5344</v>
      </c>
      <c r="B2873" s="141">
        <v>540698</v>
      </c>
      <c r="C2873" s="141" t="s">
        <v>1129</v>
      </c>
      <c r="D2873" s="141" t="s">
        <v>1151</v>
      </c>
    </row>
    <row r="2874" spans="1:4" x14ac:dyDescent="0.3">
      <c r="A2874" s="141" t="s">
        <v>5345</v>
      </c>
      <c r="B2874" s="141">
        <v>531465</v>
      </c>
      <c r="C2874" s="141" t="s">
        <v>1129</v>
      </c>
      <c r="D2874" s="141" t="s">
        <v>1151</v>
      </c>
    </row>
    <row r="2875" spans="1:4" x14ac:dyDescent="0.3">
      <c r="A2875" s="141" t="s">
        <v>5346</v>
      </c>
      <c r="B2875" s="141">
        <v>513566</v>
      </c>
      <c r="C2875" s="141" t="s">
        <v>1129</v>
      </c>
      <c r="D2875" s="141" t="s">
        <v>1161</v>
      </c>
    </row>
    <row r="2876" spans="1:4" x14ac:dyDescent="0.3">
      <c r="A2876" s="141" t="s">
        <v>5347</v>
      </c>
      <c r="B2876" s="141">
        <v>530733</v>
      </c>
      <c r="C2876" s="141" t="s">
        <v>1129</v>
      </c>
      <c r="D2876" s="141" t="s">
        <v>1653</v>
      </c>
    </row>
    <row r="2877" spans="1:4" x14ac:dyDescent="0.3">
      <c r="A2877" s="141" t="s">
        <v>5348</v>
      </c>
      <c r="B2877" s="141">
        <v>530733</v>
      </c>
      <c r="C2877" s="141" t="s">
        <v>1129</v>
      </c>
      <c r="D2877" s="141" t="s">
        <v>1653</v>
      </c>
    </row>
    <row r="2878" spans="1:4" x14ac:dyDescent="0.3">
      <c r="A2878" s="141" t="s">
        <v>5349</v>
      </c>
      <c r="B2878" s="141">
        <v>500672</v>
      </c>
      <c r="C2878" s="141" t="s">
        <v>1129</v>
      </c>
      <c r="D2878" s="141" t="s">
        <v>1167</v>
      </c>
    </row>
    <row r="2879" spans="1:4" x14ac:dyDescent="0.3">
      <c r="A2879" s="141" t="s">
        <v>5350</v>
      </c>
      <c r="B2879" s="141">
        <v>500672</v>
      </c>
      <c r="C2879" s="141" t="s">
        <v>1129</v>
      </c>
      <c r="D2879" s="141" t="s">
        <v>1167</v>
      </c>
    </row>
    <row r="2880" spans="1:4" x14ac:dyDescent="0.3">
      <c r="A2880" s="141" t="s">
        <v>5351</v>
      </c>
      <c r="B2880" s="141">
        <v>530127</v>
      </c>
      <c r="C2880" s="141" t="s">
        <v>1129</v>
      </c>
      <c r="D2880" s="141" t="s">
        <v>1112</v>
      </c>
    </row>
    <row r="2881" spans="1:4" x14ac:dyDescent="0.3">
      <c r="A2881" s="141" t="s">
        <v>5352</v>
      </c>
      <c r="B2881" s="141">
        <v>530367</v>
      </c>
      <c r="C2881" s="141" t="s">
        <v>5353</v>
      </c>
      <c r="D2881" s="141" t="s">
        <v>1137</v>
      </c>
    </row>
    <row r="2882" spans="1:4" x14ac:dyDescent="0.3">
      <c r="A2882" s="141" t="s">
        <v>5354</v>
      </c>
      <c r="B2882" s="141">
        <v>535458</v>
      </c>
      <c r="C2882" s="141" t="s">
        <v>5355</v>
      </c>
      <c r="D2882" s="141" t="s">
        <v>1314</v>
      </c>
    </row>
    <row r="2883" spans="1:4" x14ac:dyDescent="0.3">
      <c r="A2883" s="141" t="s">
        <v>5356</v>
      </c>
      <c r="B2883" s="141">
        <v>526723</v>
      </c>
      <c r="C2883" s="141" t="s">
        <v>1129</v>
      </c>
      <c r="D2883" s="141" t="s">
        <v>3300</v>
      </c>
    </row>
    <row r="2884" spans="1:4" x14ac:dyDescent="0.3">
      <c r="A2884" s="141" t="s">
        <v>5357</v>
      </c>
      <c r="B2884" s="141">
        <v>532555</v>
      </c>
      <c r="C2884" s="141" t="s">
        <v>5358</v>
      </c>
      <c r="D2884" s="141" t="s">
        <v>1268</v>
      </c>
    </row>
    <row r="2885" spans="1:4" x14ac:dyDescent="0.3">
      <c r="A2885" s="141" t="s">
        <v>5359</v>
      </c>
      <c r="B2885" s="141">
        <v>533015</v>
      </c>
      <c r="C2885" s="141" t="s">
        <v>5360</v>
      </c>
      <c r="D2885" s="141" t="s">
        <v>2076</v>
      </c>
    </row>
    <row r="2886" spans="1:4" x14ac:dyDescent="0.3">
      <c r="A2886" s="141" t="s">
        <v>5361</v>
      </c>
      <c r="B2886" s="141">
        <v>533015</v>
      </c>
      <c r="C2886" s="141" t="s">
        <v>5360</v>
      </c>
      <c r="D2886" s="141" t="s">
        <v>2076</v>
      </c>
    </row>
    <row r="2887" spans="1:4" x14ac:dyDescent="0.3">
      <c r="A2887" s="141" t="s">
        <v>5362</v>
      </c>
      <c r="B2887" s="141">
        <v>531209</v>
      </c>
      <c r="C2887" s="141" t="s">
        <v>5363</v>
      </c>
      <c r="D2887" s="141" t="s">
        <v>1222</v>
      </c>
    </row>
    <row r="2888" spans="1:4" x14ac:dyDescent="0.3">
      <c r="A2888" s="141" t="s">
        <v>5364</v>
      </c>
      <c r="B2888" s="141">
        <v>531304</v>
      </c>
      <c r="C2888" s="141" t="s">
        <v>1129</v>
      </c>
      <c r="D2888" s="141" t="s">
        <v>1144</v>
      </c>
    </row>
    <row r="2889" spans="1:4" x14ac:dyDescent="0.3">
      <c r="A2889" s="141" t="s">
        <v>5365</v>
      </c>
      <c r="B2889" s="141">
        <v>524764</v>
      </c>
      <c r="C2889" s="141" t="s">
        <v>1129</v>
      </c>
      <c r="D2889" s="141" t="s">
        <v>1177</v>
      </c>
    </row>
    <row r="2890" spans="1:4" x14ac:dyDescent="0.3">
      <c r="A2890" s="141" t="s">
        <v>5366</v>
      </c>
      <c r="B2890" s="141">
        <v>524764</v>
      </c>
      <c r="C2890" s="141" t="s">
        <v>1129</v>
      </c>
      <c r="D2890" s="141" t="s">
        <v>1177</v>
      </c>
    </row>
    <row r="2891" spans="1:4" x14ac:dyDescent="0.3">
      <c r="A2891" s="141" t="s">
        <v>5367</v>
      </c>
      <c r="B2891" s="141">
        <v>530219</v>
      </c>
      <c r="C2891" s="141" t="s">
        <v>1129</v>
      </c>
      <c r="D2891" s="141" t="s">
        <v>1243</v>
      </c>
    </row>
    <row r="2892" spans="1:4" x14ac:dyDescent="0.3">
      <c r="A2892" s="141" t="s">
        <v>5368</v>
      </c>
      <c r="B2892" s="141">
        <v>531819</v>
      </c>
      <c r="C2892" s="141" t="s">
        <v>1129</v>
      </c>
      <c r="D2892" s="141" t="s">
        <v>1151</v>
      </c>
    </row>
    <row r="2893" spans="1:4" x14ac:dyDescent="0.3">
      <c r="A2893" s="141" t="s">
        <v>5369</v>
      </c>
      <c r="B2893" s="141">
        <v>531819</v>
      </c>
      <c r="C2893" s="141" t="s">
        <v>1129</v>
      </c>
      <c r="D2893" s="141" t="s">
        <v>1151</v>
      </c>
    </row>
    <row r="2894" spans="1:4" x14ac:dyDescent="0.3">
      <c r="A2894" s="141" t="s">
        <v>5370</v>
      </c>
      <c r="B2894" s="141">
        <v>504378</v>
      </c>
      <c r="C2894" s="141" t="s">
        <v>1129</v>
      </c>
      <c r="D2894" s="141" t="s">
        <v>1151</v>
      </c>
    </row>
    <row r="2895" spans="1:4" x14ac:dyDescent="0.3">
      <c r="A2895" s="141" t="s">
        <v>5371</v>
      </c>
      <c r="B2895" s="141">
        <v>539116</v>
      </c>
      <c r="C2895" s="141" t="s">
        <v>1129</v>
      </c>
      <c r="D2895" s="141" t="s">
        <v>1151</v>
      </c>
    </row>
    <row r="2896" spans="1:4" x14ac:dyDescent="0.3">
      <c r="A2896" s="141" t="s">
        <v>5372</v>
      </c>
      <c r="B2896" s="141">
        <v>512489</v>
      </c>
      <c r="C2896" s="141" t="s">
        <v>1129</v>
      </c>
      <c r="D2896" s="141" t="s">
        <v>1146</v>
      </c>
    </row>
    <row r="2897" spans="1:4" x14ac:dyDescent="0.3">
      <c r="A2897" s="141" t="s">
        <v>5373</v>
      </c>
      <c r="B2897" s="141">
        <v>538547</v>
      </c>
      <c r="C2897" s="141" t="s">
        <v>1129</v>
      </c>
      <c r="D2897" s="141" t="s">
        <v>1378</v>
      </c>
    </row>
    <row r="2898" spans="1:4" x14ac:dyDescent="0.3">
      <c r="A2898" s="141" t="s">
        <v>5374</v>
      </c>
      <c r="B2898" s="141">
        <v>533273</v>
      </c>
      <c r="C2898" s="141" t="s">
        <v>5375</v>
      </c>
      <c r="D2898" s="141" t="s">
        <v>1215</v>
      </c>
    </row>
    <row r="2899" spans="1:4" x14ac:dyDescent="0.3">
      <c r="A2899" s="141" t="s">
        <v>5376</v>
      </c>
      <c r="B2899" s="141">
        <v>535657</v>
      </c>
      <c r="C2899" s="141" t="s">
        <v>1129</v>
      </c>
      <c r="D2899" s="141" t="s">
        <v>1115</v>
      </c>
    </row>
    <row r="2900" spans="1:4" x14ac:dyDescent="0.3">
      <c r="A2900" s="141" t="s">
        <v>5377</v>
      </c>
      <c r="B2900" s="141">
        <v>519491</v>
      </c>
      <c r="C2900" s="141" t="s">
        <v>1129</v>
      </c>
      <c r="D2900" s="141" t="s">
        <v>1324</v>
      </c>
    </row>
    <row r="2901" spans="1:4" x14ac:dyDescent="0.3">
      <c r="A2901" s="141" t="s">
        <v>5378</v>
      </c>
      <c r="B2901" s="141">
        <v>519491</v>
      </c>
      <c r="C2901" s="141" t="s">
        <v>1129</v>
      </c>
      <c r="D2901" s="141" t="s">
        <v>1324</v>
      </c>
    </row>
    <row r="2902" spans="1:4" x14ac:dyDescent="0.3">
      <c r="A2902" s="141" t="s">
        <v>5379</v>
      </c>
      <c r="B2902" s="141">
        <v>538019</v>
      </c>
      <c r="C2902" s="141" t="s">
        <v>1129</v>
      </c>
      <c r="D2902" s="141" t="s">
        <v>1209</v>
      </c>
    </row>
    <row r="2903" spans="1:4" x14ac:dyDescent="0.3">
      <c r="A2903" s="141" t="s">
        <v>5380</v>
      </c>
      <c r="B2903" s="141">
        <v>540405</v>
      </c>
      <c r="C2903" s="141" t="s">
        <v>1129</v>
      </c>
      <c r="D2903" s="141" t="s">
        <v>1209</v>
      </c>
    </row>
    <row r="2904" spans="1:4" x14ac:dyDescent="0.3">
      <c r="A2904" s="141" t="s">
        <v>5381</v>
      </c>
      <c r="B2904" s="141">
        <v>533008</v>
      </c>
      <c r="C2904" s="141" t="s">
        <v>5382</v>
      </c>
      <c r="D2904" s="141" t="s">
        <v>1161</v>
      </c>
    </row>
    <row r="2905" spans="1:4" x14ac:dyDescent="0.3">
      <c r="A2905" s="141" t="s">
        <v>5383</v>
      </c>
      <c r="B2905" s="141">
        <v>538894</v>
      </c>
      <c r="C2905" s="141" t="s">
        <v>1129</v>
      </c>
      <c r="D2905" s="141" t="s">
        <v>1112</v>
      </c>
    </row>
    <row r="2906" spans="1:4" x14ac:dyDescent="0.3">
      <c r="A2906" s="141" t="s">
        <v>5384</v>
      </c>
      <c r="B2906" s="141">
        <v>540416</v>
      </c>
      <c r="C2906" s="141" t="s">
        <v>1129</v>
      </c>
      <c r="D2906" s="141" t="s">
        <v>1135</v>
      </c>
    </row>
    <row r="2907" spans="1:4" x14ac:dyDescent="0.3">
      <c r="A2907" s="141" t="s">
        <v>5385</v>
      </c>
      <c r="B2907" s="141">
        <v>531996</v>
      </c>
      <c r="C2907" s="141" t="s">
        <v>1129</v>
      </c>
      <c r="D2907" s="141" t="s">
        <v>1146</v>
      </c>
    </row>
    <row r="2908" spans="1:4" x14ac:dyDescent="0.3">
      <c r="A2908" s="141" t="s">
        <v>5386</v>
      </c>
      <c r="B2908" s="141">
        <v>530175</v>
      </c>
      <c r="C2908" s="141" t="s">
        <v>1129</v>
      </c>
      <c r="D2908" s="141" t="s">
        <v>1222</v>
      </c>
    </row>
    <row r="2909" spans="1:4" x14ac:dyDescent="0.3">
      <c r="A2909" s="141" t="s">
        <v>5387</v>
      </c>
      <c r="B2909" s="141">
        <v>539570</v>
      </c>
      <c r="C2909" s="141" t="s">
        <v>1129</v>
      </c>
      <c r="D2909" s="141" t="s">
        <v>1115</v>
      </c>
    </row>
    <row r="2910" spans="1:4" x14ac:dyDescent="0.3">
      <c r="A2910" s="141" t="s">
        <v>5388</v>
      </c>
      <c r="B2910" s="141">
        <v>500312</v>
      </c>
      <c r="C2910" s="141" t="s">
        <v>5389</v>
      </c>
      <c r="D2910" s="141" t="s">
        <v>1192</v>
      </c>
    </row>
    <row r="2911" spans="1:4" x14ac:dyDescent="0.3">
      <c r="A2911" s="141" t="s">
        <v>5390</v>
      </c>
      <c r="B2911" s="141">
        <v>533106</v>
      </c>
      <c r="C2911" s="141" t="s">
        <v>5391</v>
      </c>
      <c r="D2911" s="141" t="s">
        <v>1192</v>
      </c>
    </row>
    <row r="2912" spans="1:4" x14ac:dyDescent="0.3">
      <c r="A2912" s="141" t="s">
        <v>5392</v>
      </c>
      <c r="B2912" s="141">
        <v>500313</v>
      </c>
      <c r="C2912" s="141" t="s">
        <v>5393</v>
      </c>
      <c r="D2912" s="141" t="s">
        <v>1470</v>
      </c>
    </row>
    <row r="2913" spans="1:4" x14ac:dyDescent="0.3">
      <c r="A2913" s="141" t="s">
        <v>5394</v>
      </c>
      <c r="B2913" s="141">
        <v>533106</v>
      </c>
      <c r="C2913" s="141" t="s">
        <v>5391</v>
      </c>
      <c r="D2913" s="141" t="s">
        <v>1192</v>
      </c>
    </row>
    <row r="2914" spans="1:4" x14ac:dyDescent="0.3">
      <c r="A2914" s="141" t="s">
        <v>5395</v>
      </c>
      <c r="B2914" s="141">
        <v>526415</v>
      </c>
      <c r="C2914" s="141" t="s">
        <v>1129</v>
      </c>
      <c r="D2914" s="141" t="s">
        <v>1627</v>
      </c>
    </row>
    <row r="2915" spans="1:4" x14ac:dyDescent="0.3">
      <c r="A2915" s="141" t="s">
        <v>5396</v>
      </c>
      <c r="B2915" s="141">
        <v>526415</v>
      </c>
      <c r="C2915" s="141" t="s">
        <v>1129</v>
      </c>
      <c r="D2915" s="141" t="s">
        <v>1627</v>
      </c>
    </row>
    <row r="2916" spans="1:4" x14ac:dyDescent="0.3">
      <c r="A2916" s="141" t="s">
        <v>5397</v>
      </c>
      <c r="B2916" s="141">
        <v>532439</v>
      </c>
      <c r="C2916" s="141" t="s">
        <v>5398</v>
      </c>
      <c r="D2916" s="141" t="s">
        <v>1137</v>
      </c>
    </row>
    <row r="2917" spans="1:4" x14ac:dyDescent="0.3">
      <c r="A2917" s="141" t="s">
        <v>5399</v>
      </c>
      <c r="B2917" s="141">
        <v>521105</v>
      </c>
      <c r="C2917" s="141" t="s">
        <v>1129</v>
      </c>
      <c r="D2917" s="141" t="s">
        <v>3888</v>
      </c>
    </row>
    <row r="2918" spans="1:4" x14ac:dyDescent="0.3">
      <c r="A2918" s="141" t="s">
        <v>5400</v>
      </c>
      <c r="B2918" s="141">
        <v>534190</v>
      </c>
      <c r="C2918" s="141" t="s">
        <v>1129</v>
      </c>
      <c r="D2918" s="141" t="s">
        <v>1627</v>
      </c>
    </row>
    <row r="2919" spans="1:4" x14ac:dyDescent="0.3">
      <c r="A2919" s="141" t="s">
        <v>5401</v>
      </c>
      <c r="B2919" s="141">
        <v>507609</v>
      </c>
      <c r="C2919" s="141" t="s">
        <v>1129</v>
      </c>
      <c r="D2919" s="141" t="s">
        <v>1327</v>
      </c>
    </row>
    <row r="2920" spans="1:4" x14ac:dyDescent="0.3">
      <c r="A2920" s="141" t="s">
        <v>5402</v>
      </c>
      <c r="B2920" s="141">
        <v>531092</v>
      </c>
      <c r="C2920" s="141" t="s">
        <v>5403</v>
      </c>
      <c r="D2920" s="141" t="s">
        <v>1527</v>
      </c>
    </row>
    <row r="2921" spans="1:4" x14ac:dyDescent="0.3">
      <c r="A2921" s="141" t="s">
        <v>5404</v>
      </c>
      <c r="B2921" s="141">
        <v>538537</v>
      </c>
      <c r="C2921" s="141" t="s">
        <v>1129</v>
      </c>
      <c r="D2921" s="141" t="s">
        <v>1151</v>
      </c>
    </row>
    <row r="2922" spans="1:4" x14ac:dyDescent="0.3">
      <c r="A2922" s="141" t="s">
        <v>5405</v>
      </c>
      <c r="B2922" s="141">
        <v>520021</v>
      </c>
      <c r="C2922" s="141" t="s">
        <v>5406</v>
      </c>
      <c r="D2922" s="141" t="s">
        <v>1484</v>
      </c>
    </row>
    <row r="2923" spans="1:4" x14ac:dyDescent="0.3">
      <c r="A2923" s="141" t="s">
        <v>5407</v>
      </c>
      <c r="B2923" s="141">
        <v>532880</v>
      </c>
      <c r="C2923" s="141" t="s">
        <v>5408</v>
      </c>
      <c r="D2923" s="141" t="s">
        <v>1215</v>
      </c>
    </row>
    <row r="2924" spans="1:4" x14ac:dyDescent="0.3">
      <c r="A2924" s="141" t="s">
        <v>5409</v>
      </c>
      <c r="B2924" s="141" t="s">
        <v>1129</v>
      </c>
      <c r="C2924" s="141" t="s">
        <v>5410</v>
      </c>
      <c r="D2924" s="141" t="s">
        <v>1140</v>
      </c>
    </row>
    <row r="2925" spans="1:4" x14ac:dyDescent="0.3">
      <c r="A2925" s="141" t="s">
        <v>5411</v>
      </c>
      <c r="B2925" s="141" t="s">
        <v>1129</v>
      </c>
      <c r="C2925" s="141" t="s">
        <v>5410</v>
      </c>
      <c r="D2925" s="141" t="s">
        <v>1140</v>
      </c>
    </row>
    <row r="2926" spans="1:4" x14ac:dyDescent="0.3">
      <c r="A2926" s="141" t="s">
        <v>5412</v>
      </c>
      <c r="B2926" s="141">
        <v>531496</v>
      </c>
      <c r="C2926" s="141" t="s">
        <v>1129</v>
      </c>
      <c r="D2926" s="141" t="s">
        <v>1144</v>
      </c>
    </row>
    <row r="2927" spans="1:4" x14ac:dyDescent="0.3">
      <c r="A2927" s="141" t="s">
        <v>5413</v>
      </c>
      <c r="B2927" s="141">
        <v>532167</v>
      </c>
      <c r="C2927" s="141" t="s">
        <v>1129</v>
      </c>
      <c r="D2927" s="141" t="s">
        <v>1177</v>
      </c>
    </row>
    <row r="2928" spans="1:4" x14ac:dyDescent="0.3">
      <c r="A2928" s="141" t="s">
        <v>5414</v>
      </c>
      <c r="B2928" s="141">
        <v>533317</v>
      </c>
      <c r="C2928" s="141" t="s">
        <v>5415</v>
      </c>
      <c r="D2928" s="141" t="s">
        <v>1289</v>
      </c>
    </row>
    <row r="2929" spans="1:4" x14ac:dyDescent="0.3">
      <c r="A2929" s="141" t="s">
        <v>5416</v>
      </c>
      <c r="B2929" s="141">
        <v>532340</v>
      </c>
      <c r="C2929" s="141" t="s">
        <v>1129</v>
      </c>
      <c r="D2929" s="141" t="s">
        <v>1222</v>
      </c>
    </row>
    <row r="2930" spans="1:4" x14ac:dyDescent="0.3">
      <c r="A2930" s="141" t="s">
        <v>5417</v>
      </c>
      <c r="B2930" s="141">
        <v>514324</v>
      </c>
      <c r="C2930" s="141" t="s">
        <v>1129</v>
      </c>
      <c r="D2930" s="141" t="s">
        <v>1144</v>
      </c>
    </row>
    <row r="2931" spans="1:4" x14ac:dyDescent="0.3">
      <c r="A2931" s="141" t="s">
        <v>5418</v>
      </c>
      <c r="B2931" s="141">
        <v>514324</v>
      </c>
      <c r="C2931" s="141" t="s">
        <v>1129</v>
      </c>
      <c r="D2931" s="141" t="s">
        <v>1144</v>
      </c>
    </row>
    <row r="2932" spans="1:4" x14ac:dyDescent="0.3">
      <c r="A2932" s="141" t="s">
        <v>5419</v>
      </c>
      <c r="B2932" s="141" t="s">
        <v>1129</v>
      </c>
      <c r="C2932" s="141" t="s">
        <v>5420</v>
      </c>
      <c r="D2932" s="141" t="s">
        <v>1140</v>
      </c>
    </row>
    <row r="2933" spans="1:4" x14ac:dyDescent="0.3">
      <c r="A2933" s="141" t="s">
        <v>5421</v>
      </c>
      <c r="B2933" s="141">
        <v>533632</v>
      </c>
      <c r="C2933" s="141" t="s">
        <v>5422</v>
      </c>
      <c r="D2933" s="141" t="s">
        <v>1149</v>
      </c>
    </row>
    <row r="2934" spans="1:4" x14ac:dyDescent="0.3">
      <c r="A2934" s="141" t="s">
        <v>5423</v>
      </c>
      <c r="B2934" s="141">
        <v>530805</v>
      </c>
      <c r="C2934" s="141" t="s">
        <v>1129</v>
      </c>
      <c r="D2934" s="141" t="s">
        <v>1213</v>
      </c>
    </row>
    <row r="2935" spans="1:4" x14ac:dyDescent="0.3">
      <c r="A2935" s="141" t="s">
        <v>5424</v>
      </c>
      <c r="B2935" s="141">
        <v>535647</v>
      </c>
      <c r="C2935" s="141" t="s">
        <v>1129</v>
      </c>
      <c r="D2935" s="141" t="s">
        <v>1132</v>
      </c>
    </row>
    <row r="2936" spans="1:4" x14ac:dyDescent="0.3">
      <c r="A2936" s="141" t="s">
        <v>5425</v>
      </c>
      <c r="B2936" s="141">
        <v>532944</v>
      </c>
      <c r="C2936" s="141" t="s">
        <v>5426</v>
      </c>
      <c r="D2936" s="141" t="s">
        <v>2076</v>
      </c>
    </row>
    <row r="2937" spans="1:4" x14ac:dyDescent="0.3">
      <c r="A2937" s="141" t="s">
        <v>5427</v>
      </c>
      <c r="B2937" s="141">
        <v>540386</v>
      </c>
      <c r="C2937" s="141" t="s">
        <v>1129</v>
      </c>
      <c r="D2937" s="141" t="s">
        <v>1112</v>
      </c>
    </row>
    <row r="2938" spans="1:4" x14ac:dyDescent="0.3">
      <c r="A2938" s="141" t="s">
        <v>5428</v>
      </c>
      <c r="B2938" s="141">
        <v>517536</v>
      </c>
      <c r="C2938" s="141" t="s">
        <v>5429</v>
      </c>
      <c r="D2938" s="141" t="s">
        <v>1115</v>
      </c>
    </row>
    <row r="2939" spans="1:4" x14ac:dyDescent="0.3">
      <c r="A2939" s="141" t="s">
        <v>5430</v>
      </c>
      <c r="B2939" s="141" t="s">
        <v>1129</v>
      </c>
      <c r="C2939" s="141" t="s">
        <v>5431</v>
      </c>
      <c r="D2939" s="141" t="s">
        <v>1140</v>
      </c>
    </row>
    <row r="2940" spans="1:4" x14ac:dyDescent="0.3">
      <c r="A2940" s="141" t="s">
        <v>5432</v>
      </c>
      <c r="B2940" s="141">
        <v>530135</v>
      </c>
      <c r="C2940" s="141" t="s">
        <v>5433</v>
      </c>
      <c r="D2940" s="141" t="s">
        <v>1163</v>
      </c>
    </row>
    <row r="2941" spans="1:4" x14ac:dyDescent="0.3">
      <c r="A2941" s="141" t="s">
        <v>5434</v>
      </c>
      <c r="B2941" s="141">
        <v>531254</v>
      </c>
      <c r="C2941" s="141" t="s">
        <v>1129</v>
      </c>
      <c r="D2941" s="141" t="s">
        <v>1146</v>
      </c>
    </row>
    <row r="2942" spans="1:4" x14ac:dyDescent="0.3">
      <c r="A2942" s="141" t="s">
        <v>5435</v>
      </c>
      <c r="B2942" s="141">
        <v>532391</v>
      </c>
      <c r="C2942" s="141" t="s">
        <v>5436</v>
      </c>
      <c r="D2942" s="141" t="s">
        <v>2296</v>
      </c>
    </row>
    <row r="2943" spans="1:4" x14ac:dyDescent="0.3">
      <c r="A2943" s="141" t="s">
        <v>5437</v>
      </c>
      <c r="B2943" s="141">
        <v>532391</v>
      </c>
      <c r="C2943" s="141" t="s">
        <v>5436</v>
      </c>
      <c r="D2943" s="141" t="s">
        <v>2296</v>
      </c>
    </row>
    <row r="2944" spans="1:4" x14ac:dyDescent="0.3">
      <c r="A2944" s="141" t="s">
        <v>5438</v>
      </c>
      <c r="B2944" s="141">
        <v>539598</v>
      </c>
      <c r="C2944" s="141" t="s">
        <v>1129</v>
      </c>
      <c r="D2944" s="141" t="s">
        <v>1146</v>
      </c>
    </row>
    <row r="2945" spans="1:4" x14ac:dyDescent="0.3">
      <c r="A2945" s="141" t="s">
        <v>5439</v>
      </c>
      <c r="B2945" s="141">
        <v>532466</v>
      </c>
      <c r="C2945" s="141" t="s">
        <v>5440</v>
      </c>
      <c r="D2945" s="141" t="s">
        <v>1115</v>
      </c>
    </row>
    <row r="2946" spans="1:4" x14ac:dyDescent="0.3">
      <c r="A2946" s="141" t="s">
        <v>5441</v>
      </c>
      <c r="B2946" s="141">
        <v>512626</v>
      </c>
      <c r="C2946" s="141" t="s">
        <v>5442</v>
      </c>
      <c r="D2946" s="141" t="s">
        <v>1144</v>
      </c>
    </row>
    <row r="2947" spans="1:4" x14ac:dyDescent="0.3">
      <c r="A2947" s="141" t="s">
        <v>5443</v>
      </c>
      <c r="B2947" s="141">
        <v>524372</v>
      </c>
      <c r="C2947" s="141" t="s">
        <v>5444</v>
      </c>
      <c r="D2947" s="141" t="s">
        <v>1167</v>
      </c>
    </row>
    <row r="2948" spans="1:4" x14ac:dyDescent="0.3">
      <c r="A2948" s="141" t="s">
        <v>5445</v>
      </c>
      <c r="B2948" s="141">
        <v>531157</v>
      </c>
      <c r="C2948" s="141" t="s">
        <v>1129</v>
      </c>
      <c r="D2948" s="141" t="s">
        <v>1289</v>
      </c>
    </row>
    <row r="2949" spans="1:4" x14ac:dyDescent="0.3">
      <c r="A2949" s="141" t="s">
        <v>5446</v>
      </c>
      <c r="B2949" s="141">
        <v>513121</v>
      </c>
      <c r="C2949" s="141" t="s">
        <v>5447</v>
      </c>
      <c r="D2949" s="141" t="s">
        <v>1289</v>
      </c>
    </row>
    <row r="2950" spans="1:4" x14ac:dyDescent="0.3">
      <c r="A2950" s="141" t="s">
        <v>5448</v>
      </c>
      <c r="B2950" s="141">
        <v>504879</v>
      </c>
      <c r="C2950" s="141" t="s">
        <v>5449</v>
      </c>
      <c r="D2950" s="141" t="s">
        <v>2049</v>
      </c>
    </row>
    <row r="2951" spans="1:4" x14ac:dyDescent="0.3">
      <c r="A2951" s="141" t="s">
        <v>5450</v>
      </c>
      <c r="B2951" s="141">
        <v>530365</v>
      </c>
      <c r="C2951" s="141" t="s">
        <v>5451</v>
      </c>
      <c r="D2951" s="141" t="s">
        <v>1406</v>
      </c>
    </row>
    <row r="2952" spans="1:4" x14ac:dyDescent="0.3">
      <c r="A2952" s="141" t="s">
        <v>5452</v>
      </c>
      <c r="B2952" s="141">
        <v>507690</v>
      </c>
      <c r="C2952" s="141" t="s">
        <v>1129</v>
      </c>
      <c r="D2952" s="141" t="s">
        <v>1564</v>
      </c>
    </row>
    <row r="2953" spans="1:4" x14ac:dyDescent="0.3">
      <c r="A2953" s="141" t="s">
        <v>5453</v>
      </c>
      <c r="B2953" s="141">
        <v>535754</v>
      </c>
      <c r="C2953" s="141" t="s">
        <v>5454</v>
      </c>
      <c r="D2953" s="141" t="s">
        <v>1142</v>
      </c>
    </row>
    <row r="2954" spans="1:4" x14ac:dyDescent="0.3">
      <c r="A2954" s="141" t="s">
        <v>5455</v>
      </c>
      <c r="B2954" s="141">
        <v>541301</v>
      </c>
      <c r="C2954" s="141" t="s">
        <v>5456</v>
      </c>
      <c r="D2954" s="141" t="s">
        <v>1498</v>
      </c>
    </row>
    <row r="2955" spans="1:4" x14ac:dyDescent="0.3">
      <c r="A2955" s="141" t="s">
        <v>5457</v>
      </c>
      <c r="B2955" s="141">
        <v>533263</v>
      </c>
      <c r="C2955" s="141" t="s">
        <v>5458</v>
      </c>
      <c r="D2955" s="141" t="s">
        <v>1268</v>
      </c>
    </row>
    <row r="2956" spans="1:4" x14ac:dyDescent="0.3">
      <c r="A2956" s="141" t="s">
        <v>5459</v>
      </c>
      <c r="B2956" s="141">
        <v>502420</v>
      </c>
      <c r="C2956" s="141" t="s">
        <v>5460</v>
      </c>
      <c r="D2956" s="141" t="s">
        <v>1123</v>
      </c>
    </row>
    <row r="2957" spans="1:4" x14ac:dyDescent="0.3">
      <c r="A2957" s="141" t="s">
        <v>5461</v>
      </c>
      <c r="B2957" s="141">
        <v>526325</v>
      </c>
      <c r="C2957" s="141" t="s">
        <v>5462</v>
      </c>
      <c r="D2957" s="141" t="s">
        <v>1324</v>
      </c>
    </row>
    <row r="2958" spans="1:4" x14ac:dyDescent="0.3">
      <c r="A2958" s="141" t="s">
        <v>5463</v>
      </c>
      <c r="B2958" s="141">
        <v>534076</v>
      </c>
      <c r="C2958" s="141" t="s">
        <v>5464</v>
      </c>
      <c r="D2958" s="141" t="s">
        <v>1314</v>
      </c>
    </row>
    <row r="2959" spans="1:4" x14ac:dyDescent="0.3">
      <c r="A2959" s="141" t="s">
        <v>5465</v>
      </c>
      <c r="B2959" s="141">
        <v>531512</v>
      </c>
      <c r="C2959" s="141" t="s">
        <v>1129</v>
      </c>
      <c r="D2959" s="141" t="s">
        <v>1132</v>
      </c>
    </row>
    <row r="2960" spans="1:4" x14ac:dyDescent="0.3">
      <c r="A2960" s="141" t="s">
        <v>5466</v>
      </c>
      <c r="B2960" s="141">
        <v>500078</v>
      </c>
      <c r="C2960" s="141" t="s">
        <v>1129</v>
      </c>
      <c r="D2960" s="141" t="s">
        <v>1177</v>
      </c>
    </row>
    <row r="2961" spans="1:4" x14ac:dyDescent="0.3">
      <c r="A2961" s="141" t="s">
        <v>5467</v>
      </c>
      <c r="B2961" s="141">
        <v>500315</v>
      </c>
      <c r="C2961" s="141" t="s">
        <v>5468</v>
      </c>
      <c r="D2961" s="141" t="s">
        <v>1447</v>
      </c>
    </row>
    <row r="2962" spans="1:4" x14ac:dyDescent="0.3">
      <c r="A2962" s="141" t="s">
        <v>5469</v>
      </c>
      <c r="B2962" s="141">
        <v>506579</v>
      </c>
      <c r="C2962" s="141" t="s">
        <v>5470</v>
      </c>
      <c r="D2962" s="141" t="s">
        <v>1177</v>
      </c>
    </row>
    <row r="2963" spans="1:4" x14ac:dyDescent="0.3">
      <c r="A2963" s="141" t="s">
        <v>5471</v>
      </c>
      <c r="B2963" s="141">
        <v>500314</v>
      </c>
      <c r="C2963" s="141" t="s">
        <v>5472</v>
      </c>
      <c r="D2963" s="141" t="s">
        <v>1330</v>
      </c>
    </row>
    <row r="2964" spans="1:4" x14ac:dyDescent="0.3">
      <c r="A2964" s="141" t="s">
        <v>5473</v>
      </c>
      <c r="B2964" s="141">
        <v>532817</v>
      </c>
      <c r="C2964" s="141" t="s">
        <v>5474</v>
      </c>
      <c r="D2964" s="141" t="s">
        <v>1657</v>
      </c>
    </row>
    <row r="2965" spans="1:4" x14ac:dyDescent="0.3">
      <c r="A2965" s="141" t="s">
        <v>5475</v>
      </c>
      <c r="B2965" s="141">
        <v>531859</v>
      </c>
      <c r="C2965" s="141" t="s">
        <v>1129</v>
      </c>
      <c r="D2965" s="141" t="s">
        <v>2049</v>
      </c>
    </row>
    <row r="2966" spans="1:4" x14ac:dyDescent="0.3">
      <c r="A2966" s="141" t="s">
        <v>5476</v>
      </c>
      <c r="B2966" s="141">
        <v>541206</v>
      </c>
      <c r="C2966" s="141" t="s">
        <v>1129</v>
      </c>
      <c r="D2966" s="141" t="s">
        <v>1450</v>
      </c>
    </row>
    <row r="2967" spans="1:4" x14ac:dyDescent="0.3">
      <c r="A2967" s="141" t="s">
        <v>5477</v>
      </c>
      <c r="B2967" s="141">
        <v>531626</v>
      </c>
      <c r="C2967" s="141" t="s">
        <v>1129</v>
      </c>
      <c r="D2967" s="141" t="s">
        <v>1243</v>
      </c>
    </row>
    <row r="2968" spans="1:4" x14ac:dyDescent="0.3">
      <c r="A2968" s="141" t="s">
        <v>5478</v>
      </c>
      <c r="B2968" s="141">
        <v>531626</v>
      </c>
      <c r="C2968" s="141" t="s">
        <v>1129</v>
      </c>
      <c r="D2968" s="141" t="s">
        <v>1243</v>
      </c>
    </row>
    <row r="2969" spans="1:4" x14ac:dyDescent="0.3">
      <c r="A2969" s="141" t="s">
        <v>5479</v>
      </c>
      <c r="B2969" s="141">
        <v>539015</v>
      </c>
      <c r="C2969" s="141" t="s">
        <v>5480</v>
      </c>
      <c r="D2969" s="141" t="s">
        <v>1868</v>
      </c>
    </row>
    <row r="2970" spans="1:4" x14ac:dyDescent="0.3">
      <c r="A2970" s="141" t="s">
        <v>5481</v>
      </c>
      <c r="B2970" s="141">
        <v>539287</v>
      </c>
      <c r="C2970" s="141" t="s">
        <v>5482</v>
      </c>
      <c r="D2970" s="141" t="s">
        <v>1167</v>
      </c>
    </row>
    <row r="2971" spans="1:4" x14ac:dyDescent="0.3">
      <c r="A2971" s="141" t="s">
        <v>5483</v>
      </c>
      <c r="B2971" s="141">
        <v>530173</v>
      </c>
      <c r="C2971" s="141" t="s">
        <v>1129</v>
      </c>
      <c r="D2971" s="141" t="s">
        <v>1243</v>
      </c>
    </row>
    <row r="2972" spans="1:4" x14ac:dyDescent="0.3">
      <c r="A2972" s="141" t="s">
        <v>5484</v>
      </c>
      <c r="B2972" s="141">
        <v>501179</v>
      </c>
      <c r="C2972" s="141" t="s">
        <v>1129</v>
      </c>
      <c r="D2972" s="141" t="s">
        <v>1149</v>
      </c>
    </row>
    <row r="2973" spans="1:4" x14ac:dyDescent="0.3">
      <c r="A2973" s="141" t="s">
        <v>5485</v>
      </c>
      <c r="B2973" s="141">
        <v>509782</v>
      </c>
      <c r="C2973" s="141" t="s">
        <v>1129</v>
      </c>
      <c r="D2973" s="141" t="s">
        <v>1550</v>
      </c>
    </row>
    <row r="2974" spans="1:4" x14ac:dyDescent="0.3">
      <c r="A2974" s="141" t="s">
        <v>5486</v>
      </c>
      <c r="B2974" s="141">
        <v>540198</v>
      </c>
      <c r="C2974" s="141" t="s">
        <v>1129</v>
      </c>
      <c r="D2974" s="141" t="s">
        <v>1144</v>
      </c>
    </row>
    <row r="2975" spans="1:4" x14ac:dyDescent="0.3">
      <c r="A2975" s="141" t="s">
        <v>5487</v>
      </c>
      <c r="B2975" s="141">
        <v>500317</v>
      </c>
      <c r="C2975" s="141" t="s">
        <v>5488</v>
      </c>
      <c r="D2975" s="141" t="s">
        <v>1149</v>
      </c>
    </row>
    <row r="2976" spans="1:4" x14ac:dyDescent="0.3">
      <c r="A2976" s="141" t="s">
        <v>5489</v>
      </c>
      <c r="B2976" s="141">
        <v>539290</v>
      </c>
      <c r="C2976" s="141" t="s">
        <v>5490</v>
      </c>
      <c r="D2976" s="141" t="s">
        <v>1149</v>
      </c>
    </row>
    <row r="2977" spans="1:4" x14ac:dyDescent="0.3">
      <c r="A2977" s="141" t="s">
        <v>5491</v>
      </c>
      <c r="B2977" s="141">
        <v>509099</v>
      </c>
      <c r="C2977" s="141" t="s">
        <v>1129</v>
      </c>
      <c r="D2977" s="141" t="s">
        <v>1550</v>
      </c>
    </row>
    <row r="2978" spans="1:4" x14ac:dyDescent="0.3">
      <c r="A2978" s="141" t="s">
        <v>5492</v>
      </c>
      <c r="B2978" s="141">
        <v>531065</v>
      </c>
      <c r="C2978" s="141" t="s">
        <v>1129</v>
      </c>
      <c r="D2978" s="141" t="s">
        <v>1828</v>
      </c>
    </row>
    <row r="2979" spans="1:4" x14ac:dyDescent="0.3">
      <c r="A2979" s="141" t="s">
        <v>5493</v>
      </c>
      <c r="B2979" s="141">
        <v>514460</v>
      </c>
      <c r="C2979" s="141" t="s">
        <v>1129</v>
      </c>
      <c r="D2979" s="141" t="s">
        <v>1151</v>
      </c>
    </row>
    <row r="2980" spans="1:4" x14ac:dyDescent="0.3">
      <c r="A2980" s="141" t="s">
        <v>5494</v>
      </c>
      <c r="B2980" s="141">
        <v>523151</v>
      </c>
      <c r="C2980" s="141" t="s">
        <v>1129</v>
      </c>
      <c r="D2980" s="141" t="s">
        <v>1213</v>
      </c>
    </row>
    <row r="2981" spans="1:4" x14ac:dyDescent="0.3">
      <c r="A2981" s="141" t="s">
        <v>5495</v>
      </c>
      <c r="B2981" s="141">
        <v>514330</v>
      </c>
      <c r="C2981" s="141" t="s">
        <v>1129</v>
      </c>
      <c r="D2981" s="141" t="s">
        <v>1144</v>
      </c>
    </row>
    <row r="2982" spans="1:4" x14ac:dyDescent="0.3">
      <c r="A2982" s="141" t="s">
        <v>5496</v>
      </c>
      <c r="B2982" s="141">
        <v>530741</v>
      </c>
      <c r="C2982" s="141" t="s">
        <v>1129</v>
      </c>
      <c r="D2982" s="141" t="s">
        <v>1209</v>
      </c>
    </row>
    <row r="2983" spans="1:4" x14ac:dyDescent="0.3">
      <c r="A2983" s="141" t="s">
        <v>5497</v>
      </c>
      <c r="B2983" s="141">
        <v>539291</v>
      </c>
      <c r="C2983" s="141" t="s">
        <v>1129</v>
      </c>
      <c r="D2983" s="141" t="s">
        <v>1327</v>
      </c>
    </row>
    <row r="2984" spans="1:4" x14ac:dyDescent="0.3">
      <c r="A2984" s="141" t="s">
        <v>5498</v>
      </c>
      <c r="B2984" s="141">
        <v>539352</v>
      </c>
      <c r="C2984" s="141" t="s">
        <v>1129</v>
      </c>
      <c r="D2984" s="141" t="s">
        <v>1132</v>
      </c>
    </row>
    <row r="2985" spans="1:4" x14ac:dyDescent="0.3">
      <c r="A2985" s="141" t="s">
        <v>5499</v>
      </c>
      <c r="B2985" s="141">
        <v>513403</v>
      </c>
      <c r="C2985" s="141" t="s">
        <v>1129</v>
      </c>
      <c r="D2985" s="141" t="s">
        <v>1161</v>
      </c>
    </row>
    <row r="2986" spans="1:4" x14ac:dyDescent="0.3">
      <c r="A2986" s="141" t="s">
        <v>5500</v>
      </c>
      <c r="B2986" s="141">
        <v>523862</v>
      </c>
      <c r="C2986" s="141" t="s">
        <v>1129</v>
      </c>
      <c r="D2986" s="141" t="s">
        <v>1146</v>
      </c>
    </row>
    <row r="2987" spans="1:4" x14ac:dyDescent="0.3">
      <c r="A2987" s="141" t="s">
        <v>5501</v>
      </c>
      <c r="B2987" s="141">
        <v>523483</v>
      </c>
      <c r="C2987" s="141" t="s">
        <v>1129</v>
      </c>
      <c r="D2987" s="141" t="s">
        <v>1657</v>
      </c>
    </row>
    <row r="2988" spans="1:4" x14ac:dyDescent="0.3">
      <c r="A2988" s="141" t="s">
        <v>5502</v>
      </c>
      <c r="B2988" s="141">
        <v>538963</v>
      </c>
      <c r="C2988" s="141" t="s">
        <v>1129</v>
      </c>
      <c r="D2988" s="141" t="s">
        <v>1452</v>
      </c>
    </row>
    <row r="2989" spans="1:4" x14ac:dyDescent="0.3">
      <c r="A2989" s="141" t="s">
        <v>5503</v>
      </c>
      <c r="B2989" s="141">
        <v>531395</v>
      </c>
      <c r="C2989" s="141" t="s">
        <v>1129</v>
      </c>
      <c r="D2989" s="141" t="s">
        <v>1144</v>
      </c>
    </row>
    <row r="2990" spans="1:4" x14ac:dyDescent="0.3">
      <c r="A2990" s="141" t="s">
        <v>5504</v>
      </c>
      <c r="B2990" s="141">
        <v>532350</v>
      </c>
      <c r="C2990" s="141" t="s">
        <v>1129</v>
      </c>
      <c r="D2990" s="141" t="s">
        <v>1132</v>
      </c>
    </row>
    <row r="2991" spans="1:4" x14ac:dyDescent="0.3">
      <c r="A2991" s="141" t="s">
        <v>5505</v>
      </c>
      <c r="B2991" s="141">
        <v>526905</v>
      </c>
      <c r="C2991" s="141" t="s">
        <v>1129</v>
      </c>
      <c r="D2991" s="141" t="s">
        <v>1177</v>
      </c>
    </row>
    <row r="2992" spans="1:4" x14ac:dyDescent="0.3">
      <c r="A2992" s="141" t="s">
        <v>5506</v>
      </c>
      <c r="B2992" s="141">
        <v>517230</v>
      </c>
      <c r="C2992" s="141" t="s">
        <v>5507</v>
      </c>
      <c r="D2992" s="141" t="s">
        <v>1151</v>
      </c>
    </row>
    <row r="2993" spans="1:4" x14ac:dyDescent="0.3">
      <c r="A2993" s="141" t="s">
        <v>5508</v>
      </c>
      <c r="B2993" s="141">
        <v>532827</v>
      </c>
      <c r="C2993" s="141" t="s">
        <v>5509</v>
      </c>
      <c r="D2993" s="141" t="s">
        <v>1243</v>
      </c>
    </row>
    <row r="2994" spans="1:4" x14ac:dyDescent="0.3">
      <c r="A2994" s="141" t="s">
        <v>5510</v>
      </c>
      <c r="B2994" s="141">
        <v>532900</v>
      </c>
      <c r="C2994" s="141" t="s">
        <v>5511</v>
      </c>
      <c r="D2994" s="141" t="s">
        <v>1146</v>
      </c>
    </row>
    <row r="2995" spans="1:4" x14ac:dyDescent="0.3">
      <c r="A2995" s="141" t="s">
        <v>5512</v>
      </c>
      <c r="B2995" s="141">
        <v>540648</v>
      </c>
      <c r="C2995" s="141" t="s">
        <v>5513</v>
      </c>
      <c r="D2995" s="141" t="s">
        <v>1149</v>
      </c>
    </row>
    <row r="2996" spans="1:4" x14ac:dyDescent="0.3">
      <c r="A2996" s="141" t="s">
        <v>5514</v>
      </c>
      <c r="B2996" s="141">
        <v>539121</v>
      </c>
      <c r="C2996" s="141" t="s">
        <v>1129</v>
      </c>
      <c r="D2996" s="141" t="s">
        <v>1434</v>
      </c>
    </row>
    <row r="2997" spans="1:4" x14ac:dyDescent="0.3">
      <c r="A2997" s="141" t="s">
        <v>5515</v>
      </c>
      <c r="B2997" s="141">
        <v>541444</v>
      </c>
      <c r="C2997" s="141" t="s">
        <v>1129</v>
      </c>
      <c r="D2997" s="141" t="s">
        <v>1243</v>
      </c>
    </row>
    <row r="2998" spans="1:4" x14ac:dyDescent="0.3">
      <c r="A2998" s="141" t="s">
        <v>5516</v>
      </c>
      <c r="B2998" s="141">
        <v>532521</v>
      </c>
      <c r="C2998" s="141" t="s">
        <v>5517</v>
      </c>
      <c r="D2998" s="141" t="s">
        <v>1222</v>
      </c>
    </row>
    <row r="2999" spans="1:4" x14ac:dyDescent="0.3">
      <c r="A2999" s="141" t="s">
        <v>5518</v>
      </c>
      <c r="B2999" s="141">
        <v>511597</v>
      </c>
      <c r="C2999" s="141" t="s">
        <v>1129</v>
      </c>
      <c r="D2999" s="141" t="s">
        <v>1146</v>
      </c>
    </row>
    <row r="3000" spans="1:4" x14ac:dyDescent="0.3">
      <c r="A3000" s="141" t="s">
        <v>5519</v>
      </c>
      <c r="B3000" s="141">
        <v>517397</v>
      </c>
      <c r="C3000" s="141" t="s">
        <v>1129</v>
      </c>
      <c r="D3000" s="141" t="s">
        <v>1671</v>
      </c>
    </row>
    <row r="3001" spans="1:4" x14ac:dyDescent="0.3">
      <c r="A3001" s="141" t="s">
        <v>5520</v>
      </c>
      <c r="B3001" s="141">
        <v>517397</v>
      </c>
      <c r="C3001" s="141" t="s">
        <v>1129</v>
      </c>
      <c r="D3001" s="141" t="s">
        <v>1671</v>
      </c>
    </row>
    <row r="3002" spans="1:4" x14ac:dyDescent="0.3">
      <c r="A3002" s="141" t="s">
        <v>5521</v>
      </c>
      <c r="B3002" s="141">
        <v>511525</v>
      </c>
      <c r="C3002" s="141" t="s">
        <v>1129</v>
      </c>
      <c r="D3002" s="141" t="s">
        <v>1222</v>
      </c>
    </row>
    <row r="3003" spans="1:4" x14ac:dyDescent="0.3">
      <c r="A3003" s="141" t="s">
        <v>5522</v>
      </c>
      <c r="B3003" s="141">
        <v>531349</v>
      </c>
      <c r="C3003" s="141" t="s">
        <v>5523</v>
      </c>
      <c r="D3003" s="141" t="s">
        <v>1467</v>
      </c>
    </row>
    <row r="3004" spans="1:4" x14ac:dyDescent="0.3">
      <c r="A3004" s="141" t="s">
        <v>5524</v>
      </c>
      <c r="B3004" s="141" t="s">
        <v>1129</v>
      </c>
      <c r="C3004" s="141" t="s">
        <v>5525</v>
      </c>
      <c r="D3004" s="141" t="s">
        <v>1140</v>
      </c>
    </row>
    <row r="3005" spans="1:4" x14ac:dyDescent="0.3">
      <c r="A3005" s="141" t="s">
        <v>5526</v>
      </c>
      <c r="B3005" s="141">
        <v>538742</v>
      </c>
      <c r="C3005" s="141" t="s">
        <v>1129</v>
      </c>
      <c r="D3005" s="141" t="s">
        <v>1151</v>
      </c>
    </row>
    <row r="3006" spans="1:4" x14ac:dyDescent="0.3">
      <c r="A3006" s="141" t="s">
        <v>5527</v>
      </c>
      <c r="B3006" s="141">
        <v>538860</v>
      </c>
      <c r="C3006" s="141" t="s">
        <v>1129</v>
      </c>
      <c r="D3006" s="141" t="s">
        <v>1146</v>
      </c>
    </row>
    <row r="3007" spans="1:4" x14ac:dyDescent="0.3">
      <c r="A3007" s="141" t="s">
        <v>5528</v>
      </c>
      <c r="B3007" s="141">
        <v>524820</v>
      </c>
      <c r="C3007" s="141" t="s">
        <v>5529</v>
      </c>
      <c r="D3007" s="141" t="s">
        <v>1339</v>
      </c>
    </row>
    <row r="3008" spans="1:4" x14ac:dyDescent="0.3">
      <c r="A3008" s="141" t="s">
        <v>5530</v>
      </c>
      <c r="B3008" s="141">
        <v>508941</v>
      </c>
      <c r="C3008" s="141" t="s">
        <v>1129</v>
      </c>
      <c r="D3008" s="141" t="s">
        <v>1314</v>
      </c>
    </row>
    <row r="3009" spans="1:4" x14ac:dyDescent="0.3">
      <c r="A3009" s="141" t="s">
        <v>5531</v>
      </c>
      <c r="B3009" s="141">
        <v>504093</v>
      </c>
      <c r="C3009" s="141" t="s">
        <v>1129</v>
      </c>
      <c r="D3009" s="141" t="s">
        <v>1675</v>
      </c>
    </row>
    <row r="3010" spans="1:4" x14ac:dyDescent="0.3">
      <c r="A3010" s="141" t="s">
        <v>5532</v>
      </c>
      <c r="B3010" s="141">
        <v>513511</v>
      </c>
      <c r="C3010" s="141" t="s">
        <v>1129</v>
      </c>
      <c r="D3010" s="141" t="s">
        <v>1161</v>
      </c>
    </row>
    <row r="3011" spans="1:4" x14ac:dyDescent="0.3">
      <c r="A3011" s="141" t="s">
        <v>5533</v>
      </c>
      <c r="B3011" s="141">
        <v>531726</v>
      </c>
      <c r="C3011" s="141" t="s">
        <v>1129</v>
      </c>
      <c r="D3011" s="141" t="s">
        <v>1167</v>
      </c>
    </row>
    <row r="3012" spans="1:4" x14ac:dyDescent="0.3">
      <c r="A3012" s="141" t="s">
        <v>5534</v>
      </c>
      <c r="B3012" s="141">
        <v>506122</v>
      </c>
      <c r="C3012" s="141" t="s">
        <v>1129</v>
      </c>
      <c r="D3012" s="141" t="s">
        <v>1484</v>
      </c>
    </row>
    <row r="3013" spans="1:4" x14ac:dyDescent="0.3">
      <c r="A3013" s="141" t="s">
        <v>5535</v>
      </c>
      <c r="B3013" s="141">
        <v>531280</v>
      </c>
      <c r="C3013" s="141" t="s">
        <v>1129</v>
      </c>
      <c r="D3013" s="141" t="s">
        <v>1324</v>
      </c>
    </row>
    <row r="3014" spans="1:4" x14ac:dyDescent="0.3">
      <c r="A3014" s="141" t="s">
        <v>5536</v>
      </c>
      <c r="B3014" s="141">
        <v>534796</v>
      </c>
      <c r="C3014" s="141" t="s">
        <v>1129</v>
      </c>
      <c r="D3014" s="141" t="s">
        <v>1249</v>
      </c>
    </row>
    <row r="3015" spans="1:4" x14ac:dyDescent="0.3">
      <c r="A3015" s="141" t="s">
        <v>5537</v>
      </c>
      <c r="B3015" s="141" t="s">
        <v>1129</v>
      </c>
      <c r="C3015" s="141" t="s">
        <v>5538</v>
      </c>
      <c r="D3015" s="141" t="s">
        <v>1140</v>
      </c>
    </row>
    <row r="3016" spans="1:4" x14ac:dyDescent="0.3">
      <c r="A3016" s="141" t="s">
        <v>5539</v>
      </c>
      <c r="B3016" s="141">
        <v>539143</v>
      </c>
      <c r="C3016" s="141" t="s">
        <v>1129</v>
      </c>
      <c r="D3016" s="141" t="s">
        <v>1118</v>
      </c>
    </row>
    <row r="3017" spans="1:4" x14ac:dyDescent="0.3">
      <c r="A3017" s="141" t="s">
        <v>5540</v>
      </c>
      <c r="B3017" s="141">
        <v>500322</v>
      </c>
      <c r="C3017" s="141" t="s">
        <v>1129</v>
      </c>
      <c r="D3017" s="141" t="s">
        <v>1142</v>
      </c>
    </row>
    <row r="3018" spans="1:4" x14ac:dyDescent="0.3">
      <c r="A3018" s="141" t="s">
        <v>5541</v>
      </c>
      <c r="B3018" s="141">
        <v>513359</v>
      </c>
      <c r="C3018" s="141" t="s">
        <v>5542</v>
      </c>
      <c r="D3018" s="141" t="s">
        <v>1406</v>
      </c>
    </row>
    <row r="3019" spans="1:4" x14ac:dyDescent="0.3">
      <c r="A3019" s="141" t="s">
        <v>5543</v>
      </c>
      <c r="B3019" s="141">
        <v>533211</v>
      </c>
      <c r="C3019" s="141" t="s">
        <v>5544</v>
      </c>
      <c r="D3019" s="141" t="s">
        <v>1167</v>
      </c>
    </row>
    <row r="3020" spans="1:4" x14ac:dyDescent="0.3">
      <c r="A3020" s="141" t="s">
        <v>5545</v>
      </c>
      <c r="B3020" s="141">
        <v>539889</v>
      </c>
      <c r="C3020" s="141" t="s">
        <v>5546</v>
      </c>
      <c r="D3020" s="141" t="s">
        <v>1189</v>
      </c>
    </row>
    <row r="3021" spans="1:4" x14ac:dyDescent="0.3">
      <c r="A3021" s="141" t="s">
        <v>5547</v>
      </c>
      <c r="B3021" s="141">
        <v>531255</v>
      </c>
      <c r="C3021" s="141" t="s">
        <v>1129</v>
      </c>
      <c r="D3021" s="141" t="s">
        <v>1146</v>
      </c>
    </row>
    <row r="3022" spans="1:4" x14ac:dyDescent="0.3">
      <c r="A3022" s="141" t="s">
        <v>5548</v>
      </c>
      <c r="B3022" s="141">
        <v>530555</v>
      </c>
      <c r="C3022" s="141" t="s">
        <v>5549</v>
      </c>
      <c r="D3022" s="141" t="s">
        <v>1427</v>
      </c>
    </row>
    <row r="3023" spans="1:4" x14ac:dyDescent="0.3">
      <c r="A3023" s="141" t="s">
        <v>5550</v>
      </c>
      <c r="B3023" s="141">
        <v>507970</v>
      </c>
      <c r="C3023" s="141" t="s">
        <v>1129</v>
      </c>
      <c r="D3023" s="141" t="s">
        <v>1311</v>
      </c>
    </row>
    <row r="3024" spans="1:4" x14ac:dyDescent="0.3">
      <c r="A3024" s="141" t="s">
        <v>5551</v>
      </c>
      <c r="B3024" s="141">
        <v>507970</v>
      </c>
      <c r="C3024" s="141" t="s">
        <v>1129</v>
      </c>
      <c r="D3024" s="141" t="s">
        <v>1311</v>
      </c>
    </row>
    <row r="3025" spans="1:4" x14ac:dyDescent="0.3">
      <c r="A3025" s="141" t="s">
        <v>5552</v>
      </c>
      <c r="B3025" s="141">
        <v>524689</v>
      </c>
      <c r="C3025" s="141" t="s">
        <v>5553</v>
      </c>
      <c r="D3025" s="141" t="s">
        <v>1167</v>
      </c>
    </row>
    <row r="3026" spans="1:4" x14ac:dyDescent="0.3">
      <c r="A3026" s="141" t="s">
        <v>5554</v>
      </c>
      <c r="B3026" s="141">
        <v>524689</v>
      </c>
      <c r="C3026" s="141" t="s">
        <v>5553</v>
      </c>
      <c r="D3026" s="141" t="s">
        <v>1167</v>
      </c>
    </row>
    <row r="3027" spans="1:4" x14ac:dyDescent="0.3">
      <c r="A3027" s="141" t="s">
        <v>5555</v>
      </c>
      <c r="B3027" s="141">
        <v>539481</v>
      </c>
      <c r="C3027" s="141" t="s">
        <v>1129</v>
      </c>
      <c r="D3027" s="141" t="s">
        <v>1146</v>
      </c>
    </row>
    <row r="3028" spans="1:4" x14ac:dyDescent="0.3">
      <c r="A3028" s="141" t="s">
        <v>5556</v>
      </c>
      <c r="B3028" s="141" t="s">
        <v>1129</v>
      </c>
      <c r="C3028" s="141" t="s">
        <v>5557</v>
      </c>
      <c r="D3028" s="141" t="s">
        <v>1140</v>
      </c>
    </row>
    <row r="3029" spans="1:4" x14ac:dyDescent="0.3">
      <c r="A3029" s="141" t="s">
        <v>5558</v>
      </c>
      <c r="B3029" s="141">
        <v>524628</v>
      </c>
      <c r="C3029" s="141" t="s">
        <v>1129</v>
      </c>
      <c r="D3029" s="141" t="s">
        <v>1151</v>
      </c>
    </row>
    <row r="3030" spans="1:4" x14ac:dyDescent="0.3">
      <c r="A3030" s="141" t="s">
        <v>5559</v>
      </c>
      <c r="B3030" s="141">
        <v>532911</v>
      </c>
      <c r="C3030" s="141" t="s">
        <v>1129</v>
      </c>
      <c r="D3030" s="141" t="s">
        <v>1215</v>
      </c>
    </row>
    <row r="3031" spans="1:4" x14ac:dyDescent="0.3">
      <c r="A3031" s="141" t="s">
        <v>5560</v>
      </c>
      <c r="B3031" s="141">
        <v>540359</v>
      </c>
      <c r="C3031" s="141" t="s">
        <v>1129</v>
      </c>
      <c r="D3031" s="141" t="s">
        <v>1167</v>
      </c>
    </row>
    <row r="3032" spans="1:4" x14ac:dyDescent="0.3">
      <c r="A3032" s="141" t="s">
        <v>5561</v>
      </c>
      <c r="B3032" s="141">
        <v>540467</v>
      </c>
      <c r="C3032" s="141" t="s">
        <v>1129</v>
      </c>
      <c r="D3032" s="141" t="s">
        <v>1243</v>
      </c>
    </row>
    <row r="3033" spans="1:4" x14ac:dyDescent="0.3">
      <c r="A3033" s="141" t="s">
        <v>5562</v>
      </c>
      <c r="B3033" s="141">
        <v>780017</v>
      </c>
      <c r="C3033" s="141" t="s">
        <v>1129</v>
      </c>
      <c r="D3033" s="141" t="s">
        <v>1220</v>
      </c>
    </row>
    <row r="3034" spans="1:4" x14ac:dyDescent="0.3">
      <c r="A3034" s="141" t="s">
        <v>5563</v>
      </c>
      <c r="B3034" s="141">
        <v>506128</v>
      </c>
      <c r="C3034" s="141" t="s">
        <v>1129</v>
      </c>
      <c r="D3034" s="141" t="s">
        <v>1167</v>
      </c>
    </row>
    <row r="3035" spans="1:4" x14ac:dyDescent="0.3">
      <c r="A3035" s="141" t="s">
        <v>5564</v>
      </c>
      <c r="B3035" s="141">
        <v>511702</v>
      </c>
      <c r="C3035" s="141" t="s">
        <v>1129</v>
      </c>
      <c r="D3035" s="141" t="s">
        <v>1146</v>
      </c>
    </row>
    <row r="3036" spans="1:4" x14ac:dyDescent="0.3">
      <c r="A3036" s="141" t="s">
        <v>5565</v>
      </c>
      <c r="B3036" s="141">
        <v>511176</v>
      </c>
      <c r="C3036" s="141" t="s">
        <v>1129</v>
      </c>
      <c r="D3036" s="141" t="s">
        <v>1215</v>
      </c>
    </row>
    <row r="3037" spans="1:4" x14ac:dyDescent="0.3">
      <c r="A3037" s="141" t="s">
        <v>5566</v>
      </c>
      <c r="B3037" s="141">
        <v>532780</v>
      </c>
      <c r="C3037" s="141" t="s">
        <v>5567</v>
      </c>
      <c r="D3037" s="141" t="s">
        <v>1215</v>
      </c>
    </row>
    <row r="3038" spans="1:4" x14ac:dyDescent="0.3">
      <c r="A3038" s="141" t="s">
        <v>5568</v>
      </c>
      <c r="B3038" s="141">
        <v>526349</v>
      </c>
      <c r="C3038" s="141" t="s">
        <v>1129</v>
      </c>
      <c r="D3038" s="141" t="s">
        <v>1484</v>
      </c>
    </row>
    <row r="3039" spans="1:4" x14ac:dyDescent="0.3">
      <c r="A3039" s="141" t="s">
        <v>5569</v>
      </c>
      <c r="B3039" s="141">
        <v>541347</v>
      </c>
      <c r="C3039" s="141" t="s">
        <v>1129</v>
      </c>
      <c r="D3039" s="141" t="s">
        <v>1828</v>
      </c>
    </row>
    <row r="3040" spans="1:4" x14ac:dyDescent="0.3">
      <c r="A3040" s="141" t="s">
        <v>5570</v>
      </c>
      <c r="B3040" s="141">
        <v>521080</v>
      </c>
      <c r="C3040" s="141" t="s">
        <v>1129</v>
      </c>
      <c r="D3040" s="141" t="s">
        <v>1144</v>
      </c>
    </row>
    <row r="3041" spans="1:4" x14ac:dyDescent="0.3">
      <c r="A3041" s="141" t="s">
        <v>5571</v>
      </c>
      <c r="B3041" s="141" t="s">
        <v>1129</v>
      </c>
      <c r="C3041" s="141" t="s">
        <v>5572</v>
      </c>
      <c r="D3041" s="141" t="s">
        <v>1140</v>
      </c>
    </row>
    <row r="3042" spans="1:4" x14ac:dyDescent="0.3">
      <c r="A3042" s="141" t="s">
        <v>5573</v>
      </c>
      <c r="B3042" s="141">
        <v>500456</v>
      </c>
      <c r="C3042" s="141" t="s">
        <v>1129</v>
      </c>
      <c r="D3042" s="141" t="s">
        <v>1506</v>
      </c>
    </row>
    <row r="3043" spans="1:4" x14ac:dyDescent="0.3">
      <c r="A3043" s="141" t="s">
        <v>5574</v>
      </c>
      <c r="B3043" s="141">
        <v>511734</v>
      </c>
      <c r="C3043" s="141" t="s">
        <v>1129</v>
      </c>
      <c r="D3043" s="141" t="s">
        <v>1146</v>
      </c>
    </row>
    <row r="3044" spans="1:4" x14ac:dyDescent="0.3">
      <c r="A3044" s="141" t="s">
        <v>5575</v>
      </c>
      <c r="B3044" s="141">
        <v>503092</v>
      </c>
      <c r="C3044" s="141" t="s">
        <v>1129</v>
      </c>
      <c r="D3044" s="141" t="s">
        <v>1144</v>
      </c>
    </row>
    <row r="3045" spans="1:4" x14ac:dyDescent="0.3">
      <c r="A3045" s="141" t="s">
        <v>5576</v>
      </c>
      <c r="B3045" s="141">
        <v>539401</v>
      </c>
      <c r="C3045" s="141" t="s">
        <v>1129</v>
      </c>
      <c r="D3045" s="141" t="s">
        <v>1243</v>
      </c>
    </row>
    <row r="3046" spans="1:4" x14ac:dyDescent="0.3">
      <c r="A3046" s="141" t="s">
        <v>5577</v>
      </c>
      <c r="B3046" s="141">
        <v>531120</v>
      </c>
      <c r="C3046" s="141" t="s">
        <v>5578</v>
      </c>
      <c r="D3046" s="141" t="s">
        <v>1527</v>
      </c>
    </row>
    <row r="3047" spans="1:4" x14ac:dyDescent="0.3">
      <c r="A3047" s="141" t="s">
        <v>5579</v>
      </c>
      <c r="B3047" s="141">
        <v>526381</v>
      </c>
      <c r="C3047" s="141" t="s">
        <v>5580</v>
      </c>
      <c r="D3047" s="141" t="s">
        <v>1201</v>
      </c>
    </row>
    <row r="3048" spans="1:4" x14ac:dyDescent="0.3">
      <c r="A3048" s="141" t="s">
        <v>5581</v>
      </c>
      <c r="B3048" s="141">
        <v>517417</v>
      </c>
      <c r="C3048" s="141" t="s">
        <v>1129</v>
      </c>
      <c r="D3048" s="141" t="s">
        <v>1137</v>
      </c>
    </row>
    <row r="3049" spans="1:4" x14ac:dyDescent="0.3">
      <c r="A3049" s="141" t="s">
        <v>5582</v>
      </c>
      <c r="B3049" s="141">
        <v>517417</v>
      </c>
      <c r="C3049" s="141" t="s">
        <v>1129</v>
      </c>
      <c r="D3049" s="141" t="s">
        <v>1137</v>
      </c>
    </row>
    <row r="3050" spans="1:4" x14ac:dyDescent="0.3">
      <c r="A3050" s="141" t="s">
        <v>5583</v>
      </c>
      <c r="B3050" s="141">
        <v>524031</v>
      </c>
      <c r="C3050" s="141" t="s">
        <v>1129</v>
      </c>
      <c r="D3050" s="141" t="s">
        <v>1215</v>
      </c>
    </row>
    <row r="3051" spans="1:4" x14ac:dyDescent="0.3">
      <c r="A3051" s="141" t="s">
        <v>5584</v>
      </c>
      <c r="B3051" s="141">
        <v>514326</v>
      </c>
      <c r="C3051" s="141" t="s">
        <v>5585</v>
      </c>
      <c r="D3051" s="141" t="s">
        <v>1144</v>
      </c>
    </row>
    <row r="3052" spans="1:4" x14ac:dyDescent="0.3">
      <c r="A3052" s="141" t="s">
        <v>5586</v>
      </c>
      <c r="B3052" s="141">
        <v>514326</v>
      </c>
      <c r="C3052" s="141" t="s">
        <v>5585</v>
      </c>
      <c r="D3052" s="141" t="s">
        <v>1144</v>
      </c>
    </row>
    <row r="3053" spans="1:4" x14ac:dyDescent="0.3">
      <c r="A3053" s="141" t="s">
        <v>5587</v>
      </c>
      <c r="B3053" s="141">
        <v>539113</v>
      </c>
      <c r="C3053" s="141" t="s">
        <v>1129</v>
      </c>
      <c r="D3053" s="141" t="s">
        <v>1146</v>
      </c>
    </row>
    <row r="3054" spans="1:4" x14ac:dyDescent="0.3">
      <c r="A3054" s="141" t="s">
        <v>5588</v>
      </c>
      <c r="B3054" s="141">
        <v>532742</v>
      </c>
      <c r="C3054" s="141" t="s">
        <v>1129</v>
      </c>
      <c r="D3054" s="141" t="s">
        <v>1289</v>
      </c>
    </row>
    <row r="3055" spans="1:4" x14ac:dyDescent="0.3">
      <c r="A3055" s="141" t="s">
        <v>5589</v>
      </c>
      <c r="B3055" s="141">
        <v>535658</v>
      </c>
      <c r="C3055" s="141" t="s">
        <v>1129</v>
      </c>
      <c r="D3055" s="141" t="s">
        <v>1146</v>
      </c>
    </row>
    <row r="3056" spans="1:4" x14ac:dyDescent="0.3">
      <c r="A3056" s="141" t="s">
        <v>5590</v>
      </c>
      <c r="B3056" s="141">
        <v>532676</v>
      </c>
      <c r="C3056" s="141" t="s">
        <v>5591</v>
      </c>
      <c r="D3056" s="141" t="s">
        <v>1527</v>
      </c>
    </row>
    <row r="3057" spans="1:4" x14ac:dyDescent="0.3">
      <c r="A3057" s="141" t="s">
        <v>5592</v>
      </c>
      <c r="B3057" s="141">
        <v>514087</v>
      </c>
      <c r="C3057" s="141" t="s">
        <v>1129</v>
      </c>
      <c r="D3057" s="141" t="s">
        <v>1144</v>
      </c>
    </row>
    <row r="3058" spans="1:4" x14ac:dyDescent="0.3">
      <c r="A3058" s="141" t="s">
        <v>5593</v>
      </c>
      <c r="B3058" s="141">
        <v>534809</v>
      </c>
      <c r="C3058" s="141" t="s">
        <v>5594</v>
      </c>
      <c r="D3058" s="141" t="s">
        <v>1243</v>
      </c>
    </row>
    <row r="3059" spans="1:4" x14ac:dyDescent="0.3">
      <c r="A3059" s="141" t="s">
        <v>5595</v>
      </c>
      <c r="B3059" s="141">
        <v>517119</v>
      </c>
      <c r="C3059" s="141" t="s">
        <v>1129</v>
      </c>
      <c r="D3059" s="141" t="s">
        <v>1454</v>
      </c>
    </row>
    <row r="3060" spans="1:4" x14ac:dyDescent="0.3">
      <c r="A3060" s="141" t="s">
        <v>5596</v>
      </c>
      <c r="B3060" s="141">
        <v>538730</v>
      </c>
      <c r="C3060" s="141" t="s">
        <v>5597</v>
      </c>
      <c r="D3060" s="141" t="s">
        <v>1151</v>
      </c>
    </row>
    <row r="3061" spans="1:4" x14ac:dyDescent="0.3">
      <c r="A3061" s="141" t="s">
        <v>5598</v>
      </c>
      <c r="B3061" s="141">
        <v>532808</v>
      </c>
      <c r="C3061" s="141" t="s">
        <v>5599</v>
      </c>
      <c r="D3061" s="141" t="s">
        <v>1243</v>
      </c>
    </row>
    <row r="3062" spans="1:4" x14ac:dyDescent="0.3">
      <c r="A3062" s="141" t="s">
        <v>5600</v>
      </c>
      <c r="B3062" s="141">
        <v>523260</v>
      </c>
      <c r="C3062" s="141" t="s">
        <v>5601</v>
      </c>
      <c r="D3062" s="141" t="s">
        <v>1324</v>
      </c>
    </row>
    <row r="3063" spans="1:4" x14ac:dyDescent="0.3">
      <c r="A3063" s="141" t="s">
        <v>5602</v>
      </c>
      <c r="B3063" s="141">
        <v>539273</v>
      </c>
      <c r="C3063" s="141" t="s">
        <v>1129</v>
      </c>
      <c r="D3063" s="141" t="s">
        <v>1618</v>
      </c>
    </row>
    <row r="3064" spans="1:4" x14ac:dyDescent="0.3">
      <c r="A3064" s="141" t="s">
        <v>5603</v>
      </c>
      <c r="B3064" s="141">
        <v>524136</v>
      </c>
      <c r="C3064" s="141" t="s">
        <v>1129</v>
      </c>
      <c r="D3064" s="141" t="s">
        <v>2948</v>
      </c>
    </row>
    <row r="3065" spans="1:4" x14ac:dyDescent="0.3">
      <c r="A3065" s="141" t="s">
        <v>5604</v>
      </c>
      <c r="B3065" s="141">
        <v>531352</v>
      </c>
      <c r="C3065" s="141" t="s">
        <v>1129</v>
      </c>
      <c r="D3065" s="141" t="s">
        <v>1144</v>
      </c>
    </row>
    <row r="3066" spans="1:4" x14ac:dyDescent="0.3">
      <c r="A3066" s="141" t="s">
        <v>5605</v>
      </c>
      <c r="B3066" s="141">
        <v>503031</v>
      </c>
      <c r="C3066" s="141" t="s">
        <v>5606</v>
      </c>
      <c r="D3066" s="141" t="s">
        <v>1215</v>
      </c>
    </row>
    <row r="3067" spans="1:4" x14ac:dyDescent="0.3">
      <c r="A3067" s="141" t="s">
        <v>5607</v>
      </c>
      <c r="B3067" s="141">
        <v>539333</v>
      </c>
      <c r="C3067" s="141" t="s">
        <v>5608</v>
      </c>
      <c r="D3067" s="141" t="s">
        <v>1215</v>
      </c>
    </row>
    <row r="3068" spans="1:4" x14ac:dyDescent="0.3">
      <c r="A3068" s="141" t="s">
        <v>5609</v>
      </c>
      <c r="B3068" s="141">
        <v>513228</v>
      </c>
      <c r="C3068" s="141" t="s">
        <v>5610</v>
      </c>
      <c r="D3068" s="141" t="s">
        <v>1161</v>
      </c>
    </row>
    <row r="3069" spans="1:4" x14ac:dyDescent="0.3">
      <c r="A3069" s="141" t="s">
        <v>5611</v>
      </c>
      <c r="B3069" s="141" t="s">
        <v>1129</v>
      </c>
      <c r="C3069" s="141" t="s">
        <v>5612</v>
      </c>
      <c r="D3069" s="141" t="s">
        <v>1140</v>
      </c>
    </row>
    <row r="3070" spans="1:4" x14ac:dyDescent="0.3">
      <c r="A3070" s="141" t="s">
        <v>5613</v>
      </c>
      <c r="B3070" s="141">
        <v>500329</v>
      </c>
      <c r="C3070" s="141" t="s">
        <v>1129</v>
      </c>
      <c r="D3070" s="141" t="s">
        <v>1132</v>
      </c>
    </row>
    <row r="3071" spans="1:4" x14ac:dyDescent="0.3">
      <c r="A3071" s="141" t="s">
        <v>5614</v>
      </c>
      <c r="B3071" s="141">
        <v>524210</v>
      </c>
      <c r="C3071" s="141" t="s">
        <v>1129</v>
      </c>
      <c r="D3071" s="141" t="s">
        <v>1177</v>
      </c>
    </row>
    <row r="3072" spans="1:4" x14ac:dyDescent="0.3">
      <c r="A3072" s="141" t="s">
        <v>5615</v>
      </c>
      <c r="B3072" s="141">
        <v>524210</v>
      </c>
      <c r="C3072" s="141" t="s">
        <v>1129</v>
      </c>
      <c r="D3072" s="141" t="s">
        <v>1177</v>
      </c>
    </row>
    <row r="3073" spans="1:4" x14ac:dyDescent="0.3">
      <c r="A3073" s="141" t="s">
        <v>5616</v>
      </c>
      <c r="B3073" s="141">
        <v>501144</v>
      </c>
      <c r="C3073" s="141" t="s">
        <v>1129</v>
      </c>
      <c r="D3073" s="141" t="s">
        <v>1550</v>
      </c>
    </row>
    <row r="3074" spans="1:4" x14ac:dyDescent="0.3">
      <c r="A3074" s="141" t="s">
        <v>5617</v>
      </c>
      <c r="B3074" s="141" t="s">
        <v>1129</v>
      </c>
      <c r="C3074" s="141" t="s">
        <v>5618</v>
      </c>
      <c r="D3074" s="141" t="s">
        <v>1140</v>
      </c>
    </row>
    <row r="3075" spans="1:4" x14ac:dyDescent="0.3">
      <c r="A3075" s="141" t="s">
        <v>5619</v>
      </c>
      <c r="B3075" s="141">
        <v>521062</v>
      </c>
      <c r="C3075" s="141" t="s">
        <v>1129</v>
      </c>
      <c r="D3075" s="141" t="s">
        <v>1868</v>
      </c>
    </row>
    <row r="3076" spans="1:4" x14ac:dyDescent="0.3">
      <c r="A3076" s="141" t="s">
        <v>5620</v>
      </c>
      <c r="B3076" s="141">
        <v>526435</v>
      </c>
      <c r="C3076" s="141" t="s">
        <v>1129</v>
      </c>
      <c r="D3076" s="141" t="s">
        <v>1123</v>
      </c>
    </row>
    <row r="3077" spans="1:4" x14ac:dyDescent="0.3">
      <c r="A3077" s="141" t="s">
        <v>5621</v>
      </c>
      <c r="B3077" s="141">
        <v>504132</v>
      </c>
      <c r="C3077" s="141" t="s">
        <v>1129</v>
      </c>
      <c r="D3077" s="141" t="s">
        <v>1314</v>
      </c>
    </row>
    <row r="3078" spans="1:4" x14ac:dyDescent="0.3">
      <c r="A3078" s="141" t="s">
        <v>5622</v>
      </c>
      <c r="B3078" s="141">
        <v>533179</v>
      </c>
      <c r="C3078" s="141" t="s">
        <v>5623</v>
      </c>
      <c r="D3078" s="141" t="s">
        <v>1115</v>
      </c>
    </row>
    <row r="3079" spans="1:4" x14ac:dyDescent="0.3">
      <c r="A3079" s="141" t="s">
        <v>5624</v>
      </c>
      <c r="B3079" s="141">
        <v>517172</v>
      </c>
      <c r="C3079" s="141" t="s">
        <v>1129</v>
      </c>
      <c r="D3079" s="141" t="s">
        <v>1671</v>
      </c>
    </row>
    <row r="3080" spans="1:4" x14ac:dyDescent="0.3">
      <c r="A3080" s="141" t="s">
        <v>5625</v>
      </c>
      <c r="B3080" s="141">
        <v>530381</v>
      </c>
      <c r="C3080" s="141" t="s">
        <v>5626</v>
      </c>
      <c r="D3080" s="141" t="s">
        <v>1527</v>
      </c>
    </row>
    <row r="3081" spans="1:4" x14ac:dyDescent="0.3">
      <c r="A3081" s="141" t="s">
        <v>5627</v>
      </c>
      <c r="B3081" s="141">
        <v>532522</v>
      </c>
      <c r="C3081" s="141" t="s">
        <v>5628</v>
      </c>
      <c r="D3081" s="141" t="s">
        <v>1339</v>
      </c>
    </row>
    <row r="3082" spans="1:4" x14ac:dyDescent="0.3">
      <c r="A3082" s="141" t="s">
        <v>5629</v>
      </c>
      <c r="B3082" s="141">
        <v>500680</v>
      </c>
      <c r="C3082" s="141" t="s">
        <v>5630</v>
      </c>
      <c r="D3082" s="141" t="s">
        <v>1167</v>
      </c>
    </row>
    <row r="3083" spans="1:4" x14ac:dyDescent="0.3">
      <c r="A3083" s="141" t="s">
        <v>5631</v>
      </c>
      <c r="B3083" s="141">
        <v>531769</v>
      </c>
      <c r="C3083" s="141" t="s">
        <v>1129</v>
      </c>
      <c r="D3083" s="141" t="s">
        <v>1222</v>
      </c>
    </row>
    <row r="3084" spans="1:4" x14ac:dyDescent="0.3">
      <c r="A3084" s="141" t="s">
        <v>5632</v>
      </c>
      <c r="B3084" s="141">
        <v>533581</v>
      </c>
      <c r="C3084" s="141" t="s">
        <v>5633</v>
      </c>
      <c r="D3084" s="141" t="s">
        <v>1498</v>
      </c>
    </row>
    <row r="3085" spans="1:4" x14ac:dyDescent="0.3">
      <c r="A3085" s="141" t="s">
        <v>5634</v>
      </c>
      <c r="B3085" s="141">
        <v>526747</v>
      </c>
      <c r="C3085" s="141" t="s">
        <v>1129</v>
      </c>
      <c r="D3085" s="141" t="s">
        <v>1434</v>
      </c>
    </row>
    <row r="3086" spans="1:4" x14ac:dyDescent="0.3">
      <c r="A3086" s="141" t="s">
        <v>5635</v>
      </c>
      <c r="B3086" s="141">
        <v>531281</v>
      </c>
      <c r="C3086" s="141" t="s">
        <v>1129</v>
      </c>
      <c r="D3086" s="141" t="s">
        <v>1657</v>
      </c>
    </row>
    <row r="3087" spans="1:4" x14ac:dyDescent="0.3">
      <c r="A3087" s="141" t="s">
        <v>5636</v>
      </c>
      <c r="B3087" s="141">
        <v>500143</v>
      </c>
      <c r="C3087" s="141" t="s">
        <v>1129</v>
      </c>
      <c r="D3087" s="141" t="s">
        <v>1151</v>
      </c>
    </row>
    <row r="3088" spans="1:4" x14ac:dyDescent="0.3">
      <c r="A3088" s="141" t="s">
        <v>5637</v>
      </c>
      <c r="B3088" s="141">
        <v>512026</v>
      </c>
      <c r="C3088" s="141" t="s">
        <v>1129</v>
      </c>
      <c r="D3088" s="141" t="s">
        <v>1151</v>
      </c>
    </row>
    <row r="3089" spans="1:4" x14ac:dyDescent="0.3">
      <c r="A3089" s="141" t="s">
        <v>5638</v>
      </c>
      <c r="B3089" s="141">
        <v>523620</v>
      </c>
      <c r="C3089" s="141" t="s">
        <v>1129</v>
      </c>
      <c r="D3089" s="141" t="s">
        <v>1167</v>
      </c>
    </row>
    <row r="3090" spans="1:4" x14ac:dyDescent="0.3">
      <c r="A3090" s="141" t="s">
        <v>5639</v>
      </c>
      <c r="B3090" s="141">
        <v>506590</v>
      </c>
      <c r="C3090" s="141" t="s">
        <v>5640</v>
      </c>
      <c r="D3090" s="141" t="s">
        <v>5641</v>
      </c>
    </row>
    <row r="3091" spans="1:4" x14ac:dyDescent="0.3">
      <c r="A3091" s="141" t="s">
        <v>5642</v>
      </c>
      <c r="B3091" s="141">
        <v>526481</v>
      </c>
      <c r="C3091" s="141" t="s">
        <v>1129</v>
      </c>
      <c r="D3091" s="141" t="s">
        <v>1243</v>
      </c>
    </row>
    <row r="3092" spans="1:4" x14ac:dyDescent="0.3">
      <c r="A3092" s="141" t="s">
        <v>5643</v>
      </c>
      <c r="B3092" s="141">
        <v>537839</v>
      </c>
      <c r="C3092" s="141" t="s">
        <v>1129</v>
      </c>
      <c r="D3092" s="141" t="s">
        <v>1330</v>
      </c>
    </row>
    <row r="3093" spans="1:4" x14ac:dyDescent="0.3">
      <c r="A3093" s="141" t="s">
        <v>5644</v>
      </c>
      <c r="B3093" s="141">
        <v>509084</v>
      </c>
      <c r="C3093" s="141" t="s">
        <v>1129</v>
      </c>
      <c r="D3093" s="141" t="s">
        <v>1550</v>
      </c>
    </row>
    <row r="3094" spans="1:4" x14ac:dyDescent="0.3">
      <c r="A3094" s="141" t="s">
        <v>5645</v>
      </c>
      <c r="B3094" s="141">
        <v>526588</v>
      </c>
      <c r="C3094" s="141" t="s">
        <v>1129</v>
      </c>
      <c r="D3094" s="141" t="s">
        <v>2368</v>
      </c>
    </row>
    <row r="3095" spans="1:4" x14ac:dyDescent="0.3">
      <c r="A3095" s="141" t="s">
        <v>5646</v>
      </c>
      <c r="B3095" s="141">
        <v>526588</v>
      </c>
      <c r="C3095" s="141" t="s">
        <v>1129</v>
      </c>
      <c r="D3095" s="141" t="s">
        <v>2368</v>
      </c>
    </row>
    <row r="3096" spans="1:4" x14ac:dyDescent="0.3">
      <c r="A3096" s="141" t="s">
        <v>5647</v>
      </c>
      <c r="B3096" s="141">
        <v>524808</v>
      </c>
      <c r="C3096" s="141" t="s">
        <v>1129</v>
      </c>
      <c r="D3096" s="141" t="s">
        <v>1273</v>
      </c>
    </row>
    <row r="3097" spans="1:4" x14ac:dyDescent="0.3">
      <c r="A3097" s="141" t="s">
        <v>5648</v>
      </c>
      <c r="B3097" s="141">
        <v>524808</v>
      </c>
      <c r="C3097" s="141" t="s">
        <v>1129</v>
      </c>
      <c r="D3097" s="141" t="s">
        <v>1273</v>
      </c>
    </row>
    <row r="3098" spans="1:4" x14ac:dyDescent="0.3">
      <c r="A3098" s="141" t="s">
        <v>5649</v>
      </c>
      <c r="B3098" s="141">
        <v>523642</v>
      </c>
      <c r="C3098" s="141" t="s">
        <v>5650</v>
      </c>
      <c r="D3098" s="141" t="s">
        <v>1273</v>
      </c>
    </row>
    <row r="3099" spans="1:4" x14ac:dyDescent="0.3">
      <c r="A3099" s="141" t="s">
        <v>5651</v>
      </c>
      <c r="B3099" s="141">
        <v>530305</v>
      </c>
      <c r="C3099" s="141" t="s">
        <v>1129</v>
      </c>
      <c r="D3099" s="141" t="s">
        <v>1828</v>
      </c>
    </row>
    <row r="3100" spans="1:4" x14ac:dyDescent="0.3">
      <c r="A3100" s="141" t="s">
        <v>5652</v>
      </c>
      <c r="B3100" s="141">
        <v>507498</v>
      </c>
      <c r="C3100" s="141" t="s">
        <v>1129</v>
      </c>
      <c r="D3100" s="141" t="s">
        <v>1828</v>
      </c>
    </row>
    <row r="3101" spans="1:4" x14ac:dyDescent="0.3">
      <c r="A3101" s="141" t="s">
        <v>5653</v>
      </c>
      <c r="B3101" s="141">
        <v>532355</v>
      </c>
      <c r="C3101" s="141" t="s">
        <v>1129</v>
      </c>
      <c r="D3101" s="141" t="s">
        <v>1132</v>
      </c>
    </row>
    <row r="3102" spans="1:4" x14ac:dyDescent="0.3">
      <c r="A3102" s="141" t="s">
        <v>5654</v>
      </c>
      <c r="B3102" s="141">
        <v>500331</v>
      </c>
      <c r="C3102" s="141" t="s">
        <v>5655</v>
      </c>
      <c r="D3102" s="141" t="s">
        <v>1289</v>
      </c>
    </row>
    <row r="3103" spans="1:4" x14ac:dyDescent="0.3">
      <c r="A3103" s="141" t="s">
        <v>5656</v>
      </c>
      <c r="B3103" s="141">
        <v>500327</v>
      </c>
      <c r="C3103" s="141" t="s">
        <v>5657</v>
      </c>
      <c r="D3103" s="141" t="s">
        <v>1249</v>
      </c>
    </row>
    <row r="3104" spans="1:4" x14ac:dyDescent="0.3">
      <c r="A3104" s="141" t="s">
        <v>5658</v>
      </c>
      <c r="B3104" s="141">
        <v>539883</v>
      </c>
      <c r="C3104" s="141" t="s">
        <v>5659</v>
      </c>
      <c r="D3104" s="141" t="s">
        <v>1295</v>
      </c>
    </row>
    <row r="3105" spans="1:4" x14ac:dyDescent="0.3">
      <c r="A3105" s="141" t="s">
        <v>5660</v>
      </c>
      <c r="B3105" s="141">
        <v>519439</v>
      </c>
      <c r="C3105" s="141" t="s">
        <v>1129</v>
      </c>
      <c r="D3105" s="141" t="s">
        <v>1378</v>
      </c>
    </row>
    <row r="3106" spans="1:4" x14ac:dyDescent="0.3">
      <c r="A3106" s="141" t="s">
        <v>5661</v>
      </c>
      <c r="B3106" s="141">
        <v>531879</v>
      </c>
      <c r="C3106" s="141" t="s">
        <v>5662</v>
      </c>
      <c r="D3106" s="141" t="s">
        <v>1761</v>
      </c>
    </row>
    <row r="3107" spans="1:4" x14ac:dyDescent="0.3">
      <c r="A3107" s="141" t="s">
        <v>5663</v>
      </c>
      <c r="B3107" s="141">
        <v>514300</v>
      </c>
      <c r="C3107" s="141" t="s">
        <v>5664</v>
      </c>
      <c r="D3107" s="141" t="s">
        <v>1144</v>
      </c>
    </row>
    <row r="3108" spans="1:4" x14ac:dyDescent="0.3">
      <c r="A3108" s="141" t="s">
        <v>5665</v>
      </c>
      <c r="B3108" s="141">
        <v>507864</v>
      </c>
      <c r="C3108" s="141" t="s">
        <v>1129</v>
      </c>
      <c r="D3108" s="141" t="s">
        <v>1112</v>
      </c>
    </row>
    <row r="3109" spans="1:4" x14ac:dyDescent="0.3">
      <c r="A3109" s="141" t="s">
        <v>5666</v>
      </c>
      <c r="B3109" s="141">
        <v>500302</v>
      </c>
      <c r="C3109" s="141" t="s">
        <v>5667</v>
      </c>
      <c r="D3109" s="141" t="s">
        <v>1167</v>
      </c>
    </row>
    <row r="3110" spans="1:4" x14ac:dyDescent="0.3">
      <c r="A3110" s="141" t="s">
        <v>5668</v>
      </c>
      <c r="B3110" s="141">
        <v>532979</v>
      </c>
      <c r="C3110" s="141" t="s">
        <v>5669</v>
      </c>
      <c r="D3110" s="141" t="s">
        <v>1167</v>
      </c>
    </row>
    <row r="3111" spans="1:4" x14ac:dyDescent="0.3">
      <c r="A3111" s="141" t="s">
        <v>5670</v>
      </c>
      <c r="B3111" s="141">
        <v>530683</v>
      </c>
      <c r="C3111" s="141" t="s">
        <v>1129</v>
      </c>
      <c r="D3111" s="141" t="s">
        <v>1324</v>
      </c>
    </row>
    <row r="3112" spans="1:4" x14ac:dyDescent="0.3">
      <c r="A3112" s="141" t="s">
        <v>5671</v>
      </c>
      <c r="B3112" s="141">
        <v>513519</v>
      </c>
      <c r="C3112" s="141" t="s">
        <v>5672</v>
      </c>
      <c r="D3112" s="141" t="s">
        <v>1427</v>
      </c>
    </row>
    <row r="3113" spans="1:4" x14ac:dyDescent="0.3">
      <c r="A3113" s="141" t="s">
        <v>5673</v>
      </c>
      <c r="B3113" s="141">
        <v>500333</v>
      </c>
      <c r="C3113" s="141" t="s">
        <v>1129</v>
      </c>
      <c r="D3113" s="141" t="s">
        <v>1609</v>
      </c>
    </row>
    <row r="3114" spans="1:4" x14ac:dyDescent="0.3">
      <c r="A3114" s="141" t="s">
        <v>5674</v>
      </c>
      <c r="B3114" s="141">
        <v>523105</v>
      </c>
      <c r="C3114" s="141" t="s">
        <v>1129</v>
      </c>
      <c r="D3114" s="141" t="s">
        <v>1324</v>
      </c>
    </row>
    <row r="3115" spans="1:4" x14ac:dyDescent="0.3">
      <c r="A3115" s="141" t="s">
        <v>5675</v>
      </c>
      <c r="B3115" s="141">
        <v>523648</v>
      </c>
      <c r="C3115" s="141" t="s">
        <v>5676</v>
      </c>
      <c r="D3115" s="141" t="s">
        <v>1289</v>
      </c>
    </row>
    <row r="3116" spans="1:4" x14ac:dyDescent="0.3">
      <c r="A3116" s="141" t="s">
        <v>5677</v>
      </c>
      <c r="B3116" s="141">
        <v>523648</v>
      </c>
      <c r="C3116" s="141" t="s">
        <v>5676</v>
      </c>
      <c r="D3116" s="141" t="s">
        <v>1289</v>
      </c>
    </row>
    <row r="3117" spans="1:4" x14ac:dyDescent="0.3">
      <c r="A3117" s="141" t="s">
        <v>5678</v>
      </c>
      <c r="B3117" s="141">
        <v>534060</v>
      </c>
      <c r="C3117" s="141" t="s">
        <v>1129</v>
      </c>
      <c r="D3117" s="141" t="s">
        <v>1146</v>
      </c>
    </row>
    <row r="3118" spans="1:4" x14ac:dyDescent="0.3">
      <c r="A3118" s="141" t="s">
        <v>5679</v>
      </c>
      <c r="B3118" s="141">
        <v>532366</v>
      </c>
      <c r="C3118" s="141" t="s">
        <v>5680</v>
      </c>
      <c r="D3118" s="141" t="s">
        <v>1146</v>
      </c>
    </row>
    <row r="3119" spans="1:4" x14ac:dyDescent="0.3">
      <c r="A3119" s="141" t="s">
        <v>5681</v>
      </c>
      <c r="B3119" s="141">
        <v>540173</v>
      </c>
      <c r="C3119" s="141" t="s">
        <v>5682</v>
      </c>
      <c r="D3119" s="141" t="s">
        <v>1187</v>
      </c>
    </row>
    <row r="3120" spans="1:4" x14ac:dyDescent="0.3">
      <c r="A3120" s="141" t="s">
        <v>5683</v>
      </c>
      <c r="B3120" s="141">
        <v>539150</v>
      </c>
      <c r="C3120" s="141" t="s">
        <v>5684</v>
      </c>
      <c r="D3120" s="141" t="s">
        <v>1724</v>
      </c>
    </row>
    <row r="3121" spans="1:4" x14ac:dyDescent="0.3">
      <c r="A3121" s="141" t="s">
        <v>5685</v>
      </c>
      <c r="B3121" s="141">
        <v>532803</v>
      </c>
      <c r="C3121" s="141" t="s">
        <v>5686</v>
      </c>
      <c r="D3121" s="141" t="s">
        <v>1327</v>
      </c>
    </row>
    <row r="3122" spans="1:4" x14ac:dyDescent="0.3">
      <c r="A3122" s="141" t="s">
        <v>5687</v>
      </c>
      <c r="B3122" s="141">
        <v>539195</v>
      </c>
      <c r="C3122" s="141" t="s">
        <v>1129</v>
      </c>
      <c r="D3122" s="141" t="s">
        <v>1177</v>
      </c>
    </row>
    <row r="3123" spans="1:4" x14ac:dyDescent="0.3">
      <c r="A3123" s="141" t="s">
        <v>5688</v>
      </c>
      <c r="B3123" s="141">
        <v>523628</v>
      </c>
      <c r="C3123" s="141" t="s">
        <v>5689</v>
      </c>
      <c r="D3123" s="141" t="s">
        <v>1215</v>
      </c>
    </row>
    <row r="3124" spans="1:4" x14ac:dyDescent="0.3">
      <c r="A3124" s="141" t="s">
        <v>5690</v>
      </c>
      <c r="B3124" s="141">
        <v>524570</v>
      </c>
      <c r="C3124" s="141" t="s">
        <v>5691</v>
      </c>
      <c r="D3124" s="141" t="s">
        <v>1289</v>
      </c>
    </row>
    <row r="3125" spans="1:4" x14ac:dyDescent="0.3">
      <c r="A3125" s="141" t="s">
        <v>5692</v>
      </c>
      <c r="B3125" s="141">
        <v>532486</v>
      </c>
      <c r="C3125" s="141" t="s">
        <v>5693</v>
      </c>
      <c r="D3125" s="141" t="s">
        <v>1657</v>
      </c>
    </row>
    <row r="3126" spans="1:4" x14ac:dyDescent="0.3">
      <c r="A3126" s="141" t="s">
        <v>5694</v>
      </c>
      <c r="B3126" s="141">
        <v>526687</v>
      </c>
      <c r="C3126" s="141" t="s">
        <v>1129</v>
      </c>
      <c r="D3126" s="141" t="s">
        <v>1330</v>
      </c>
    </row>
    <row r="3127" spans="1:4" x14ac:dyDescent="0.3">
      <c r="A3127" s="141" t="s">
        <v>5695</v>
      </c>
      <c r="B3127" s="141">
        <v>540717</v>
      </c>
      <c r="C3127" s="141" t="s">
        <v>1129</v>
      </c>
      <c r="D3127" s="141" t="s">
        <v>1151</v>
      </c>
    </row>
    <row r="3128" spans="1:4" x14ac:dyDescent="0.3">
      <c r="A3128" s="141" t="s">
        <v>5696</v>
      </c>
      <c r="B3128" s="141">
        <v>507645</v>
      </c>
      <c r="C3128" s="141" t="s">
        <v>1129</v>
      </c>
      <c r="D3128" s="141" t="s">
        <v>1289</v>
      </c>
    </row>
    <row r="3129" spans="1:4" x14ac:dyDescent="0.3">
      <c r="A3129" s="141" t="s">
        <v>5697</v>
      </c>
      <c r="B3129" s="141">
        <v>531768</v>
      </c>
      <c r="C3129" s="141" t="s">
        <v>5698</v>
      </c>
      <c r="D3129" s="141" t="s">
        <v>2296</v>
      </c>
    </row>
    <row r="3130" spans="1:4" x14ac:dyDescent="0.3">
      <c r="A3130" s="141" t="s">
        <v>5699</v>
      </c>
      <c r="B3130" s="141">
        <v>542652</v>
      </c>
      <c r="C3130" s="141" t="s">
        <v>5700</v>
      </c>
      <c r="D3130" s="141" t="s">
        <v>1427</v>
      </c>
    </row>
    <row r="3131" spans="1:4" x14ac:dyDescent="0.3">
      <c r="A3131" s="141" t="s">
        <v>5701</v>
      </c>
      <c r="B3131" s="141">
        <v>506605</v>
      </c>
      <c r="C3131" s="141" t="s">
        <v>1129</v>
      </c>
      <c r="D3131" s="141" t="s">
        <v>1177</v>
      </c>
    </row>
    <row r="3132" spans="1:4" x14ac:dyDescent="0.3">
      <c r="A3132" s="141" t="s">
        <v>5702</v>
      </c>
      <c r="B3132" s="141">
        <v>531397</v>
      </c>
      <c r="C3132" s="141" t="s">
        <v>1129</v>
      </c>
      <c r="D3132" s="141" t="s">
        <v>1324</v>
      </c>
    </row>
    <row r="3133" spans="1:4" x14ac:dyDescent="0.3">
      <c r="A3133" s="141" t="s">
        <v>5703</v>
      </c>
      <c r="B3133" s="141">
        <v>514486</v>
      </c>
      <c r="C3133" s="141" t="s">
        <v>1129</v>
      </c>
      <c r="D3133" s="141" t="s">
        <v>1144</v>
      </c>
    </row>
    <row r="3134" spans="1:4" x14ac:dyDescent="0.3">
      <c r="A3134" s="141" t="s">
        <v>5704</v>
      </c>
      <c r="B3134" s="141">
        <v>531454</v>
      </c>
      <c r="C3134" s="141" t="s">
        <v>1129</v>
      </c>
      <c r="D3134" s="141" t="s">
        <v>1506</v>
      </c>
    </row>
    <row r="3135" spans="1:4" x14ac:dyDescent="0.3">
      <c r="A3135" s="141" t="s">
        <v>5705</v>
      </c>
      <c r="B3135" s="141">
        <v>531454</v>
      </c>
      <c r="C3135" s="141" t="s">
        <v>1129</v>
      </c>
      <c r="D3135" s="141" t="s">
        <v>1506</v>
      </c>
    </row>
    <row r="3136" spans="1:4" x14ac:dyDescent="0.3">
      <c r="A3136" s="141" t="s">
        <v>5706</v>
      </c>
      <c r="B3136" s="141">
        <v>537573</v>
      </c>
      <c r="C3136" s="141" t="s">
        <v>1129</v>
      </c>
      <c r="D3136" s="141" t="s">
        <v>1249</v>
      </c>
    </row>
    <row r="3137" spans="1:4" x14ac:dyDescent="0.3">
      <c r="A3137" s="141" t="s">
        <v>5707</v>
      </c>
      <c r="B3137" s="141">
        <v>526043</v>
      </c>
      <c r="C3137" s="141" t="s">
        <v>1129</v>
      </c>
      <c r="D3137" s="141" t="s">
        <v>1137</v>
      </c>
    </row>
    <row r="3138" spans="1:4" x14ac:dyDescent="0.3">
      <c r="A3138" s="141" t="s">
        <v>5708</v>
      </c>
      <c r="B3138" s="141">
        <v>524051</v>
      </c>
      <c r="C3138" s="141" t="s">
        <v>5709</v>
      </c>
      <c r="D3138" s="141" t="s">
        <v>1177</v>
      </c>
    </row>
    <row r="3139" spans="1:4" x14ac:dyDescent="0.3">
      <c r="A3139" s="141" t="s">
        <v>5710</v>
      </c>
      <c r="B3139" s="141">
        <v>539354</v>
      </c>
      <c r="C3139" s="141" t="s">
        <v>1129</v>
      </c>
      <c r="D3139" s="141" t="s">
        <v>1324</v>
      </c>
    </row>
    <row r="3140" spans="1:4" x14ac:dyDescent="0.3">
      <c r="A3140" s="141" t="s">
        <v>5711</v>
      </c>
      <c r="B3140" s="141">
        <v>512481</v>
      </c>
      <c r="C3140" s="141" t="s">
        <v>1129</v>
      </c>
      <c r="D3140" s="141" t="s">
        <v>1146</v>
      </c>
    </row>
    <row r="3141" spans="1:4" x14ac:dyDescent="0.3">
      <c r="A3141" s="141" t="s">
        <v>5712</v>
      </c>
      <c r="B3141" s="141">
        <v>512481</v>
      </c>
      <c r="C3141" s="141" t="s">
        <v>1129</v>
      </c>
      <c r="D3141" s="141" t="s">
        <v>1146</v>
      </c>
    </row>
    <row r="3142" spans="1:4" x14ac:dyDescent="0.3">
      <c r="A3142" s="141" t="s">
        <v>5713</v>
      </c>
      <c r="B3142" s="141">
        <v>532626</v>
      </c>
      <c r="C3142" s="141" t="s">
        <v>1129</v>
      </c>
      <c r="D3142" s="141" t="s">
        <v>3376</v>
      </c>
    </row>
    <row r="3143" spans="1:4" x14ac:dyDescent="0.3">
      <c r="A3143" s="141" t="s">
        <v>5714</v>
      </c>
      <c r="B3143" s="141">
        <v>532460</v>
      </c>
      <c r="C3143" s="141" t="s">
        <v>5715</v>
      </c>
      <c r="D3143" s="141" t="s">
        <v>1828</v>
      </c>
    </row>
    <row r="3144" spans="1:4" x14ac:dyDescent="0.3">
      <c r="A3144" s="141" t="s">
        <v>5716</v>
      </c>
      <c r="B3144" s="141">
        <v>532011</v>
      </c>
      <c r="C3144" s="141" t="s">
        <v>1129</v>
      </c>
      <c r="D3144" s="141" t="s">
        <v>1132</v>
      </c>
    </row>
    <row r="3145" spans="1:4" x14ac:dyDescent="0.3">
      <c r="A3145" s="141" t="s">
        <v>5717</v>
      </c>
      <c r="B3145" s="141">
        <v>540727</v>
      </c>
      <c r="C3145" s="141" t="s">
        <v>1129</v>
      </c>
      <c r="D3145" s="141" t="s">
        <v>2049</v>
      </c>
    </row>
    <row r="3146" spans="1:4" x14ac:dyDescent="0.3">
      <c r="A3146" s="141" t="s">
        <v>5718</v>
      </c>
      <c r="B3146" s="141">
        <v>519359</v>
      </c>
      <c r="C3146" s="141" t="s">
        <v>1129</v>
      </c>
      <c r="D3146" s="141" t="s">
        <v>1378</v>
      </c>
    </row>
    <row r="3147" spans="1:4" x14ac:dyDescent="0.3">
      <c r="A3147" s="141" t="s">
        <v>5719</v>
      </c>
      <c r="B3147" s="141">
        <v>531870</v>
      </c>
      <c r="C3147" s="141" t="s">
        <v>1129</v>
      </c>
      <c r="D3147" s="141" t="s">
        <v>1527</v>
      </c>
    </row>
    <row r="3148" spans="1:4" x14ac:dyDescent="0.3">
      <c r="A3148" s="141" t="s">
        <v>5720</v>
      </c>
      <c r="B3148" s="141">
        <v>532933</v>
      </c>
      <c r="C3148" s="141" t="s">
        <v>1129</v>
      </c>
      <c r="D3148" s="141" t="s">
        <v>1484</v>
      </c>
    </row>
    <row r="3149" spans="1:4" x14ac:dyDescent="0.3">
      <c r="A3149" s="141" t="s">
        <v>5721</v>
      </c>
      <c r="B3149" s="141" t="s">
        <v>1129</v>
      </c>
      <c r="C3149" s="141" t="s">
        <v>5722</v>
      </c>
      <c r="D3149" s="141" t="s">
        <v>1140</v>
      </c>
    </row>
    <row r="3150" spans="1:4" x14ac:dyDescent="0.3">
      <c r="A3150" s="141" t="s">
        <v>5723</v>
      </c>
      <c r="B3150" s="141">
        <v>532810</v>
      </c>
      <c r="C3150" s="141" t="s">
        <v>5724</v>
      </c>
      <c r="D3150" s="141" t="s">
        <v>1146</v>
      </c>
    </row>
    <row r="3151" spans="1:4" x14ac:dyDescent="0.3">
      <c r="A3151" s="141" t="s">
        <v>5725</v>
      </c>
      <c r="B3151" s="141">
        <v>532898</v>
      </c>
      <c r="C3151" s="141" t="s">
        <v>5726</v>
      </c>
      <c r="D3151" s="141" t="s">
        <v>1268</v>
      </c>
    </row>
    <row r="3152" spans="1:4" x14ac:dyDescent="0.3">
      <c r="A3152" s="141" t="s">
        <v>5727</v>
      </c>
      <c r="B3152" s="141">
        <v>532898</v>
      </c>
      <c r="C3152" s="141" t="s">
        <v>5726</v>
      </c>
      <c r="D3152" s="141" t="s">
        <v>1268</v>
      </c>
    </row>
    <row r="3153" spans="1:4" x14ac:dyDescent="0.3">
      <c r="A3153" s="141" t="s">
        <v>5728</v>
      </c>
      <c r="B3153" s="141">
        <v>539302</v>
      </c>
      <c r="C3153" s="141" t="s">
        <v>5729</v>
      </c>
      <c r="D3153" s="141" t="s">
        <v>1527</v>
      </c>
    </row>
    <row r="3154" spans="1:4" x14ac:dyDescent="0.3">
      <c r="A3154" s="141" t="s">
        <v>5730</v>
      </c>
      <c r="B3154" s="141" t="s">
        <v>1129</v>
      </c>
      <c r="C3154" s="141" t="s">
        <v>5731</v>
      </c>
      <c r="D3154" s="141" t="s">
        <v>1140</v>
      </c>
    </row>
    <row r="3155" spans="1:4" x14ac:dyDescent="0.3">
      <c r="A3155" s="141" t="s">
        <v>5732</v>
      </c>
      <c r="B3155" s="141">
        <v>538731</v>
      </c>
      <c r="C3155" s="141" t="s">
        <v>1129</v>
      </c>
      <c r="D3155" s="141" t="s">
        <v>1307</v>
      </c>
    </row>
    <row r="3156" spans="1:4" x14ac:dyDescent="0.3">
      <c r="A3156" s="141" t="s">
        <v>5733</v>
      </c>
      <c r="B3156" s="141">
        <v>532934</v>
      </c>
      <c r="C3156" s="141" t="s">
        <v>5734</v>
      </c>
      <c r="D3156" s="141" t="s">
        <v>1484</v>
      </c>
    </row>
    <row r="3157" spans="1:4" x14ac:dyDescent="0.3">
      <c r="A3157" s="141" t="s">
        <v>5735</v>
      </c>
      <c r="B3157" s="141">
        <v>539351</v>
      </c>
      <c r="C3157" s="141" t="s">
        <v>5736</v>
      </c>
      <c r="D3157" s="141" t="s">
        <v>1189</v>
      </c>
    </row>
    <row r="3158" spans="1:4" x14ac:dyDescent="0.3">
      <c r="A3158" s="141" t="s">
        <v>5737</v>
      </c>
      <c r="B3158" s="141">
        <v>540027</v>
      </c>
      <c r="C3158" s="141" t="s">
        <v>1129</v>
      </c>
      <c r="D3158" s="141" t="s">
        <v>1130</v>
      </c>
    </row>
    <row r="3159" spans="1:4" x14ac:dyDescent="0.3">
      <c r="A3159" s="141" t="s">
        <v>5738</v>
      </c>
      <c r="B3159" s="141">
        <v>540027</v>
      </c>
      <c r="C3159" s="141" t="s">
        <v>1129</v>
      </c>
      <c r="D3159" s="141" t="s">
        <v>1130</v>
      </c>
    </row>
    <row r="3160" spans="1:4" x14ac:dyDescent="0.3">
      <c r="A3160" s="141" t="s">
        <v>5739</v>
      </c>
      <c r="B3160" s="141">
        <v>531855</v>
      </c>
      <c r="C3160" s="141" t="s">
        <v>1129</v>
      </c>
      <c r="D3160" s="141" t="s">
        <v>1161</v>
      </c>
    </row>
    <row r="3161" spans="1:4" x14ac:dyDescent="0.3">
      <c r="A3161" s="141" t="s">
        <v>5740</v>
      </c>
      <c r="B3161" s="141">
        <v>506042</v>
      </c>
      <c r="C3161" s="141" t="s">
        <v>1129</v>
      </c>
      <c r="D3161" s="141" t="s">
        <v>1161</v>
      </c>
    </row>
    <row r="3162" spans="1:4" x14ac:dyDescent="0.3">
      <c r="A3162" s="141" t="s">
        <v>5741</v>
      </c>
      <c r="B3162" s="141">
        <v>513532</v>
      </c>
      <c r="C3162" s="141" t="s">
        <v>1129</v>
      </c>
      <c r="D3162" s="141" t="s">
        <v>1484</v>
      </c>
    </row>
    <row r="3163" spans="1:4" x14ac:dyDescent="0.3">
      <c r="A3163" s="141" t="s">
        <v>5742</v>
      </c>
      <c r="B3163" s="141">
        <v>530095</v>
      </c>
      <c r="C3163" s="141" t="s">
        <v>1129</v>
      </c>
      <c r="D3163" s="141" t="s">
        <v>1161</v>
      </c>
    </row>
    <row r="3164" spans="1:4" x14ac:dyDescent="0.3">
      <c r="A3164" s="141" t="s">
        <v>5743</v>
      </c>
      <c r="B3164" s="141">
        <v>533178</v>
      </c>
      <c r="C3164" s="141" t="s">
        <v>5744</v>
      </c>
      <c r="D3164" s="141" t="s">
        <v>1144</v>
      </c>
    </row>
    <row r="3165" spans="1:4" x14ac:dyDescent="0.3">
      <c r="A3165" s="141" t="s">
        <v>5745</v>
      </c>
      <c r="B3165" s="141">
        <v>500192</v>
      </c>
      <c r="C3165" s="141" t="s">
        <v>1129</v>
      </c>
      <c r="D3165" s="141" t="s">
        <v>1144</v>
      </c>
    </row>
    <row r="3166" spans="1:4" x14ac:dyDescent="0.3">
      <c r="A3166" s="141" t="s">
        <v>5746</v>
      </c>
      <c r="B3166" s="141">
        <v>522205</v>
      </c>
      <c r="C3166" s="141" t="s">
        <v>5747</v>
      </c>
      <c r="D3166" s="141" t="s">
        <v>1527</v>
      </c>
    </row>
    <row r="3167" spans="1:4" x14ac:dyDescent="0.3">
      <c r="A3167" s="141" t="s">
        <v>5748</v>
      </c>
      <c r="B3167" s="141">
        <v>531746</v>
      </c>
      <c r="C3167" s="141" t="s">
        <v>5749</v>
      </c>
      <c r="D3167" s="141" t="s">
        <v>1215</v>
      </c>
    </row>
    <row r="3168" spans="1:4" x14ac:dyDescent="0.3">
      <c r="A3168" s="141" t="s">
        <v>5750</v>
      </c>
      <c r="B3168" s="141">
        <v>533605</v>
      </c>
      <c r="C3168" s="141" t="s">
        <v>5751</v>
      </c>
      <c r="D3168" s="141" t="s">
        <v>1527</v>
      </c>
    </row>
    <row r="3169" spans="1:4" x14ac:dyDescent="0.3">
      <c r="A3169" s="141" t="s">
        <v>5752</v>
      </c>
      <c r="B3169" s="141">
        <v>506022</v>
      </c>
      <c r="C3169" s="141" t="s">
        <v>5753</v>
      </c>
      <c r="D3169" s="141" t="s">
        <v>1161</v>
      </c>
    </row>
    <row r="3170" spans="1:4" x14ac:dyDescent="0.3">
      <c r="A3170" s="141" t="s">
        <v>5754</v>
      </c>
      <c r="B3170" s="141">
        <v>542684</v>
      </c>
      <c r="C3170" s="141" t="s">
        <v>5755</v>
      </c>
      <c r="D3170" s="141" t="s">
        <v>1249</v>
      </c>
    </row>
    <row r="3171" spans="1:4" x14ac:dyDescent="0.3">
      <c r="A3171" s="141" t="s">
        <v>5756</v>
      </c>
      <c r="B3171" s="141">
        <v>533239</v>
      </c>
      <c r="C3171" s="141" t="s">
        <v>5757</v>
      </c>
      <c r="D3171" s="141" t="s">
        <v>1527</v>
      </c>
    </row>
    <row r="3172" spans="1:4" x14ac:dyDescent="0.3">
      <c r="A3172" s="141" t="s">
        <v>5758</v>
      </c>
      <c r="B3172" s="141">
        <v>531437</v>
      </c>
      <c r="C3172" s="141" t="s">
        <v>1129</v>
      </c>
      <c r="D3172" s="141" t="s">
        <v>1144</v>
      </c>
    </row>
    <row r="3173" spans="1:4" x14ac:dyDescent="0.3">
      <c r="A3173" s="141" t="s">
        <v>5759</v>
      </c>
      <c r="B3173" s="141">
        <v>531172</v>
      </c>
      <c r="C3173" s="141" t="s">
        <v>1129</v>
      </c>
      <c r="D3173" s="141" t="s">
        <v>1144</v>
      </c>
    </row>
    <row r="3174" spans="1:4" x14ac:dyDescent="0.3">
      <c r="A3174" s="141" t="s">
        <v>5760</v>
      </c>
      <c r="B3174" s="141">
        <v>519014</v>
      </c>
      <c r="C3174" s="141" t="s">
        <v>1129</v>
      </c>
      <c r="D3174" s="141" t="s">
        <v>1144</v>
      </c>
    </row>
    <row r="3175" spans="1:4" x14ac:dyDescent="0.3">
      <c r="A3175" s="141" t="s">
        <v>5761</v>
      </c>
      <c r="B3175" s="141">
        <v>519014</v>
      </c>
      <c r="C3175" s="141" t="s">
        <v>1129</v>
      </c>
      <c r="D3175" s="141" t="s">
        <v>1144</v>
      </c>
    </row>
    <row r="3176" spans="1:4" x14ac:dyDescent="0.3">
      <c r="A3176" s="141" t="s">
        <v>5762</v>
      </c>
      <c r="B3176" s="141">
        <v>540724</v>
      </c>
      <c r="C3176" s="141" t="s">
        <v>5763</v>
      </c>
      <c r="D3176" s="141" t="s">
        <v>1189</v>
      </c>
    </row>
    <row r="3177" spans="1:4" x14ac:dyDescent="0.3">
      <c r="A3177" s="141" t="s">
        <v>5764</v>
      </c>
      <c r="B3177" s="141">
        <v>526490</v>
      </c>
      <c r="C3177" s="141" t="s">
        <v>1129</v>
      </c>
      <c r="D3177" s="141" t="s">
        <v>1624</v>
      </c>
    </row>
    <row r="3178" spans="1:4" x14ac:dyDescent="0.3">
      <c r="A3178" s="141" t="s">
        <v>5765</v>
      </c>
      <c r="B3178" s="141">
        <v>531257</v>
      </c>
      <c r="C3178" s="141" t="s">
        <v>1129</v>
      </c>
      <c r="D3178" s="141" t="s">
        <v>1289</v>
      </c>
    </row>
    <row r="3179" spans="1:4" x14ac:dyDescent="0.3">
      <c r="A3179" s="141" t="s">
        <v>5766</v>
      </c>
      <c r="B3179" s="141">
        <v>540901</v>
      </c>
      <c r="C3179" s="141" t="s">
        <v>5767</v>
      </c>
      <c r="D3179" s="141" t="s">
        <v>1130</v>
      </c>
    </row>
    <row r="3180" spans="1:4" x14ac:dyDescent="0.3">
      <c r="A3180" s="141" t="s">
        <v>5768</v>
      </c>
      <c r="B3180" s="141">
        <v>506107</v>
      </c>
      <c r="C3180" s="141" t="s">
        <v>1129</v>
      </c>
      <c r="D3180" s="141" t="s">
        <v>1550</v>
      </c>
    </row>
    <row r="3181" spans="1:4" x14ac:dyDescent="0.3">
      <c r="A3181" s="141" t="s">
        <v>5769</v>
      </c>
      <c r="B3181" s="141">
        <v>539636</v>
      </c>
      <c r="C3181" s="141" t="s">
        <v>5770</v>
      </c>
      <c r="D3181" s="141" t="s">
        <v>1484</v>
      </c>
    </row>
    <row r="3182" spans="1:4" x14ac:dyDescent="0.3">
      <c r="A3182" s="141" t="s">
        <v>5771</v>
      </c>
      <c r="B3182" s="141">
        <v>523874</v>
      </c>
      <c r="C3182" s="141" t="s">
        <v>1129</v>
      </c>
      <c r="D3182" s="141" t="s">
        <v>1151</v>
      </c>
    </row>
    <row r="3183" spans="1:4" x14ac:dyDescent="0.3">
      <c r="A3183" s="141" t="s">
        <v>5772</v>
      </c>
      <c r="B3183" s="141">
        <v>517258</v>
      </c>
      <c r="C3183" s="141" t="s">
        <v>1129</v>
      </c>
      <c r="D3183" s="141" t="s">
        <v>1671</v>
      </c>
    </row>
    <row r="3184" spans="1:4" x14ac:dyDescent="0.3">
      <c r="A3184" s="141" t="s">
        <v>5773</v>
      </c>
      <c r="B3184" s="141">
        <v>523539</v>
      </c>
      <c r="C3184" s="141" t="s">
        <v>5774</v>
      </c>
      <c r="D3184" s="141" t="s">
        <v>2049</v>
      </c>
    </row>
    <row r="3185" spans="1:4" x14ac:dyDescent="0.3">
      <c r="A3185" s="141" t="s">
        <v>5775</v>
      </c>
      <c r="B3185" s="141">
        <v>523539</v>
      </c>
      <c r="C3185" s="141" t="s">
        <v>5774</v>
      </c>
      <c r="D3185" s="141" t="s">
        <v>2049</v>
      </c>
    </row>
    <row r="3186" spans="1:4" x14ac:dyDescent="0.3">
      <c r="A3186" s="141" t="s">
        <v>5776</v>
      </c>
      <c r="B3186" s="141" t="s">
        <v>1129</v>
      </c>
      <c r="C3186" s="141" t="s">
        <v>5777</v>
      </c>
      <c r="D3186" s="141" t="s">
        <v>1220</v>
      </c>
    </row>
    <row r="3187" spans="1:4" x14ac:dyDescent="0.3">
      <c r="A3187" s="141" t="s">
        <v>5778</v>
      </c>
      <c r="B3187" s="141">
        <v>530669</v>
      </c>
      <c r="C3187" s="141" t="s">
        <v>1129</v>
      </c>
      <c r="D3187" s="141" t="s">
        <v>1112</v>
      </c>
    </row>
    <row r="3188" spans="1:4" x14ac:dyDescent="0.3">
      <c r="A3188" s="141" t="s">
        <v>5779</v>
      </c>
      <c r="B3188" s="141">
        <v>530331</v>
      </c>
      <c r="C3188" s="141" t="s">
        <v>1129</v>
      </c>
      <c r="D3188" s="141" t="s">
        <v>1144</v>
      </c>
    </row>
    <row r="3189" spans="1:4" x14ac:dyDescent="0.3">
      <c r="A3189" s="141" t="s">
        <v>5780</v>
      </c>
      <c r="B3189" s="141">
        <v>780007</v>
      </c>
      <c r="C3189" s="141" t="s">
        <v>1129</v>
      </c>
      <c r="D3189" s="141" t="s">
        <v>1220</v>
      </c>
    </row>
    <row r="3190" spans="1:4" x14ac:dyDescent="0.3">
      <c r="A3190" s="141" t="s">
        <v>5781</v>
      </c>
      <c r="B3190" s="141">
        <v>526247</v>
      </c>
      <c r="C3190" s="141" t="s">
        <v>5782</v>
      </c>
      <c r="D3190" s="141" t="s">
        <v>1289</v>
      </c>
    </row>
    <row r="3191" spans="1:4" x14ac:dyDescent="0.3">
      <c r="A3191" s="141" t="s">
        <v>5783</v>
      </c>
      <c r="B3191" s="141">
        <v>500540</v>
      </c>
      <c r="C3191" s="141" t="s">
        <v>5784</v>
      </c>
      <c r="D3191" s="141" t="s">
        <v>1137</v>
      </c>
    </row>
    <row r="3192" spans="1:4" x14ac:dyDescent="0.3">
      <c r="A3192" s="141" t="s">
        <v>5785</v>
      </c>
      <c r="B3192" s="141">
        <v>513291</v>
      </c>
      <c r="C3192" s="141" t="s">
        <v>1129</v>
      </c>
      <c r="D3192" s="141" t="s">
        <v>1452</v>
      </c>
    </row>
    <row r="3193" spans="1:4" x14ac:dyDescent="0.3">
      <c r="A3193" s="141" t="s">
        <v>5786</v>
      </c>
      <c r="B3193" s="141">
        <v>514354</v>
      </c>
      <c r="C3193" s="141" t="s">
        <v>5787</v>
      </c>
      <c r="D3193" s="141" t="s">
        <v>1177</v>
      </c>
    </row>
    <row r="3194" spans="1:4" x14ac:dyDescent="0.3">
      <c r="A3194" s="141" t="s">
        <v>5788</v>
      </c>
      <c r="B3194" s="141">
        <v>509835</v>
      </c>
      <c r="C3194" s="141" t="s">
        <v>1129</v>
      </c>
      <c r="D3194" s="141" t="s">
        <v>1144</v>
      </c>
    </row>
    <row r="3195" spans="1:4" x14ac:dyDescent="0.3">
      <c r="A3195" s="141" t="s">
        <v>5789</v>
      </c>
      <c r="B3195" s="141">
        <v>531802</v>
      </c>
      <c r="C3195" s="141" t="s">
        <v>1129</v>
      </c>
      <c r="D3195" s="141" t="s">
        <v>1215</v>
      </c>
    </row>
    <row r="3196" spans="1:4" x14ac:dyDescent="0.3">
      <c r="A3196" s="141" t="s">
        <v>5790</v>
      </c>
      <c r="B3196" s="141">
        <v>509077</v>
      </c>
      <c r="C3196" s="141" t="s">
        <v>5791</v>
      </c>
      <c r="D3196" s="141" t="s">
        <v>2732</v>
      </c>
    </row>
    <row r="3197" spans="1:4" x14ac:dyDescent="0.3">
      <c r="A3197" s="141" t="s">
        <v>5792</v>
      </c>
      <c r="B3197" s="141">
        <v>533274</v>
      </c>
      <c r="C3197" s="141" t="s">
        <v>5793</v>
      </c>
      <c r="D3197" s="141" t="s">
        <v>1215</v>
      </c>
    </row>
    <row r="3198" spans="1:4" x14ac:dyDescent="0.3">
      <c r="A3198" s="141" t="s">
        <v>5794</v>
      </c>
      <c r="B3198" s="141">
        <v>540293</v>
      </c>
      <c r="C3198" s="141" t="s">
        <v>5795</v>
      </c>
      <c r="D3198" s="141" t="s">
        <v>1484</v>
      </c>
    </row>
    <row r="3199" spans="1:4" x14ac:dyDescent="0.3">
      <c r="A3199" s="141" t="s">
        <v>5796</v>
      </c>
      <c r="B3199" s="141">
        <v>519262</v>
      </c>
      <c r="C3199" s="141" t="s">
        <v>1129</v>
      </c>
      <c r="D3199" s="141" t="s">
        <v>1327</v>
      </c>
    </row>
    <row r="3200" spans="1:4" x14ac:dyDescent="0.3">
      <c r="A3200" s="141" t="s">
        <v>5797</v>
      </c>
      <c r="B3200" s="141">
        <v>531246</v>
      </c>
      <c r="C3200" s="141" t="s">
        <v>1129</v>
      </c>
      <c r="D3200" s="141" t="s">
        <v>1378</v>
      </c>
    </row>
    <row r="3201" spans="1:4" x14ac:dyDescent="0.3">
      <c r="A3201" s="141" t="s">
        <v>5798</v>
      </c>
      <c r="B3201" s="141">
        <v>530589</v>
      </c>
      <c r="C3201" s="141" t="s">
        <v>1129</v>
      </c>
      <c r="D3201" s="141" t="s">
        <v>1249</v>
      </c>
    </row>
    <row r="3202" spans="1:4" x14ac:dyDescent="0.3">
      <c r="A3202" s="141" t="s">
        <v>5799</v>
      </c>
      <c r="B3202" s="141">
        <v>535514</v>
      </c>
      <c r="C3202" s="141" t="s">
        <v>1129</v>
      </c>
      <c r="D3202" s="141" t="s">
        <v>1146</v>
      </c>
    </row>
    <row r="3203" spans="1:4" x14ac:dyDescent="0.3">
      <c r="A3203" s="141" t="s">
        <v>5800</v>
      </c>
      <c r="B3203" s="141">
        <v>540404</v>
      </c>
      <c r="C3203" s="141" t="s">
        <v>1129</v>
      </c>
      <c r="D3203" s="141" t="s">
        <v>1327</v>
      </c>
    </row>
    <row r="3204" spans="1:4" x14ac:dyDescent="0.3">
      <c r="A3204" s="141" t="s">
        <v>5801</v>
      </c>
      <c r="B3204" s="141">
        <v>532748</v>
      </c>
      <c r="C3204" s="141" t="s">
        <v>5802</v>
      </c>
      <c r="D3204" s="141" t="s">
        <v>1132</v>
      </c>
    </row>
    <row r="3205" spans="1:4" x14ac:dyDescent="0.3">
      <c r="A3205" s="141" t="s">
        <v>5803</v>
      </c>
      <c r="B3205" s="141">
        <v>519299</v>
      </c>
      <c r="C3205" s="141" t="s">
        <v>1129</v>
      </c>
      <c r="D3205" s="141" t="s">
        <v>1378</v>
      </c>
    </row>
    <row r="3206" spans="1:4" x14ac:dyDescent="0.3">
      <c r="A3206" s="141" t="s">
        <v>5804</v>
      </c>
      <c r="B3206" s="141">
        <v>530695</v>
      </c>
      <c r="C3206" s="141" t="s">
        <v>1129</v>
      </c>
      <c r="D3206" s="141" t="s">
        <v>1215</v>
      </c>
    </row>
    <row r="3207" spans="1:4" x14ac:dyDescent="0.3">
      <c r="A3207" s="141" t="s">
        <v>5805</v>
      </c>
      <c r="B3207" s="141">
        <v>500337</v>
      </c>
      <c r="C3207" s="141" t="s">
        <v>5806</v>
      </c>
      <c r="D3207" s="141" t="s">
        <v>1112</v>
      </c>
    </row>
    <row r="3208" spans="1:4" x14ac:dyDescent="0.3">
      <c r="A3208" s="141" t="s">
        <v>5807</v>
      </c>
      <c r="B3208" s="141">
        <v>521149</v>
      </c>
      <c r="C3208" s="141" t="s">
        <v>1129</v>
      </c>
      <c r="D3208" s="141" t="s">
        <v>1215</v>
      </c>
    </row>
    <row r="3209" spans="1:4" x14ac:dyDescent="0.3">
      <c r="A3209" s="141" t="s">
        <v>5808</v>
      </c>
      <c r="B3209" s="141">
        <v>521149</v>
      </c>
      <c r="C3209" s="141" t="s">
        <v>1129</v>
      </c>
      <c r="D3209" s="141" t="s">
        <v>1215</v>
      </c>
    </row>
    <row r="3210" spans="1:4" x14ac:dyDescent="0.3">
      <c r="A3210" s="141" t="s">
        <v>5809</v>
      </c>
      <c r="B3210" s="141">
        <v>531735</v>
      </c>
      <c r="C3210" s="141" t="s">
        <v>1129</v>
      </c>
      <c r="D3210" s="141" t="s">
        <v>1146</v>
      </c>
    </row>
    <row r="3211" spans="1:4" x14ac:dyDescent="0.3">
      <c r="A3211" s="141" t="s">
        <v>5810</v>
      </c>
      <c r="B3211" s="141">
        <v>500338</v>
      </c>
      <c r="C3211" s="141" t="s">
        <v>5811</v>
      </c>
      <c r="D3211" s="141" t="s">
        <v>1142</v>
      </c>
    </row>
    <row r="3212" spans="1:4" x14ac:dyDescent="0.3">
      <c r="A3212" s="141" t="s">
        <v>5812</v>
      </c>
      <c r="B3212" s="141">
        <v>512217</v>
      </c>
      <c r="C3212" s="141" t="s">
        <v>1129</v>
      </c>
      <c r="D3212" s="141" t="s">
        <v>1146</v>
      </c>
    </row>
    <row r="3213" spans="1:4" x14ac:dyDescent="0.3">
      <c r="A3213" s="141" t="s">
        <v>5813</v>
      </c>
      <c r="B3213" s="141">
        <v>531688</v>
      </c>
      <c r="C3213" s="141" t="s">
        <v>1129</v>
      </c>
      <c r="D3213" s="141" t="s">
        <v>1222</v>
      </c>
    </row>
    <row r="3214" spans="1:4" x14ac:dyDescent="0.3">
      <c r="A3214" s="141" t="s">
        <v>5814</v>
      </c>
      <c r="B3214" s="141">
        <v>531688</v>
      </c>
      <c r="C3214" s="141" t="s">
        <v>1129</v>
      </c>
      <c r="D3214" s="141" t="s">
        <v>1222</v>
      </c>
    </row>
    <row r="3215" spans="1:4" x14ac:dyDescent="0.3">
      <c r="A3215" s="141" t="s">
        <v>5815</v>
      </c>
      <c r="B3215" s="141" t="s">
        <v>1129</v>
      </c>
      <c r="C3215" s="141" t="s">
        <v>5816</v>
      </c>
      <c r="D3215" s="141" t="s">
        <v>1140</v>
      </c>
    </row>
    <row r="3216" spans="1:4" x14ac:dyDescent="0.3">
      <c r="A3216" s="141" t="s">
        <v>5817</v>
      </c>
      <c r="B3216" s="141">
        <v>539359</v>
      </c>
      <c r="C3216" s="141" t="s">
        <v>1129</v>
      </c>
      <c r="D3216" s="141" t="s">
        <v>2049</v>
      </c>
    </row>
    <row r="3217" spans="1:4" x14ac:dyDescent="0.3">
      <c r="A3217" s="141" t="s">
        <v>5818</v>
      </c>
      <c r="B3217" s="141">
        <v>532387</v>
      </c>
      <c r="C3217" s="141" t="s">
        <v>5819</v>
      </c>
      <c r="D3217" s="141" t="s">
        <v>1132</v>
      </c>
    </row>
    <row r="3218" spans="1:4" x14ac:dyDescent="0.3">
      <c r="A3218" s="141" t="s">
        <v>5820</v>
      </c>
      <c r="B3218" s="141">
        <v>524580</v>
      </c>
      <c r="C3218" s="141" t="s">
        <v>1129</v>
      </c>
      <c r="D3218" s="141" t="s">
        <v>1151</v>
      </c>
    </row>
    <row r="3219" spans="1:4" x14ac:dyDescent="0.3">
      <c r="A3219" s="141" t="s">
        <v>5821</v>
      </c>
      <c r="B3219" s="141">
        <v>511557</v>
      </c>
      <c r="C3219" s="141" t="s">
        <v>1129</v>
      </c>
      <c r="D3219" s="141" t="s">
        <v>1550</v>
      </c>
    </row>
    <row r="3220" spans="1:4" x14ac:dyDescent="0.3">
      <c r="A3220" s="141" t="s">
        <v>5822</v>
      </c>
      <c r="B3220" s="141">
        <v>512105</v>
      </c>
      <c r="C3220" s="141" t="s">
        <v>1129</v>
      </c>
      <c r="D3220" s="141" t="s">
        <v>1550</v>
      </c>
    </row>
    <row r="3221" spans="1:4" x14ac:dyDescent="0.3">
      <c r="A3221" s="141" t="s">
        <v>5823</v>
      </c>
      <c r="B3221" s="141">
        <v>526009</v>
      </c>
      <c r="C3221" s="141" t="s">
        <v>1129</v>
      </c>
      <c r="D3221" s="141" t="s">
        <v>1151</v>
      </c>
    </row>
    <row r="3222" spans="1:4" x14ac:dyDescent="0.3">
      <c r="A3222" s="141" t="s">
        <v>5824</v>
      </c>
      <c r="B3222" s="141">
        <v>526009</v>
      </c>
      <c r="C3222" s="141" t="s">
        <v>1129</v>
      </c>
      <c r="D3222" s="141" t="s">
        <v>1151</v>
      </c>
    </row>
    <row r="3223" spans="1:4" x14ac:dyDescent="0.3">
      <c r="A3223" s="141" t="s">
        <v>5825</v>
      </c>
      <c r="B3223" s="141" t="s">
        <v>1129</v>
      </c>
      <c r="C3223" s="141" t="s">
        <v>5826</v>
      </c>
      <c r="D3223" s="141" t="s">
        <v>1151</v>
      </c>
    </row>
    <row r="3224" spans="1:4" x14ac:dyDescent="0.3">
      <c r="A3224" s="141" t="s">
        <v>5827</v>
      </c>
      <c r="B3224" s="141">
        <v>500459</v>
      </c>
      <c r="C3224" s="141" t="s">
        <v>5828</v>
      </c>
      <c r="D3224" s="141" t="s">
        <v>1311</v>
      </c>
    </row>
    <row r="3225" spans="1:4" x14ac:dyDescent="0.3">
      <c r="A3225" s="141" t="s">
        <v>5829</v>
      </c>
      <c r="B3225" s="141">
        <v>531265</v>
      </c>
      <c r="C3225" s="141" t="s">
        <v>1129</v>
      </c>
      <c r="D3225" s="141" t="s">
        <v>1209</v>
      </c>
    </row>
    <row r="3226" spans="1:4" x14ac:dyDescent="0.3">
      <c r="A3226" s="141" t="s">
        <v>5830</v>
      </c>
      <c r="B3226" s="141" t="s">
        <v>1129</v>
      </c>
      <c r="C3226" s="141" t="s">
        <v>5831</v>
      </c>
      <c r="D3226" s="141" t="s">
        <v>1140</v>
      </c>
    </row>
    <row r="3227" spans="1:4" x14ac:dyDescent="0.3">
      <c r="A3227" s="141" t="s">
        <v>5832</v>
      </c>
      <c r="B3227" s="141">
        <v>526494</v>
      </c>
      <c r="C3227" s="141" t="s">
        <v>1129</v>
      </c>
      <c r="D3227" s="141" t="s">
        <v>1324</v>
      </c>
    </row>
    <row r="3228" spans="1:4" x14ac:dyDescent="0.3">
      <c r="A3228" s="141" t="s">
        <v>5833</v>
      </c>
      <c r="B3228" s="141">
        <v>590057</v>
      </c>
      <c r="C3228" s="141" t="s">
        <v>5834</v>
      </c>
      <c r="D3228" s="141" t="s">
        <v>1222</v>
      </c>
    </row>
    <row r="3229" spans="1:4" x14ac:dyDescent="0.3">
      <c r="A3229" s="141" t="s">
        <v>5835</v>
      </c>
      <c r="B3229" s="141">
        <v>590057</v>
      </c>
      <c r="C3229" s="141" t="s">
        <v>5834</v>
      </c>
      <c r="D3229" s="141" t="s">
        <v>1222</v>
      </c>
    </row>
    <row r="3230" spans="1:4" x14ac:dyDescent="0.3">
      <c r="A3230" s="141" t="s">
        <v>5836</v>
      </c>
      <c r="B3230" s="141">
        <v>540703</v>
      </c>
      <c r="C3230" s="141" t="s">
        <v>1129</v>
      </c>
      <c r="D3230" s="141" t="s">
        <v>1213</v>
      </c>
    </row>
    <row r="3231" spans="1:4" x14ac:dyDescent="0.3">
      <c r="A3231" s="141" t="s">
        <v>5837</v>
      </c>
      <c r="B3231" s="141">
        <v>532647</v>
      </c>
      <c r="C3231" s="141" t="s">
        <v>5838</v>
      </c>
      <c r="D3231" s="141" t="s">
        <v>1243</v>
      </c>
    </row>
    <row r="3232" spans="1:4" x14ac:dyDescent="0.3">
      <c r="A3232" s="141" t="s">
        <v>5839</v>
      </c>
      <c r="B3232" s="141">
        <v>532647</v>
      </c>
      <c r="C3232" s="141" t="s">
        <v>5838</v>
      </c>
      <c r="D3232" s="141" t="s">
        <v>1243</v>
      </c>
    </row>
    <row r="3233" spans="1:4" x14ac:dyDescent="0.3">
      <c r="A3233" s="141" t="s">
        <v>5840</v>
      </c>
      <c r="B3233" s="141">
        <v>534675</v>
      </c>
      <c r="C3233" s="141" t="s">
        <v>5841</v>
      </c>
      <c r="D3233" s="141" t="s">
        <v>1215</v>
      </c>
    </row>
    <row r="3234" spans="1:4" x14ac:dyDescent="0.3">
      <c r="A3234" s="141" t="s">
        <v>5842</v>
      </c>
      <c r="B3234" s="141">
        <v>505502</v>
      </c>
      <c r="C3234" s="141" t="s">
        <v>1129</v>
      </c>
      <c r="D3234" s="141" t="s">
        <v>1112</v>
      </c>
    </row>
    <row r="3235" spans="1:4" x14ac:dyDescent="0.3">
      <c r="A3235" s="141" t="s">
        <v>5843</v>
      </c>
      <c r="B3235" s="141">
        <v>526801</v>
      </c>
      <c r="C3235" s="141" t="s">
        <v>5844</v>
      </c>
      <c r="D3235" s="141" t="s">
        <v>1527</v>
      </c>
    </row>
    <row r="3236" spans="1:4" x14ac:dyDescent="0.3">
      <c r="A3236" s="141" t="s">
        <v>5845</v>
      </c>
      <c r="B3236" s="141">
        <v>540544</v>
      </c>
      <c r="C3236" s="141" t="s">
        <v>5846</v>
      </c>
      <c r="D3236" s="141" t="s">
        <v>1527</v>
      </c>
    </row>
    <row r="3237" spans="1:4" x14ac:dyDescent="0.3">
      <c r="A3237" s="141" t="s">
        <v>5847</v>
      </c>
      <c r="B3237" s="141">
        <v>532524</v>
      </c>
      <c r="C3237" s="141" t="s">
        <v>5848</v>
      </c>
      <c r="D3237" s="141" t="s">
        <v>1268</v>
      </c>
    </row>
    <row r="3238" spans="1:4" x14ac:dyDescent="0.3">
      <c r="A3238" s="141" t="s">
        <v>5849</v>
      </c>
      <c r="B3238" s="141">
        <v>533344</v>
      </c>
      <c r="C3238" s="141" t="s">
        <v>5850</v>
      </c>
      <c r="D3238" s="141" t="s">
        <v>1146</v>
      </c>
    </row>
    <row r="3239" spans="1:4" x14ac:dyDescent="0.3">
      <c r="A3239" s="141" t="s">
        <v>5851</v>
      </c>
      <c r="B3239" s="141">
        <v>532524</v>
      </c>
      <c r="C3239" s="141" t="s">
        <v>5848</v>
      </c>
      <c r="D3239" s="141" t="s">
        <v>1268</v>
      </c>
    </row>
    <row r="3240" spans="1:4" x14ac:dyDescent="0.3">
      <c r="A3240" s="141" t="s">
        <v>5852</v>
      </c>
      <c r="B3240" s="141">
        <v>539006</v>
      </c>
      <c r="C3240" s="141" t="s">
        <v>1129</v>
      </c>
      <c r="D3240" s="141" t="s">
        <v>2049</v>
      </c>
    </row>
    <row r="3241" spans="1:4" x14ac:dyDescent="0.3">
      <c r="A3241" s="141" t="s">
        <v>5853</v>
      </c>
      <c r="B3241" s="141">
        <v>509220</v>
      </c>
      <c r="C3241" s="141" t="s">
        <v>5854</v>
      </c>
      <c r="D3241" s="141" t="s">
        <v>1151</v>
      </c>
    </row>
    <row r="3242" spans="1:4" x14ac:dyDescent="0.3">
      <c r="A3242" s="141" t="s">
        <v>5855</v>
      </c>
      <c r="B3242" s="141">
        <v>539785</v>
      </c>
      <c r="C3242" s="141" t="s">
        <v>5856</v>
      </c>
      <c r="D3242" s="141" t="s">
        <v>1123</v>
      </c>
    </row>
    <row r="3243" spans="1:4" x14ac:dyDescent="0.3">
      <c r="A3243" s="141" t="s">
        <v>5857</v>
      </c>
      <c r="B3243" s="141">
        <v>512591</v>
      </c>
      <c r="C3243" s="141" t="s">
        <v>1129</v>
      </c>
      <c r="D3243" s="141" t="s">
        <v>1151</v>
      </c>
    </row>
    <row r="3244" spans="1:4" x14ac:dyDescent="0.3">
      <c r="A3244" s="141" t="s">
        <v>5858</v>
      </c>
      <c r="B3244" s="141" t="s">
        <v>1129</v>
      </c>
      <c r="C3244" s="141" t="s">
        <v>5859</v>
      </c>
      <c r="D3244" s="141" t="s">
        <v>1140</v>
      </c>
    </row>
    <row r="3245" spans="1:4" x14ac:dyDescent="0.3">
      <c r="A3245" s="141" t="s">
        <v>5860</v>
      </c>
      <c r="B3245" s="141">
        <v>512461</v>
      </c>
      <c r="C3245" s="141" t="s">
        <v>1129</v>
      </c>
      <c r="D3245" s="141" t="s">
        <v>1151</v>
      </c>
    </row>
    <row r="3246" spans="1:4" x14ac:dyDescent="0.3">
      <c r="A3246" s="141" t="s">
        <v>5861</v>
      </c>
      <c r="B3246" s="141">
        <v>512099</v>
      </c>
      <c r="C3246" s="141" t="s">
        <v>1129</v>
      </c>
      <c r="D3246" s="141" t="s">
        <v>1243</v>
      </c>
    </row>
    <row r="3247" spans="1:4" x14ac:dyDescent="0.3">
      <c r="A3247" s="141" t="s">
        <v>5862</v>
      </c>
      <c r="B3247" s="141">
        <v>532693</v>
      </c>
      <c r="C3247" s="141" t="s">
        <v>5863</v>
      </c>
      <c r="D3247" s="141" t="s">
        <v>1527</v>
      </c>
    </row>
    <row r="3248" spans="1:4" x14ac:dyDescent="0.3">
      <c r="A3248" s="141" t="s">
        <v>5864</v>
      </c>
      <c r="B3248" s="141">
        <v>533295</v>
      </c>
      <c r="C3248" s="141" t="s">
        <v>5865</v>
      </c>
      <c r="D3248" s="141" t="s">
        <v>1447</v>
      </c>
    </row>
    <row r="3249" spans="1:4" x14ac:dyDescent="0.3">
      <c r="A3249" s="141" t="s">
        <v>5866</v>
      </c>
      <c r="B3249" s="141">
        <v>506852</v>
      </c>
      <c r="C3249" s="141" t="s">
        <v>1129</v>
      </c>
      <c r="D3249" s="141" t="s">
        <v>1177</v>
      </c>
    </row>
    <row r="3250" spans="1:4" x14ac:dyDescent="0.3">
      <c r="A3250" s="141" t="s">
        <v>5867</v>
      </c>
      <c r="B3250" s="141">
        <v>506618</v>
      </c>
      <c r="C3250" s="141" t="s">
        <v>5868</v>
      </c>
      <c r="D3250" s="141" t="s">
        <v>1273</v>
      </c>
    </row>
    <row r="3251" spans="1:4" x14ac:dyDescent="0.3">
      <c r="A3251" s="141" t="s">
        <v>5869</v>
      </c>
      <c r="B3251" s="141">
        <v>500346</v>
      </c>
      <c r="C3251" s="141" t="s">
        <v>1129</v>
      </c>
      <c r="D3251" s="141" t="s">
        <v>1275</v>
      </c>
    </row>
    <row r="3252" spans="1:4" x14ac:dyDescent="0.3">
      <c r="A3252" s="141" t="s">
        <v>5870</v>
      </c>
      <c r="B3252" s="141">
        <v>532461</v>
      </c>
      <c r="C3252" s="141" t="s">
        <v>5871</v>
      </c>
      <c r="D3252" s="141" t="s">
        <v>1447</v>
      </c>
    </row>
    <row r="3253" spans="1:4" x14ac:dyDescent="0.3">
      <c r="A3253" s="141" t="s">
        <v>5872</v>
      </c>
      <c r="B3253" s="141">
        <v>532891</v>
      </c>
      <c r="C3253" s="141" t="s">
        <v>5873</v>
      </c>
      <c r="D3253" s="141" t="s">
        <v>1215</v>
      </c>
    </row>
    <row r="3254" spans="1:4" x14ac:dyDescent="0.3">
      <c r="A3254" s="141" t="s">
        <v>5874</v>
      </c>
      <c r="B3254" s="141">
        <v>540492</v>
      </c>
      <c r="C3254" s="141" t="s">
        <v>1129</v>
      </c>
      <c r="D3254" s="141" t="s">
        <v>1151</v>
      </c>
    </row>
    <row r="3255" spans="1:4" x14ac:dyDescent="0.3">
      <c r="A3255" s="141" t="s">
        <v>5875</v>
      </c>
      <c r="B3255" s="141">
        <v>523315</v>
      </c>
      <c r="C3255" s="141" t="s">
        <v>1129</v>
      </c>
      <c r="D3255" s="141" t="s">
        <v>1123</v>
      </c>
    </row>
    <row r="3256" spans="1:4" x14ac:dyDescent="0.3">
      <c r="A3256" s="141" t="s">
        <v>5876</v>
      </c>
      <c r="B3256" s="141">
        <v>538993</v>
      </c>
      <c r="C3256" s="141" t="s">
        <v>1129</v>
      </c>
      <c r="D3256" s="141" t="s">
        <v>1215</v>
      </c>
    </row>
    <row r="3257" spans="1:4" x14ac:dyDescent="0.3">
      <c r="A3257" s="141" t="s">
        <v>5877</v>
      </c>
      <c r="B3257" s="141">
        <v>540159</v>
      </c>
      <c r="C3257" s="141" t="s">
        <v>1129</v>
      </c>
      <c r="D3257" s="141" t="s">
        <v>1132</v>
      </c>
    </row>
    <row r="3258" spans="1:4" x14ac:dyDescent="0.3">
      <c r="A3258" s="141" t="s">
        <v>5878</v>
      </c>
      <c r="B3258" s="141">
        <v>538647</v>
      </c>
      <c r="C3258" s="141" t="s">
        <v>1129</v>
      </c>
      <c r="D3258" s="141" t="s">
        <v>1146</v>
      </c>
    </row>
    <row r="3259" spans="1:4" x14ac:dyDescent="0.3">
      <c r="A3259" s="141" t="s">
        <v>5879</v>
      </c>
      <c r="B3259" s="141" t="s">
        <v>1129</v>
      </c>
      <c r="C3259" s="141" t="s">
        <v>5880</v>
      </c>
      <c r="D3259" s="141" t="s">
        <v>1140</v>
      </c>
    </row>
    <row r="3260" spans="1:4" x14ac:dyDescent="0.3">
      <c r="A3260" s="141" t="s">
        <v>5881</v>
      </c>
      <c r="B3260" s="141">
        <v>531562</v>
      </c>
      <c r="C3260" s="141" t="s">
        <v>1129</v>
      </c>
      <c r="D3260" s="141" t="s">
        <v>1144</v>
      </c>
    </row>
    <row r="3261" spans="1:4" x14ac:dyDescent="0.3">
      <c r="A3261" s="141" t="s">
        <v>5882</v>
      </c>
      <c r="B3261" s="141">
        <v>517556</v>
      </c>
      <c r="C3261" s="141" t="s">
        <v>5883</v>
      </c>
      <c r="D3261" s="141" t="s">
        <v>1215</v>
      </c>
    </row>
    <row r="3262" spans="1:4" x14ac:dyDescent="0.3">
      <c r="A3262" s="141" t="s">
        <v>5884</v>
      </c>
      <c r="B3262" s="141">
        <v>532689</v>
      </c>
      <c r="C3262" s="141" t="s">
        <v>5885</v>
      </c>
      <c r="D3262" s="141" t="s">
        <v>1130</v>
      </c>
    </row>
    <row r="3263" spans="1:4" x14ac:dyDescent="0.3">
      <c r="A3263" s="141" t="s">
        <v>5886</v>
      </c>
      <c r="B3263" s="141">
        <v>536659</v>
      </c>
      <c r="C3263" s="141" t="s">
        <v>1129</v>
      </c>
      <c r="D3263" s="141" t="s">
        <v>1527</v>
      </c>
    </row>
    <row r="3264" spans="1:4" x14ac:dyDescent="0.3">
      <c r="A3264" s="141" t="s">
        <v>5887</v>
      </c>
      <c r="B3264" s="141">
        <v>534109</v>
      </c>
      <c r="C3264" s="141" t="s">
        <v>1129</v>
      </c>
      <c r="D3264" s="141" t="s">
        <v>1146</v>
      </c>
    </row>
    <row r="3265" spans="1:4" x14ac:dyDescent="0.3">
      <c r="A3265" s="141" t="s">
        <v>5888</v>
      </c>
      <c r="B3265" s="141">
        <v>511116</v>
      </c>
      <c r="C3265" s="141" t="s">
        <v>1129</v>
      </c>
      <c r="D3265" s="141" t="s">
        <v>2073</v>
      </c>
    </row>
    <row r="3266" spans="1:4" x14ac:dyDescent="0.3">
      <c r="A3266" s="141" t="s">
        <v>5889</v>
      </c>
      <c r="B3266" s="141">
        <v>538596</v>
      </c>
      <c r="C3266" s="141" t="s">
        <v>1129</v>
      </c>
      <c r="D3266" s="141" t="s">
        <v>1215</v>
      </c>
    </row>
    <row r="3267" spans="1:4" x14ac:dyDescent="0.3">
      <c r="A3267" s="141" t="s">
        <v>5890</v>
      </c>
      <c r="B3267" s="141">
        <v>530281</v>
      </c>
      <c r="C3267" s="141" t="s">
        <v>1129</v>
      </c>
      <c r="D3267" s="141" t="s">
        <v>1324</v>
      </c>
    </row>
    <row r="3268" spans="1:4" x14ac:dyDescent="0.3">
      <c r="A3268" s="141" t="s">
        <v>5891</v>
      </c>
      <c r="B3268" s="141">
        <v>530281</v>
      </c>
      <c r="C3268" s="141" t="s">
        <v>1129</v>
      </c>
      <c r="D3268" s="141" t="s">
        <v>1324</v>
      </c>
    </row>
    <row r="3269" spans="1:4" x14ac:dyDescent="0.3">
      <c r="A3269" s="141" t="s">
        <v>5892</v>
      </c>
      <c r="B3269" s="141">
        <v>590099</v>
      </c>
      <c r="C3269" s="141" t="s">
        <v>5893</v>
      </c>
      <c r="D3269" s="141" t="s">
        <v>1112</v>
      </c>
    </row>
    <row r="3270" spans="1:4" x14ac:dyDescent="0.3">
      <c r="A3270" s="141" t="s">
        <v>5894</v>
      </c>
      <c r="B3270" s="141">
        <v>590110</v>
      </c>
      <c r="C3270" s="141" t="s">
        <v>5895</v>
      </c>
      <c r="D3270" s="141" t="s">
        <v>1112</v>
      </c>
    </row>
    <row r="3271" spans="1:4" x14ac:dyDescent="0.3">
      <c r="A3271" s="141" t="s">
        <v>5896</v>
      </c>
      <c r="B3271" s="141">
        <v>539978</v>
      </c>
      <c r="C3271" s="141" t="s">
        <v>5897</v>
      </c>
      <c r="D3271" s="141" t="s">
        <v>1118</v>
      </c>
    </row>
    <row r="3272" spans="1:4" x14ac:dyDescent="0.3">
      <c r="A3272" s="141" t="s">
        <v>5898</v>
      </c>
      <c r="B3272" s="141">
        <v>539962</v>
      </c>
      <c r="C3272" s="141" t="s">
        <v>1129</v>
      </c>
      <c r="D3272" s="141" t="s">
        <v>1146</v>
      </c>
    </row>
    <row r="3273" spans="1:4" x14ac:dyDescent="0.3">
      <c r="A3273" s="141" t="s">
        <v>5899</v>
      </c>
      <c r="B3273" s="141">
        <v>535719</v>
      </c>
      <c r="C3273" s="141" t="s">
        <v>1129</v>
      </c>
      <c r="D3273" s="141" t="s">
        <v>1115</v>
      </c>
    </row>
    <row r="3274" spans="1:4" x14ac:dyDescent="0.3">
      <c r="A3274" s="141" t="s">
        <v>5900</v>
      </c>
      <c r="B3274" s="141">
        <v>535719</v>
      </c>
      <c r="C3274" s="141" t="s">
        <v>1129</v>
      </c>
      <c r="D3274" s="141" t="s">
        <v>1115</v>
      </c>
    </row>
    <row r="3275" spans="1:4" x14ac:dyDescent="0.3">
      <c r="A3275" s="141" t="s">
        <v>5901</v>
      </c>
      <c r="B3275" s="141">
        <v>539678</v>
      </c>
      <c r="C3275" s="141" t="s">
        <v>5902</v>
      </c>
      <c r="D3275" s="141" t="s">
        <v>1222</v>
      </c>
    </row>
    <row r="3276" spans="1:4" x14ac:dyDescent="0.3">
      <c r="A3276" s="141" t="s">
        <v>5903</v>
      </c>
      <c r="B3276" s="141">
        <v>532866</v>
      </c>
      <c r="C3276" s="141" t="s">
        <v>5904</v>
      </c>
      <c r="D3276" s="141" t="s">
        <v>1115</v>
      </c>
    </row>
    <row r="3277" spans="1:4" x14ac:dyDescent="0.3">
      <c r="A3277" s="141" t="s">
        <v>5905</v>
      </c>
      <c r="B3277" s="141">
        <v>532024</v>
      </c>
      <c r="C3277" s="141" t="s">
        <v>1129</v>
      </c>
      <c r="D3277" s="141" t="s">
        <v>1112</v>
      </c>
    </row>
    <row r="3278" spans="1:4" x14ac:dyDescent="0.3">
      <c r="A3278" s="141" t="s">
        <v>5906</v>
      </c>
      <c r="B3278" s="141">
        <v>536456</v>
      </c>
      <c r="C3278" s="141" t="s">
        <v>1129</v>
      </c>
      <c r="D3278" s="141" t="s">
        <v>1327</v>
      </c>
    </row>
    <row r="3279" spans="1:4" x14ac:dyDescent="0.3">
      <c r="A3279" s="141" t="s">
        <v>5907</v>
      </c>
      <c r="B3279" s="141">
        <v>509845</v>
      </c>
      <c r="C3279" s="141" t="s">
        <v>1129</v>
      </c>
      <c r="D3279" s="141" t="s">
        <v>1215</v>
      </c>
    </row>
    <row r="3280" spans="1:4" x14ac:dyDescent="0.3">
      <c r="A3280" s="141" t="s">
        <v>5908</v>
      </c>
      <c r="B3280" s="141" t="s">
        <v>1129</v>
      </c>
      <c r="C3280" s="141" t="s">
        <v>5909</v>
      </c>
      <c r="D3280" s="141" t="s">
        <v>1140</v>
      </c>
    </row>
    <row r="3281" spans="1:4" x14ac:dyDescent="0.3">
      <c r="A3281" s="141" t="s">
        <v>5910</v>
      </c>
      <c r="B3281" s="141">
        <v>533284</v>
      </c>
      <c r="C3281" s="141" t="s">
        <v>5911</v>
      </c>
      <c r="D3281" s="141" t="s">
        <v>1527</v>
      </c>
    </row>
    <row r="3282" spans="1:4" x14ac:dyDescent="0.3">
      <c r="A3282" s="141" t="s">
        <v>5912</v>
      </c>
      <c r="B3282" s="141">
        <v>530917</v>
      </c>
      <c r="C3282" s="141" t="s">
        <v>1129</v>
      </c>
      <c r="D3282" s="141" t="s">
        <v>1550</v>
      </c>
    </row>
    <row r="3283" spans="1:4" x14ac:dyDescent="0.3">
      <c r="A3283" s="141" t="s">
        <v>5913</v>
      </c>
      <c r="B3283" s="141">
        <v>517447</v>
      </c>
      <c r="C3283" s="141" t="s">
        <v>5914</v>
      </c>
      <c r="D3283" s="141" t="s">
        <v>1222</v>
      </c>
    </row>
    <row r="3284" spans="1:4" x14ac:dyDescent="0.3">
      <c r="A3284" s="141" t="s">
        <v>5915</v>
      </c>
      <c r="B3284" s="141">
        <v>517447</v>
      </c>
      <c r="C3284" s="141" t="s">
        <v>5914</v>
      </c>
      <c r="D3284" s="141" t="s">
        <v>1222</v>
      </c>
    </row>
    <row r="3285" spans="1:4" x14ac:dyDescent="0.3">
      <c r="A3285" s="141" t="s">
        <v>5916</v>
      </c>
      <c r="B3285" s="141">
        <v>532735</v>
      </c>
      <c r="C3285" s="141" t="s">
        <v>5917</v>
      </c>
      <c r="D3285" s="141" t="s">
        <v>1115</v>
      </c>
    </row>
    <row r="3286" spans="1:4" x14ac:dyDescent="0.3">
      <c r="A3286" s="141" t="s">
        <v>5918</v>
      </c>
      <c r="B3286" s="141">
        <v>512565</v>
      </c>
      <c r="C3286" s="141" t="s">
        <v>1129</v>
      </c>
      <c r="D3286" s="141" t="s">
        <v>1327</v>
      </c>
    </row>
    <row r="3287" spans="1:4" x14ac:dyDescent="0.3">
      <c r="A3287" s="141" t="s">
        <v>5919</v>
      </c>
      <c r="B3287" s="141">
        <v>538119</v>
      </c>
      <c r="C3287" s="141" t="s">
        <v>1129</v>
      </c>
      <c r="D3287" s="141" t="s">
        <v>1144</v>
      </c>
    </row>
    <row r="3288" spans="1:4" x14ac:dyDescent="0.3">
      <c r="A3288" s="141" t="s">
        <v>5920</v>
      </c>
      <c r="B3288" s="141">
        <v>524502</v>
      </c>
      <c r="C3288" s="141" t="s">
        <v>1129</v>
      </c>
      <c r="D3288" s="141" t="s">
        <v>2296</v>
      </c>
    </row>
    <row r="3289" spans="1:4" x14ac:dyDescent="0.3">
      <c r="A3289" s="141" t="s">
        <v>5921</v>
      </c>
      <c r="B3289" s="141">
        <v>524502</v>
      </c>
      <c r="C3289" s="141" t="s">
        <v>1129</v>
      </c>
      <c r="D3289" s="141" t="s">
        <v>2296</v>
      </c>
    </row>
    <row r="3290" spans="1:4" x14ac:dyDescent="0.3">
      <c r="A3290" s="141" t="s">
        <v>5922</v>
      </c>
      <c r="B3290" s="141">
        <v>502271</v>
      </c>
      <c r="C3290" s="141" t="s">
        <v>1129</v>
      </c>
      <c r="D3290" s="141" t="s">
        <v>1314</v>
      </c>
    </row>
    <row r="3291" spans="1:4" x14ac:dyDescent="0.3">
      <c r="A3291" s="141" t="s">
        <v>5923</v>
      </c>
      <c r="B3291" s="141">
        <v>520073</v>
      </c>
      <c r="C3291" s="141" t="s">
        <v>1129</v>
      </c>
      <c r="D3291" s="141" t="s">
        <v>1484</v>
      </c>
    </row>
    <row r="3292" spans="1:4" x14ac:dyDescent="0.3">
      <c r="A3292" s="141" t="s">
        <v>5924</v>
      </c>
      <c r="B3292" s="141">
        <v>590070</v>
      </c>
      <c r="C3292" s="141" t="s">
        <v>5925</v>
      </c>
      <c r="D3292" s="141" t="s">
        <v>1132</v>
      </c>
    </row>
    <row r="3293" spans="1:4" x14ac:dyDescent="0.3">
      <c r="A3293" s="141" t="s">
        <v>5926</v>
      </c>
      <c r="B3293" s="141">
        <v>590070</v>
      </c>
      <c r="C3293" s="141" t="s">
        <v>5925</v>
      </c>
      <c r="D3293" s="141" t="s">
        <v>1132</v>
      </c>
    </row>
    <row r="3294" spans="1:4" x14ac:dyDescent="0.3">
      <c r="A3294" s="141" t="s">
        <v>5927</v>
      </c>
      <c r="B3294" s="141">
        <v>532692</v>
      </c>
      <c r="C3294" s="141" t="s">
        <v>5928</v>
      </c>
      <c r="D3294" s="141" t="s">
        <v>1324</v>
      </c>
    </row>
    <row r="3295" spans="1:4" x14ac:dyDescent="0.3">
      <c r="A3295" s="141" t="s">
        <v>5929</v>
      </c>
      <c r="B3295" s="141">
        <v>539673</v>
      </c>
      <c r="C3295" s="141" t="s">
        <v>1129</v>
      </c>
      <c r="D3295" s="141" t="s">
        <v>1163</v>
      </c>
    </row>
    <row r="3296" spans="1:4" x14ac:dyDescent="0.3">
      <c r="A3296" s="141" t="s">
        <v>5930</v>
      </c>
      <c r="B3296" s="141">
        <v>531273</v>
      </c>
      <c r="C3296" s="141" t="s">
        <v>1129</v>
      </c>
      <c r="D3296" s="141" t="s">
        <v>1215</v>
      </c>
    </row>
    <row r="3297" spans="1:4" x14ac:dyDescent="0.3">
      <c r="A3297" s="141" t="s">
        <v>5931</v>
      </c>
      <c r="B3297" s="141">
        <v>531273</v>
      </c>
      <c r="C3297" s="141" t="s">
        <v>1129</v>
      </c>
      <c r="D3297" s="141" t="s">
        <v>1215</v>
      </c>
    </row>
    <row r="3298" spans="1:4" x14ac:dyDescent="0.3">
      <c r="A3298" s="141" t="s">
        <v>5932</v>
      </c>
      <c r="B3298" s="141">
        <v>539814</v>
      </c>
      <c r="C3298" s="141" t="s">
        <v>1129</v>
      </c>
      <c r="D3298" s="141" t="s">
        <v>1151</v>
      </c>
    </row>
    <row r="3299" spans="1:4" x14ac:dyDescent="0.3">
      <c r="A3299" s="141" t="s">
        <v>5933</v>
      </c>
      <c r="B3299" s="141">
        <v>540125</v>
      </c>
      <c r="C3299" s="141" t="s">
        <v>1129</v>
      </c>
      <c r="D3299" s="141" t="s">
        <v>1243</v>
      </c>
    </row>
    <row r="3300" spans="1:4" x14ac:dyDescent="0.3">
      <c r="A3300" s="141" t="s">
        <v>5934</v>
      </c>
      <c r="B3300" s="141">
        <v>532497</v>
      </c>
      <c r="C3300" s="141" t="s">
        <v>5935</v>
      </c>
      <c r="D3300" s="141" t="s">
        <v>1761</v>
      </c>
    </row>
    <row r="3301" spans="1:4" x14ac:dyDescent="0.3">
      <c r="A3301" s="141" t="s">
        <v>5936</v>
      </c>
      <c r="B3301" s="141">
        <v>531412</v>
      </c>
      <c r="C3301" s="141" t="s">
        <v>1129</v>
      </c>
      <c r="D3301" s="141" t="s">
        <v>1311</v>
      </c>
    </row>
    <row r="3302" spans="1:4" x14ac:dyDescent="0.3">
      <c r="A3302" s="141" t="s">
        <v>5937</v>
      </c>
      <c r="B3302" s="141">
        <v>531412</v>
      </c>
      <c r="C3302" s="141" t="s">
        <v>1129</v>
      </c>
      <c r="D3302" s="141" t="s">
        <v>1311</v>
      </c>
    </row>
    <row r="3303" spans="1:4" x14ac:dyDescent="0.3">
      <c r="A3303" s="141" t="s">
        <v>5938</v>
      </c>
      <c r="B3303" s="141">
        <v>539837</v>
      </c>
      <c r="C3303" s="141" t="s">
        <v>1129</v>
      </c>
      <c r="D3303" s="141" t="s">
        <v>1314</v>
      </c>
    </row>
    <row r="3304" spans="1:4" x14ac:dyDescent="0.3">
      <c r="A3304" s="141" t="s">
        <v>5939</v>
      </c>
      <c r="B3304" s="141">
        <v>526813</v>
      </c>
      <c r="C3304" s="141" t="s">
        <v>1129</v>
      </c>
      <c r="D3304" s="141" t="s">
        <v>3300</v>
      </c>
    </row>
    <row r="3305" spans="1:4" x14ac:dyDescent="0.3">
      <c r="A3305" s="141" t="s">
        <v>5940</v>
      </c>
      <c r="B3305" s="141">
        <v>531552</v>
      </c>
      <c r="C3305" s="141" t="s">
        <v>1129</v>
      </c>
      <c r="D3305" s="141" t="s">
        <v>1215</v>
      </c>
    </row>
    <row r="3306" spans="1:4" x14ac:dyDescent="0.3">
      <c r="A3306" s="141" t="s">
        <v>5941</v>
      </c>
      <c r="B3306" s="141">
        <v>538921</v>
      </c>
      <c r="C3306" s="141" t="s">
        <v>1129</v>
      </c>
      <c r="D3306" s="141" t="s">
        <v>1327</v>
      </c>
    </row>
    <row r="3307" spans="1:4" x14ac:dyDescent="0.3">
      <c r="A3307" s="141" t="s">
        <v>5942</v>
      </c>
      <c r="B3307" s="141">
        <v>514316</v>
      </c>
      <c r="C3307" s="141" t="s">
        <v>1129</v>
      </c>
      <c r="D3307" s="141" t="s">
        <v>1144</v>
      </c>
    </row>
    <row r="3308" spans="1:4" x14ac:dyDescent="0.3">
      <c r="A3308" s="141" t="s">
        <v>5943</v>
      </c>
      <c r="B3308" s="141">
        <v>531887</v>
      </c>
      <c r="C3308" s="141" t="s">
        <v>1129</v>
      </c>
      <c r="D3308" s="141" t="s">
        <v>1243</v>
      </c>
    </row>
    <row r="3309" spans="1:4" x14ac:dyDescent="0.3">
      <c r="A3309" s="141" t="s">
        <v>5944</v>
      </c>
      <c r="B3309" s="141">
        <v>540270</v>
      </c>
      <c r="C3309" s="141" t="s">
        <v>1129</v>
      </c>
      <c r="D3309" s="141" t="s">
        <v>1151</v>
      </c>
    </row>
    <row r="3310" spans="1:4" x14ac:dyDescent="0.3">
      <c r="A3310" s="141" t="s">
        <v>5945</v>
      </c>
      <c r="B3310" s="141">
        <v>542649</v>
      </c>
      <c r="C3310" s="141" t="s">
        <v>5946</v>
      </c>
      <c r="D3310" s="141" t="s">
        <v>5947</v>
      </c>
    </row>
    <row r="3311" spans="1:4" x14ac:dyDescent="0.3">
      <c r="A3311" s="141" t="s">
        <v>5948</v>
      </c>
      <c r="B3311" s="141">
        <v>500339</v>
      </c>
      <c r="C3311" s="141" t="s">
        <v>5949</v>
      </c>
      <c r="D3311" s="141" t="s">
        <v>1343</v>
      </c>
    </row>
    <row r="3312" spans="1:4" x14ac:dyDescent="0.3">
      <c r="A3312" s="141" t="s">
        <v>5950</v>
      </c>
      <c r="B3312" s="141">
        <v>532441</v>
      </c>
      <c r="C3312" s="141" t="s">
        <v>1129</v>
      </c>
      <c r="D3312" s="141" t="s">
        <v>1144</v>
      </c>
    </row>
    <row r="3313" spans="1:4" x14ac:dyDescent="0.3">
      <c r="A3313" s="141" t="s">
        <v>5951</v>
      </c>
      <c r="B3313" s="141">
        <v>531694</v>
      </c>
      <c r="C3313" s="141" t="s">
        <v>1129</v>
      </c>
      <c r="D3313" s="141" t="s">
        <v>1215</v>
      </c>
    </row>
    <row r="3314" spans="1:4" x14ac:dyDescent="0.3">
      <c r="A3314" s="141" t="s">
        <v>5952</v>
      </c>
      <c r="B3314" s="141">
        <v>523523</v>
      </c>
      <c r="C3314" s="141" t="s">
        <v>5953</v>
      </c>
      <c r="D3314" s="141" t="s">
        <v>1123</v>
      </c>
    </row>
    <row r="3315" spans="1:4" x14ac:dyDescent="0.3">
      <c r="A3315" s="141" t="s">
        <v>5954</v>
      </c>
      <c r="B3315" s="141">
        <v>530111</v>
      </c>
      <c r="C3315" s="141" t="s">
        <v>1129</v>
      </c>
      <c r="D3315" s="141" t="s">
        <v>1324</v>
      </c>
    </row>
    <row r="3316" spans="1:4" x14ac:dyDescent="0.3">
      <c r="A3316" s="141" t="s">
        <v>5955</v>
      </c>
      <c r="B3316" s="141">
        <v>530699</v>
      </c>
      <c r="C3316" s="141" t="s">
        <v>5956</v>
      </c>
      <c r="D3316" s="141" t="s">
        <v>1144</v>
      </c>
    </row>
    <row r="3317" spans="1:4" x14ac:dyDescent="0.3">
      <c r="A3317" s="141" t="s">
        <v>5957</v>
      </c>
      <c r="B3317" s="141">
        <v>532826</v>
      </c>
      <c r="C3317" s="141" t="s">
        <v>5958</v>
      </c>
      <c r="D3317" s="141" t="s">
        <v>1868</v>
      </c>
    </row>
    <row r="3318" spans="1:4" x14ac:dyDescent="0.3">
      <c r="A3318" s="141" t="s">
        <v>5959</v>
      </c>
      <c r="B3318" s="141">
        <v>503127</v>
      </c>
      <c r="C3318" s="141" t="s">
        <v>1129</v>
      </c>
      <c r="D3318" s="141" t="s">
        <v>1118</v>
      </c>
    </row>
    <row r="3319" spans="1:4" x14ac:dyDescent="0.3">
      <c r="A3319" s="141" t="s">
        <v>5960</v>
      </c>
      <c r="B3319" s="141">
        <v>532503</v>
      </c>
      <c r="C3319" s="141" t="s">
        <v>1129</v>
      </c>
      <c r="D3319" s="141" t="s">
        <v>1144</v>
      </c>
    </row>
    <row r="3320" spans="1:4" x14ac:dyDescent="0.3">
      <c r="A3320" s="141" t="s">
        <v>5961</v>
      </c>
      <c r="B3320" s="141">
        <v>538707</v>
      </c>
      <c r="C3320" s="141" t="s">
        <v>1129</v>
      </c>
      <c r="D3320" s="141" t="s">
        <v>1324</v>
      </c>
    </row>
    <row r="3321" spans="1:4" x14ac:dyDescent="0.3">
      <c r="A3321" s="141" t="s">
        <v>5962</v>
      </c>
      <c r="B3321" s="141">
        <v>526873</v>
      </c>
      <c r="C3321" s="141" t="s">
        <v>1129</v>
      </c>
      <c r="D3321" s="141" t="s">
        <v>1339</v>
      </c>
    </row>
    <row r="3322" spans="1:4" x14ac:dyDescent="0.3">
      <c r="A3322" s="141" t="s">
        <v>5963</v>
      </c>
      <c r="B3322" s="141">
        <v>530253</v>
      </c>
      <c r="C3322" s="141" t="s">
        <v>1129</v>
      </c>
      <c r="D3322" s="141" t="s">
        <v>1452</v>
      </c>
    </row>
    <row r="3323" spans="1:4" x14ac:dyDescent="0.3">
      <c r="A3323" s="141" t="s">
        <v>5964</v>
      </c>
      <c r="B3323" s="141">
        <v>507962</v>
      </c>
      <c r="C3323" s="141" t="s">
        <v>1129</v>
      </c>
      <c r="D3323" s="141" t="s">
        <v>1146</v>
      </c>
    </row>
    <row r="3324" spans="1:4" x14ac:dyDescent="0.3">
      <c r="A3324" s="141" t="s">
        <v>5965</v>
      </c>
      <c r="B3324" s="141">
        <v>526662</v>
      </c>
      <c r="C3324" s="141" t="s">
        <v>5966</v>
      </c>
      <c r="D3324" s="141" t="s">
        <v>1527</v>
      </c>
    </row>
    <row r="3325" spans="1:4" x14ac:dyDescent="0.3">
      <c r="A3325" s="141" t="s">
        <v>5967</v>
      </c>
      <c r="B3325" s="141">
        <v>531500</v>
      </c>
      <c r="C3325" s="141" t="s">
        <v>5968</v>
      </c>
      <c r="D3325" s="141" t="s">
        <v>1243</v>
      </c>
    </row>
    <row r="3326" spans="1:4" x14ac:dyDescent="0.3">
      <c r="A3326" s="141" t="s">
        <v>5969</v>
      </c>
      <c r="B3326" s="141">
        <v>526823</v>
      </c>
      <c r="C3326" s="141" t="s">
        <v>1129</v>
      </c>
      <c r="D3326" s="141" t="s">
        <v>1215</v>
      </c>
    </row>
    <row r="3327" spans="1:4" x14ac:dyDescent="0.3">
      <c r="A3327" s="141" t="s">
        <v>5970</v>
      </c>
      <c r="B3327" s="141">
        <v>514028</v>
      </c>
      <c r="C3327" s="141" t="s">
        <v>1129</v>
      </c>
      <c r="D3327" s="141" t="s">
        <v>1144</v>
      </c>
    </row>
    <row r="3328" spans="1:4" x14ac:dyDescent="0.3">
      <c r="A3328" s="141" t="s">
        <v>5971</v>
      </c>
      <c r="B3328" s="141">
        <v>539495</v>
      </c>
      <c r="C3328" s="141" t="s">
        <v>1129</v>
      </c>
      <c r="D3328" s="141" t="s">
        <v>1146</v>
      </c>
    </row>
    <row r="3329" spans="1:4" x14ac:dyDescent="0.3">
      <c r="A3329" s="141" t="s">
        <v>5972</v>
      </c>
      <c r="B3329" s="141">
        <v>513369</v>
      </c>
      <c r="C3329" s="141" t="s">
        <v>1129</v>
      </c>
      <c r="D3329" s="141" t="s">
        <v>2049</v>
      </c>
    </row>
    <row r="3330" spans="1:4" x14ac:dyDescent="0.3">
      <c r="A3330" s="141" t="s">
        <v>5973</v>
      </c>
      <c r="B3330" s="141" t="s">
        <v>1129</v>
      </c>
      <c r="C3330" s="141" t="s">
        <v>5974</v>
      </c>
      <c r="D3330" s="141" t="s">
        <v>1140</v>
      </c>
    </row>
    <row r="3331" spans="1:4" x14ac:dyDescent="0.3">
      <c r="A3331" s="141" t="s">
        <v>5975</v>
      </c>
      <c r="B3331" s="141">
        <v>541601</v>
      </c>
      <c r="C3331" s="141" t="s">
        <v>1129</v>
      </c>
      <c r="D3331" s="141" t="s">
        <v>1167</v>
      </c>
    </row>
    <row r="3332" spans="1:4" x14ac:dyDescent="0.3">
      <c r="A3332" s="141" t="s">
        <v>5976</v>
      </c>
      <c r="B3332" s="141">
        <v>522257</v>
      </c>
      <c r="C3332" s="141" t="s">
        <v>1129</v>
      </c>
      <c r="D3332" s="141" t="s">
        <v>1137</v>
      </c>
    </row>
    <row r="3333" spans="1:4" x14ac:dyDescent="0.3">
      <c r="A3333" s="141" t="s">
        <v>5977</v>
      </c>
      <c r="B3333" s="141">
        <v>517522</v>
      </c>
      <c r="C3333" s="141" t="s">
        <v>1129</v>
      </c>
      <c r="D3333" s="141" t="s">
        <v>1484</v>
      </c>
    </row>
    <row r="3334" spans="1:4" x14ac:dyDescent="0.3">
      <c r="A3334" s="141" t="s">
        <v>5978</v>
      </c>
      <c r="B3334" s="141">
        <v>512409</v>
      </c>
      <c r="C3334" s="141" t="s">
        <v>1129</v>
      </c>
      <c r="D3334" s="141" t="s">
        <v>1146</v>
      </c>
    </row>
    <row r="3335" spans="1:4" x14ac:dyDescent="0.3">
      <c r="A3335" s="141" t="s">
        <v>5979</v>
      </c>
      <c r="B3335" s="141" t="s">
        <v>1129</v>
      </c>
      <c r="C3335" s="141" t="s">
        <v>5980</v>
      </c>
      <c r="D3335" s="141" t="s">
        <v>1140</v>
      </c>
    </row>
    <row r="3336" spans="1:4" x14ac:dyDescent="0.3">
      <c r="A3336" s="141" t="s">
        <v>5981</v>
      </c>
      <c r="B3336" s="141">
        <v>500354</v>
      </c>
      <c r="C3336" s="141" t="s">
        <v>5982</v>
      </c>
      <c r="D3336" s="141" t="s">
        <v>1828</v>
      </c>
    </row>
    <row r="3337" spans="1:4" x14ac:dyDescent="0.3">
      <c r="A3337" s="141" t="s">
        <v>5983</v>
      </c>
      <c r="B3337" s="141">
        <v>532665</v>
      </c>
      <c r="C3337" s="141" t="s">
        <v>5984</v>
      </c>
      <c r="D3337" s="141" t="s">
        <v>1144</v>
      </c>
    </row>
    <row r="3338" spans="1:4" x14ac:dyDescent="0.3">
      <c r="A3338" s="141" t="s">
        <v>5985</v>
      </c>
      <c r="B3338" s="141">
        <v>500355</v>
      </c>
      <c r="C3338" s="141" t="s">
        <v>5986</v>
      </c>
      <c r="D3338" s="141" t="s">
        <v>1273</v>
      </c>
    </row>
    <row r="3339" spans="1:4" x14ac:dyDescent="0.3">
      <c r="A3339" s="141" t="s">
        <v>5987</v>
      </c>
      <c r="B3339" s="141">
        <v>500355</v>
      </c>
      <c r="C3339" s="141" t="s">
        <v>5986</v>
      </c>
      <c r="D3339" s="141" t="s">
        <v>1273</v>
      </c>
    </row>
    <row r="3340" spans="1:4" x14ac:dyDescent="0.3">
      <c r="A3340" s="141" t="s">
        <v>5988</v>
      </c>
      <c r="B3340" s="141">
        <v>534734</v>
      </c>
      <c r="C3340" s="141" t="s">
        <v>1129</v>
      </c>
      <c r="D3340" s="141" t="s">
        <v>1289</v>
      </c>
    </row>
    <row r="3341" spans="1:4" x14ac:dyDescent="0.3">
      <c r="A3341" s="141" t="s">
        <v>5989</v>
      </c>
      <c r="B3341" s="141">
        <v>522281</v>
      </c>
      <c r="C3341" s="141" t="s">
        <v>1129</v>
      </c>
      <c r="D3341" s="141" t="s">
        <v>1427</v>
      </c>
    </row>
    <row r="3342" spans="1:4" x14ac:dyDescent="0.3">
      <c r="A3342" s="141" t="s">
        <v>5990</v>
      </c>
      <c r="B3342" s="141">
        <v>500357</v>
      </c>
      <c r="C3342" s="141" t="s">
        <v>1129</v>
      </c>
      <c r="D3342" s="141" t="s">
        <v>1123</v>
      </c>
    </row>
    <row r="3343" spans="1:4" x14ac:dyDescent="0.3">
      <c r="A3343" s="141" t="s">
        <v>5991</v>
      </c>
      <c r="B3343" s="141">
        <v>500358</v>
      </c>
      <c r="C3343" s="141" t="s">
        <v>1129</v>
      </c>
      <c r="D3343" s="141" t="s">
        <v>1146</v>
      </c>
    </row>
    <row r="3344" spans="1:4" x14ac:dyDescent="0.3">
      <c r="A3344" s="141" t="s">
        <v>5992</v>
      </c>
      <c r="B3344" s="141">
        <v>524037</v>
      </c>
      <c r="C3344" s="141" t="s">
        <v>1129</v>
      </c>
      <c r="D3344" s="141" t="s">
        <v>1637</v>
      </c>
    </row>
    <row r="3345" spans="1:4" x14ac:dyDescent="0.3">
      <c r="A3345" s="141" t="s">
        <v>5993</v>
      </c>
      <c r="B3345" s="141">
        <v>502587</v>
      </c>
      <c r="C3345" s="141" t="s">
        <v>1129</v>
      </c>
      <c r="D3345" s="141" t="s">
        <v>1123</v>
      </c>
    </row>
    <row r="3346" spans="1:4" x14ac:dyDescent="0.3">
      <c r="A3346" s="141" t="s">
        <v>5994</v>
      </c>
      <c r="B3346" s="141">
        <v>539309</v>
      </c>
      <c r="C3346" s="141" t="s">
        <v>5995</v>
      </c>
      <c r="D3346" s="141" t="s">
        <v>1452</v>
      </c>
    </row>
    <row r="3347" spans="1:4" x14ac:dyDescent="0.3">
      <c r="A3347" s="141" t="s">
        <v>5996</v>
      </c>
      <c r="B3347" s="141">
        <v>523289</v>
      </c>
      <c r="C3347" s="141" t="s">
        <v>1129</v>
      </c>
      <c r="D3347" s="141" t="s">
        <v>1151</v>
      </c>
    </row>
    <row r="3348" spans="1:4" x14ac:dyDescent="0.3">
      <c r="A3348" s="141" t="s">
        <v>5997</v>
      </c>
      <c r="B3348" s="141">
        <v>515127</v>
      </c>
      <c r="C3348" s="141" t="s">
        <v>1129</v>
      </c>
      <c r="D3348" s="141" t="s">
        <v>1151</v>
      </c>
    </row>
    <row r="3349" spans="1:4" x14ac:dyDescent="0.3">
      <c r="A3349" s="141" t="s">
        <v>5998</v>
      </c>
      <c r="B3349" s="141">
        <v>538540</v>
      </c>
      <c r="C3349" s="141" t="s">
        <v>1129</v>
      </c>
      <c r="D3349" s="141" t="s">
        <v>1146</v>
      </c>
    </row>
    <row r="3350" spans="1:4" x14ac:dyDescent="0.3">
      <c r="A3350" s="141" t="s">
        <v>5999</v>
      </c>
      <c r="B3350" s="141">
        <v>532369</v>
      </c>
      <c r="C3350" s="141" t="s">
        <v>6000</v>
      </c>
      <c r="D3350" s="141" t="s">
        <v>1657</v>
      </c>
    </row>
    <row r="3351" spans="1:4" x14ac:dyDescent="0.3">
      <c r="A3351" s="141" t="s">
        <v>6001</v>
      </c>
      <c r="B3351" s="141">
        <v>532370</v>
      </c>
      <c r="C3351" s="141" t="s">
        <v>6002</v>
      </c>
      <c r="D3351" s="141" t="s">
        <v>1115</v>
      </c>
    </row>
    <row r="3352" spans="1:4" x14ac:dyDescent="0.3">
      <c r="A3352" s="141" t="s">
        <v>6003</v>
      </c>
      <c r="B3352" s="141">
        <v>514223</v>
      </c>
      <c r="C3352" s="141" t="s">
        <v>6004</v>
      </c>
      <c r="D3352" s="141" t="s">
        <v>1151</v>
      </c>
    </row>
    <row r="3353" spans="1:4" x14ac:dyDescent="0.3">
      <c r="A3353" s="141" t="s">
        <v>6005</v>
      </c>
      <c r="B3353" s="141">
        <v>530951</v>
      </c>
      <c r="C3353" s="141" t="s">
        <v>1129</v>
      </c>
      <c r="D3353" s="141" t="s">
        <v>1222</v>
      </c>
    </row>
    <row r="3354" spans="1:4" x14ac:dyDescent="0.3">
      <c r="A3354" s="141" t="s">
        <v>6006</v>
      </c>
      <c r="B3354" s="141">
        <v>532527</v>
      </c>
      <c r="C3354" s="141" t="s">
        <v>6007</v>
      </c>
      <c r="D3354" s="141" t="s">
        <v>2049</v>
      </c>
    </row>
    <row r="3355" spans="1:4" x14ac:dyDescent="0.3">
      <c r="A3355" s="141" t="s">
        <v>6008</v>
      </c>
      <c r="B3355" s="141">
        <v>533262</v>
      </c>
      <c r="C3355" s="141" t="s">
        <v>6009</v>
      </c>
      <c r="D3355" s="141" t="s">
        <v>1527</v>
      </c>
    </row>
    <row r="3356" spans="1:4" x14ac:dyDescent="0.3">
      <c r="A3356" s="141" t="s">
        <v>6010</v>
      </c>
      <c r="B3356" s="141">
        <v>532690</v>
      </c>
      <c r="C3356" s="141" t="s">
        <v>6011</v>
      </c>
      <c r="D3356" s="141" t="s">
        <v>1161</v>
      </c>
    </row>
    <row r="3357" spans="1:4" x14ac:dyDescent="0.3">
      <c r="A3357" s="141" t="s">
        <v>6012</v>
      </c>
      <c r="B3357" s="141">
        <v>530925</v>
      </c>
      <c r="C3357" s="141" t="s">
        <v>1129</v>
      </c>
      <c r="D3357" s="141" t="s">
        <v>1146</v>
      </c>
    </row>
    <row r="3358" spans="1:4" x14ac:dyDescent="0.3">
      <c r="A3358" s="141" t="s">
        <v>6013</v>
      </c>
      <c r="B3358" s="141">
        <v>507490</v>
      </c>
      <c r="C3358" s="141" t="s">
        <v>6014</v>
      </c>
      <c r="D3358" s="141" t="s">
        <v>1828</v>
      </c>
    </row>
    <row r="3359" spans="1:4" x14ac:dyDescent="0.3">
      <c r="A3359" s="141" t="s">
        <v>6015</v>
      </c>
      <c r="B3359" s="141">
        <v>531228</v>
      </c>
      <c r="C3359" s="141" t="s">
        <v>1129</v>
      </c>
      <c r="D3359" s="141" t="s">
        <v>1146</v>
      </c>
    </row>
    <row r="3360" spans="1:4" x14ac:dyDescent="0.3">
      <c r="A3360" s="141" t="s">
        <v>6016</v>
      </c>
      <c r="B3360" s="141">
        <v>532987</v>
      </c>
      <c r="C3360" s="141" t="s">
        <v>6017</v>
      </c>
      <c r="D3360" s="141" t="s">
        <v>1484</v>
      </c>
    </row>
    <row r="3361" spans="1:4" x14ac:dyDescent="0.3">
      <c r="A3361" s="141" t="s">
        <v>6018</v>
      </c>
      <c r="B3361" s="141">
        <v>532988</v>
      </c>
      <c r="C3361" s="141" t="s">
        <v>6019</v>
      </c>
      <c r="D3361" s="141" t="s">
        <v>1484</v>
      </c>
    </row>
    <row r="3362" spans="1:4" x14ac:dyDescent="0.3">
      <c r="A3362" s="141" t="s">
        <v>6020</v>
      </c>
      <c r="B3362" s="141">
        <v>505800</v>
      </c>
      <c r="C3362" s="141" t="s">
        <v>6021</v>
      </c>
      <c r="D3362" s="141" t="s">
        <v>1484</v>
      </c>
    </row>
    <row r="3363" spans="1:4" x14ac:dyDescent="0.3">
      <c r="A3363" s="141" t="s">
        <v>6022</v>
      </c>
      <c r="B3363" s="141">
        <v>532661</v>
      </c>
      <c r="C3363" s="141" t="s">
        <v>6023</v>
      </c>
      <c r="D3363" s="141" t="s">
        <v>1484</v>
      </c>
    </row>
    <row r="3364" spans="1:4" x14ac:dyDescent="0.3">
      <c r="A3364" s="141" t="s">
        <v>6024</v>
      </c>
      <c r="B3364" s="141">
        <v>541945</v>
      </c>
      <c r="C3364" s="141" t="s">
        <v>1129</v>
      </c>
      <c r="D3364" s="141" t="s">
        <v>1527</v>
      </c>
    </row>
    <row r="3365" spans="1:4" x14ac:dyDescent="0.3">
      <c r="A3365" s="141" t="s">
        <v>6025</v>
      </c>
      <c r="B3365" s="141">
        <v>531583</v>
      </c>
      <c r="C3365" s="141" t="s">
        <v>1129</v>
      </c>
      <c r="D3365" s="141" t="s">
        <v>1146</v>
      </c>
    </row>
    <row r="3366" spans="1:4" x14ac:dyDescent="0.3">
      <c r="A3366" s="141" t="s">
        <v>6026</v>
      </c>
      <c r="B3366" s="141">
        <v>500360</v>
      </c>
      <c r="C3366" s="141" t="s">
        <v>1129</v>
      </c>
      <c r="D3366" s="141" t="s">
        <v>1137</v>
      </c>
    </row>
    <row r="3367" spans="1:4" x14ac:dyDescent="0.3">
      <c r="A3367" s="141" t="s">
        <v>6027</v>
      </c>
      <c r="B3367" s="141">
        <v>501351</v>
      </c>
      <c r="C3367" s="141" t="s">
        <v>1129</v>
      </c>
      <c r="D3367" s="141" t="s">
        <v>1550</v>
      </c>
    </row>
    <row r="3368" spans="1:4" x14ac:dyDescent="0.3">
      <c r="A3368" s="141" t="s">
        <v>6028</v>
      </c>
      <c r="B3368" s="141">
        <v>507966</v>
      </c>
      <c r="C3368" s="141" t="s">
        <v>1129</v>
      </c>
      <c r="D3368" s="141" t="s">
        <v>1330</v>
      </c>
    </row>
    <row r="3369" spans="1:4" x14ac:dyDescent="0.3">
      <c r="A3369" s="141" t="s">
        <v>6029</v>
      </c>
      <c r="B3369" s="141">
        <v>522207</v>
      </c>
      <c r="C3369" s="141" t="s">
        <v>1129</v>
      </c>
      <c r="D3369" s="141" t="s">
        <v>1484</v>
      </c>
    </row>
    <row r="3370" spans="1:4" x14ac:dyDescent="0.3">
      <c r="A3370" s="141" t="s">
        <v>6030</v>
      </c>
      <c r="B3370" s="141">
        <v>522207</v>
      </c>
      <c r="C3370" s="141" t="s">
        <v>1129</v>
      </c>
      <c r="D3370" s="141" t="s">
        <v>1484</v>
      </c>
    </row>
    <row r="3371" spans="1:4" x14ac:dyDescent="0.3">
      <c r="A3371" s="141" t="s">
        <v>6031</v>
      </c>
      <c r="B3371" s="141">
        <v>524230</v>
      </c>
      <c r="C3371" s="141" t="s">
        <v>6032</v>
      </c>
      <c r="D3371" s="141" t="s">
        <v>1637</v>
      </c>
    </row>
    <row r="3372" spans="1:4" x14ac:dyDescent="0.3">
      <c r="A3372" s="141" t="s">
        <v>6033</v>
      </c>
      <c r="B3372" s="141">
        <v>531233</v>
      </c>
      <c r="C3372" s="141" t="s">
        <v>1129</v>
      </c>
      <c r="D3372" s="141" t="s">
        <v>1314</v>
      </c>
    </row>
    <row r="3373" spans="1:4" x14ac:dyDescent="0.3">
      <c r="A3373" s="141" t="s">
        <v>6034</v>
      </c>
      <c r="B3373" s="141">
        <v>507649</v>
      </c>
      <c r="C3373" s="141" t="s">
        <v>1129</v>
      </c>
      <c r="D3373" s="141" t="s">
        <v>1378</v>
      </c>
    </row>
    <row r="3374" spans="1:4" x14ac:dyDescent="0.3">
      <c r="A3374" s="141" t="s">
        <v>6035</v>
      </c>
      <c r="B3374" s="141">
        <v>532918</v>
      </c>
      <c r="C3374" s="141" t="s">
        <v>1129</v>
      </c>
      <c r="D3374" s="141" t="s">
        <v>1452</v>
      </c>
    </row>
    <row r="3375" spans="1:4" x14ac:dyDescent="0.3">
      <c r="A3375" s="141" t="s">
        <v>6036</v>
      </c>
      <c r="B3375" s="141">
        <v>524610</v>
      </c>
      <c r="C3375" s="141" t="s">
        <v>1129</v>
      </c>
      <c r="D3375" s="141" t="s">
        <v>1289</v>
      </c>
    </row>
    <row r="3376" spans="1:4" x14ac:dyDescent="0.3">
      <c r="A3376" s="141" t="s">
        <v>6037</v>
      </c>
      <c r="B3376" s="141">
        <v>540796</v>
      </c>
      <c r="C3376" s="141" t="s">
        <v>1129</v>
      </c>
      <c r="D3376" s="141" t="s">
        <v>1215</v>
      </c>
    </row>
    <row r="3377" spans="1:4" x14ac:dyDescent="0.3">
      <c r="A3377" s="141" t="s">
        <v>6038</v>
      </c>
      <c r="B3377" s="141">
        <v>520111</v>
      </c>
      <c r="C3377" s="141" t="s">
        <v>6039</v>
      </c>
      <c r="D3377" s="141" t="s">
        <v>1527</v>
      </c>
    </row>
    <row r="3378" spans="1:4" x14ac:dyDescent="0.3">
      <c r="A3378" s="141" t="s">
        <v>6040</v>
      </c>
      <c r="B3378" s="141">
        <v>534597</v>
      </c>
      <c r="C3378" s="141" t="s">
        <v>6041</v>
      </c>
      <c r="D3378" s="141" t="s">
        <v>1268</v>
      </c>
    </row>
    <row r="3379" spans="1:4" x14ac:dyDescent="0.3">
      <c r="A3379" s="141" t="s">
        <v>6042</v>
      </c>
      <c r="B3379" s="141">
        <v>533122</v>
      </c>
      <c r="C3379" s="141" t="s">
        <v>6043</v>
      </c>
      <c r="D3379" s="141" t="s">
        <v>1268</v>
      </c>
    </row>
    <row r="3380" spans="1:4" x14ac:dyDescent="0.3">
      <c r="A3380" s="141" t="s">
        <v>6044</v>
      </c>
      <c r="B3380" s="141">
        <v>537840</v>
      </c>
      <c r="C3380" s="141" t="s">
        <v>1129</v>
      </c>
      <c r="D3380" s="141" t="s">
        <v>1527</v>
      </c>
    </row>
    <row r="3381" spans="1:4" x14ac:dyDescent="0.3">
      <c r="A3381" s="141" t="s">
        <v>6045</v>
      </c>
      <c r="B3381" s="141">
        <v>507300</v>
      </c>
      <c r="C3381" s="141" t="s">
        <v>1129</v>
      </c>
      <c r="D3381" s="141" t="s">
        <v>1828</v>
      </c>
    </row>
    <row r="3382" spans="1:4" x14ac:dyDescent="0.3">
      <c r="A3382" s="141" t="s">
        <v>6046</v>
      </c>
      <c r="B3382" s="141">
        <v>533294</v>
      </c>
      <c r="C3382" s="141" t="s">
        <v>6047</v>
      </c>
      <c r="D3382" s="141" t="s">
        <v>1761</v>
      </c>
    </row>
    <row r="3383" spans="1:4" x14ac:dyDescent="0.3">
      <c r="A3383" s="141" t="s">
        <v>6048</v>
      </c>
      <c r="B3383" s="141">
        <v>526095</v>
      </c>
      <c r="C3383" s="141" t="s">
        <v>1129</v>
      </c>
      <c r="D3383" s="141" t="s">
        <v>1657</v>
      </c>
    </row>
    <row r="3384" spans="1:4" x14ac:dyDescent="0.3">
      <c r="A3384" s="141" t="s">
        <v>6049</v>
      </c>
      <c r="B3384" s="141">
        <v>504341</v>
      </c>
      <c r="C3384" s="141" t="s">
        <v>1129</v>
      </c>
      <c r="D3384" s="141" t="s">
        <v>1112</v>
      </c>
    </row>
    <row r="3385" spans="1:4" x14ac:dyDescent="0.3">
      <c r="A3385" s="141" t="s">
        <v>6050</v>
      </c>
      <c r="B3385" s="141">
        <v>541634</v>
      </c>
      <c r="C3385" s="141" t="s">
        <v>1129</v>
      </c>
      <c r="D3385" s="141" t="s">
        <v>1657</v>
      </c>
    </row>
    <row r="3386" spans="1:4" x14ac:dyDescent="0.3">
      <c r="A3386" s="141" t="s">
        <v>6051</v>
      </c>
      <c r="B3386" s="141">
        <v>531207</v>
      </c>
      <c r="C3386" s="141" t="s">
        <v>1129</v>
      </c>
      <c r="D3386" s="141" t="s">
        <v>1167</v>
      </c>
    </row>
    <row r="3387" spans="1:4" x14ac:dyDescent="0.3">
      <c r="A3387" s="141" t="s">
        <v>6052</v>
      </c>
      <c r="B3387" s="141">
        <v>500330</v>
      </c>
      <c r="C3387" s="141" t="s">
        <v>6053</v>
      </c>
      <c r="D3387" s="141" t="s">
        <v>1144</v>
      </c>
    </row>
    <row r="3388" spans="1:4" x14ac:dyDescent="0.3">
      <c r="A3388" s="141" t="s">
        <v>6054</v>
      </c>
      <c r="B3388" s="141">
        <v>540065</v>
      </c>
      <c r="C3388" s="141" t="s">
        <v>6055</v>
      </c>
      <c r="D3388" s="141" t="s">
        <v>1447</v>
      </c>
    </row>
    <row r="3389" spans="1:4" x14ac:dyDescent="0.3">
      <c r="A3389" s="141" t="s">
        <v>6056</v>
      </c>
      <c r="B3389" s="141">
        <v>531825</v>
      </c>
      <c r="C3389" s="141" t="s">
        <v>1129</v>
      </c>
      <c r="D3389" s="141" t="s">
        <v>1115</v>
      </c>
    </row>
    <row r="3390" spans="1:4" x14ac:dyDescent="0.3">
      <c r="A3390" s="141" t="s">
        <v>6057</v>
      </c>
      <c r="B3390" s="141">
        <v>537254</v>
      </c>
      <c r="C3390" s="141" t="s">
        <v>1129</v>
      </c>
      <c r="D3390" s="141" t="s">
        <v>1151</v>
      </c>
    </row>
    <row r="3391" spans="1:4" x14ac:dyDescent="0.3">
      <c r="A3391" s="141" t="s">
        <v>6058</v>
      </c>
      <c r="B3391" s="141">
        <v>534708</v>
      </c>
      <c r="C3391" s="141" t="s">
        <v>1129</v>
      </c>
      <c r="D3391" s="141" t="s">
        <v>1298</v>
      </c>
    </row>
    <row r="3392" spans="1:4" x14ac:dyDescent="0.3">
      <c r="A3392" s="141" t="s">
        <v>6059</v>
      </c>
      <c r="B3392" s="141">
        <v>533608</v>
      </c>
      <c r="C3392" s="141" t="s">
        <v>1129</v>
      </c>
      <c r="D3392" s="141" t="s">
        <v>1249</v>
      </c>
    </row>
    <row r="3393" spans="1:4" x14ac:dyDescent="0.3">
      <c r="A3393" s="141" t="s">
        <v>6060</v>
      </c>
      <c r="B3393" s="141">
        <v>533285</v>
      </c>
      <c r="C3393" s="141" t="s">
        <v>1129</v>
      </c>
      <c r="D3393" s="141" t="s">
        <v>1215</v>
      </c>
    </row>
    <row r="3394" spans="1:4" x14ac:dyDescent="0.3">
      <c r="A3394" s="141" t="s">
        <v>6061</v>
      </c>
      <c r="B3394" s="141">
        <v>539691</v>
      </c>
      <c r="C3394" s="141" t="s">
        <v>1129</v>
      </c>
      <c r="D3394" s="141" t="s">
        <v>1151</v>
      </c>
    </row>
    <row r="3395" spans="1:4" x14ac:dyDescent="0.3">
      <c r="A3395" s="141" t="s">
        <v>6062</v>
      </c>
      <c r="B3395" s="141">
        <v>530053</v>
      </c>
      <c r="C3395" s="141" t="s">
        <v>1129</v>
      </c>
      <c r="D3395" s="141" t="s">
        <v>1215</v>
      </c>
    </row>
    <row r="3396" spans="1:4" x14ac:dyDescent="0.3">
      <c r="A3396" s="141" t="s">
        <v>6063</v>
      </c>
      <c r="B3396" s="141">
        <v>513558</v>
      </c>
      <c r="C3396" s="141" t="s">
        <v>1129</v>
      </c>
      <c r="D3396" s="141" t="s">
        <v>1161</v>
      </c>
    </row>
    <row r="3397" spans="1:4" x14ac:dyDescent="0.3">
      <c r="A3397" s="141" t="s">
        <v>6064</v>
      </c>
      <c r="B3397" s="141">
        <v>538611</v>
      </c>
      <c r="C3397" s="141" t="s">
        <v>1129</v>
      </c>
      <c r="D3397" s="141" t="s">
        <v>1112</v>
      </c>
    </row>
    <row r="3398" spans="1:4" x14ac:dyDescent="0.3">
      <c r="A3398" s="141" t="s">
        <v>6065</v>
      </c>
      <c r="B3398" s="141">
        <v>532955</v>
      </c>
      <c r="C3398" s="141" t="s">
        <v>6066</v>
      </c>
      <c r="D3398" s="141" t="s">
        <v>1146</v>
      </c>
    </row>
    <row r="3399" spans="1:4" x14ac:dyDescent="0.3">
      <c r="A3399" s="141" t="s">
        <v>6067</v>
      </c>
      <c r="B3399" s="141">
        <v>523650</v>
      </c>
      <c r="C3399" s="141" t="s">
        <v>1129</v>
      </c>
      <c r="D3399" s="141" t="s">
        <v>1137</v>
      </c>
    </row>
    <row r="3400" spans="1:4" x14ac:dyDescent="0.3">
      <c r="A3400" s="141" t="s">
        <v>6068</v>
      </c>
      <c r="B3400" s="141">
        <v>532805</v>
      </c>
      <c r="C3400" s="141" t="s">
        <v>6069</v>
      </c>
      <c r="D3400" s="141" t="s">
        <v>1151</v>
      </c>
    </row>
    <row r="3401" spans="1:4" x14ac:dyDescent="0.3">
      <c r="A3401" s="141" t="s">
        <v>6070</v>
      </c>
      <c r="B3401" s="141">
        <v>532805</v>
      </c>
      <c r="C3401" s="141" t="s">
        <v>6069</v>
      </c>
      <c r="D3401" s="141" t="s">
        <v>1151</v>
      </c>
    </row>
    <row r="3402" spans="1:4" x14ac:dyDescent="0.3">
      <c r="A3402" s="141" t="s">
        <v>6071</v>
      </c>
      <c r="B3402" s="141">
        <v>532884</v>
      </c>
      <c r="C3402" s="141" t="s">
        <v>6072</v>
      </c>
      <c r="D3402" s="141" t="s">
        <v>2165</v>
      </c>
    </row>
    <row r="3403" spans="1:4" x14ac:dyDescent="0.3">
      <c r="A3403" s="141" t="s">
        <v>6073</v>
      </c>
      <c r="B3403" s="141">
        <v>530815</v>
      </c>
      <c r="C3403" s="141" t="s">
        <v>1129</v>
      </c>
      <c r="D3403" s="141" t="s">
        <v>1177</v>
      </c>
    </row>
    <row r="3404" spans="1:4" x14ac:dyDescent="0.3">
      <c r="A3404" s="141" t="s">
        <v>6074</v>
      </c>
      <c r="B3404" s="141">
        <v>531033</v>
      </c>
      <c r="C3404" s="141" t="s">
        <v>1129</v>
      </c>
      <c r="D3404" s="141" t="s">
        <v>1146</v>
      </c>
    </row>
    <row r="3405" spans="1:4" x14ac:dyDescent="0.3">
      <c r="A3405" s="141" t="s">
        <v>6075</v>
      </c>
      <c r="B3405" s="141">
        <v>530807</v>
      </c>
      <c r="C3405" s="141" t="s">
        <v>1129</v>
      </c>
      <c r="D3405" s="141" t="s">
        <v>1215</v>
      </c>
    </row>
    <row r="3406" spans="1:4" x14ac:dyDescent="0.3">
      <c r="A3406" s="141" t="s">
        <v>6076</v>
      </c>
      <c r="B3406" s="141">
        <v>515018</v>
      </c>
      <c r="C3406" s="141" t="s">
        <v>6077</v>
      </c>
      <c r="D3406" s="141" t="s">
        <v>1406</v>
      </c>
    </row>
    <row r="3407" spans="1:4" x14ac:dyDescent="0.3">
      <c r="A3407" s="141" t="s">
        <v>6078</v>
      </c>
      <c r="B3407" s="141">
        <v>540175</v>
      </c>
      <c r="C3407" s="141" t="s">
        <v>1129</v>
      </c>
      <c r="D3407" s="141" t="s">
        <v>1112</v>
      </c>
    </row>
    <row r="3408" spans="1:4" x14ac:dyDescent="0.3">
      <c r="A3408" s="141" t="s">
        <v>6079</v>
      </c>
      <c r="B3408" s="141">
        <v>511585</v>
      </c>
      <c r="C3408" s="141" t="s">
        <v>1129</v>
      </c>
      <c r="D3408" s="141" t="s">
        <v>1146</v>
      </c>
    </row>
    <row r="3409" spans="1:4" x14ac:dyDescent="0.3">
      <c r="A3409" s="141" t="s">
        <v>6080</v>
      </c>
      <c r="B3409" s="141">
        <v>512624</v>
      </c>
      <c r="C3409" s="141" t="s">
        <v>1129</v>
      </c>
      <c r="D3409" s="141" t="s">
        <v>1151</v>
      </c>
    </row>
    <row r="3410" spans="1:4" x14ac:dyDescent="0.3">
      <c r="A3410" s="141" t="s">
        <v>6081</v>
      </c>
      <c r="B3410" s="141">
        <v>505817</v>
      </c>
      <c r="C3410" s="141" t="s">
        <v>1129</v>
      </c>
      <c r="D3410" s="141" t="s">
        <v>1484</v>
      </c>
    </row>
    <row r="3411" spans="1:4" x14ac:dyDescent="0.3">
      <c r="A3411" s="141" t="s">
        <v>6082</v>
      </c>
      <c r="B3411" s="141">
        <v>505817</v>
      </c>
      <c r="C3411" s="141" t="s">
        <v>1129</v>
      </c>
      <c r="D3411" s="141" t="s">
        <v>1484</v>
      </c>
    </row>
    <row r="3412" spans="1:4" x14ac:dyDescent="0.3">
      <c r="A3412" s="141" t="s">
        <v>6083</v>
      </c>
      <c r="B3412" s="141">
        <v>526075</v>
      </c>
      <c r="C3412" s="141" t="s">
        <v>1129</v>
      </c>
      <c r="D3412" s="141" t="s">
        <v>1167</v>
      </c>
    </row>
    <row r="3413" spans="1:4" x14ac:dyDescent="0.3">
      <c r="A3413" s="141" t="s">
        <v>6084</v>
      </c>
      <c r="B3413" s="141">
        <v>530517</v>
      </c>
      <c r="C3413" s="141" t="s">
        <v>6085</v>
      </c>
      <c r="D3413" s="141" t="s">
        <v>1555</v>
      </c>
    </row>
    <row r="3414" spans="1:4" x14ac:dyDescent="0.3">
      <c r="A3414" s="141" t="s">
        <v>6086</v>
      </c>
      <c r="B3414" s="141" t="s">
        <v>1129</v>
      </c>
      <c r="C3414" s="141" t="s">
        <v>6087</v>
      </c>
      <c r="D3414" s="141" t="s">
        <v>1140</v>
      </c>
    </row>
    <row r="3415" spans="1:4" x14ac:dyDescent="0.3">
      <c r="A3415" s="141" t="s">
        <v>6088</v>
      </c>
      <c r="B3415" s="141">
        <v>532124</v>
      </c>
      <c r="C3415" s="141" t="s">
        <v>1129</v>
      </c>
      <c r="D3415" s="141" t="s">
        <v>1330</v>
      </c>
    </row>
    <row r="3416" spans="1:4" x14ac:dyDescent="0.3">
      <c r="A3416" s="141" t="s">
        <v>6089</v>
      </c>
      <c r="B3416" s="141">
        <v>532124</v>
      </c>
      <c r="C3416" s="141" t="s">
        <v>1129</v>
      </c>
      <c r="D3416" s="141" t="s">
        <v>1330</v>
      </c>
    </row>
    <row r="3417" spans="1:4" x14ac:dyDescent="0.3">
      <c r="A3417" s="141" t="s">
        <v>6090</v>
      </c>
      <c r="B3417" s="141">
        <v>500111</v>
      </c>
      <c r="C3417" s="141" t="s">
        <v>6091</v>
      </c>
      <c r="D3417" s="141" t="s">
        <v>1146</v>
      </c>
    </row>
    <row r="3418" spans="1:4" x14ac:dyDescent="0.3">
      <c r="A3418" s="141" t="s">
        <v>6092</v>
      </c>
      <c r="B3418" s="141">
        <v>503162</v>
      </c>
      <c r="C3418" s="141" t="s">
        <v>1129</v>
      </c>
      <c r="D3418" s="141" t="s">
        <v>1144</v>
      </c>
    </row>
    <row r="3419" spans="1:4" x14ac:dyDescent="0.3">
      <c r="A3419" s="141" t="s">
        <v>6093</v>
      </c>
      <c r="B3419" s="141">
        <v>532712</v>
      </c>
      <c r="C3419" s="141" t="s">
        <v>6094</v>
      </c>
      <c r="D3419" s="141" t="s">
        <v>2073</v>
      </c>
    </row>
    <row r="3420" spans="1:4" x14ac:dyDescent="0.3">
      <c r="A3420" s="141" t="s">
        <v>6095</v>
      </c>
      <c r="B3420" s="141">
        <v>590106</v>
      </c>
      <c r="C3420" s="141" t="s">
        <v>6096</v>
      </c>
      <c r="D3420" s="141" t="s">
        <v>1112</v>
      </c>
    </row>
    <row r="3421" spans="1:4" x14ac:dyDescent="0.3">
      <c r="A3421" s="141" t="s">
        <v>6097</v>
      </c>
      <c r="B3421" s="141">
        <v>590095</v>
      </c>
      <c r="C3421" s="141" t="s">
        <v>6098</v>
      </c>
      <c r="D3421" s="141" t="s">
        <v>1112</v>
      </c>
    </row>
    <row r="3422" spans="1:4" x14ac:dyDescent="0.3">
      <c r="A3422" s="141" t="s">
        <v>6099</v>
      </c>
      <c r="B3422" s="141">
        <v>590113</v>
      </c>
      <c r="C3422" s="141" t="s">
        <v>6100</v>
      </c>
      <c r="D3422" s="141" t="s">
        <v>1112</v>
      </c>
    </row>
    <row r="3423" spans="1:4" x14ac:dyDescent="0.3">
      <c r="A3423" s="141" t="s">
        <v>6101</v>
      </c>
      <c r="B3423" s="141">
        <v>590104</v>
      </c>
      <c r="C3423" s="141" t="s">
        <v>6102</v>
      </c>
      <c r="D3423" s="141" t="s">
        <v>1112</v>
      </c>
    </row>
    <row r="3424" spans="1:4" x14ac:dyDescent="0.3">
      <c r="A3424" s="141" t="s">
        <v>6103</v>
      </c>
      <c r="B3424" s="141">
        <v>590103</v>
      </c>
      <c r="C3424" s="141" t="s">
        <v>6104</v>
      </c>
      <c r="D3424" s="141" t="s">
        <v>1112</v>
      </c>
    </row>
    <row r="3425" spans="1:4" x14ac:dyDescent="0.3">
      <c r="A3425" s="141" t="s">
        <v>6105</v>
      </c>
      <c r="B3425" s="141">
        <v>590108</v>
      </c>
      <c r="C3425" s="141" t="s">
        <v>6106</v>
      </c>
      <c r="D3425" s="141" t="s">
        <v>1112</v>
      </c>
    </row>
    <row r="3426" spans="1:4" x14ac:dyDescent="0.3">
      <c r="A3426" s="141" t="s">
        <v>6107</v>
      </c>
      <c r="B3426" s="141">
        <v>590109</v>
      </c>
      <c r="C3426" s="141" t="s">
        <v>6108</v>
      </c>
      <c r="D3426" s="141" t="s">
        <v>1112</v>
      </c>
    </row>
    <row r="3427" spans="1:4" x14ac:dyDescent="0.3">
      <c r="A3427" s="141" t="s">
        <v>6109</v>
      </c>
      <c r="B3427" s="141">
        <v>540709</v>
      </c>
      <c r="C3427" s="141" t="s">
        <v>6110</v>
      </c>
      <c r="D3427" s="141" t="s">
        <v>1187</v>
      </c>
    </row>
    <row r="3428" spans="1:4" x14ac:dyDescent="0.3">
      <c r="A3428" s="141" t="s">
        <v>6111</v>
      </c>
      <c r="B3428" s="141">
        <v>523445</v>
      </c>
      <c r="C3428" s="141" t="s">
        <v>6112</v>
      </c>
      <c r="D3428" s="141" t="s">
        <v>1527</v>
      </c>
    </row>
    <row r="3429" spans="1:4" x14ac:dyDescent="0.3">
      <c r="A3429" s="141" t="s">
        <v>6113</v>
      </c>
      <c r="B3429" s="141">
        <v>500325</v>
      </c>
      <c r="C3429" s="141" t="s">
        <v>6114</v>
      </c>
      <c r="D3429" s="141" t="s">
        <v>1260</v>
      </c>
    </row>
    <row r="3430" spans="1:4" x14ac:dyDescent="0.3">
      <c r="A3430" s="141" t="s">
        <v>6115</v>
      </c>
      <c r="B3430" s="141">
        <v>500390</v>
      </c>
      <c r="C3430" s="141" t="s">
        <v>6116</v>
      </c>
      <c r="D3430" s="141" t="s">
        <v>1268</v>
      </c>
    </row>
    <row r="3431" spans="1:4" x14ac:dyDescent="0.3">
      <c r="A3431" s="141" t="s">
        <v>6117</v>
      </c>
      <c r="B3431" s="141">
        <v>533107</v>
      </c>
      <c r="C3431" s="141" t="s">
        <v>6118</v>
      </c>
      <c r="D3431" s="141" t="s">
        <v>1602</v>
      </c>
    </row>
    <row r="3432" spans="1:4" x14ac:dyDescent="0.3">
      <c r="A3432" s="141" t="s">
        <v>6119</v>
      </c>
      <c r="B3432" s="141">
        <v>540767</v>
      </c>
      <c r="C3432" s="141" t="s">
        <v>6120</v>
      </c>
      <c r="D3432" s="141" t="s">
        <v>3534</v>
      </c>
    </row>
    <row r="3433" spans="1:4" x14ac:dyDescent="0.3">
      <c r="A3433" s="141" t="s">
        <v>6121</v>
      </c>
      <c r="B3433" s="141">
        <v>532939</v>
      </c>
      <c r="C3433" s="141" t="s">
        <v>6122</v>
      </c>
      <c r="D3433" s="141" t="s">
        <v>1268</v>
      </c>
    </row>
    <row r="3434" spans="1:4" x14ac:dyDescent="0.3">
      <c r="A3434" s="141" t="s">
        <v>6123</v>
      </c>
      <c r="B3434" s="141">
        <v>511712</v>
      </c>
      <c r="C3434" s="141" t="s">
        <v>1129</v>
      </c>
      <c r="D3434" s="141" t="s">
        <v>1112</v>
      </c>
    </row>
    <row r="3435" spans="1:4" x14ac:dyDescent="0.3">
      <c r="A3435" s="141" t="s">
        <v>6124</v>
      </c>
      <c r="B3435" s="141">
        <v>539760</v>
      </c>
      <c r="C3435" s="141" t="s">
        <v>1129</v>
      </c>
      <c r="D3435" s="141" t="s">
        <v>1427</v>
      </c>
    </row>
    <row r="3436" spans="1:4" x14ac:dyDescent="0.3">
      <c r="A3436" s="141" t="s">
        <v>6125</v>
      </c>
      <c r="B3436" s="141">
        <v>532915</v>
      </c>
      <c r="C3436" s="141" t="s">
        <v>6126</v>
      </c>
      <c r="D3436" s="141" t="s">
        <v>1112</v>
      </c>
    </row>
    <row r="3437" spans="1:4" x14ac:dyDescent="0.3">
      <c r="A3437" s="141" t="s">
        <v>6127</v>
      </c>
      <c r="B3437" s="141">
        <v>540426</v>
      </c>
      <c r="C3437" s="141" t="s">
        <v>1129</v>
      </c>
      <c r="D3437" s="141" t="s">
        <v>1215</v>
      </c>
    </row>
    <row r="3438" spans="1:4" x14ac:dyDescent="0.3">
      <c r="A3438" s="141" t="s">
        <v>6128</v>
      </c>
      <c r="B3438" s="141">
        <v>513043</v>
      </c>
      <c r="C3438" s="141" t="s">
        <v>1129</v>
      </c>
      <c r="D3438" s="141" t="s">
        <v>1452</v>
      </c>
    </row>
    <row r="3439" spans="1:4" x14ac:dyDescent="0.3">
      <c r="A3439" s="141" t="s">
        <v>6129</v>
      </c>
      <c r="B3439" s="141">
        <v>512487</v>
      </c>
      <c r="C3439" s="141" t="s">
        <v>1129</v>
      </c>
      <c r="D3439" s="141" t="s">
        <v>1151</v>
      </c>
    </row>
    <row r="3440" spans="1:4" x14ac:dyDescent="0.3">
      <c r="A3440" s="141" t="s">
        <v>6130</v>
      </c>
      <c r="B3440" s="141">
        <v>505658</v>
      </c>
      <c r="C3440" s="141" t="s">
        <v>1129</v>
      </c>
      <c r="D3440" s="141" t="s">
        <v>1137</v>
      </c>
    </row>
    <row r="3441" spans="1:4" x14ac:dyDescent="0.3">
      <c r="A3441" s="141" t="s">
        <v>6131</v>
      </c>
      <c r="B3441" s="141">
        <v>504360</v>
      </c>
      <c r="C3441" s="141" t="s">
        <v>1129</v>
      </c>
      <c r="D3441" s="141" t="s">
        <v>1151</v>
      </c>
    </row>
    <row r="3442" spans="1:4" x14ac:dyDescent="0.3">
      <c r="A3442" s="141" t="s">
        <v>6132</v>
      </c>
      <c r="B3442" s="141">
        <v>511149</v>
      </c>
      <c r="C3442" s="141" t="s">
        <v>1129</v>
      </c>
      <c r="D3442" s="141" t="s">
        <v>1550</v>
      </c>
    </row>
    <row r="3443" spans="1:4" x14ac:dyDescent="0.3">
      <c r="A3443" s="141" t="s">
        <v>6133</v>
      </c>
      <c r="B3443" s="141">
        <v>530919</v>
      </c>
      <c r="C3443" s="141" t="s">
        <v>6134</v>
      </c>
      <c r="D3443" s="141" t="s">
        <v>4468</v>
      </c>
    </row>
    <row r="3444" spans="1:4" x14ac:dyDescent="0.3">
      <c r="A3444" s="141" t="s">
        <v>6135</v>
      </c>
      <c r="B3444" s="141" t="s">
        <v>1129</v>
      </c>
      <c r="C3444" s="141" t="s">
        <v>6136</v>
      </c>
      <c r="D3444" s="141" t="s">
        <v>4468</v>
      </c>
    </row>
    <row r="3445" spans="1:4" x14ac:dyDescent="0.3">
      <c r="A3445" s="141" t="s">
        <v>6137</v>
      </c>
      <c r="B3445" s="141">
        <v>532923</v>
      </c>
      <c r="C3445" s="141" t="s">
        <v>6138</v>
      </c>
      <c r="D3445" s="141" t="s">
        <v>1243</v>
      </c>
    </row>
    <row r="3446" spans="1:4" x14ac:dyDescent="0.3">
      <c r="A3446" s="141" t="s">
        <v>6139</v>
      </c>
      <c r="B3446" s="141">
        <v>535322</v>
      </c>
      <c r="C3446" s="141" t="s">
        <v>6140</v>
      </c>
      <c r="D3446" s="141" t="s">
        <v>1187</v>
      </c>
    </row>
    <row r="3447" spans="1:4" x14ac:dyDescent="0.3">
      <c r="A3447" s="141" t="s">
        <v>6141</v>
      </c>
      <c r="B3447" s="141">
        <v>532687</v>
      </c>
      <c r="C3447" s="141" t="s">
        <v>6142</v>
      </c>
      <c r="D3447" s="141" t="s">
        <v>3122</v>
      </c>
    </row>
    <row r="3448" spans="1:4" x14ac:dyDescent="0.3">
      <c r="A3448" s="141" t="s">
        <v>6143</v>
      </c>
      <c r="B3448" s="141">
        <v>532687</v>
      </c>
      <c r="C3448" s="141" t="s">
        <v>6142</v>
      </c>
      <c r="D3448" s="141" t="s">
        <v>3122</v>
      </c>
    </row>
    <row r="3449" spans="1:4" x14ac:dyDescent="0.3">
      <c r="A3449" s="141" t="s">
        <v>6144</v>
      </c>
      <c r="B3449" s="141">
        <v>524218</v>
      </c>
      <c r="C3449" s="141" t="s">
        <v>1129</v>
      </c>
      <c r="D3449" s="141" t="s">
        <v>1167</v>
      </c>
    </row>
    <row r="3450" spans="1:4" x14ac:dyDescent="0.3">
      <c r="A3450" s="141" t="s">
        <v>6145</v>
      </c>
      <c r="B3450" s="141">
        <v>505509</v>
      </c>
      <c r="C3450" s="141" t="s">
        <v>6146</v>
      </c>
      <c r="D3450" s="141" t="s">
        <v>1249</v>
      </c>
    </row>
    <row r="3451" spans="1:4" x14ac:dyDescent="0.3">
      <c r="A3451" s="141" t="s">
        <v>6147</v>
      </c>
      <c r="B3451" s="141">
        <v>515085</v>
      </c>
      <c r="C3451" s="141" t="s">
        <v>1129</v>
      </c>
      <c r="D3451" s="141" t="s">
        <v>1406</v>
      </c>
    </row>
    <row r="3452" spans="1:4" x14ac:dyDescent="0.3">
      <c r="A3452" s="141" t="s">
        <v>6148</v>
      </c>
      <c r="B3452" s="141">
        <v>519191</v>
      </c>
      <c r="C3452" s="141" t="s">
        <v>6149</v>
      </c>
      <c r="D3452" s="141" t="s">
        <v>6150</v>
      </c>
    </row>
    <row r="3453" spans="1:4" x14ac:dyDescent="0.3">
      <c r="A3453" s="141" t="s">
        <v>6151</v>
      </c>
      <c r="B3453" s="141">
        <v>505368</v>
      </c>
      <c r="C3453" s="141" t="s">
        <v>6152</v>
      </c>
      <c r="D3453" s="141" t="s">
        <v>1137</v>
      </c>
    </row>
    <row r="3454" spans="1:4" x14ac:dyDescent="0.3">
      <c r="A3454" s="141" t="s">
        <v>6153</v>
      </c>
      <c r="B3454" s="141">
        <v>531888</v>
      </c>
      <c r="C3454" s="141" t="s">
        <v>1129</v>
      </c>
      <c r="D3454" s="141" t="s">
        <v>1137</v>
      </c>
    </row>
    <row r="3455" spans="1:4" x14ac:dyDescent="0.3">
      <c r="A3455" s="141" t="s">
        <v>6154</v>
      </c>
      <c r="B3455" s="141">
        <v>539669</v>
      </c>
      <c r="C3455" s="141" t="s">
        <v>1129</v>
      </c>
      <c r="D3455" s="141" t="s">
        <v>1146</v>
      </c>
    </row>
    <row r="3456" spans="1:4" x14ac:dyDescent="0.3">
      <c r="A3456" s="141" t="s">
        <v>6155</v>
      </c>
      <c r="B3456" s="141">
        <v>531952</v>
      </c>
      <c r="C3456" s="141" t="s">
        <v>1129</v>
      </c>
      <c r="D3456" s="141" t="s">
        <v>1144</v>
      </c>
    </row>
    <row r="3457" spans="1:4" x14ac:dyDescent="0.3">
      <c r="A3457" s="141" t="s">
        <v>6156</v>
      </c>
      <c r="B3457" s="141">
        <v>530271</v>
      </c>
      <c r="C3457" s="141" t="s">
        <v>1129</v>
      </c>
      <c r="D3457" s="141" t="s">
        <v>1146</v>
      </c>
    </row>
    <row r="3458" spans="1:4" x14ac:dyDescent="0.3">
      <c r="A3458" s="141" t="s">
        <v>6157</v>
      </c>
      <c r="B3458" s="141">
        <v>532766</v>
      </c>
      <c r="C3458" s="141" t="s">
        <v>1129</v>
      </c>
      <c r="D3458" s="141" t="s">
        <v>1527</v>
      </c>
    </row>
    <row r="3459" spans="1:4" x14ac:dyDescent="0.3">
      <c r="A3459" s="141" t="s">
        <v>6158</v>
      </c>
      <c r="B3459" s="141">
        <v>539435</v>
      </c>
      <c r="C3459" s="141" t="s">
        <v>1129</v>
      </c>
      <c r="D3459" s="141" t="s">
        <v>1112</v>
      </c>
    </row>
    <row r="3460" spans="1:4" x14ac:dyDescent="0.3">
      <c r="A3460" s="141" t="s">
        <v>6159</v>
      </c>
      <c r="B3460" s="141">
        <v>519230</v>
      </c>
      <c r="C3460" s="141" t="s">
        <v>1129</v>
      </c>
      <c r="D3460" s="141" t="s">
        <v>1151</v>
      </c>
    </row>
    <row r="3461" spans="1:4" x14ac:dyDescent="0.3">
      <c r="A3461" s="141" t="s">
        <v>6160</v>
      </c>
      <c r="B3461" s="141">
        <v>520008</v>
      </c>
      <c r="C3461" s="141" t="s">
        <v>6161</v>
      </c>
      <c r="D3461" s="141" t="s">
        <v>1484</v>
      </c>
    </row>
    <row r="3462" spans="1:4" x14ac:dyDescent="0.3">
      <c r="A3462" s="141" t="s">
        <v>6162</v>
      </c>
      <c r="B3462" s="141">
        <v>540590</v>
      </c>
      <c r="C3462" s="141" t="s">
        <v>1129</v>
      </c>
      <c r="D3462" s="141" t="s">
        <v>1459</v>
      </c>
    </row>
    <row r="3463" spans="1:4" x14ac:dyDescent="0.3">
      <c r="A3463" s="141" t="s">
        <v>6163</v>
      </c>
      <c r="B3463" s="141">
        <v>524480</v>
      </c>
      <c r="C3463" s="141" t="s">
        <v>1129</v>
      </c>
      <c r="D3463" s="141" t="s">
        <v>1177</v>
      </c>
    </row>
    <row r="3464" spans="1:4" x14ac:dyDescent="0.3">
      <c r="A3464" s="141" t="s">
        <v>6164</v>
      </c>
      <c r="B3464" s="141">
        <v>540082</v>
      </c>
      <c r="C3464" s="141" t="s">
        <v>1129</v>
      </c>
      <c r="D3464" s="141" t="s">
        <v>1452</v>
      </c>
    </row>
    <row r="3465" spans="1:4" x14ac:dyDescent="0.3">
      <c r="A3465" s="141" t="s">
        <v>6165</v>
      </c>
      <c r="B3465" s="141">
        <v>504365</v>
      </c>
      <c r="C3465" s="141" t="s">
        <v>1129</v>
      </c>
      <c r="D3465" s="141" t="s">
        <v>1112</v>
      </c>
    </row>
    <row r="3466" spans="1:4" x14ac:dyDescent="0.3">
      <c r="A3466" s="141" t="s">
        <v>6166</v>
      </c>
      <c r="B3466" s="141">
        <v>541151</v>
      </c>
      <c r="C3466" s="141" t="s">
        <v>1129</v>
      </c>
      <c r="D3466" s="141" t="s">
        <v>1213</v>
      </c>
    </row>
    <row r="3467" spans="1:4" x14ac:dyDescent="0.3">
      <c r="A3467" s="141" t="s">
        <v>6167</v>
      </c>
      <c r="B3467" s="141">
        <v>541151</v>
      </c>
      <c r="C3467" s="141" t="s">
        <v>1129</v>
      </c>
      <c r="D3467" s="141" t="s">
        <v>1213</v>
      </c>
    </row>
    <row r="3468" spans="1:4" x14ac:dyDescent="0.3">
      <c r="A3468" s="141" t="s">
        <v>6168</v>
      </c>
      <c r="B3468" s="141">
        <v>507508</v>
      </c>
      <c r="C3468" s="141" t="s">
        <v>1129</v>
      </c>
      <c r="D3468" s="141" t="s">
        <v>1828</v>
      </c>
    </row>
    <row r="3469" spans="1:4" x14ac:dyDescent="0.3">
      <c r="A3469" s="141" t="s">
        <v>6169</v>
      </c>
      <c r="B3469" s="141">
        <v>530251</v>
      </c>
      <c r="C3469" s="141" t="s">
        <v>1129</v>
      </c>
      <c r="D3469" s="141" t="s">
        <v>1151</v>
      </c>
    </row>
    <row r="3470" spans="1:4" x14ac:dyDescent="0.3">
      <c r="A3470" s="141" t="s">
        <v>6170</v>
      </c>
      <c r="B3470" s="141">
        <v>514177</v>
      </c>
      <c r="C3470" s="141" t="s">
        <v>1129</v>
      </c>
      <c r="D3470" s="141" t="s">
        <v>1144</v>
      </c>
    </row>
    <row r="3471" spans="1:4" x14ac:dyDescent="0.3">
      <c r="A3471" s="141" t="s">
        <v>6171</v>
      </c>
      <c r="B3471" s="141">
        <v>531539</v>
      </c>
      <c r="C3471" s="141" t="s">
        <v>1129</v>
      </c>
      <c r="D3471" s="141" t="s">
        <v>1161</v>
      </c>
    </row>
    <row r="3472" spans="1:4" x14ac:dyDescent="0.3">
      <c r="A3472" s="141" t="s">
        <v>6172</v>
      </c>
      <c r="B3472" s="141">
        <v>526861</v>
      </c>
      <c r="C3472" s="141" t="s">
        <v>1129</v>
      </c>
      <c r="D3472" s="141" t="s">
        <v>1137</v>
      </c>
    </row>
    <row r="3473" spans="1:4" x14ac:dyDescent="0.3">
      <c r="A3473" s="141" t="s">
        <v>6173</v>
      </c>
      <c r="B3473" s="141">
        <v>523021</v>
      </c>
      <c r="C3473" s="141" t="s">
        <v>1129</v>
      </c>
      <c r="D3473" s="141" t="s">
        <v>1324</v>
      </c>
    </row>
    <row r="3474" spans="1:4" x14ac:dyDescent="0.3">
      <c r="A3474" s="141" t="s">
        <v>6174</v>
      </c>
      <c r="B3474" s="141">
        <v>526492</v>
      </c>
      <c r="C3474" s="141" t="s">
        <v>1129</v>
      </c>
      <c r="D3474" s="141" t="s">
        <v>2049</v>
      </c>
    </row>
    <row r="3475" spans="1:4" x14ac:dyDescent="0.3">
      <c r="A3475" s="141" t="s">
        <v>6175</v>
      </c>
      <c r="B3475" s="141">
        <v>542383</v>
      </c>
      <c r="C3475" s="141" t="s">
        <v>6176</v>
      </c>
      <c r="D3475" s="141" t="s">
        <v>1450</v>
      </c>
    </row>
    <row r="3476" spans="1:4" x14ac:dyDescent="0.3">
      <c r="A3476" s="141" t="s">
        <v>6177</v>
      </c>
      <c r="B3476" s="141">
        <v>541556</v>
      </c>
      <c r="C3476" s="141" t="s">
        <v>6178</v>
      </c>
      <c r="D3476" s="141" t="s">
        <v>1527</v>
      </c>
    </row>
    <row r="3477" spans="1:4" x14ac:dyDescent="0.3">
      <c r="A3477" s="141" t="s">
        <v>6179</v>
      </c>
      <c r="B3477" s="141">
        <v>519097</v>
      </c>
      <c r="C3477" s="141" t="s">
        <v>1129</v>
      </c>
      <c r="D3477" s="141" t="s">
        <v>1177</v>
      </c>
    </row>
    <row r="3478" spans="1:4" x14ac:dyDescent="0.3">
      <c r="A3478" s="141" t="s">
        <v>6180</v>
      </c>
      <c r="B3478" s="141">
        <v>526407</v>
      </c>
      <c r="C3478" s="141" t="s">
        <v>1129</v>
      </c>
      <c r="D3478" s="141" t="s">
        <v>1243</v>
      </c>
    </row>
    <row r="3479" spans="1:4" x14ac:dyDescent="0.3">
      <c r="A3479" s="141" t="s">
        <v>6181</v>
      </c>
      <c r="B3479" s="141">
        <v>540843</v>
      </c>
      <c r="C3479" s="141" t="s">
        <v>1129</v>
      </c>
      <c r="D3479" s="141" t="s">
        <v>3909</v>
      </c>
    </row>
    <row r="3480" spans="1:4" x14ac:dyDescent="0.3">
      <c r="A3480" s="141" t="s">
        <v>6182</v>
      </c>
      <c r="B3480" s="141" t="s">
        <v>1129</v>
      </c>
      <c r="C3480" s="141" t="s">
        <v>6183</v>
      </c>
      <c r="D3480" s="141" t="s">
        <v>1140</v>
      </c>
    </row>
    <row r="3481" spans="1:4" x14ac:dyDescent="0.3">
      <c r="A3481" s="141" t="s">
        <v>6184</v>
      </c>
      <c r="B3481" s="141">
        <v>512618</v>
      </c>
      <c r="C3481" s="141" t="s">
        <v>1129</v>
      </c>
      <c r="D3481" s="141" t="s">
        <v>1144</v>
      </c>
    </row>
    <row r="3482" spans="1:4" x14ac:dyDescent="0.3">
      <c r="A3482" s="141" t="s">
        <v>6185</v>
      </c>
      <c r="B3482" s="141">
        <v>540358</v>
      </c>
      <c r="C3482" s="141" t="s">
        <v>1129</v>
      </c>
      <c r="D3482" s="141" t="s">
        <v>1427</v>
      </c>
    </row>
    <row r="3483" spans="1:4" x14ac:dyDescent="0.3">
      <c r="A3483" s="141" t="s">
        <v>6186</v>
      </c>
      <c r="B3483" s="141">
        <v>500365</v>
      </c>
      <c r="C3483" s="141" t="s">
        <v>1129</v>
      </c>
      <c r="D3483" s="141" t="s">
        <v>1161</v>
      </c>
    </row>
    <row r="3484" spans="1:4" x14ac:dyDescent="0.3">
      <c r="A3484" s="141" t="s">
        <v>6187</v>
      </c>
      <c r="B3484" s="141">
        <v>531447</v>
      </c>
      <c r="C3484" s="141" t="s">
        <v>1129</v>
      </c>
      <c r="D3484" s="141" t="s">
        <v>1151</v>
      </c>
    </row>
    <row r="3485" spans="1:4" x14ac:dyDescent="0.3">
      <c r="A3485" s="141" t="s">
        <v>6188</v>
      </c>
      <c r="B3485" s="141">
        <v>531822</v>
      </c>
      <c r="C3485" s="141" t="s">
        <v>1129</v>
      </c>
      <c r="D3485" s="141" t="s">
        <v>1215</v>
      </c>
    </row>
    <row r="3486" spans="1:4" x14ac:dyDescent="0.3">
      <c r="A3486" s="141" t="s">
        <v>6189</v>
      </c>
      <c r="B3486" s="141">
        <v>532731</v>
      </c>
      <c r="C3486" s="141" t="s">
        <v>6190</v>
      </c>
      <c r="D3486" s="141" t="s">
        <v>1161</v>
      </c>
    </row>
    <row r="3487" spans="1:4" x14ac:dyDescent="0.3">
      <c r="A3487" s="141" t="s">
        <v>6191</v>
      </c>
      <c r="B3487" s="141">
        <v>505807</v>
      </c>
      <c r="C3487" s="141" t="s">
        <v>1129</v>
      </c>
      <c r="D3487" s="141" t="s">
        <v>2049</v>
      </c>
    </row>
    <row r="3488" spans="1:4" x14ac:dyDescent="0.3">
      <c r="A3488" s="141" t="s">
        <v>6192</v>
      </c>
      <c r="B3488" s="141">
        <v>502448</v>
      </c>
      <c r="C3488" s="141" t="s">
        <v>6193</v>
      </c>
      <c r="D3488" s="141" t="s">
        <v>1324</v>
      </c>
    </row>
    <row r="3489" spans="1:4" x14ac:dyDescent="0.3">
      <c r="A3489" s="141" t="s">
        <v>6194</v>
      </c>
      <c r="B3489" s="141">
        <v>500366</v>
      </c>
      <c r="C3489" s="141" t="s">
        <v>6195</v>
      </c>
      <c r="D3489" s="141" t="s">
        <v>1135</v>
      </c>
    </row>
    <row r="3490" spans="1:4" x14ac:dyDescent="0.3">
      <c r="A3490" s="141" t="s">
        <v>6196</v>
      </c>
      <c r="B3490" s="141">
        <v>500366</v>
      </c>
      <c r="C3490" s="141" t="s">
        <v>6195</v>
      </c>
      <c r="D3490" s="141" t="s">
        <v>1135</v>
      </c>
    </row>
    <row r="3491" spans="1:4" x14ac:dyDescent="0.3">
      <c r="A3491" s="141" t="s">
        <v>6197</v>
      </c>
      <c r="B3491" s="141">
        <v>542145</v>
      </c>
      <c r="C3491" s="141" t="s">
        <v>1129</v>
      </c>
      <c r="D3491" s="141" t="s">
        <v>1151</v>
      </c>
    </row>
    <row r="3492" spans="1:4" x14ac:dyDescent="0.3">
      <c r="A3492" s="141" t="s">
        <v>6198</v>
      </c>
      <c r="B3492" s="141">
        <v>530991</v>
      </c>
      <c r="C3492" s="141" t="s">
        <v>1129</v>
      </c>
      <c r="D3492" s="141" t="s">
        <v>1167</v>
      </c>
    </row>
    <row r="3493" spans="1:4" x14ac:dyDescent="0.3">
      <c r="A3493" s="141" t="s">
        <v>6199</v>
      </c>
      <c r="B3493" s="141">
        <v>542599</v>
      </c>
      <c r="C3493" s="141" t="s">
        <v>6200</v>
      </c>
      <c r="D3493" s="141" t="s">
        <v>1330</v>
      </c>
    </row>
    <row r="3494" spans="1:4" x14ac:dyDescent="0.3">
      <c r="A3494" s="141" t="s">
        <v>6201</v>
      </c>
      <c r="B3494" s="141">
        <v>531324</v>
      </c>
      <c r="C3494" s="141" t="s">
        <v>1129</v>
      </c>
      <c r="D3494" s="141" t="s">
        <v>1112</v>
      </c>
    </row>
    <row r="3495" spans="1:4" x14ac:dyDescent="0.3">
      <c r="A3495" s="141" t="s">
        <v>6202</v>
      </c>
      <c r="B3495" s="141">
        <v>533168</v>
      </c>
      <c r="C3495" s="141" t="s">
        <v>6203</v>
      </c>
      <c r="D3495" s="141" t="s">
        <v>1536</v>
      </c>
    </row>
    <row r="3496" spans="1:4" x14ac:dyDescent="0.3">
      <c r="A3496" s="141" t="s">
        <v>6204</v>
      </c>
      <c r="B3496" s="141">
        <v>533168</v>
      </c>
      <c r="C3496" s="141" t="s">
        <v>6203</v>
      </c>
      <c r="D3496" s="141" t="s">
        <v>1536</v>
      </c>
    </row>
    <row r="3497" spans="1:4" x14ac:dyDescent="0.3">
      <c r="A3497" s="141" t="s">
        <v>6205</v>
      </c>
      <c r="B3497" s="141">
        <v>517500</v>
      </c>
      <c r="C3497" s="141" t="s">
        <v>1129</v>
      </c>
      <c r="D3497" s="141" t="s">
        <v>1137</v>
      </c>
    </row>
    <row r="3498" spans="1:4" x14ac:dyDescent="0.3">
      <c r="A3498" s="141" t="s">
        <v>6206</v>
      </c>
      <c r="B3498" s="141">
        <v>539922</v>
      </c>
      <c r="C3498" s="141" t="s">
        <v>1129</v>
      </c>
      <c r="D3498" s="141" t="s">
        <v>1151</v>
      </c>
    </row>
    <row r="3499" spans="1:4" x14ac:dyDescent="0.3">
      <c r="A3499" s="141" t="s">
        <v>6207</v>
      </c>
      <c r="B3499" s="141">
        <v>539922</v>
      </c>
      <c r="C3499" s="141" t="s">
        <v>1129</v>
      </c>
      <c r="D3499" s="141" t="s">
        <v>1151</v>
      </c>
    </row>
    <row r="3500" spans="1:4" x14ac:dyDescent="0.3">
      <c r="A3500" s="141" t="s">
        <v>6208</v>
      </c>
      <c r="B3500" s="141">
        <v>526193</v>
      </c>
      <c r="C3500" s="141" t="s">
        <v>1129</v>
      </c>
      <c r="D3500" s="141" t="s">
        <v>1406</v>
      </c>
    </row>
    <row r="3501" spans="1:4" x14ac:dyDescent="0.3">
      <c r="A3501" s="141" t="s">
        <v>6209</v>
      </c>
      <c r="B3501" s="141">
        <v>512047</v>
      </c>
      <c r="C3501" s="141" t="s">
        <v>1129</v>
      </c>
      <c r="D3501" s="141" t="s">
        <v>1243</v>
      </c>
    </row>
    <row r="3502" spans="1:4" x14ac:dyDescent="0.3">
      <c r="A3502" s="141" t="s">
        <v>6210</v>
      </c>
      <c r="B3502" s="141">
        <v>532699</v>
      </c>
      <c r="C3502" s="141" t="s">
        <v>6211</v>
      </c>
      <c r="D3502" s="141" t="s">
        <v>1330</v>
      </c>
    </row>
    <row r="3503" spans="1:4" x14ac:dyDescent="0.3">
      <c r="A3503" s="141" t="s">
        <v>6212</v>
      </c>
      <c r="B3503" s="141">
        <v>526640</v>
      </c>
      <c r="C3503" s="141" t="s">
        <v>1129</v>
      </c>
      <c r="D3503" s="141" t="s">
        <v>1330</v>
      </c>
    </row>
    <row r="3504" spans="1:4" x14ac:dyDescent="0.3">
      <c r="A3504" s="141" t="s">
        <v>6213</v>
      </c>
      <c r="B3504" s="141">
        <v>532983</v>
      </c>
      <c r="C3504" s="141" t="s">
        <v>6214</v>
      </c>
      <c r="D3504" s="141" t="s">
        <v>1167</v>
      </c>
    </row>
    <row r="3505" spans="1:4" x14ac:dyDescent="0.3">
      <c r="A3505" s="141" t="s">
        <v>6215</v>
      </c>
      <c r="B3505" s="141">
        <v>511626</v>
      </c>
      <c r="C3505" s="141" t="s">
        <v>1129</v>
      </c>
      <c r="D3505" s="141" t="s">
        <v>1146</v>
      </c>
    </row>
    <row r="3506" spans="1:4" x14ac:dyDescent="0.3">
      <c r="A3506" s="141" t="s">
        <v>6216</v>
      </c>
      <c r="B3506" s="141">
        <v>530179</v>
      </c>
      <c r="C3506" s="141" t="s">
        <v>1129</v>
      </c>
      <c r="D3506" s="141" t="s">
        <v>1144</v>
      </c>
    </row>
    <row r="3507" spans="1:4" x14ac:dyDescent="0.3">
      <c r="A3507" s="141" t="s">
        <v>6217</v>
      </c>
      <c r="B3507" s="141">
        <v>539875</v>
      </c>
      <c r="C3507" s="141" t="s">
        <v>1129</v>
      </c>
      <c r="D3507" s="141" t="s">
        <v>1149</v>
      </c>
    </row>
    <row r="3508" spans="1:4" x14ac:dyDescent="0.3">
      <c r="A3508" s="141" t="s">
        <v>6218</v>
      </c>
      <c r="B3508" s="141">
        <v>500350</v>
      </c>
      <c r="C3508" s="141" t="s">
        <v>6219</v>
      </c>
      <c r="D3508" s="141" t="s">
        <v>1144</v>
      </c>
    </row>
    <row r="3509" spans="1:4" x14ac:dyDescent="0.3">
      <c r="A3509" s="141" t="s">
        <v>6220</v>
      </c>
      <c r="B3509" s="141">
        <v>531215</v>
      </c>
      <c r="C3509" s="141" t="s">
        <v>1129</v>
      </c>
      <c r="D3509" s="141" t="s">
        <v>1427</v>
      </c>
    </row>
    <row r="3510" spans="1:4" x14ac:dyDescent="0.3">
      <c r="A3510" s="141" t="s">
        <v>6221</v>
      </c>
      <c r="B3510" s="141">
        <v>500367</v>
      </c>
      <c r="C3510" s="141" t="s">
        <v>1129</v>
      </c>
      <c r="D3510" s="141" t="s">
        <v>1609</v>
      </c>
    </row>
    <row r="3511" spans="1:4" x14ac:dyDescent="0.3">
      <c r="A3511" s="141" t="s">
        <v>6222</v>
      </c>
      <c r="B3511" s="141">
        <v>531099</v>
      </c>
      <c r="C3511" s="141" t="s">
        <v>1129</v>
      </c>
      <c r="D3511" s="141" t="s">
        <v>1167</v>
      </c>
    </row>
    <row r="3512" spans="1:4" x14ac:dyDescent="0.3">
      <c r="A3512" s="141" t="s">
        <v>6223</v>
      </c>
      <c r="B3512" s="141">
        <v>509020</v>
      </c>
      <c r="C3512" s="141" t="s">
        <v>6224</v>
      </c>
      <c r="D3512" s="141" t="s">
        <v>1378</v>
      </c>
    </row>
    <row r="3513" spans="1:4" x14ac:dyDescent="0.3">
      <c r="A3513" s="141" t="s">
        <v>6225</v>
      </c>
      <c r="B3513" s="141">
        <v>500368</v>
      </c>
      <c r="C3513" s="141" t="s">
        <v>6226</v>
      </c>
      <c r="D3513" s="141" t="s">
        <v>1378</v>
      </c>
    </row>
    <row r="3514" spans="1:4" x14ac:dyDescent="0.3">
      <c r="A3514" s="141" t="s">
        <v>6227</v>
      </c>
      <c r="B3514" s="141">
        <v>540696</v>
      </c>
      <c r="C3514" s="141" t="s">
        <v>1129</v>
      </c>
      <c r="D3514" s="141" t="s">
        <v>1151</v>
      </c>
    </row>
    <row r="3515" spans="1:4" x14ac:dyDescent="0.3">
      <c r="A3515" s="141" t="s">
        <v>6228</v>
      </c>
      <c r="B3515" s="141">
        <v>540696</v>
      </c>
      <c r="C3515" s="141" t="s">
        <v>1129</v>
      </c>
      <c r="D3515" s="141" t="s">
        <v>1151</v>
      </c>
    </row>
    <row r="3516" spans="1:4" x14ac:dyDescent="0.3">
      <c r="A3516" s="141" t="s">
        <v>6229</v>
      </c>
      <c r="B3516" s="141">
        <v>532785</v>
      </c>
      <c r="C3516" s="141" t="s">
        <v>6230</v>
      </c>
      <c r="D3516" s="141" t="s">
        <v>1123</v>
      </c>
    </row>
    <row r="3517" spans="1:4" x14ac:dyDescent="0.3">
      <c r="A3517" s="141" t="s">
        <v>6231</v>
      </c>
      <c r="B3517" s="141">
        <v>539226</v>
      </c>
      <c r="C3517" s="141" t="s">
        <v>1129</v>
      </c>
      <c r="D3517" s="141" t="s">
        <v>1161</v>
      </c>
    </row>
    <row r="3518" spans="1:4" x14ac:dyDescent="0.3">
      <c r="A3518" s="141" t="s">
        <v>6232</v>
      </c>
      <c r="B3518" s="141" t="s">
        <v>1129</v>
      </c>
      <c r="C3518" s="141" t="s">
        <v>6233</v>
      </c>
      <c r="D3518" s="141" t="s">
        <v>1140</v>
      </c>
    </row>
    <row r="3519" spans="1:4" x14ac:dyDescent="0.3">
      <c r="A3519" s="141" t="s">
        <v>6234</v>
      </c>
      <c r="B3519" s="141">
        <v>519413</v>
      </c>
      <c r="C3519" s="141" t="s">
        <v>1129</v>
      </c>
      <c r="D3519" s="141" t="s">
        <v>1151</v>
      </c>
    </row>
    <row r="3520" spans="1:4" x14ac:dyDescent="0.3">
      <c r="A3520" s="141" t="s">
        <v>6235</v>
      </c>
      <c r="B3520" s="141">
        <v>530449</v>
      </c>
      <c r="C3520" s="141" t="s">
        <v>1129</v>
      </c>
      <c r="D3520" s="141" t="s">
        <v>1249</v>
      </c>
    </row>
    <row r="3521" spans="1:4" x14ac:dyDescent="0.3">
      <c r="A3521" s="141" t="s">
        <v>6236</v>
      </c>
      <c r="B3521" s="141">
        <v>533552</v>
      </c>
      <c r="C3521" s="141" t="s">
        <v>6237</v>
      </c>
      <c r="D3521" s="141" t="s">
        <v>1243</v>
      </c>
    </row>
    <row r="3522" spans="1:4" x14ac:dyDescent="0.3">
      <c r="A3522" s="141" t="s">
        <v>6238</v>
      </c>
      <c r="B3522" s="141">
        <v>533470</v>
      </c>
      <c r="C3522" s="141" t="s">
        <v>6239</v>
      </c>
      <c r="D3522" s="141" t="s">
        <v>1624</v>
      </c>
    </row>
    <row r="3523" spans="1:4" x14ac:dyDescent="0.3">
      <c r="A3523" s="141" t="s">
        <v>6240</v>
      </c>
      <c r="B3523" s="141">
        <v>504335</v>
      </c>
      <c r="C3523" s="141" t="s">
        <v>1129</v>
      </c>
      <c r="D3523" s="141" t="s">
        <v>1151</v>
      </c>
    </row>
    <row r="3524" spans="1:4" x14ac:dyDescent="0.3">
      <c r="A3524" s="141" t="s">
        <v>6241</v>
      </c>
      <c r="B3524" s="141">
        <v>517035</v>
      </c>
      <c r="C3524" s="141" t="s">
        <v>1129</v>
      </c>
      <c r="D3524" s="141" t="s">
        <v>1671</v>
      </c>
    </row>
    <row r="3525" spans="1:4" x14ac:dyDescent="0.3">
      <c r="A3525" s="141" t="s">
        <v>6242</v>
      </c>
      <c r="B3525" s="141">
        <v>542034</v>
      </c>
      <c r="C3525" s="141" t="s">
        <v>1129</v>
      </c>
      <c r="D3525" s="141" t="s">
        <v>1243</v>
      </c>
    </row>
    <row r="3526" spans="1:4" x14ac:dyDescent="0.3">
      <c r="A3526" s="141" t="s">
        <v>6243</v>
      </c>
      <c r="B3526" s="141">
        <v>532604</v>
      </c>
      <c r="C3526" s="141" t="s">
        <v>6244</v>
      </c>
      <c r="D3526" s="141" t="s">
        <v>1161</v>
      </c>
    </row>
    <row r="3527" spans="1:4" x14ac:dyDescent="0.3">
      <c r="A3527" s="141" t="s">
        <v>6245</v>
      </c>
      <c r="B3527" s="141">
        <v>540497</v>
      </c>
      <c r="C3527" s="141" t="s">
        <v>6246</v>
      </c>
      <c r="D3527" s="141" t="s">
        <v>1653</v>
      </c>
    </row>
    <row r="3528" spans="1:4" x14ac:dyDescent="0.3">
      <c r="A3528" s="141" t="s">
        <v>6247</v>
      </c>
      <c r="B3528" s="141">
        <v>534598</v>
      </c>
      <c r="C3528" s="141" t="s">
        <v>6248</v>
      </c>
      <c r="D3528" s="141" t="s">
        <v>1268</v>
      </c>
    </row>
    <row r="3529" spans="1:4" x14ac:dyDescent="0.3">
      <c r="A3529" s="141" t="s">
        <v>6249</v>
      </c>
      <c r="B3529" s="141">
        <v>539450</v>
      </c>
      <c r="C3529" s="141" t="s">
        <v>6250</v>
      </c>
      <c r="D3529" s="141" t="s">
        <v>1311</v>
      </c>
    </row>
    <row r="3530" spans="1:4" x14ac:dyDescent="0.3">
      <c r="A3530" s="141" t="s">
        <v>6251</v>
      </c>
      <c r="B3530" s="141">
        <v>532316</v>
      </c>
      <c r="C3530" s="141" t="s">
        <v>6252</v>
      </c>
      <c r="D3530" s="141" t="s">
        <v>6253</v>
      </c>
    </row>
    <row r="3531" spans="1:4" x14ac:dyDescent="0.3">
      <c r="A3531" s="141" t="s">
        <v>6254</v>
      </c>
      <c r="B3531" s="141">
        <v>540048</v>
      </c>
      <c r="C3531" s="141" t="s">
        <v>6255</v>
      </c>
      <c r="D3531" s="141" t="s">
        <v>1243</v>
      </c>
    </row>
    <row r="3532" spans="1:4" x14ac:dyDescent="0.3">
      <c r="A3532" s="141" t="s">
        <v>6256</v>
      </c>
      <c r="B3532" s="141">
        <v>536710</v>
      </c>
      <c r="C3532" s="141" t="s">
        <v>1129</v>
      </c>
      <c r="D3532" s="141" t="s">
        <v>1146</v>
      </c>
    </row>
    <row r="3533" spans="1:4" x14ac:dyDescent="0.3">
      <c r="A3533" s="141" t="s">
        <v>6257</v>
      </c>
      <c r="B3533" s="141">
        <v>513515</v>
      </c>
      <c r="C3533" s="141" t="s">
        <v>1129</v>
      </c>
      <c r="D3533" s="141" t="s">
        <v>1144</v>
      </c>
    </row>
    <row r="3534" spans="1:4" x14ac:dyDescent="0.3">
      <c r="A3534" s="141" t="s">
        <v>6258</v>
      </c>
      <c r="B3534" s="141">
        <v>531307</v>
      </c>
      <c r="C3534" s="141" t="s">
        <v>1129</v>
      </c>
      <c r="D3534" s="141" t="s">
        <v>1144</v>
      </c>
    </row>
    <row r="3535" spans="1:4" x14ac:dyDescent="0.3">
      <c r="A3535" s="141" t="s">
        <v>6259</v>
      </c>
      <c r="B3535" s="141" t="s">
        <v>1129</v>
      </c>
      <c r="C3535" s="141" t="s">
        <v>6260</v>
      </c>
      <c r="D3535" s="141" t="s">
        <v>1140</v>
      </c>
    </row>
    <row r="3536" spans="1:4" x14ac:dyDescent="0.3">
      <c r="A3536" s="141" t="s">
        <v>6261</v>
      </c>
      <c r="B3536" s="141">
        <v>538876</v>
      </c>
      <c r="C3536" s="141" t="s">
        <v>1129</v>
      </c>
      <c r="D3536" s="141" t="s">
        <v>1146</v>
      </c>
    </row>
    <row r="3537" spans="1:4" x14ac:dyDescent="0.3">
      <c r="A3537" s="141" t="s">
        <v>6262</v>
      </c>
      <c r="B3537" s="141">
        <v>535621</v>
      </c>
      <c r="C3537" s="141" t="s">
        <v>1129</v>
      </c>
      <c r="D3537" s="141" t="s">
        <v>1215</v>
      </c>
    </row>
    <row r="3538" spans="1:4" x14ac:dyDescent="0.3">
      <c r="A3538" s="141" t="s">
        <v>6263</v>
      </c>
      <c r="B3538" s="141">
        <v>503622</v>
      </c>
      <c r="C3538" s="141" t="s">
        <v>1129</v>
      </c>
      <c r="D3538" s="141" t="s">
        <v>1112</v>
      </c>
    </row>
    <row r="3539" spans="1:4" x14ac:dyDescent="0.3">
      <c r="A3539" s="141" t="s">
        <v>6264</v>
      </c>
      <c r="B3539" s="141">
        <v>514197</v>
      </c>
      <c r="C3539" s="141" t="s">
        <v>1129</v>
      </c>
      <c r="D3539" s="141" t="s">
        <v>1144</v>
      </c>
    </row>
    <row r="3540" spans="1:4" x14ac:dyDescent="0.3">
      <c r="A3540" s="141" t="s">
        <v>6265</v>
      </c>
      <c r="B3540" s="141">
        <v>540081</v>
      </c>
      <c r="C3540" s="141" t="s">
        <v>6266</v>
      </c>
      <c r="D3540" s="141" t="s">
        <v>1653</v>
      </c>
    </row>
    <row r="3541" spans="1:4" x14ac:dyDescent="0.3">
      <c r="A3541" s="141" t="s">
        <v>6267</v>
      </c>
      <c r="B3541" s="141">
        <v>539112</v>
      </c>
      <c r="C3541" s="141" t="s">
        <v>1129</v>
      </c>
      <c r="D3541" s="141" t="s">
        <v>1215</v>
      </c>
    </row>
    <row r="3542" spans="1:4" x14ac:dyDescent="0.3">
      <c r="A3542" s="141" t="s">
        <v>6268</v>
      </c>
      <c r="B3542" s="141">
        <v>530267</v>
      </c>
      <c r="C3542" s="141" t="s">
        <v>1129</v>
      </c>
      <c r="D3542" s="141" t="s">
        <v>1137</v>
      </c>
    </row>
    <row r="3543" spans="1:4" x14ac:dyDescent="0.3">
      <c r="A3543" s="141" t="s">
        <v>6269</v>
      </c>
      <c r="B3543" s="141">
        <v>530461</v>
      </c>
      <c r="C3543" s="141" t="s">
        <v>1129</v>
      </c>
      <c r="D3543" s="141" t="s">
        <v>1209</v>
      </c>
    </row>
    <row r="3544" spans="1:4" x14ac:dyDescent="0.3">
      <c r="A3544" s="141" t="s">
        <v>6270</v>
      </c>
      <c r="B3544" s="141">
        <v>540132</v>
      </c>
      <c r="C3544" s="141" t="s">
        <v>1129</v>
      </c>
      <c r="D3544" s="141" t="s">
        <v>1151</v>
      </c>
    </row>
    <row r="3545" spans="1:4" x14ac:dyDescent="0.3">
      <c r="A3545" s="141" t="s">
        <v>6271</v>
      </c>
      <c r="B3545" s="141">
        <v>540132</v>
      </c>
      <c r="C3545" s="141" t="s">
        <v>1129</v>
      </c>
      <c r="D3545" s="141" t="s">
        <v>1151</v>
      </c>
    </row>
    <row r="3546" spans="1:4" x14ac:dyDescent="0.3">
      <c r="A3546" s="141" t="s">
        <v>6272</v>
      </c>
      <c r="B3546" s="141">
        <v>531869</v>
      </c>
      <c r="C3546" s="141" t="s">
        <v>1129</v>
      </c>
      <c r="D3546" s="141" t="s">
        <v>1434</v>
      </c>
    </row>
    <row r="3547" spans="1:4" x14ac:dyDescent="0.3">
      <c r="A3547" s="141" t="s">
        <v>6273</v>
      </c>
      <c r="B3547" s="141">
        <v>532710</v>
      </c>
      <c r="C3547" s="141" t="s">
        <v>6274</v>
      </c>
      <c r="D3547" s="141" t="s">
        <v>1527</v>
      </c>
    </row>
    <row r="3548" spans="1:4" x14ac:dyDescent="0.3">
      <c r="A3548" s="141" t="s">
        <v>6275</v>
      </c>
      <c r="B3548" s="141">
        <v>539346</v>
      </c>
      <c r="C3548" s="141" t="s">
        <v>6276</v>
      </c>
      <c r="D3548" s="141" t="s">
        <v>1724</v>
      </c>
    </row>
    <row r="3549" spans="1:4" x14ac:dyDescent="0.3">
      <c r="A3549" s="141" t="s">
        <v>6277</v>
      </c>
      <c r="B3549" s="141">
        <v>506642</v>
      </c>
      <c r="C3549" s="141" t="s">
        <v>1129</v>
      </c>
      <c r="D3549" s="141" t="s">
        <v>1177</v>
      </c>
    </row>
    <row r="3550" spans="1:4" x14ac:dyDescent="0.3">
      <c r="A3550" s="141" t="s">
        <v>6278</v>
      </c>
      <c r="B3550" s="141">
        <v>540821</v>
      </c>
      <c r="C3550" s="141" t="s">
        <v>1129</v>
      </c>
      <c r="D3550" s="141" t="s">
        <v>1868</v>
      </c>
    </row>
    <row r="3551" spans="1:4" x14ac:dyDescent="0.3">
      <c r="A3551" s="141" t="s">
        <v>6279</v>
      </c>
      <c r="B3551" s="141">
        <v>532034</v>
      </c>
      <c r="C3551" s="141" t="s">
        <v>1129</v>
      </c>
      <c r="D3551" s="141" t="s">
        <v>1311</v>
      </c>
    </row>
    <row r="3552" spans="1:4" x14ac:dyDescent="0.3">
      <c r="A3552" s="141" t="s">
        <v>6280</v>
      </c>
      <c r="B3552" s="141">
        <v>531448</v>
      </c>
      <c r="C3552" s="141" t="s">
        <v>1129</v>
      </c>
      <c r="D3552" s="141" t="s">
        <v>1550</v>
      </c>
    </row>
    <row r="3553" spans="1:4" x14ac:dyDescent="0.3">
      <c r="A3553" s="141" t="s">
        <v>6281</v>
      </c>
      <c r="B3553" s="141">
        <v>523025</v>
      </c>
      <c r="C3553" s="141" t="s">
        <v>1129</v>
      </c>
      <c r="D3553" s="141" t="s">
        <v>1243</v>
      </c>
    </row>
    <row r="3554" spans="1:4" x14ac:dyDescent="0.3">
      <c r="A3554" s="141" t="s">
        <v>6282</v>
      </c>
      <c r="B3554" s="141">
        <v>523025</v>
      </c>
      <c r="C3554" s="141" t="s">
        <v>1129</v>
      </c>
      <c r="D3554" s="141" t="s">
        <v>1243</v>
      </c>
    </row>
    <row r="3555" spans="1:4" x14ac:dyDescent="0.3">
      <c r="A3555" s="141" t="s">
        <v>6283</v>
      </c>
      <c r="B3555" s="141">
        <v>502090</v>
      </c>
      <c r="C3555" s="141" t="s">
        <v>6284</v>
      </c>
      <c r="D3555" s="141" t="s">
        <v>1142</v>
      </c>
    </row>
    <row r="3556" spans="1:4" x14ac:dyDescent="0.3">
      <c r="A3556" s="141" t="s">
        <v>6285</v>
      </c>
      <c r="B3556" s="141">
        <v>540715</v>
      </c>
      <c r="C3556" s="141" t="s">
        <v>1129</v>
      </c>
      <c r="D3556" s="141" t="s">
        <v>1243</v>
      </c>
    </row>
    <row r="3557" spans="1:4" x14ac:dyDescent="0.3">
      <c r="A3557" s="141" t="s">
        <v>6286</v>
      </c>
      <c r="B3557" s="141">
        <v>532092</v>
      </c>
      <c r="C3557" s="141" t="s">
        <v>1129</v>
      </c>
      <c r="D3557" s="141" t="s">
        <v>1146</v>
      </c>
    </row>
    <row r="3558" spans="1:4" x14ac:dyDescent="0.3">
      <c r="A3558" s="141" t="s">
        <v>6287</v>
      </c>
      <c r="B3558" s="141">
        <v>507663</v>
      </c>
      <c r="C3558" s="141" t="s">
        <v>1129</v>
      </c>
      <c r="D3558" s="141" t="s">
        <v>1378</v>
      </c>
    </row>
    <row r="3559" spans="1:4" x14ac:dyDescent="0.3">
      <c r="A3559" s="141" t="s">
        <v>6288</v>
      </c>
      <c r="B3559" s="141">
        <v>511254</v>
      </c>
      <c r="C3559" s="141" t="s">
        <v>1129</v>
      </c>
      <c r="D3559" s="141" t="s">
        <v>1146</v>
      </c>
    </row>
    <row r="3560" spans="1:4" x14ac:dyDescent="0.3">
      <c r="A3560" s="141" t="s">
        <v>6289</v>
      </c>
      <c r="B3560" s="141">
        <v>526085</v>
      </c>
      <c r="C3560" s="141" t="s">
        <v>1129</v>
      </c>
      <c r="D3560" s="141" t="s">
        <v>1330</v>
      </c>
    </row>
    <row r="3561" spans="1:4" x14ac:dyDescent="0.3">
      <c r="A3561" s="141" t="s">
        <v>6290</v>
      </c>
      <c r="B3561" s="141" t="s">
        <v>1129</v>
      </c>
      <c r="C3561" s="141" t="s">
        <v>6291</v>
      </c>
      <c r="D3561" s="141" t="s">
        <v>1140</v>
      </c>
    </row>
    <row r="3562" spans="1:4" x14ac:dyDescent="0.3">
      <c r="A3562" s="141" t="s">
        <v>6292</v>
      </c>
      <c r="B3562" s="141">
        <v>540143</v>
      </c>
      <c r="C3562" s="141" t="s">
        <v>1129</v>
      </c>
      <c r="D3562" s="141" t="s">
        <v>1115</v>
      </c>
    </row>
    <row r="3563" spans="1:4" x14ac:dyDescent="0.3">
      <c r="A3563" s="141" t="s">
        <v>6293</v>
      </c>
      <c r="B3563" s="141">
        <v>540143</v>
      </c>
      <c r="C3563" s="141" t="s">
        <v>1129</v>
      </c>
      <c r="D3563" s="141" t="s">
        <v>1115</v>
      </c>
    </row>
    <row r="3564" spans="1:4" x14ac:dyDescent="0.3">
      <c r="A3564" s="141" t="s">
        <v>6294</v>
      </c>
      <c r="B3564" s="141">
        <v>511533</v>
      </c>
      <c r="C3564" s="141" t="s">
        <v>1129</v>
      </c>
      <c r="D3564" s="141" t="s">
        <v>1187</v>
      </c>
    </row>
    <row r="3565" spans="1:4" x14ac:dyDescent="0.3">
      <c r="A3565" s="141" t="s">
        <v>6295</v>
      </c>
      <c r="B3565" s="141">
        <v>503691</v>
      </c>
      <c r="C3565" s="141" t="s">
        <v>1129</v>
      </c>
      <c r="D3565" s="141" t="s">
        <v>1868</v>
      </c>
    </row>
    <row r="3566" spans="1:4" x14ac:dyDescent="0.3">
      <c r="A3566" s="141" t="s">
        <v>6296</v>
      </c>
      <c r="B3566" s="141">
        <v>532841</v>
      </c>
      <c r="C3566" s="141" t="s">
        <v>1129</v>
      </c>
      <c r="D3566" s="141" t="s">
        <v>1142</v>
      </c>
    </row>
    <row r="3567" spans="1:4" x14ac:dyDescent="0.3">
      <c r="A3567" s="141" t="s">
        <v>6297</v>
      </c>
      <c r="B3567" s="141">
        <v>539660</v>
      </c>
      <c r="C3567" s="141" t="s">
        <v>1129</v>
      </c>
      <c r="D3567" s="141" t="s">
        <v>1112</v>
      </c>
    </row>
    <row r="3568" spans="1:4" x14ac:dyDescent="0.3">
      <c r="A3568" s="141" t="s">
        <v>6298</v>
      </c>
      <c r="B3568" s="141">
        <v>538557</v>
      </c>
      <c r="C3568" s="141" t="s">
        <v>1129</v>
      </c>
      <c r="D3568" s="141" t="s">
        <v>1151</v>
      </c>
    </row>
    <row r="3569" spans="1:4" x14ac:dyDescent="0.3">
      <c r="A3569" s="141" t="s">
        <v>6299</v>
      </c>
      <c r="B3569" s="141">
        <v>531931</v>
      </c>
      <c r="C3569" s="141" t="s">
        <v>1129</v>
      </c>
      <c r="D3569" s="141" t="s">
        <v>1550</v>
      </c>
    </row>
    <row r="3570" spans="1:4" x14ac:dyDescent="0.3">
      <c r="A3570" s="141" t="s">
        <v>6300</v>
      </c>
      <c r="B3570" s="141">
        <v>530905</v>
      </c>
      <c r="C3570" s="141" t="s">
        <v>1129</v>
      </c>
      <c r="D3570" s="141" t="s">
        <v>1146</v>
      </c>
    </row>
    <row r="3571" spans="1:4" x14ac:dyDescent="0.3">
      <c r="A3571" s="141" t="s">
        <v>6301</v>
      </c>
      <c r="B3571" s="141">
        <v>540066</v>
      </c>
      <c r="C3571" s="141" t="s">
        <v>1129</v>
      </c>
      <c r="D3571" s="141" t="s">
        <v>1484</v>
      </c>
    </row>
    <row r="3572" spans="1:4" x14ac:dyDescent="0.3">
      <c r="A3572" s="141" t="s">
        <v>6302</v>
      </c>
      <c r="B3572" s="141">
        <v>530265</v>
      </c>
      <c r="C3572" s="141" t="s">
        <v>1129</v>
      </c>
      <c r="D3572" s="141" t="s">
        <v>1142</v>
      </c>
    </row>
    <row r="3573" spans="1:4" x14ac:dyDescent="0.3">
      <c r="A3573" s="141" t="s">
        <v>6303</v>
      </c>
      <c r="B3573" s="141">
        <v>515043</v>
      </c>
      <c r="C3573" s="141" t="s">
        <v>1129</v>
      </c>
      <c r="D3573" s="141" t="s">
        <v>1406</v>
      </c>
    </row>
    <row r="3574" spans="1:4" x14ac:dyDescent="0.3">
      <c r="A3574" s="141" t="s">
        <v>6304</v>
      </c>
      <c r="B3574" s="141">
        <v>515043</v>
      </c>
      <c r="C3574" s="141" t="s">
        <v>1129</v>
      </c>
      <c r="D3574" s="141" t="s">
        <v>1406</v>
      </c>
    </row>
    <row r="3575" spans="1:4" x14ac:dyDescent="0.3">
      <c r="A3575" s="141" t="s">
        <v>6305</v>
      </c>
      <c r="B3575" s="141" t="s">
        <v>1129</v>
      </c>
      <c r="C3575" s="141" t="s">
        <v>6306</v>
      </c>
      <c r="D3575" s="141" t="s">
        <v>1140</v>
      </c>
    </row>
    <row r="3576" spans="1:4" x14ac:dyDescent="0.3">
      <c r="A3576" s="141" t="s">
        <v>6307</v>
      </c>
      <c r="B3576" s="141" t="s">
        <v>1129</v>
      </c>
      <c r="C3576" s="141" t="s">
        <v>6308</v>
      </c>
      <c r="D3576" s="141" t="s">
        <v>1140</v>
      </c>
    </row>
    <row r="3577" spans="1:4" x14ac:dyDescent="0.3">
      <c r="A3577" s="141" t="s">
        <v>6309</v>
      </c>
      <c r="B3577" s="141">
        <v>590051</v>
      </c>
      <c r="C3577" s="141" t="s">
        <v>6310</v>
      </c>
      <c r="D3577" s="141" t="s">
        <v>1222</v>
      </c>
    </row>
    <row r="3578" spans="1:4" x14ac:dyDescent="0.3">
      <c r="A3578" s="141" t="s">
        <v>6311</v>
      </c>
      <c r="B3578" s="141">
        <v>511066</v>
      </c>
      <c r="C3578" s="141" t="s">
        <v>1129</v>
      </c>
      <c r="D3578" s="141" t="s">
        <v>1146</v>
      </c>
    </row>
    <row r="3579" spans="1:4" x14ac:dyDescent="0.3">
      <c r="A3579" s="141" t="s">
        <v>6312</v>
      </c>
      <c r="B3579" s="141">
        <v>507315</v>
      </c>
      <c r="C3579" s="141" t="s">
        <v>6313</v>
      </c>
      <c r="D3579" s="141" t="s">
        <v>1828</v>
      </c>
    </row>
    <row r="3580" spans="1:4" x14ac:dyDescent="0.3">
      <c r="A3580" s="141" t="s">
        <v>6314</v>
      </c>
      <c r="B3580" s="141">
        <v>532713</v>
      </c>
      <c r="C3580" s="141" t="s">
        <v>6315</v>
      </c>
      <c r="D3580" s="141" t="s">
        <v>1151</v>
      </c>
    </row>
    <row r="3581" spans="1:4" x14ac:dyDescent="0.3">
      <c r="A3581" s="141" t="s">
        <v>6316</v>
      </c>
      <c r="B3581" s="141">
        <v>540642</v>
      </c>
      <c r="C3581" s="141" t="s">
        <v>6317</v>
      </c>
      <c r="D3581" s="141" t="s">
        <v>1527</v>
      </c>
    </row>
    <row r="3582" spans="1:4" x14ac:dyDescent="0.3">
      <c r="A3582" s="141" t="s">
        <v>6318</v>
      </c>
      <c r="B3582" s="141">
        <v>540181</v>
      </c>
      <c r="C3582" s="141" t="s">
        <v>1129</v>
      </c>
      <c r="D3582" s="141" t="s">
        <v>1146</v>
      </c>
    </row>
    <row r="3583" spans="1:4" x14ac:dyDescent="0.3">
      <c r="A3583" s="141" t="s">
        <v>6319</v>
      </c>
      <c r="B3583" s="141">
        <v>526554</v>
      </c>
      <c r="C3583" s="141" t="s">
        <v>1129</v>
      </c>
      <c r="D3583" s="141" t="s">
        <v>1324</v>
      </c>
    </row>
    <row r="3584" spans="1:4" x14ac:dyDescent="0.3">
      <c r="A3584" s="141" t="s">
        <v>6320</v>
      </c>
      <c r="B3584" s="141">
        <v>590056</v>
      </c>
      <c r="C3584" s="141" t="s">
        <v>6321</v>
      </c>
      <c r="D3584" s="141" t="s">
        <v>1144</v>
      </c>
    </row>
    <row r="3585" spans="1:4" x14ac:dyDescent="0.3">
      <c r="A3585" s="141" t="s">
        <v>6322</v>
      </c>
      <c r="B3585" s="141">
        <v>500370</v>
      </c>
      <c r="C3585" s="141" t="s">
        <v>6323</v>
      </c>
      <c r="D3585" s="141" t="s">
        <v>1151</v>
      </c>
    </row>
    <row r="3586" spans="1:4" x14ac:dyDescent="0.3">
      <c r="A3586" s="141" t="s">
        <v>6324</v>
      </c>
      <c r="B3586" s="141">
        <v>517059</v>
      </c>
      <c r="C3586" s="141" t="s">
        <v>6325</v>
      </c>
      <c r="D3586" s="141" t="s">
        <v>1427</v>
      </c>
    </row>
    <row r="3587" spans="1:4" x14ac:dyDescent="0.3">
      <c r="A3587" s="141" t="s">
        <v>6326</v>
      </c>
      <c r="B3587" s="141">
        <v>532005</v>
      </c>
      <c r="C3587" s="141" t="s">
        <v>1129</v>
      </c>
      <c r="D3587" s="141" t="s">
        <v>1314</v>
      </c>
    </row>
    <row r="3588" spans="1:4" x14ac:dyDescent="0.3">
      <c r="A3588" s="141" t="s">
        <v>6327</v>
      </c>
      <c r="B3588" s="141">
        <v>521240</v>
      </c>
      <c r="C3588" s="141" t="s">
        <v>1129</v>
      </c>
      <c r="D3588" s="141" t="s">
        <v>1144</v>
      </c>
    </row>
    <row r="3589" spans="1:4" x14ac:dyDescent="0.3">
      <c r="A3589" s="141" t="s">
        <v>6328</v>
      </c>
      <c r="B3589" s="141">
        <v>511630</v>
      </c>
      <c r="C3589" s="141" t="s">
        <v>6329</v>
      </c>
      <c r="D3589" s="141" t="s">
        <v>1653</v>
      </c>
    </row>
    <row r="3590" spans="1:4" x14ac:dyDescent="0.3">
      <c r="A3590" s="141" t="s">
        <v>6330</v>
      </c>
      <c r="B3590" s="141">
        <v>520075</v>
      </c>
      <c r="C3590" s="141" t="s">
        <v>1129</v>
      </c>
      <c r="D3590" s="141" t="s">
        <v>1484</v>
      </c>
    </row>
    <row r="3591" spans="1:4" x14ac:dyDescent="0.3">
      <c r="A3591" s="141" t="s">
        <v>6331</v>
      </c>
      <c r="B3591" s="141">
        <v>530617</v>
      </c>
      <c r="C3591" s="141" t="s">
        <v>1129</v>
      </c>
      <c r="D3591" s="141" t="s">
        <v>1189</v>
      </c>
    </row>
    <row r="3592" spans="1:4" x14ac:dyDescent="0.3">
      <c r="A3592" s="141" t="s">
        <v>6332</v>
      </c>
      <c r="B3592" s="141">
        <v>530125</v>
      </c>
      <c r="C3592" s="141" t="s">
        <v>1129</v>
      </c>
      <c r="D3592" s="141" t="s">
        <v>1167</v>
      </c>
    </row>
    <row r="3593" spans="1:4" x14ac:dyDescent="0.3">
      <c r="A3593" s="141" t="s">
        <v>6333</v>
      </c>
      <c r="B3593" s="141">
        <v>500371</v>
      </c>
      <c r="C3593" s="141" t="s">
        <v>1129</v>
      </c>
      <c r="D3593" s="141" t="s">
        <v>1498</v>
      </c>
    </row>
    <row r="3594" spans="1:4" x14ac:dyDescent="0.3">
      <c r="A3594" s="141" t="s">
        <v>6334</v>
      </c>
      <c r="B3594" s="141">
        <v>500371</v>
      </c>
      <c r="C3594" s="141" t="s">
        <v>1129</v>
      </c>
      <c r="D3594" s="141" t="s">
        <v>1498</v>
      </c>
    </row>
    <row r="3595" spans="1:4" x14ac:dyDescent="0.3">
      <c r="A3595" s="141" t="s">
        <v>6335</v>
      </c>
      <c r="B3595" s="141">
        <v>521206</v>
      </c>
      <c r="C3595" s="141" t="s">
        <v>1129</v>
      </c>
      <c r="D3595" s="141" t="s">
        <v>1243</v>
      </c>
    </row>
    <row r="3596" spans="1:4" x14ac:dyDescent="0.3">
      <c r="A3596" s="141" t="s">
        <v>6336</v>
      </c>
      <c r="B3596" s="141">
        <v>530025</v>
      </c>
      <c r="C3596" s="141" t="s">
        <v>1129</v>
      </c>
      <c r="D3596" s="141" t="s">
        <v>1550</v>
      </c>
    </row>
    <row r="3597" spans="1:4" x14ac:dyDescent="0.3">
      <c r="A3597" s="141" t="s">
        <v>6337</v>
      </c>
      <c r="B3597" s="141">
        <v>780015</v>
      </c>
      <c r="C3597" s="141" t="s">
        <v>1129</v>
      </c>
      <c r="D3597" s="141" t="s">
        <v>1220</v>
      </c>
    </row>
    <row r="3598" spans="1:4" x14ac:dyDescent="0.3">
      <c r="A3598" s="141" t="s">
        <v>6338</v>
      </c>
      <c r="B3598" s="141">
        <v>509423</v>
      </c>
      <c r="C3598" s="141" t="s">
        <v>1129</v>
      </c>
      <c r="D3598" s="141" t="s">
        <v>1177</v>
      </c>
    </row>
    <row r="3599" spans="1:4" x14ac:dyDescent="0.3">
      <c r="A3599" s="141" t="s">
        <v>6339</v>
      </c>
      <c r="B3599" s="141">
        <v>521222</v>
      </c>
      <c r="C3599" s="141" t="s">
        <v>1129</v>
      </c>
      <c r="D3599" s="141" t="s">
        <v>1243</v>
      </c>
    </row>
    <row r="3600" spans="1:4" x14ac:dyDescent="0.3">
      <c r="A3600" s="141" t="s">
        <v>6340</v>
      </c>
      <c r="B3600" s="141" t="s">
        <v>1129</v>
      </c>
      <c r="C3600" s="141" t="s">
        <v>6341</v>
      </c>
      <c r="D3600" s="141" t="s">
        <v>1220</v>
      </c>
    </row>
    <row r="3601" spans="1:4" x14ac:dyDescent="0.3">
      <c r="A3601" s="141" t="s">
        <v>6342</v>
      </c>
      <c r="B3601" s="141">
        <v>523116</v>
      </c>
      <c r="C3601" s="141" t="s">
        <v>1129</v>
      </c>
      <c r="D3601" s="141" t="s">
        <v>1252</v>
      </c>
    </row>
    <row r="3602" spans="1:4" x14ac:dyDescent="0.3">
      <c r="A3602" s="141" t="s">
        <v>6343</v>
      </c>
      <c r="B3602" s="141">
        <v>541163</v>
      </c>
      <c r="C3602" s="141" t="s">
        <v>6344</v>
      </c>
      <c r="D3602" s="141" t="s">
        <v>1484</v>
      </c>
    </row>
    <row r="3603" spans="1:4" x14ac:dyDescent="0.3">
      <c r="A3603" s="141" t="s">
        <v>6345</v>
      </c>
      <c r="B3603" s="141">
        <v>524703</v>
      </c>
      <c r="C3603" s="141" t="s">
        <v>1129</v>
      </c>
      <c r="D3603" s="141" t="s">
        <v>1167</v>
      </c>
    </row>
    <row r="3604" spans="1:4" x14ac:dyDescent="0.3">
      <c r="A3604" s="141" t="s">
        <v>6346</v>
      </c>
      <c r="B3604" s="141">
        <v>504918</v>
      </c>
      <c r="C3604" s="141" t="s">
        <v>1129</v>
      </c>
      <c r="D3604" s="141" t="s">
        <v>1109</v>
      </c>
    </row>
    <row r="3605" spans="1:4" x14ac:dyDescent="0.3">
      <c r="A3605" s="141" t="s">
        <v>6347</v>
      </c>
      <c r="B3605" s="141">
        <v>539392</v>
      </c>
      <c r="C3605" s="141" t="s">
        <v>1129</v>
      </c>
      <c r="D3605" s="141" t="s">
        <v>1151</v>
      </c>
    </row>
    <row r="3606" spans="1:4" x14ac:dyDescent="0.3">
      <c r="A3606" s="141" t="s">
        <v>6348</v>
      </c>
      <c r="B3606" s="141">
        <v>539392</v>
      </c>
      <c r="C3606" s="141" t="s">
        <v>1129</v>
      </c>
      <c r="D3606" s="141" t="s">
        <v>1151</v>
      </c>
    </row>
    <row r="3607" spans="1:4" x14ac:dyDescent="0.3">
      <c r="A3607" s="141" t="s">
        <v>6349</v>
      </c>
      <c r="B3607" s="141">
        <v>516096</v>
      </c>
      <c r="C3607" s="141" t="s">
        <v>1129</v>
      </c>
      <c r="D3607" s="141" t="s">
        <v>1123</v>
      </c>
    </row>
    <row r="3608" spans="1:4" x14ac:dyDescent="0.3">
      <c r="A3608" s="141" t="s">
        <v>6350</v>
      </c>
      <c r="B3608" s="141">
        <v>514234</v>
      </c>
      <c r="C3608" s="141" t="s">
        <v>6351</v>
      </c>
      <c r="D3608" s="141" t="s">
        <v>1144</v>
      </c>
    </row>
    <row r="3609" spans="1:4" x14ac:dyDescent="0.3">
      <c r="A3609" s="141" t="s">
        <v>6352</v>
      </c>
      <c r="B3609" s="141">
        <v>514234</v>
      </c>
      <c r="C3609" s="141" t="s">
        <v>6351</v>
      </c>
      <c r="D3609" s="141" t="s">
        <v>1144</v>
      </c>
    </row>
    <row r="3610" spans="1:4" x14ac:dyDescent="0.3">
      <c r="A3610" s="141" t="s">
        <v>6353</v>
      </c>
      <c r="B3610" s="141">
        <v>534618</v>
      </c>
      <c r="C3610" s="141" t="s">
        <v>1129</v>
      </c>
      <c r="D3610" s="141" t="s">
        <v>1268</v>
      </c>
    </row>
    <row r="3611" spans="1:4" x14ac:dyDescent="0.3">
      <c r="A3611" s="141" t="s">
        <v>6354</v>
      </c>
      <c r="B3611" s="141">
        <v>511640</v>
      </c>
      <c r="C3611" s="141" t="s">
        <v>1129</v>
      </c>
      <c r="D3611" s="141" t="s">
        <v>1146</v>
      </c>
    </row>
    <row r="3612" spans="1:4" x14ac:dyDescent="0.3">
      <c r="A3612" s="141" t="s">
        <v>6355</v>
      </c>
      <c r="B3612" s="141">
        <v>526521</v>
      </c>
      <c r="C3612" s="141" t="s">
        <v>6356</v>
      </c>
      <c r="D3612" s="141" t="s">
        <v>1142</v>
      </c>
    </row>
    <row r="3613" spans="1:4" x14ac:dyDescent="0.3">
      <c r="A3613" s="141" t="s">
        <v>6357</v>
      </c>
      <c r="B3613" s="141">
        <v>540782</v>
      </c>
      <c r="C3613" s="141" t="s">
        <v>1129</v>
      </c>
      <c r="D3613" s="141" t="s">
        <v>1330</v>
      </c>
    </row>
    <row r="3614" spans="1:4" x14ac:dyDescent="0.3">
      <c r="A3614" s="141" t="s">
        <v>6358</v>
      </c>
      <c r="B3614" s="141">
        <v>533411</v>
      </c>
      <c r="C3614" s="141" t="s">
        <v>6359</v>
      </c>
      <c r="D3614" s="141" t="s">
        <v>2049</v>
      </c>
    </row>
    <row r="3615" spans="1:4" x14ac:dyDescent="0.3">
      <c r="A3615" s="141" t="s">
        <v>6360</v>
      </c>
      <c r="B3615" s="141">
        <v>530073</v>
      </c>
      <c r="C3615" s="141" t="s">
        <v>6361</v>
      </c>
      <c r="D3615" s="141" t="s">
        <v>1252</v>
      </c>
    </row>
    <row r="3616" spans="1:4" x14ac:dyDescent="0.3">
      <c r="A3616" s="141" t="s">
        <v>6362</v>
      </c>
      <c r="B3616" s="141" t="s">
        <v>1129</v>
      </c>
      <c r="C3616" s="141" t="s">
        <v>6363</v>
      </c>
      <c r="D3616" s="141" t="s">
        <v>1140</v>
      </c>
    </row>
    <row r="3617" spans="1:4" x14ac:dyDescent="0.3">
      <c r="A3617" s="141" t="s">
        <v>6364</v>
      </c>
      <c r="B3617" s="141">
        <v>531898</v>
      </c>
      <c r="C3617" s="141" t="s">
        <v>1129</v>
      </c>
      <c r="D3617" s="141" t="s">
        <v>1132</v>
      </c>
    </row>
    <row r="3618" spans="1:4" x14ac:dyDescent="0.3">
      <c r="A3618" s="141" t="s">
        <v>6365</v>
      </c>
      <c r="B3618" s="141">
        <v>531569</v>
      </c>
      <c r="C3618" s="141" t="s">
        <v>1129</v>
      </c>
      <c r="D3618" s="141" t="s">
        <v>1167</v>
      </c>
    </row>
    <row r="3619" spans="1:4" x14ac:dyDescent="0.3">
      <c r="A3619" s="141" t="s">
        <v>6366</v>
      </c>
      <c r="B3619" s="141">
        <v>532972</v>
      </c>
      <c r="C3619" s="141" t="s">
        <v>1129</v>
      </c>
      <c r="D3619" s="141" t="s">
        <v>1222</v>
      </c>
    </row>
    <row r="3620" spans="1:4" x14ac:dyDescent="0.3">
      <c r="A3620" s="141" t="s">
        <v>6367</v>
      </c>
      <c r="B3620" s="141">
        <v>532435</v>
      </c>
      <c r="C3620" s="141" t="s">
        <v>1129</v>
      </c>
      <c r="D3620" s="141" t="s">
        <v>1215</v>
      </c>
    </row>
    <row r="3621" spans="1:4" x14ac:dyDescent="0.3">
      <c r="A3621" s="141" t="s">
        <v>6368</v>
      </c>
      <c r="B3621" s="141">
        <v>512062</v>
      </c>
      <c r="C3621" s="141" t="s">
        <v>1129</v>
      </c>
      <c r="D3621" s="141" t="s">
        <v>1550</v>
      </c>
    </row>
    <row r="3622" spans="1:4" x14ac:dyDescent="0.3">
      <c r="A3622" s="141" t="s">
        <v>6369</v>
      </c>
      <c r="B3622" s="141">
        <v>500674</v>
      </c>
      <c r="C3622" s="141" t="s">
        <v>6370</v>
      </c>
      <c r="D3622" s="141" t="s">
        <v>1167</v>
      </c>
    </row>
    <row r="3623" spans="1:4" x14ac:dyDescent="0.3">
      <c r="A3623" s="141" t="s">
        <v>6371</v>
      </c>
      <c r="B3623" s="141">
        <v>500674</v>
      </c>
      <c r="C3623" s="141" t="s">
        <v>6370</v>
      </c>
      <c r="D3623" s="141" t="s">
        <v>1167</v>
      </c>
    </row>
    <row r="3624" spans="1:4" x14ac:dyDescent="0.3">
      <c r="A3624" s="141" t="s">
        <v>6372</v>
      </c>
      <c r="B3624" s="141">
        <v>514280</v>
      </c>
      <c r="C3624" s="141" t="s">
        <v>1129</v>
      </c>
      <c r="D3624" s="141" t="s">
        <v>1144</v>
      </c>
    </row>
    <row r="3625" spans="1:4" x14ac:dyDescent="0.3">
      <c r="A3625" s="141" t="s">
        <v>6373</v>
      </c>
      <c r="B3625" s="141">
        <v>530035</v>
      </c>
      <c r="C3625" s="141" t="s">
        <v>1129</v>
      </c>
      <c r="D3625" s="141" t="s">
        <v>1144</v>
      </c>
    </row>
    <row r="3626" spans="1:4" x14ac:dyDescent="0.3">
      <c r="A3626" s="141" t="s">
        <v>6374</v>
      </c>
      <c r="B3626" s="141">
        <v>540822</v>
      </c>
      <c r="C3626" s="141" t="s">
        <v>1129</v>
      </c>
      <c r="D3626" s="141" t="s">
        <v>1146</v>
      </c>
    </row>
    <row r="3627" spans="1:4" x14ac:dyDescent="0.3">
      <c r="A3627" s="141" t="s">
        <v>6375</v>
      </c>
      <c r="B3627" s="141">
        <v>519260</v>
      </c>
      <c r="C3627" s="141" t="s">
        <v>6376</v>
      </c>
      <c r="D3627" s="141" t="s">
        <v>1378</v>
      </c>
    </row>
    <row r="3628" spans="1:4" x14ac:dyDescent="0.3">
      <c r="A3628" s="141" t="s">
        <v>6377</v>
      </c>
      <c r="B3628" s="141">
        <v>506906</v>
      </c>
      <c r="C3628" s="141" t="s">
        <v>1129</v>
      </c>
      <c r="D3628" s="141" t="s">
        <v>1151</v>
      </c>
    </row>
    <row r="3629" spans="1:4" x14ac:dyDescent="0.3">
      <c r="A3629" s="141" t="s">
        <v>6378</v>
      </c>
      <c r="B3629" s="141">
        <v>519238</v>
      </c>
      <c r="C3629" s="141" t="s">
        <v>1129</v>
      </c>
      <c r="D3629" s="141" t="s">
        <v>1327</v>
      </c>
    </row>
    <row r="3630" spans="1:4" x14ac:dyDescent="0.3">
      <c r="A3630" s="141" t="s">
        <v>6379</v>
      </c>
      <c r="B3630" s="141">
        <v>538992</v>
      </c>
      <c r="C3630" s="141" t="s">
        <v>1129</v>
      </c>
      <c r="D3630" s="141" t="s">
        <v>1484</v>
      </c>
    </row>
    <row r="3631" spans="1:4" x14ac:dyDescent="0.3">
      <c r="A3631" s="141" t="s">
        <v>6380</v>
      </c>
      <c r="B3631" s="141">
        <v>512020</v>
      </c>
      <c r="C3631" s="141" t="s">
        <v>1129</v>
      </c>
      <c r="D3631" s="141" t="s">
        <v>1146</v>
      </c>
    </row>
    <row r="3632" spans="1:4" x14ac:dyDescent="0.3">
      <c r="A3632" s="141" t="s">
        <v>6381</v>
      </c>
      <c r="B3632" s="141">
        <v>512020</v>
      </c>
      <c r="C3632" s="141" t="s">
        <v>1129</v>
      </c>
      <c r="D3632" s="141" t="s">
        <v>1146</v>
      </c>
    </row>
    <row r="3633" spans="1:4" x14ac:dyDescent="0.3">
      <c r="A3633" s="141" t="s">
        <v>6382</v>
      </c>
      <c r="B3633" s="141">
        <v>504614</v>
      </c>
      <c r="C3633" s="141" t="s">
        <v>6383</v>
      </c>
      <c r="D3633" s="141" t="s">
        <v>1161</v>
      </c>
    </row>
    <row r="3634" spans="1:4" x14ac:dyDescent="0.3">
      <c r="A3634" s="141" t="s">
        <v>6384</v>
      </c>
      <c r="B3634" s="141">
        <v>516032</v>
      </c>
      <c r="C3634" s="141" t="s">
        <v>1129</v>
      </c>
      <c r="D3634" s="141" t="s">
        <v>1123</v>
      </c>
    </row>
    <row r="3635" spans="1:4" x14ac:dyDescent="0.3">
      <c r="A3635" s="141" t="s">
        <v>6385</v>
      </c>
      <c r="B3635" s="141">
        <v>516003</v>
      </c>
      <c r="C3635" s="141" t="s">
        <v>1129</v>
      </c>
      <c r="D3635" s="141" t="s">
        <v>1624</v>
      </c>
    </row>
    <row r="3636" spans="1:4" x14ac:dyDescent="0.3">
      <c r="A3636" s="141" t="s">
        <v>6386</v>
      </c>
      <c r="B3636" s="141">
        <v>519242</v>
      </c>
      <c r="C3636" s="141" t="s">
        <v>1129</v>
      </c>
      <c r="D3636" s="141" t="s">
        <v>1378</v>
      </c>
    </row>
    <row r="3637" spans="1:4" x14ac:dyDescent="0.3">
      <c r="A3637" s="141" t="s">
        <v>6387</v>
      </c>
      <c r="B3637" s="141">
        <v>532163</v>
      </c>
      <c r="C3637" s="141" t="s">
        <v>6388</v>
      </c>
      <c r="D3637" s="141" t="s">
        <v>1132</v>
      </c>
    </row>
    <row r="3638" spans="1:4" x14ac:dyDescent="0.3">
      <c r="A3638" s="141" t="s">
        <v>6389</v>
      </c>
      <c r="B3638" s="141">
        <v>532163</v>
      </c>
      <c r="C3638" s="141" t="s">
        <v>6388</v>
      </c>
      <c r="D3638" s="141" t="s">
        <v>1132</v>
      </c>
    </row>
    <row r="3639" spans="1:4" x14ac:dyDescent="0.3">
      <c r="A3639" s="141" t="s">
        <v>6390</v>
      </c>
      <c r="B3639" s="141">
        <v>526885</v>
      </c>
      <c r="C3639" s="141" t="s">
        <v>6391</v>
      </c>
      <c r="D3639" s="141" t="s">
        <v>1144</v>
      </c>
    </row>
    <row r="3640" spans="1:4" x14ac:dyDescent="0.3">
      <c r="A3640" s="141" t="s">
        <v>6392</v>
      </c>
      <c r="B3640" s="141">
        <v>530993</v>
      </c>
      <c r="C3640" s="141" t="s">
        <v>1129</v>
      </c>
      <c r="D3640" s="141" t="s">
        <v>1151</v>
      </c>
    </row>
    <row r="3641" spans="1:4" x14ac:dyDescent="0.3">
      <c r="A3641" s="141" t="s">
        <v>6393</v>
      </c>
      <c r="B3641" s="141">
        <v>531930</v>
      </c>
      <c r="C3641" s="141" t="s">
        <v>1129</v>
      </c>
      <c r="D3641" s="141" t="s">
        <v>2049</v>
      </c>
    </row>
    <row r="3642" spans="1:4" x14ac:dyDescent="0.3">
      <c r="A3642" s="141" t="s">
        <v>6394</v>
      </c>
      <c r="B3642" s="141">
        <v>540393</v>
      </c>
      <c r="C3642" s="141" t="s">
        <v>1129</v>
      </c>
      <c r="D3642" s="141" t="s">
        <v>1452</v>
      </c>
    </row>
    <row r="3643" spans="1:4" x14ac:dyDescent="0.3">
      <c r="A3643" s="141" t="s">
        <v>6395</v>
      </c>
      <c r="B3643" s="141">
        <v>514412</v>
      </c>
      <c r="C3643" s="141" t="s">
        <v>1129</v>
      </c>
      <c r="D3643" s="141" t="s">
        <v>1243</v>
      </c>
    </row>
    <row r="3644" spans="1:4" x14ac:dyDescent="0.3">
      <c r="A3644" s="141" t="s">
        <v>6396</v>
      </c>
      <c r="B3644" s="141">
        <v>506190</v>
      </c>
      <c r="C3644" s="141" t="s">
        <v>1129</v>
      </c>
      <c r="D3644" s="141" t="s">
        <v>1550</v>
      </c>
    </row>
    <row r="3645" spans="1:4" x14ac:dyDescent="0.3">
      <c r="A3645" s="141" t="s">
        <v>6397</v>
      </c>
      <c r="B3645" s="141" t="s">
        <v>1129</v>
      </c>
      <c r="C3645" s="141" t="s">
        <v>6398</v>
      </c>
      <c r="D3645" s="141" t="s">
        <v>1140</v>
      </c>
    </row>
    <row r="3646" spans="1:4" x14ac:dyDescent="0.3">
      <c r="A3646" s="141" t="s">
        <v>6399</v>
      </c>
      <c r="B3646" s="141">
        <v>539124</v>
      </c>
      <c r="C3646" s="141" t="s">
        <v>1129</v>
      </c>
      <c r="D3646" s="141" t="s">
        <v>1146</v>
      </c>
    </row>
    <row r="3647" spans="1:4" x14ac:dyDescent="0.3">
      <c r="A3647" s="141" t="s">
        <v>6400</v>
      </c>
      <c r="B3647" s="141">
        <v>506313</v>
      </c>
      <c r="C3647" s="141" t="s">
        <v>1129</v>
      </c>
      <c r="D3647" s="141" t="s">
        <v>1657</v>
      </c>
    </row>
    <row r="3648" spans="1:4" x14ac:dyDescent="0.3">
      <c r="A3648" s="141" t="s">
        <v>6401</v>
      </c>
      <c r="B3648" s="141">
        <v>532663</v>
      </c>
      <c r="C3648" s="141" t="s">
        <v>6402</v>
      </c>
      <c r="D3648" s="141" t="s">
        <v>1115</v>
      </c>
    </row>
    <row r="3649" spans="1:4" x14ac:dyDescent="0.3">
      <c r="A3649" s="141" t="s">
        <v>6403</v>
      </c>
      <c r="B3649" s="141">
        <v>533259</v>
      </c>
      <c r="C3649" s="141" t="s">
        <v>6404</v>
      </c>
      <c r="D3649" s="141" t="s">
        <v>1318</v>
      </c>
    </row>
    <row r="3650" spans="1:4" x14ac:dyDescent="0.3">
      <c r="A3650" s="141" t="s">
        <v>6405</v>
      </c>
      <c r="B3650" s="141">
        <v>511076</v>
      </c>
      <c r="C3650" s="141" t="s">
        <v>1129</v>
      </c>
      <c r="D3650" s="141" t="s">
        <v>1151</v>
      </c>
    </row>
    <row r="3651" spans="1:4" x14ac:dyDescent="0.3">
      <c r="A3651" s="141" t="s">
        <v>6406</v>
      </c>
      <c r="B3651" s="141">
        <v>526093</v>
      </c>
      <c r="C3651" s="141" t="s">
        <v>6407</v>
      </c>
      <c r="D3651" s="141" t="s">
        <v>1161</v>
      </c>
    </row>
    <row r="3652" spans="1:4" x14ac:dyDescent="0.3">
      <c r="A3652" s="141" t="s">
        <v>6408</v>
      </c>
      <c r="B3652" s="141">
        <v>539201</v>
      </c>
      <c r="C3652" s="141" t="s">
        <v>1129</v>
      </c>
      <c r="D3652" s="141" t="s">
        <v>1123</v>
      </c>
    </row>
    <row r="3653" spans="1:4" x14ac:dyDescent="0.3">
      <c r="A3653" s="141" t="s">
        <v>6409</v>
      </c>
      <c r="B3653" s="141">
        <v>539404</v>
      </c>
      <c r="C3653" s="141" t="s">
        <v>6410</v>
      </c>
      <c r="D3653" s="141" t="s">
        <v>1146</v>
      </c>
    </row>
    <row r="3654" spans="1:4" x14ac:dyDescent="0.3">
      <c r="A3654" s="141" t="s">
        <v>6411</v>
      </c>
      <c r="B3654" s="141">
        <v>536592</v>
      </c>
      <c r="C3654" s="141" t="s">
        <v>1129</v>
      </c>
      <c r="D3654" s="141" t="s">
        <v>1146</v>
      </c>
    </row>
    <row r="3655" spans="1:4" x14ac:dyDescent="0.3">
      <c r="A3655" s="141" t="s">
        <v>6412</v>
      </c>
      <c r="B3655" s="141">
        <v>508996</v>
      </c>
      <c r="C3655" s="141" t="s">
        <v>6413</v>
      </c>
      <c r="D3655" s="141" t="s">
        <v>1215</v>
      </c>
    </row>
    <row r="3656" spans="1:4" x14ac:dyDescent="0.3">
      <c r="A3656" s="141" t="s">
        <v>6414</v>
      </c>
      <c r="B3656" s="141">
        <v>503893</v>
      </c>
      <c r="C3656" s="141" t="s">
        <v>1129</v>
      </c>
      <c r="D3656" s="141" t="s">
        <v>1112</v>
      </c>
    </row>
    <row r="3657" spans="1:4" x14ac:dyDescent="0.3">
      <c r="A3657" s="141" t="s">
        <v>6415</v>
      </c>
      <c r="B3657" s="141">
        <v>539218</v>
      </c>
      <c r="C3657" s="141" t="s">
        <v>1129</v>
      </c>
      <c r="D3657" s="141" t="s">
        <v>1146</v>
      </c>
    </row>
    <row r="3658" spans="1:4" x14ac:dyDescent="0.3">
      <c r="A3658" s="141" t="s">
        <v>6416</v>
      </c>
      <c r="B3658" s="141">
        <v>502175</v>
      </c>
      <c r="C3658" s="141" t="s">
        <v>1129</v>
      </c>
      <c r="D3658" s="141" t="s">
        <v>1142</v>
      </c>
    </row>
    <row r="3659" spans="1:4" x14ac:dyDescent="0.3">
      <c r="A3659" s="141" t="s">
        <v>6417</v>
      </c>
      <c r="B3659" s="141">
        <v>511577</v>
      </c>
      <c r="C3659" s="141" t="s">
        <v>1129</v>
      </c>
      <c r="D3659" s="141" t="s">
        <v>1146</v>
      </c>
    </row>
    <row r="3660" spans="1:4" x14ac:dyDescent="0.3">
      <c r="A3660" s="141" t="s">
        <v>6418</v>
      </c>
      <c r="B3660" s="141">
        <v>517320</v>
      </c>
      <c r="C3660" s="141" t="s">
        <v>1129</v>
      </c>
      <c r="D3660" s="141" t="s">
        <v>1427</v>
      </c>
    </row>
    <row r="3661" spans="1:4" x14ac:dyDescent="0.3">
      <c r="A3661" s="141" t="s">
        <v>6419</v>
      </c>
      <c r="B3661" s="141">
        <v>532404</v>
      </c>
      <c r="C3661" s="141" t="s">
        <v>1129</v>
      </c>
      <c r="D3661" s="141" t="s">
        <v>1222</v>
      </c>
    </row>
    <row r="3662" spans="1:4" x14ac:dyDescent="0.3">
      <c r="A3662" s="141" t="s">
        <v>6420</v>
      </c>
      <c r="B3662" s="141">
        <v>512634</v>
      </c>
      <c r="C3662" s="141" t="s">
        <v>1129</v>
      </c>
      <c r="D3662" s="141" t="s">
        <v>1330</v>
      </c>
    </row>
    <row r="3663" spans="1:4" x14ac:dyDescent="0.3">
      <c r="A3663" s="141" t="s">
        <v>6421</v>
      </c>
      <c r="B3663" s="141">
        <v>524667</v>
      </c>
      <c r="C3663" s="141" t="s">
        <v>6422</v>
      </c>
      <c r="D3663" s="141" t="s">
        <v>2058</v>
      </c>
    </row>
    <row r="3664" spans="1:4" x14ac:dyDescent="0.3">
      <c r="A3664" s="141" t="s">
        <v>6423</v>
      </c>
      <c r="B3664" s="141">
        <v>531893</v>
      </c>
      <c r="C3664" s="141" t="s">
        <v>1129</v>
      </c>
      <c r="D3664" s="141" t="s">
        <v>1550</v>
      </c>
    </row>
    <row r="3665" spans="1:4" x14ac:dyDescent="0.3">
      <c r="A3665" s="141" t="s">
        <v>6424</v>
      </c>
      <c r="B3665" s="141">
        <v>523710</v>
      </c>
      <c r="C3665" s="141" t="s">
        <v>1129</v>
      </c>
      <c r="D3665" s="141" t="s">
        <v>1330</v>
      </c>
    </row>
    <row r="3666" spans="1:4" x14ac:dyDescent="0.3">
      <c r="A3666" s="141" t="s">
        <v>6425</v>
      </c>
      <c r="B3666" s="141">
        <v>540728</v>
      </c>
      <c r="C3666" s="141" t="s">
        <v>1129</v>
      </c>
      <c r="D3666" s="141" t="s">
        <v>1118</v>
      </c>
    </row>
    <row r="3667" spans="1:4" x14ac:dyDescent="0.3">
      <c r="A3667" s="141" t="s">
        <v>6426</v>
      </c>
      <c r="B3667" s="141">
        <v>532102</v>
      </c>
      <c r="C3667" s="141" t="s">
        <v>1129</v>
      </c>
      <c r="D3667" s="141" t="s">
        <v>1828</v>
      </c>
    </row>
    <row r="3668" spans="1:4" x14ac:dyDescent="0.3">
      <c r="A3668" s="141" t="s">
        <v>6427</v>
      </c>
      <c r="B3668" s="141">
        <v>540719</v>
      </c>
      <c r="C3668" s="141" t="s">
        <v>6428</v>
      </c>
      <c r="D3668" s="141" t="s">
        <v>3541</v>
      </c>
    </row>
    <row r="3669" spans="1:4" x14ac:dyDescent="0.3">
      <c r="A3669" s="141" t="s">
        <v>6429</v>
      </c>
      <c r="B3669" s="141">
        <v>590098</v>
      </c>
      <c r="C3669" s="141" t="s">
        <v>6430</v>
      </c>
      <c r="D3669" s="141" t="s">
        <v>1112</v>
      </c>
    </row>
    <row r="3670" spans="1:4" x14ac:dyDescent="0.3">
      <c r="A3670" s="141" t="s">
        <v>6431</v>
      </c>
      <c r="B3670" s="141">
        <v>526081</v>
      </c>
      <c r="C3670" s="141" t="s">
        <v>6432</v>
      </c>
      <c r="D3670" s="141" t="s">
        <v>1189</v>
      </c>
    </row>
    <row r="3671" spans="1:4" x14ac:dyDescent="0.3">
      <c r="A3671" s="141" t="s">
        <v>6433</v>
      </c>
      <c r="B3671" s="141">
        <v>531797</v>
      </c>
      <c r="C3671" s="141" t="s">
        <v>1129</v>
      </c>
      <c r="D3671" s="141" t="s">
        <v>1142</v>
      </c>
    </row>
    <row r="3672" spans="1:4" x14ac:dyDescent="0.3">
      <c r="A3672" s="141" t="s">
        <v>6434</v>
      </c>
      <c r="B3672" s="141">
        <v>511672</v>
      </c>
      <c r="C3672" s="141" t="s">
        <v>1129</v>
      </c>
      <c r="D3672" s="141" t="s">
        <v>1161</v>
      </c>
    </row>
    <row r="3673" spans="1:4" x14ac:dyDescent="0.3">
      <c r="A3673" s="141" t="s">
        <v>6435</v>
      </c>
      <c r="B3673" s="141">
        <v>516110</v>
      </c>
      <c r="C3673" s="141" t="s">
        <v>6436</v>
      </c>
      <c r="D3673" s="141" t="s">
        <v>1318</v>
      </c>
    </row>
    <row r="3674" spans="1:4" x14ac:dyDescent="0.3">
      <c r="A3674" s="141" t="s">
        <v>6437</v>
      </c>
      <c r="B3674" s="141">
        <v>526544</v>
      </c>
      <c r="C3674" s="141" t="s">
        <v>1129</v>
      </c>
      <c r="D3674" s="141" t="s">
        <v>1135</v>
      </c>
    </row>
    <row r="3675" spans="1:4" x14ac:dyDescent="0.3">
      <c r="A3675" s="141" t="s">
        <v>6438</v>
      </c>
      <c r="B3675" s="141">
        <v>507894</v>
      </c>
      <c r="C3675" s="141" t="s">
        <v>1129</v>
      </c>
      <c r="D3675" s="141" t="s">
        <v>1406</v>
      </c>
    </row>
    <row r="3676" spans="1:4" x14ac:dyDescent="0.3">
      <c r="A3676" s="141" t="s">
        <v>6439</v>
      </c>
      <c r="B3676" s="141">
        <v>507894</v>
      </c>
      <c r="C3676" s="141" t="s">
        <v>1129</v>
      </c>
      <c r="D3676" s="141" t="s">
        <v>1406</v>
      </c>
    </row>
    <row r="3677" spans="1:4" x14ac:dyDescent="0.3">
      <c r="A3677" s="141" t="s">
        <v>6440</v>
      </c>
      <c r="B3677" s="141">
        <v>505790</v>
      </c>
      <c r="C3677" s="141" t="s">
        <v>6441</v>
      </c>
      <c r="D3677" s="141" t="s">
        <v>1137</v>
      </c>
    </row>
    <row r="3678" spans="1:4" x14ac:dyDescent="0.3">
      <c r="A3678" s="141" t="s">
        <v>6442</v>
      </c>
      <c r="B3678" s="141">
        <v>505790</v>
      </c>
      <c r="C3678" s="141" t="s">
        <v>6441</v>
      </c>
      <c r="D3678" s="141" t="s">
        <v>1137</v>
      </c>
    </row>
    <row r="3679" spans="1:4" x14ac:dyDescent="0.3">
      <c r="A3679" s="141" t="s">
        <v>6443</v>
      </c>
      <c r="B3679" s="141">
        <v>534139</v>
      </c>
      <c r="C3679" s="141" t="s">
        <v>6444</v>
      </c>
      <c r="D3679" s="141" t="s">
        <v>1172</v>
      </c>
    </row>
    <row r="3680" spans="1:4" x14ac:dyDescent="0.3">
      <c r="A3680" s="141" t="s">
        <v>6445</v>
      </c>
      <c r="B3680" s="141">
        <v>538857</v>
      </c>
      <c r="C3680" s="141" t="s">
        <v>1129</v>
      </c>
      <c r="D3680" s="141" t="s">
        <v>1146</v>
      </c>
    </row>
    <row r="3681" spans="1:4" x14ac:dyDescent="0.3">
      <c r="A3681" s="141" t="s">
        <v>6446</v>
      </c>
      <c r="B3681" s="141">
        <v>505141</v>
      </c>
      <c r="C3681" s="141" t="s">
        <v>1129</v>
      </c>
      <c r="D3681" s="141" t="s">
        <v>1787</v>
      </c>
    </row>
    <row r="3682" spans="1:4" x14ac:dyDescent="0.3">
      <c r="A3682" s="141" t="s">
        <v>6447</v>
      </c>
      <c r="B3682" s="141">
        <v>505141</v>
      </c>
      <c r="C3682" s="141" t="s">
        <v>1129</v>
      </c>
      <c r="D3682" s="141" t="s">
        <v>1787</v>
      </c>
    </row>
    <row r="3683" spans="1:4" x14ac:dyDescent="0.3">
      <c r="A3683" s="141" t="s">
        <v>6448</v>
      </c>
      <c r="B3683" s="141">
        <v>530361</v>
      </c>
      <c r="C3683" s="141" t="s">
        <v>1129</v>
      </c>
      <c r="D3683" s="141" t="s">
        <v>1189</v>
      </c>
    </row>
    <row r="3684" spans="1:4" x14ac:dyDescent="0.3">
      <c r="A3684" s="141" t="s">
        <v>6449</v>
      </c>
      <c r="B3684" s="141">
        <v>533268</v>
      </c>
      <c r="C3684" s="141" t="s">
        <v>1129</v>
      </c>
      <c r="D3684" s="141" t="s">
        <v>1868</v>
      </c>
    </row>
    <row r="3685" spans="1:4" x14ac:dyDescent="0.3">
      <c r="A3685" s="141" t="s">
        <v>6450</v>
      </c>
      <c r="B3685" s="141">
        <v>526807</v>
      </c>
      <c r="C3685" s="141" t="s">
        <v>6451</v>
      </c>
      <c r="D3685" s="141" t="s">
        <v>2377</v>
      </c>
    </row>
    <row r="3686" spans="1:4" x14ac:dyDescent="0.3">
      <c r="A3686" s="141" t="s">
        <v>6452</v>
      </c>
      <c r="B3686" s="141">
        <v>521182</v>
      </c>
      <c r="C3686" s="141" t="s">
        <v>1129</v>
      </c>
      <c r="D3686" s="141" t="s">
        <v>1151</v>
      </c>
    </row>
    <row r="3687" spans="1:4" x14ac:dyDescent="0.3">
      <c r="A3687" s="141" t="s">
        <v>6453</v>
      </c>
      <c r="B3687" s="141">
        <v>514264</v>
      </c>
      <c r="C3687" s="141" t="s">
        <v>1129</v>
      </c>
      <c r="D3687" s="141" t="s">
        <v>1144</v>
      </c>
    </row>
    <row r="3688" spans="1:4" x14ac:dyDescent="0.3">
      <c r="A3688" s="141" t="s">
        <v>6454</v>
      </c>
      <c r="B3688" s="141" t="s">
        <v>1129</v>
      </c>
      <c r="C3688" s="141" t="s">
        <v>6455</v>
      </c>
      <c r="D3688" s="141" t="s">
        <v>1140</v>
      </c>
    </row>
    <row r="3689" spans="1:4" x14ac:dyDescent="0.3">
      <c r="A3689" s="141" t="s">
        <v>6456</v>
      </c>
      <c r="B3689" s="141">
        <v>540673</v>
      </c>
      <c r="C3689" s="141" t="s">
        <v>6457</v>
      </c>
      <c r="D3689" s="141" t="s">
        <v>3909</v>
      </c>
    </row>
    <row r="3690" spans="1:4" x14ac:dyDescent="0.3">
      <c r="A3690" s="141" t="s">
        <v>6458</v>
      </c>
      <c r="B3690" s="141">
        <v>540673</v>
      </c>
      <c r="C3690" s="141" t="s">
        <v>6457</v>
      </c>
      <c r="D3690" s="141" t="s">
        <v>3909</v>
      </c>
    </row>
    <row r="3691" spans="1:4" x14ac:dyDescent="0.3">
      <c r="A3691" s="141" t="s">
        <v>6459</v>
      </c>
      <c r="B3691" s="141">
        <v>532886</v>
      </c>
      <c r="C3691" s="141" t="s">
        <v>6460</v>
      </c>
      <c r="D3691" s="141" t="s">
        <v>1144</v>
      </c>
    </row>
    <row r="3692" spans="1:4" x14ac:dyDescent="0.3">
      <c r="A3692" s="141" t="s">
        <v>6461</v>
      </c>
      <c r="B3692" s="141">
        <v>530075</v>
      </c>
      <c r="C3692" s="141" t="s">
        <v>6462</v>
      </c>
      <c r="D3692" s="141" t="s">
        <v>1192</v>
      </c>
    </row>
    <row r="3693" spans="1:4" x14ac:dyDescent="0.3">
      <c r="A3693" s="141" t="s">
        <v>6463</v>
      </c>
      <c r="B3693" s="141">
        <v>538875</v>
      </c>
      <c r="C3693" s="141" t="s">
        <v>1129</v>
      </c>
      <c r="D3693" s="141" t="s">
        <v>1550</v>
      </c>
    </row>
    <row r="3694" spans="1:4" x14ac:dyDescent="0.3">
      <c r="A3694" s="141" t="s">
        <v>6464</v>
      </c>
      <c r="B3694" s="141">
        <v>532021</v>
      </c>
      <c r="C3694" s="141" t="s">
        <v>1129</v>
      </c>
      <c r="D3694" s="141" t="s">
        <v>1167</v>
      </c>
    </row>
    <row r="3695" spans="1:4" x14ac:dyDescent="0.3">
      <c r="A3695" s="141" t="s">
        <v>6465</v>
      </c>
      <c r="B3695" s="141">
        <v>531980</v>
      </c>
      <c r="C3695" s="141" t="s">
        <v>1129</v>
      </c>
      <c r="D3695" s="141" t="s">
        <v>1115</v>
      </c>
    </row>
    <row r="3696" spans="1:4" x14ac:dyDescent="0.3">
      <c r="A3696" s="141" t="s">
        <v>6466</v>
      </c>
      <c r="B3696" s="141">
        <v>512529</v>
      </c>
      <c r="C3696" s="141" t="s">
        <v>6467</v>
      </c>
      <c r="D3696" s="141" t="s">
        <v>1167</v>
      </c>
    </row>
    <row r="3697" spans="1:4" x14ac:dyDescent="0.3">
      <c r="A3697" s="141" t="s">
        <v>6468</v>
      </c>
      <c r="B3697" s="141" t="s">
        <v>1129</v>
      </c>
      <c r="C3697" s="141" t="s">
        <v>6469</v>
      </c>
      <c r="D3697" s="141" t="s">
        <v>1140</v>
      </c>
    </row>
    <row r="3698" spans="1:4" x14ac:dyDescent="0.3">
      <c r="A3698" s="141" t="s">
        <v>6470</v>
      </c>
      <c r="B3698" s="141">
        <v>502450</v>
      </c>
      <c r="C3698" s="141" t="s">
        <v>6471</v>
      </c>
      <c r="D3698" s="141" t="s">
        <v>1123</v>
      </c>
    </row>
    <row r="3699" spans="1:4" x14ac:dyDescent="0.3">
      <c r="A3699" s="141" t="s">
        <v>6472</v>
      </c>
      <c r="B3699" s="141">
        <v>505075</v>
      </c>
      <c r="C3699" s="141" t="s">
        <v>6473</v>
      </c>
      <c r="D3699" s="141" t="s">
        <v>1484</v>
      </c>
    </row>
    <row r="3700" spans="1:4" x14ac:dyDescent="0.3">
      <c r="A3700" s="141" t="s">
        <v>6474</v>
      </c>
      <c r="B3700" s="141">
        <v>511760</v>
      </c>
      <c r="C3700" s="141" t="s">
        <v>1129</v>
      </c>
      <c r="D3700" s="141" t="s">
        <v>1146</v>
      </c>
    </row>
    <row r="3701" spans="1:4" x14ac:dyDescent="0.3">
      <c r="A3701" s="141" t="s">
        <v>6475</v>
      </c>
      <c r="B3701" s="141">
        <v>524324</v>
      </c>
      <c r="C3701" s="141" t="s">
        <v>1129</v>
      </c>
      <c r="D3701" s="141" t="s">
        <v>1289</v>
      </c>
    </row>
    <row r="3702" spans="1:4" x14ac:dyDescent="0.3">
      <c r="A3702" s="141" t="s">
        <v>6476</v>
      </c>
      <c r="B3702" s="141">
        <v>532993</v>
      </c>
      <c r="C3702" s="141" t="s">
        <v>6477</v>
      </c>
      <c r="D3702" s="141" t="s">
        <v>1657</v>
      </c>
    </row>
    <row r="3703" spans="1:4" x14ac:dyDescent="0.3">
      <c r="A3703" s="141" t="s">
        <v>6478</v>
      </c>
      <c r="B3703" s="141">
        <v>530867</v>
      </c>
      <c r="C3703" s="141" t="s">
        <v>1129</v>
      </c>
      <c r="D3703" s="141" t="s">
        <v>1112</v>
      </c>
    </row>
    <row r="3704" spans="1:4" x14ac:dyDescent="0.3">
      <c r="A3704" s="141" t="s">
        <v>6479</v>
      </c>
      <c r="B3704" s="141">
        <v>524546</v>
      </c>
      <c r="C3704" s="141" t="s">
        <v>1129</v>
      </c>
      <c r="D3704" s="141" t="s">
        <v>1167</v>
      </c>
    </row>
    <row r="3705" spans="1:4" x14ac:dyDescent="0.3">
      <c r="A3705" s="141" t="s">
        <v>6480</v>
      </c>
      <c r="B3705" s="141">
        <v>513436</v>
      </c>
      <c r="C3705" s="141" t="s">
        <v>6481</v>
      </c>
      <c r="D3705" s="141" t="s">
        <v>1161</v>
      </c>
    </row>
    <row r="3706" spans="1:4" x14ac:dyDescent="0.3">
      <c r="A3706" s="141" t="s">
        <v>6482</v>
      </c>
      <c r="B3706" s="141">
        <v>509870</v>
      </c>
      <c r="C3706" s="141" t="s">
        <v>1129</v>
      </c>
      <c r="D3706" s="141" t="s">
        <v>1215</v>
      </c>
    </row>
    <row r="3707" spans="1:4" x14ac:dyDescent="0.3">
      <c r="A3707" s="141" t="s">
        <v>6483</v>
      </c>
      <c r="B3707" s="141">
        <v>519031</v>
      </c>
      <c r="C3707" s="141" t="s">
        <v>1129</v>
      </c>
      <c r="D3707" s="141" t="s">
        <v>1189</v>
      </c>
    </row>
    <row r="3708" spans="1:4" x14ac:dyDescent="0.3">
      <c r="A3708" s="141" t="s">
        <v>6484</v>
      </c>
      <c r="B3708" s="141">
        <v>526508</v>
      </c>
      <c r="C3708" s="141" t="s">
        <v>1129</v>
      </c>
      <c r="D3708" s="141" t="s">
        <v>2377</v>
      </c>
    </row>
    <row r="3709" spans="1:4" x14ac:dyDescent="0.3">
      <c r="A3709" s="141" t="s">
        <v>6485</v>
      </c>
      <c r="B3709" s="141">
        <v>539520</v>
      </c>
      <c r="C3709" s="141" t="s">
        <v>1129</v>
      </c>
      <c r="D3709" s="141" t="s">
        <v>1151</v>
      </c>
    </row>
    <row r="3710" spans="1:4" x14ac:dyDescent="0.3">
      <c r="A3710" s="141" t="s">
        <v>6486</v>
      </c>
      <c r="B3710" s="141">
        <v>501423</v>
      </c>
      <c r="C3710" s="141" t="s">
        <v>1129</v>
      </c>
      <c r="D3710" s="141" t="s">
        <v>1249</v>
      </c>
    </row>
    <row r="3711" spans="1:4" x14ac:dyDescent="0.3">
      <c r="A3711" s="141" t="s">
        <v>6487</v>
      </c>
      <c r="B3711" s="141" t="s">
        <v>1129</v>
      </c>
      <c r="C3711" s="141" t="s">
        <v>6488</v>
      </c>
      <c r="D3711" s="141" t="s">
        <v>1140</v>
      </c>
    </row>
    <row r="3712" spans="1:4" x14ac:dyDescent="0.3">
      <c r="A3712" s="141" t="s">
        <v>6489</v>
      </c>
      <c r="B3712" s="141">
        <v>531431</v>
      </c>
      <c r="C3712" s="141" t="s">
        <v>6490</v>
      </c>
      <c r="D3712" s="141" t="s">
        <v>1137</v>
      </c>
    </row>
    <row r="3713" spans="1:4" x14ac:dyDescent="0.3">
      <c r="A3713" s="141" t="s">
        <v>6491</v>
      </c>
      <c r="B3713" s="141">
        <v>531431</v>
      </c>
      <c r="C3713" s="141" t="s">
        <v>6490</v>
      </c>
      <c r="D3713" s="141" t="s">
        <v>1137</v>
      </c>
    </row>
    <row r="3714" spans="1:4" x14ac:dyDescent="0.3">
      <c r="A3714" s="141" t="s">
        <v>6492</v>
      </c>
      <c r="B3714" s="141">
        <v>540797</v>
      </c>
      <c r="C3714" s="141" t="s">
        <v>6493</v>
      </c>
      <c r="D3714" s="141" t="s">
        <v>1599</v>
      </c>
    </row>
    <row r="3715" spans="1:4" x14ac:dyDescent="0.3">
      <c r="A3715" s="141" t="s">
        <v>6494</v>
      </c>
      <c r="B3715" s="141">
        <v>511754</v>
      </c>
      <c r="C3715" s="141" t="s">
        <v>1129</v>
      </c>
      <c r="D3715" s="141" t="s">
        <v>1146</v>
      </c>
    </row>
    <row r="3716" spans="1:4" x14ac:dyDescent="0.3">
      <c r="A3716" s="141" t="s">
        <v>6495</v>
      </c>
      <c r="B3716" s="141">
        <v>539895</v>
      </c>
      <c r="C3716" s="141" t="s">
        <v>1129</v>
      </c>
      <c r="D3716" s="141" t="s">
        <v>1112</v>
      </c>
    </row>
    <row r="3717" spans="1:4" x14ac:dyDescent="0.3">
      <c r="A3717" s="141" t="s">
        <v>6496</v>
      </c>
      <c r="B3717" s="141">
        <v>509874</v>
      </c>
      <c r="C3717" s="141" t="s">
        <v>6497</v>
      </c>
      <c r="D3717" s="141" t="s">
        <v>1406</v>
      </c>
    </row>
    <row r="3718" spans="1:4" x14ac:dyDescent="0.3">
      <c r="A3718" s="141" t="s">
        <v>6498</v>
      </c>
      <c r="B3718" s="141">
        <v>512499</v>
      </c>
      <c r="C3718" s="141" t="s">
        <v>1129</v>
      </c>
      <c r="D3718" s="141" t="s">
        <v>1112</v>
      </c>
    </row>
    <row r="3719" spans="1:4" x14ac:dyDescent="0.3">
      <c r="A3719" s="141" t="s">
        <v>6499</v>
      </c>
      <c r="B3719" s="141">
        <v>532455</v>
      </c>
      <c r="C3719" s="141" t="s">
        <v>1129</v>
      </c>
      <c r="D3719" s="141" t="s">
        <v>1203</v>
      </c>
    </row>
    <row r="3720" spans="1:4" x14ac:dyDescent="0.3">
      <c r="A3720" s="141" t="s">
        <v>6500</v>
      </c>
      <c r="B3720" s="141">
        <v>540259</v>
      </c>
      <c r="C3720" s="141" t="s">
        <v>1129</v>
      </c>
      <c r="D3720" s="141" t="s">
        <v>3909</v>
      </c>
    </row>
    <row r="3721" spans="1:4" x14ac:dyDescent="0.3">
      <c r="A3721" s="141" t="s">
        <v>6501</v>
      </c>
      <c r="B3721" s="141">
        <v>542232</v>
      </c>
      <c r="C3721" s="141" t="s">
        <v>6502</v>
      </c>
      <c r="D3721" s="141" t="s">
        <v>1495</v>
      </c>
    </row>
    <row r="3722" spans="1:4" x14ac:dyDescent="0.3">
      <c r="A3722" s="141" t="s">
        <v>6503</v>
      </c>
      <c r="B3722" s="141">
        <v>540425</v>
      </c>
      <c r="C3722" s="141" t="s">
        <v>6504</v>
      </c>
      <c r="D3722" s="141" t="s">
        <v>1452</v>
      </c>
    </row>
    <row r="3723" spans="1:4" x14ac:dyDescent="0.3">
      <c r="A3723" s="141" t="s">
        <v>6505</v>
      </c>
      <c r="B3723" s="141">
        <v>512297</v>
      </c>
      <c r="C3723" s="141" t="s">
        <v>1129</v>
      </c>
      <c r="D3723" s="141" t="s">
        <v>1137</v>
      </c>
    </row>
    <row r="3724" spans="1:4" x14ac:dyDescent="0.3">
      <c r="A3724" s="141" t="s">
        <v>6506</v>
      </c>
      <c r="B3724" s="141">
        <v>531925</v>
      </c>
      <c r="C3724" s="141" t="s">
        <v>1129</v>
      </c>
      <c r="D3724" s="141" t="s">
        <v>1189</v>
      </c>
    </row>
    <row r="3725" spans="1:4" x14ac:dyDescent="0.3">
      <c r="A3725" s="141" t="s">
        <v>6507</v>
      </c>
      <c r="B3725" s="141">
        <v>522034</v>
      </c>
      <c r="C3725" s="141" t="s">
        <v>6508</v>
      </c>
      <c r="D3725" s="141" t="s">
        <v>1484</v>
      </c>
    </row>
    <row r="3726" spans="1:4" x14ac:dyDescent="0.3">
      <c r="A3726" s="141" t="s">
        <v>6509</v>
      </c>
      <c r="B3726" s="141">
        <v>539921</v>
      </c>
      <c r="C3726" s="141" t="s">
        <v>1129</v>
      </c>
      <c r="D3726" s="141" t="s">
        <v>1234</v>
      </c>
    </row>
    <row r="3727" spans="1:4" x14ac:dyDescent="0.3">
      <c r="A3727" s="141" t="s">
        <v>6510</v>
      </c>
      <c r="B3727" s="141" t="s">
        <v>1129</v>
      </c>
      <c r="C3727" s="141" t="s">
        <v>6511</v>
      </c>
      <c r="D3727" s="141" t="s">
        <v>1140</v>
      </c>
    </row>
    <row r="3728" spans="1:4" x14ac:dyDescent="0.3">
      <c r="A3728" s="141" t="s">
        <v>6512</v>
      </c>
      <c r="B3728" s="141" t="s">
        <v>1129</v>
      </c>
      <c r="C3728" s="141" t="s">
        <v>6511</v>
      </c>
      <c r="D3728" s="141" t="s">
        <v>1140</v>
      </c>
    </row>
    <row r="3729" spans="1:4" x14ac:dyDescent="0.3">
      <c r="A3729" s="141" t="s">
        <v>6513</v>
      </c>
      <c r="B3729" s="141">
        <v>514402</v>
      </c>
      <c r="C3729" s="141" t="s">
        <v>1129</v>
      </c>
      <c r="D3729" s="141" t="s">
        <v>1144</v>
      </c>
    </row>
    <row r="3730" spans="1:4" x14ac:dyDescent="0.3">
      <c r="A3730" s="141" t="s">
        <v>6514</v>
      </c>
      <c r="B3730" s="141">
        <v>539584</v>
      </c>
      <c r="C3730" s="141" t="s">
        <v>1129</v>
      </c>
      <c r="D3730" s="141" t="s">
        <v>1151</v>
      </c>
    </row>
    <row r="3731" spans="1:4" x14ac:dyDescent="0.3">
      <c r="A3731" s="141" t="s">
        <v>6515</v>
      </c>
      <c r="B3731" s="141">
        <v>538666</v>
      </c>
      <c r="C3731" s="141" t="s">
        <v>6516</v>
      </c>
      <c r="D3731" s="141" t="s">
        <v>1273</v>
      </c>
    </row>
    <row r="3732" spans="1:4" x14ac:dyDescent="0.3">
      <c r="A3732" s="141" t="s">
        <v>6517</v>
      </c>
      <c r="B3732" s="141">
        <v>513548</v>
      </c>
      <c r="C3732" s="141" t="s">
        <v>1129</v>
      </c>
      <c r="D3732" s="141" t="s">
        <v>1161</v>
      </c>
    </row>
    <row r="3733" spans="1:4" x14ac:dyDescent="0.3">
      <c r="A3733" s="141" t="s">
        <v>6518</v>
      </c>
      <c r="B3733" s="141">
        <v>535602</v>
      </c>
      <c r="C3733" s="141" t="s">
        <v>6519</v>
      </c>
      <c r="D3733" s="141" t="s">
        <v>1484</v>
      </c>
    </row>
    <row r="3734" spans="1:4" x14ac:dyDescent="0.3">
      <c r="A3734" s="141" t="s">
        <v>6520</v>
      </c>
      <c r="B3734" s="141">
        <v>512393</v>
      </c>
      <c r="C3734" s="141" t="s">
        <v>1129</v>
      </c>
      <c r="D3734" s="141" t="s">
        <v>1112</v>
      </c>
    </row>
    <row r="3735" spans="1:4" x14ac:dyDescent="0.3">
      <c r="A3735" s="141" t="s">
        <v>6521</v>
      </c>
      <c r="B3735" s="141">
        <v>540725</v>
      </c>
      <c r="C3735" s="141" t="s">
        <v>1129</v>
      </c>
      <c r="D3735" s="141" t="s">
        <v>1112</v>
      </c>
    </row>
    <row r="3736" spans="1:4" x14ac:dyDescent="0.3">
      <c r="A3736" s="141" t="s">
        <v>6522</v>
      </c>
      <c r="B3736" s="141">
        <v>540786</v>
      </c>
      <c r="C3736" s="141" t="s">
        <v>1129</v>
      </c>
      <c r="D3736" s="141" t="s">
        <v>1427</v>
      </c>
    </row>
    <row r="3737" spans="1:4" x14ac:dyDescent="0.3">
      <c r="A3737" s="141" t="s">
        <v>6523</v>
      </c>
      <c r="B3737" s="141">
        <v>532908</v>
      </c>
      <c r="C3737" s="141" t="s">
        <v>6524</v>
      </c>
      <c r="D3737" s="141" t="s">
        <v>1167</v>
      </c>
    </row>
    <row r="3738" spans="1:4" x14ac:dyDescent="0.3">
      <c r="A3738" s="141" t="s">
        <v>6525</v>
      </c>
      <c r="B3738" s="141">
        <v>523449</v>
      </c>
      <c r="C3738" s="141" t="s">
        <v>1129</v>
      </c>
      <c r="D3738" s="141" t="s">
        <v>1498</v>
      </c>
    </row>
    <row r="3739" spans="1:4" x14ac:dyDescent="0.3">
      <c r="A3739" s="141" t="s">
        <v>6526</v>
      </c>
      <c r="B3739" s="141">
        <v>523449</v>
      </c>
      <c r="C3739" s="141" t="s">
        <v>1129</v>
      </c>
      <c r="D3739" s="141" t="s">
        <v>1498</v>
      </c>
    </row>
    <row r="3740" spans="1:4" x14ac:dyDescent="0.3">
      <c r="A3740" s="141" t="s">
        <v>6527</v>
      </c>
      <c r="B3740" s="141">
        <v>538212</v>
      </c>
      <c r="C3740" s="141" t="s">
        <v>1129</v>
      </c>
      <c r="D3740" s="141" t="s">
        <v>1146</v>
      </c>
    </row>
    <row r="3741" spans="1:4" x14ac:dyDescent="0.3">
      <c r="A3741" s="141" t="s">
        <v>6528</v>
      </c>
      <c r="B3741" s="141">
        <v>540221</v>
      </c>
      <c r="C3741" s="141" t="s">
        <v>1129</v>
      </c>
      <c r="D3741" s="141" t="s">
        <v>1151</v>
      </c>
    </row>
    <row r="3742" spans="1:4" x14ac:dyDescent="0.3">
      <c r="A3742" s="141" t="s">
        <v>6529</v>
      </c>
      <c r="B3742" s="141">
        <v>540147</v>
      </c>
      <c r="C3742" s="141" t="s">
        <v>1129</v>
      </c>
      <c r="D3742" s="141" t="s">
        <v>1527</v>
      </c>
    </row>
    <row r="3743" spans="1:4" x14ac:dyDescent="0.3">
      <c r="A3743" s="141" t="s">
        <v>6530</v>
      </c>
      <c r="B3743" s="141">
        <v>540203</v>
      </c>
      <c r="C3743" s="141" t="s">
        <v>6531</v>
      </c>
      <c r="D3743" s="141" t="s">
        <v>1406</v>
      </c>
    </row>
    <row r="3744" spans="1:4" x14ac:dyDescent="0.3">
      <c r="A3744" s="141" t="s">
        <v>6532</v>
      </c>
      <c r="B3744" s="141">
        <v>540757</v>
      </c>
      <c r="C3744" s="141" t="s">
        <v>1129</v>
      </c>
      <c r="D3744" s="141" t="s">
        <v>1189</v>
      </c>
    </row>
    <row r="3745" spans="1:4" x14ac:dyDescent="0.3">
      <c r="A3745" s="141" t="s">
        <v>6533</v>
      </c>
      <c r="B3745" s="141">
        <v>530525</v>
      </c>
      <c r="C3745" s="141" t="s">
        <v>1129</v>
      </c>
      <c r="D3745" s="141" t="s">
        <v>1243</v>
      </c>
    </row>
    <row r="3746" spans="1:4" x14ac:dyDescent="0.3">
      <c r="A3746" s="141" t="s">
        <v>6534</v>
      </c>
      <c r="B3746" s="141">
        <v>533301</v>
      </c>
      <c r="C3746" s="141" t="s">
        <v>6535</v>
      </c>
      <c r="D3746" s="141" t="s">
        <v>1144</v>
      </c>
    </row>
    <row r="3747" spans="1:4" x14ac:dyDescent="0.3">
      <c r="A3747" s="141" t="s">
        <v>6536</v>
      </c>
      <c r="B3747" s="141">
        <v>526839</v>
      </c>
      <c r="C3747" s="141" t="s">
        <v>1129</v>
      </c>
      <c r="D3747" s="141" t="s">
        <v>1527</v>
      </c>
    </row>
    <row r="3748" spans="1:4" x14ac:dyDescent="0.3">
      <c r="A3748" s="141" t="s">
        <v>6537</v>
      </c>
      <c r="B3748" s="141">
        <v>538685</v>
      </c>
      <c r="C3748" s="141" t="s">
        <v>6538</v>
      </c>
      <c r="D3748" s="141" t="s">
        <v>1132</v>
      </c>
    </row>
    <row r="3749" spans="1:4" x14ac:dyDescent="0.3">
      <c r="A3749" s="141" t="s">
        <v>6539</v>
      </c>
      <c r="B3749" s="141">
        <v>512367</v>
      </c>
      <c r="C3749" s="141" t="s">
        <v>1129</v>
      </c>
      <c r="D3749" s="141" t="s">
        <v>1112</v>
      </c>
    </row>
    <row r="3750" spans="1:4" x14ac:dyDescent="0.3">
      <c r="A3750" s="141" t="s">
        <v>6540</v>
      </c>
      <c r="B3750" s="141">
        <v>526117</v>
      </c>
      <c r="C3750" s="141" t="s">
        <v>1129</v>
      </c>
      <c r="D3750" s="141" t="s">
        <v>1675</v>
      </c>
    </row>
    <row r="3751" spans="1:4" x14ac:dyDescent="0.3">
      <c r="A3751" s="141" t="s">
        <v>6541</v>
      </c>
      <c r="B3751" s="141">
        <v>539111</v>
      </c>
      <c r="C3751" s="141" t="s">
        <v>1129</v>
      </c>
      <c r="D3751" s="141" t="s">
        <v>1144</v>
      </c>
    </row>
    <row r="3752" spans="1:4" x14ac:dyDescent="0.3">
      <c r="A3752" s="141" t="s">
        <v>6542</v>
      </c>
      <c r="B3752" s="141">
        <v>526137</v>
      </c>
      <c r="C3752" s="141" t="s">
        <v>1129</v>
      </c>
      <c r="D3752" s="141" t="s">
        <v>1324</v>
      </c>
    </row>
    <row r="3753" spans="1:4" x14ac:dyDescent="0.3">
      <c r="A3753" s="141" t="s">
        <v>6543</v>
      </c>
      <c r="B3753" s="141">
        <v>507952</v>
      </c>
      <c r="C3753" s="141" t="s">
        <v>1129</v>
      </c>
      <c r="D3753" s="141" t="s">
        <v>1146</v>
      </c>
    </row>
    <row r="3754" spans="1:4" x14ac:dyDescent="0.3">
      <c r="A3754" s="141" t="s">
        <v>6544</v>
      </c>
      <c r="B3754" s="141">
        <v>531201</v>
      </c>
      <c r="C3754" s="141" t="s">
        <v>1129</v>
      </c>
      <c r="D3754" s="141" t="s">
        <v>1427</v>
      </c>
    </row>
    <row r="3755" spans="1:4" x14ac:dyDescent="0.3">
      <c r="A3755" s="141" t="s">
        <v>6545</v>
      </c>
      <c r="B3755" s="141">
        <v>513709</v>
      </c>
      <c r="C3755" s="141" t="s">
        <v>1129</v>
      </c>
      <c r="D3755" s="141" t="s">
        <v>1137</v>
      </c>
    </row>
    <row r="3756" spans="1:4" x14ac:dyDescent="0.3">
      <c r="A3756" s="141" t="s">
        <v>6546</v>
      </c>
      <c r="B3756" s="141">
        <v>530549</v>
      </c>
      <c r="C3756" s="141" t="s">
        <v>6547</v>
      </c>
      <c r="D3756" s="141" t="s">
        <v>1167</v>
      </c>
    </row>
    <row r="3757" spans="1:4" x14ac:dyDescent="0.3">
      <c r="A3757" s="141" t="s">
        <v>6548</v>
      </c>
      <c r="B3757" s="141">
        <v>533389</v>
      </c>
      <c r="C3757" s="141" t="s">
        <v>6549</v>
      </c>
      <c r="D3757" s="141" t="s">
        <v>1427</v>
      </c>
    </row>
    <row r="3758" spans="1:4" x14ac:dyDescent="0.3">
      <c r="A3758" s="141" t="s">
        <v>6550</v>
      </c>
      <c r="B3758" s="141">
        <v>523598</v>
      </c>
      <c r="C3758" s="141" t="s">
        <v>6551</v>
      </c>
      <c r="D3758" s="141" t="s">
        <v>2377</v>
      </c>
    </row>
    <row r="3759" spans="1:4" x14ac:dyDescent="0.3">
      <c r="A3759" s="141" t="s">
        <v>6552</v>
      </c>
      <c r="B3759" s="141">
        <v>523598</v>
      </c>
      <c r="C3759" s="141" t="s">
        <v>6551</v>
      </c>
      <c r="D3759" s="141" t="s">
        <v>2377</v>
      </c>
    </row>
    <row r="3760" spans="1:4" x14ac:dyDescent="0.3">
      <c r="A3760" s="141" t="s">
        <v>6553</v>
      </c>
      <c r="B3760" s="141">
        <v>512289</v>
      </c>
      <c r="C3760" s="141" t="s">
        <v>6554</v>
      </c>
      <c r="D3760" s="141" t="s">
        <v>3376</v>
      </c>
    </row>
    <row r="3761" spans="1:4" x14ac:dyDescent="0.3">
      <c r="A3761" s="141" t="s">
        <v>6555</v>
      </c>
      <c r="B3761" s="141">
        <v>540693</v>
      </c>
      <c r="C3761" s="141" t="s">
        <v>1129</v>
      </c>
      <c r="D3761" s="141" t="s">
        <v>1249</v>
      </c>
    </row>
    <row r="3762" spans="1:4" x14ac:dyDescent="0.3">
      <c r="A3762" s="141" t="s">
        <v>6556</v>
      </c>
      <c r="B3762" s="141">
        <v>532323</v>
      </c>
      <c r="C3762" s="141" t="s">
        <v>1129</v>
      </c>
      <c r="D3762" s="141" t="s">
        <v>1142</v>
      </c>
    </row>
    <row r="3763" spans="1:4" x14ac:dyDescent="0.3">
      <c r="A3763" s="141" t="s">
        <v>6557</v>
      </c>
      <c r="B3763" s="141">
        <v>530433</v>
      </c>
      <c r="C3763" s="141" t="s">
        <v>1129</v>
      </c>
      <c r="D3763" s="141" t="s">
        <v>1637</v>
      </c>
    </row>
    <row r="3764" spans="1:4" x14ac:dyDescent="0.3">
      <c r="A3764" s="141" t="s">
        <v>6558</v>
      </c>
      <c r="B3764" s="141">
        <v>540072</v>
      </c>
      <c r="C3764" s="141" t="s">
        <v>1129</v>
      </c>
      <c r="D3764" s="141" t="s">
        <v>1657</v>
      </c>
    </row>
    <row r="3765" spans="1:4" x14ac:dyDescent="0.3">
      <c r="A3765" s="141" t="s">
        <v>6559</v>
      </c>
      <c r="B3765" s="141">
        <v>524602</v>
      </c>
      <c r="C3765" s="141" t="s">
        <v>6560</v>
      </c>
      <c r="D3765" s="141" t="s">
        <v>1318</v>
      </c>
    </row>
    <row r="3766" spans="1:4" x14ac:dyDescent="0.3">
      <c r="A3766" s="141" t="s">
        <v>6561</v>
      </c>
      <c r="B3766" s="141">
        <v>540961</v>
      </c>
      <c r="C3766" s="141" t="s">
        <v>6562</v>
      </c>
      <c r="D3766" s="141" t="s">
        <v>1144</v>
      </c>
    </row>
    <row r="3767" spans="1:4" x14ac:dyDescent="0.3">
      <c r="A3767" s="141" t="s">
        <v>6563</v>
      </c>
      <c r="B3767" s="141">
        <v>521003</v>
      </c>
      <c r="C3767" s="141" t="s">
        <v>1129</v>
      </c>
      <c r="D3767" s="141" t="s">
        <v>1151</v>
      </c>
    </row>
    <row r="3768" spans="1:4" x14ac:dyDescent="0.3">
      <c r="A3768" s="141" t="s">
        <v>6564</v>
      </c>
      <c r="B3768" s="141">
        <v>511108</v>
      </c>
      <c r="C3768" s="141" t="s">
        <v>6565</v>
      </c>
      <c r="D3768" s="141" t="s">
        <v>1144</v>
      </c>
    </row>
    <row r="3769" spans="1:4" x14ac:dyDescent="0.3">
      <c r="A3769" s="141" t="s">
        <v>6566</v>
      </c>
      <c r="B3769" s="141">
        <v>522237</v>
      </c>
      <c r="C3769" s="141" t="s">
        <v>1129</v>
      </c>
      <c r="D3769" s="141" t="s">
        <v>1137</v>
      </c>
    </row>
    <row r="3770" spans="1:4" x14ac:dyDescent="0.3">
      <c r="A3770" s="141" t="s">
        <v>6567</v>
      </c>
      <c r="B3770" s="141">
        <v>513097</v>
      </c>
      <c r="C3770" s="141" t="s">
        <v>1129</v>
      </c>
      <c r="D3770" s="141" t="s">
        <v>1671</v>
      </c>
    </row>
    <row r="3771" spans="1:4" x14ac:dyDescent="0.3">
      <c r="A3771" s="141" t="s">
        <v>6568</v>
      </c>
      <c r="B3771" s="141">
        <v>539148</v>
      </c>
      <c r="C3771" s="141" t="s">
        <v>1129</v>
      </c>
      <c r="D3771" s="141" t="s">
        <v>1273</v>
      </c>
    </row>
    <row r="3772" spans="1:4" x14ac:dyDescent="0.3">
      <c r="A3772" s="141" t="s">
        <v>6569</v>
      </c>
      <c r="B3772" s="141">
        <v>532776</v>
      </c>
      <c r="C3772" s="141" t="s">
        <v>6570</v>
      </c>
      <c r="D3772" s="141" t="s">
        <v>1484</v>
      </c>
    </row>
    <row r="3773" spans="1:4" x14ac:dyDescent="0.3">
      <c r="A3773" s="141" t="s">
        <v>6571</v>
      </c>
      <c r="B3773" s="141">
        <v>539593</v>
      </c>
      <c r="C3773" s="141" t="s">
        <v>1129</v>
      </c>
      <c r="D3773" s="141" t="s">
        <v>1112</v>
      </c>
    </row>
    <row r="3774" spans="1:4" x14ac:dyDescent="0.3">
      <c r="A3774" s="141" t="s">
        <v>6572</v>
      </c>
      <c r="B3774" s="141">
        <v>539683</v>
      </c>
      <c r="C3774" s="141" t="s">
        <v>1129</v>
      </c>
      <c r="D3774" s="141" t="s">
        <v>1146</v>
      </c>
    </row>
    <row r="3775" spans="1:4" x14ac:dyDescent="0.3">
      <c r="A3775" s="141" t="s">
        <v>6573</v>
      </c>
      <c r="B3775" s="141">
        <v>539833</v>
      </c>
      <c r="C3775" s="141" t="s">
        <v>1129</v>
      </c>
      <c r="D3775" s="141" t="s">
        <v>1146</v>
      </c>
    </row>
    <row r="3776" spans="1:4" x14ac:dyDescent="0.3">
      <c r="A3776" s="141" t="s">
        <v>6574</v>
      </c>
      <c r="B3776" s="141">
        <v>532638</v>
      </c>
      <c r="C3776" s="141" t="s">
        <v>6575</v>
      </c>
      <c r="D3776" s="141" t="s">
        <v>1298</v>
      </c>
    </row>
    <row r="3777" spans="1:4" x14ac:dyDescent="0.3">
      <c r="A3777" s="141" t="s">
        <v>6576</v>
      </c>
      <c r="B3777" s="141" t="s">
        <v>1129</v>
      </c>
      <c r="C3777" s="141" t="s">
        <v>6577</v>
      </c>
      <c r="D3777" s="141" t="s">
        <v>1140</v>
      </c>
    </row>
    <row r="3778" spans="1:4" x14ac:dyDescent="0.3">
      <c r="A3778" s="141" t="s">
        <v>6578</v>
      </c>
      <c r="B3778" s="141">
        <v>538795</v>
      </c>
      <c r="C3778" s="141" t="s">
        <v>1129</v>
      </c>
      <c r="D3778" s="141" t="s">
        <v>1123</v>
      </c>
    </row>
    <row r="3779" spans="1:4" x14ac:dyDescent="0.3">
      <c r="A3779" s="141" t="s">
        <v>6579</v>
      </c>
      <c r="B3779" s="141">
        <v>521131</v>
      </c>
      <c r="C3779" s="141" t="s">
        <v>1129</v>
      </c>
      <c r="D3779" s="141" t="s">
        <v>1144</v>
      </c>
    </row>
    <row r="3780" spans="1:4" x14ac:dyDescent="0.3">
      <c r="A3780" s="141" t="s">
        <v>6580</v>
      </c>
      <c r="B3780" s="141">
        <v>502563</v>
      </c>
      <c r="C3780" s="141" t="s">
        <v>1129</v>
      </c>
      <c r="D3780" s="141" t="s">
        <v>1123</v>
      </c>
    </row>
    <row r="3781" spans="1:4" x14ac:dyDescent="0.3">
      <c r="A3781" s="141" t="s">
        <v>6581</v>
      </c>
      <c r="B3781" s="141">
        <v>500387</v>
      </c>
      <c r="C3781" s="141" t="s">
        <v>6582</v>
      </c>
      <c r="D3781" s="141" t="s">
        <v>1142</v>
      </c>
    </row>
    <row r="3782" spans="1:4" x14ac:dyDescent="0.3">
      <c r="A3782" s="141" t="s">
        <v>6583</v>
      </c>
      <c r="B3782" s="141">
        <v>502180</v>
      </c>
      <c r="C3782" s="141" t="s">
        <v>1129</v>
      </c>
      <c r="D3782" s="141" t="s">
        <v>1142</v>
      </c>
    </row>
    <row r="3783" spans="1:4" x14ac:dyDescent="0.3">
      <c r="A3783" s="141" t="s">
        <v>6584</v>
      </c>
      <c r="B3783" s="141">
        <v>539470</v>
      </c>
      <c r="C3783" s="141" t="s">
        <v>1129</v>
      </c>
      <c r="D3783" s="141" t="s">
        <v>1467</v>
      </c>
    </row>
    <row r="3784" spans="1:4" x14ac:dyDescent="0.3">
      <c r="A3784" s="141" t="s">
        <v>6585</v>
      </c>
      <c r="B3784" s="141">
        <v>539470</v>
      </c>
      <c r="C3784" s="141" t="s">
        <v>1129</v>
      </c>
      <c r="D3784" s="141" t="s">
        <v>1467</v>
      </c>
    </row>
    <row r="3785" spans="1:4" x14ac:dyDescent="0.3">
      <c r="A3785" s="141" t="s">
        <v>6586</v>
      </c>
      <c r="B3785" s="141">
        <v>530797</v>
      </c>
      <c r="C3785" s="141" t="s">
        <v>1129</v>
      </c>
      <c r="D3785" s="141" t="s">
        <v>1151</v>
      </c>
    </row>
    <row r="3786" spans="1:4" x14ac:dyDescent="0.3">
      <c r="A3786" s="141" t="s">
        <v>6587</v>
      </c>
      <c r="B3786" s="141">
        <v>532643</v>
      </c>
      <c r="C3786" s="141" t="s">
        <v>6588</v>
      </c>
      <c r="D3786" s="141" t="s">
        <v>2049</v>
      </c>
    </row>
    <row r="3787" spans="1:4" x14ac:dyDescent="0.3">
      <c r="A3787" s="141" t="s">
        <v>6589</v>
      </c>
      <c r="B3787" s="141">
        <v>540737</v>
      </c>
      <c r="C3787" s="141" t="s">
        <v>1129</v>
      </c>
      <c r="D3787" s="141" t="s">
        <v>1167</v>
      </c>
    </row>
    <row r="3788" spans="1:4" x14ac:dyDescent="0.3">
      <c r="A3788" s="141" t="s">
        <v>6590</v>
      </c>
      <c r="B3788" s="141">
        <v>512463</v>
      </c>
      <c r="C3788" s="141" t="s">
        <v>1129</v>
      </c>
      <c r="D3788" s="141" t="s">
        <v>1146</v>
      </c>
    </row>
    <row r="3789" spans="1:4" x14ac:dyDescent="0.3">
      <c r="A3789" s="141" t="s">
        <v>6591</v>
      </c>
      <c r="B3789" s="141">
        <v>524336</v>
      </c>
      <c r="C3789" s="141" t="s">
        <v>1129</v>
      </c>
      <c r="D3789" s="141" t="s">
        <v>1177</v>
      </c>
    </row>
    <row r="3790" spans="1:4" x14ac:dyDescent="0.3">
      <c r="A3790" s="141" t="s">
        <v>6592</v>
      </c>
      <c r="B3790" s="141">
        <v>516106</v>
      </c>
      <c r="C3790" s="141" t="s">
        <v>1129</v>
      </c>
      <c r="D3790" s="141" t="s">
        <v>1123</v>
      </c>
    </row>
    <row r="3791" spans="1:4" x14ac:dyDescent="0.3">
      <c r="A3791" s="141" t="s">
        <v>6593</v>
      </c>
      <c r="B3791" s="141">
        <v>542146</v>
      </c>
      <c r="C3791" s="141" t="s">
        <v>1129</v>
      </c>
      <c r="D3791" s="141" t="s">
        <v>1215</v>
      </c>
    </row>
    <row r="3792" spans="1:4" x14ac:dyDescent="0.3">
      <c r="A3792" s="141" t="s">
        <v>6594</v>
      </c>
      <c r="B3792" s="141">
        <v>500388</v>
      </c>
      <c r="C3792" s="141" t="s">
        <v>1129</v>
      </c>
      <c r="D3792" s="141" t="s">
        <v>1123</v>
      </c>
    </row>
    <row r="3793" spans="1:4" x14ac:dyDescent="0.3">
      <c r="A3793" s="141" t="s">
        <v>6595</v>
      </c>
      <c r="B3793" s="141">
        <v>503863</v>
      </c>
      <c r="C3793" s="141" t="s">
        <v>1129</v>
      </c>
      <c r="D3793" s="141" t="s">
        <v>1144</v>
      </c>
    </row>
    <row r="3794" spans="1:4" x14ac:dyDescent="0.3">
      <c r="A3794" s="141" t="s">
        <v>6596</v>
      </c>
      <c r="B3794" s="141">
        <v>531962</v>
      </c>
      <c r="C3794" s="141" t="s">
        <v>1129</v>
      </c>
      <c r="D3794" s="141" t="s">
        <v>1146</v>
      </c>
    </row>
    <row r="3795" spans="1:4" x14ac:dyDescent="0.3">
      <c r="A3795" s="141" t="s">
        <v>6597</v>
      </c>
      <c r="B3795" s="141">
        <v>540253</v>
      </c>
      <c r="C3795" s="141" t="s">
        <v>1129</v>
      </c>
      <c r="D3795" s="141" t="s">
        <v>1112</v>
      </c>
    </row>
    <row r="3796" spans="1:4" x14ac:dyDescent="0.3">
      <c r="A3796" s="141" t="s">
        <v>6598</v>
      </c>
      <c r="B3796" s="141">
        <v>506180</v>
      </c>
      <c r="C3796" s="141" t="s">
        <v>1129</v>
      </c>
      <c r="D3796" s="141" t="s">
        <v>1151</v>
      </c>
    </row>
    <row r="3797" spans="1:4" x14ac:dyDescent="0.3">
      <c r="A3797" s="141" t="s">
        <v>6599</v>
      </c>
      <c r="B3797" s="141">
        <v>527005</v>
      </c>
      <c r="C3797" s="141" t="s">
        <v>1129</v>
      </c>
      <c r="D3797" s="141" t="s">
        <v>2094</v>
      </c>
    </row>
    <row r="3798" spans="1:4" x14ac:dyDescent="0.3">
      <c r="A3798" s="141" t="s">
        <v>6600</v>
      </c>
      <c r="B3798" s="141">
        <v>533110</v>
      </c>
      <c r="C3798" s="141" t="s">
        <v>1129</v>
      </c>
      <c r="D3798" s="141" t="s">
        <v>1452</v>
      </c>
    </row>
    <row r="3799" spans="1:4" x14ac:dyDescent="0.3">
      <c r="A3799" s="141" t="s">
        <v>6601</v>
      </c>
      <c r="B3799" s="141">
        <v>539334</v>
      </c>
      <c r="C3799" s="141" t="s">
        <v>6602</v>
      </c>
      <c r="D3799" s="141" t="s">
        <v>1289</v>
      </c>
    </row>
    <row r="3800" spans="1:4" x14ac:dyDescent="0.3">
      <c r="A3800" s="141" t="s">
        <v>6603</v>
      </c>
      <c r="B3800" s="141">
        <v>503837</v>
      </c>
      <c r="C3800" s="141" t="s">
        <v>1129</v>
      </c>
      <c r="D3800" s="141" t="s">
        <v>1144</v>
      </c>
    </row>
    <row r="3801" spans="1:4" x14ac:dyDescent="0.3">
      <c r="A3801" s="141" t="s">
        <v>6604</v>
      </c>
      <c r="B3801" s="141">
        <v>516086</v>
      </c>
      <c r="C3801" s="141" t="s">
        <v>1129</v>
      </c>
      <c r="D3801" s="141" t="s">
        <v>1123</v>
      </c>
    </row>
    <row r="3802" spans="1:4" x14ac:dyDescent="0.3">
      <c r="A3802" s="141" t="s">
        <v>6605</v>
      </c>
      <c r="B3802" s="141" t="s">
        <v>1129</v>
      </c>
      <c r="C3802" s="141" t="s">
        <v>6606</v>
      </c>
      <c r="D3802" s="141" t="s">
        <v>1140</v>
      </c>
    </row>
    <row r="3803" spans="1:4" x14ac:dyDescent="0.3">
      <c r="A3803" s="141" t="s">
        <v>6607</v>
      </c>
      <c r="B3803" s="141">
        <v>532310</v>
      </c>
      <c r="C3803" s="141" t="s">
        <v>6608</v>
      </c>
      <c r="D3803" s="141" t="s">
        <v>1324</v>
      </c>
    </row>
    <row r="3804" spans="1:4" x14ac:dyDescent="0.3">
      <c r="A3804" s="141" t="s">
        <v>6609</v>
      </c>
      <c r="B3804" s="141">
        <v>500356</v>
      </c>
      <c r="C3804" s="141" t="s">
        <v>6610</v>
      </c>
      <c r="D3804" s="141" t="s">
        <v>1123</v>
      </c>
    </row>
    <row r="3805" spans="1:4" x14ac:dyDescent="0.3">
      <c r="A3805" s="141" t="s">
        <v>6611</v>
      </c>
      <c r="B3805" s="141">
        <v>532670</v>
      </c>
      <c r="C3805" s="141" t="s">
        <v>6612</v>
      </c>
      <c r="D3805" s="141" t="s">
        <v>1828</v>
      </c>
    </row>
    <row r="3806" spans="1:4" x14ac:dyDescent="0.3">
      <c r="A3806" s="141" t="s">
        <v>6613</v>
      </c>
      <c r="B3806" s="141">
        <v>503635</v>
      </c>
      <c r="C3806" s="141" t="s">
        <v>1129</v>
      </c>
      <c r="D3806" s="141" t="s">
        <v>1112</v>
      </c>
    </row>
    <row r="3807" spans="1:4" x14ac:dyDescent="0.3">
      <c r="A3807" s="141" t="s">
        <v>6614</v>
      </c>
      <c r="B3807" s="141">
        <v>538975</v>
      </c>
      <c r="C3807" s="141" t="s">
        <v>1129</v>
      </c>
      <c r="D3807" s="141" t="s">
        <v>1146</v>
      </c>
    </row>
    <row r="3808" spans="1:4" x14ac:dyDescent="0.3">
      <c r="A3808" s="141" t="s">
        <v>6615</v>
      </c>
      <c r="B3808" s="141">
        <v>513488</v>
      </c>
      <c r="C3808" s="141" t="s">
        <v>1129</v>
      </c>
      <c r="D3808" s="141" t="s">
        <v>1452</v>
      </c>
    </row>
    <row r="3809" spans="1:4" x14ac:dyDescent="0.3">
      <c r="A3809" s="141" t="s">
        <v>6616</v>
      </c>
      <c r="B3809" s="141">
        <v>531667</v>
      </c>
      <c r="C3809" s="141" t="s">
        <v>1129</v>
      </c>
      <c r="D3809" s="141" t="s">
        <v>1151</v>
      </c>
    </row>
    <row r="3810" spans="1:4" x14ac:dyDescent="0.3">
      <c r="A3810" s="141" t="s">
        <v>6617</v>
      </c>
      <c r="B3810" s="141" t="s">
        <v>1129</v>
      </c>
      <c r="C3810" s="141" t="s">
        <v>6618</v>
      </c>
      <c r="D3810" s="141" t="s">
        <v>1140</v>
      </c>
    </row>
    <row r="3811" spans="1:4" x14ac:dyDescent="0.3">
      <c r="A3811" s="141" t="s">
        <v>6619</v>
      </c>
      <c r="B3811" s="141">
        <v>590128</v>
      </c>
      <c r="C3811" s="141" t="s">
        <v>1129</v>
      </c>
      <c r="D3811" s="141" t="s">
        <v>1115</v>
      </c>
    </row>
    <row r="3812" spans="1:4" x14ac:dyDescent="0.3">
      <c r="A3812" s="141" t="s">
        <v>6620</v>
      </c>
      <c r="B3812" s="141" t="s">
        <v>1129</v>
      </c>
      <c r="C3812" s="141" t="s">
        <v>6621</v>
      </c>
      <c r="D3812" s="141" t="s">
        <v>1140</v>
      </c>
    </row>
    <row r="3813" spans="1:4" x14ac:dyDescent="0.3">
      <c r="A3813" s="141" t="s">
        <v>6622</v>
      </c>
      <c r="B3813" s="141">
        <v>541358</v>
      </c>
      <c r="C3813" s="141" t="s">
        <v>1129</v>
      </c>
      <c r="D3813" s="141" t="s">
        <v>1146</v>
      </c>
    </row>
    <row r="3814" spans="1:4" x14ac:dyDescent="0.3">
      <c r="A3814" s="141" t="s">
        <v>6623</v>
      </c>
      <c r="B3814" s="141">
        <v>540738</v>
      </c>
      <c r="C3814" s="141" t="s">
        <v>1129</v>
      </c>
      <c r="D3814" s="141" t="s">
        <v>1450</v>
      </c>
    </row>
    <row r="3815" spans="1:4" x14ac:dyDescent="0.3">
      <c r="A3815" s="141" t="s">
        <v>6624</v>
      </c>
      <c r="B3815" s="141">
        <v>503696</v>
      </c>
      <c r="C3815" s="141" t="s">
        <v>1129</v>
      </c>
      <c r="D3815" s="141" t="s">
        <v>1550</v>
      </c>
    </row>
    <row r="3816" spans="1:4" x14ac:dyDescent="0.3">
      <c r="A3816" s="141" t="s">
        <v>6625</v>
      </c>
      <c r="B3816" s="141" t="s">
        <v>1129</v>
      </c>
      <c r="C3816" s="141" t="s">
        <v>6626</v>
      </c>
      <c r="D3816" s="141" t="s">
        <v>1140</v>
      </c>
    </row>
    <row r="3817" spans="1:4" x14ac:dyDescent="0.3">
      <c r="A3817" s="141" t="s">
        <v>6627</v>
      </c>
      <c r="B3817" s="141">
        <v>541112</v>
      </c>
      <c r="C3817" s="141" t="s">
        <v>1129</v>
      </c>
      <c r="D3817" s="141" t="s">
        <v>1527</v>
      </c>
    </row>
    <row r="3818" spans="1:4" x14ac:dyDescent="0.3">
      <c r="A3818" s="141" t="s">
        <v>6628</v>
      </c>
      <c r="B3818" s="141">
        <v>532007</v>
      </c>
      <c r="C3818" s="141" t="s">
        <v>1129</v>
      </c>
      <c r="D3818" s="141" t="s">
        <v>1550</v>
      </c>
    </row>
    <row r="3819" spans="1:4" x14ac:dyDescent="0.3">
      <c r="A3819" s="141" t="s">
        <v>6629</v>
      </c>
      <c r="B3819" s="141" t="s">
        <v>1129</v>
      </c>
      <c r="C3819" s="141" t="s">
        <v>6630</v>
      </c>
      <c r="D3819" s="141" t="s">
        <v>1140</v>
      </c>
    </row>
    <row r="3820" spans="1:4" x14ac:dyDescent="0.3">
      <c r="A3820" s="141" t="s">
        <v>6631</v>
      </c>
      <c r="B3820" s="141">
        <v>516016</v>
      </c>
      <c r="C3820" s="141" t="s">
        <v>6632</v>
      </c>
      <c r="D3820" s="141" t="s">
        <v>1123</v>
      </c>
    </row>
    <row r="3821" spans="1:4" x14ac:dyDescent="0.3">
      <c r="A3821" s="141" t="s">
        <v>6633</v>
      </c>
      <c r="B3821" s="141">
        <v>526335</v>
      </c>
      <c r="C3821" s="141" t="s">
        <v>1129</v>
      </c>
      <c r="D3821" s="141" t="s">
        <v>1177</v>
      </c>
    </row>
    <row r="3822" spans="1:4" x14ac:dyDescent="0.3">
      <c r="A3822" s="141" t="s">
        <v>6634</v>
      </c>
      <c r="B3822" s="141">
        <v>520151</v>
      </c>
      <c r="C3822" s="141" t="s">
        <v>6635</v>
      </c>
      <c r="D3822" s="141" t="s">
        <v>2377</v>
      </c>
    </row>
    <row r="3823" spans="1:4" x14ac:dyDescent="0.3">
      <c r="A3823" s="141" t="s">
        <v>6636</v>
      </c>
      <c r="B3823" s="141">
        <v>526981</v>
      </c>
      <c r="C3823" s="141" t="s">
        <v>1129</v>
      </c>
      <c r="D3823" s="141" t="s">
        <v>1452</v>
      </c>
    </row>
    <row r="3824" spans="1:4" x14ac:dyDescent="0.3">
      <c r="A3824" s="141" t="s">
        <v>6637</v>
      </c>
      <c r="B3824" s="141">
        <v>530841</v>
      </c>
      <c r="C3824" s="141" t="s">
        <v>1129</v>
      </c>
      <c r="D3824" s="141" t="s">
        <v>1406</v>
      </c>
    </row>
    <row r="3825" spans="1:4" x14ac:dyDescent="0.3">
      <c r="A3825" s="141" t="s">
        <v>6638</v>
      </c>
      <c r="B3825" s="141">
        <v>503804</v>
      </c>
      <c r="C3825" s="141" t="s">
        <v>1129</v>
      </c>
      <c r="D3825" s="141" t="s">
        <v>1144</v>
      </c>
    </row>
    <row r="3826" spans="1:4" x14ac:dyDescent="0.3">
      <c r="A3826" s="141" t="s">
        <v>6639</v>
      </c>
      <c r="B3826" s="141">
        <v>512453</v>
      </c>
      <c r="C3826" s="141" t="s">
        <v>1129</v>
      </c>
      <c r="D3826" s="141" t="s">
        <v>1324</v>
      </c>
    </row>
    <row r="3827" spans="1:4" x14ac:dyDescent="0.3">
      <c r="A3827" s="141" t="s">
        <v>6640</v>
      </c>
      <c r="B3827" s="141">
        <v>532083</v>
      </c>
      <c r="C3827" s="141" t="s">
        <v>1129</v>
      </c>
      <c r="D3827" s="141" t="s">
        <v>1550</v>
      </c>
    </row>
    <row r="3828" spans="1:4" x14ac:dyDescent="0.3">
      <c r="A3828" s="141" t="s">
        <v>6641</v>
      </c>
      <c r="B3828" s="141">
        <v>530977</v>
      </c>
      <c r="C3828" s="141" t="s">
        <v>1129</v>
      </c>
      <c r="D3828" s="141" t="s">
        <v>1142</v>
      </c>
    </row>
    <row r="3829" spans="1:4" x14ac:dyDescent="0.3">
      <c r="A3829" s="141" t="s">
        <v>6642</v>
      </c>
      <c r="B3829" s="141">
        <v>531080</v>
      </c>
      <c r="C3829" s="141" t="s">
        <v>1129</v>
      </c>
      <c r="D3829" s="141" t="s">
        <v>1215</v>
      </c>
    </row>
    <row r="3830" spans="1:4" x14ac:dyDescent="0.3">
      <c r="A3830" s="141" t="s">
        <v>6643</v>
      </c>
      <c r="B3830" s="141">
        <v>538897</v>
      </c>
      <c r="C3830" s="141" t="s">
        <v>1129</v>
      </c>
      <c r="D3830" s="141" t="s">
        <v>1146</v>
      </c>
    </row>
    <row r="3831" spans="1:4" x14ac:dyDescent="0.3">
      <c r="A3831" s="141" t="s">
        <v>6644</v>
      </c>
      <c r="B3831" s="141" t="s">
        <v>1129</v>
      </c>
      <c r="C3831" s="141" t="s">
        <v>6645</v>
      </c>
      <c r="D3831" s="141" t="s">
        <v>1140</v>
      </c>
    </row>
    <row r="3832" spans="1:4" x14ac:dyDescent="0.3">
      <c r="A3832" s="141" t="s">
        <v>6646</v>
      </c>
      <c r="B3832" s="141">
        <v>508961</v>
      </c>
      <c r="C3832" s="141" t="s">
        <v>1129</v>
      </c>
      <c r="D3832" s="141" t="s">
        <v>1146</v>
      </c>
    </row>
    <row r="3833" spans="1:4" x14ac:dyDescent="0.3">
      <c r="A3833" s="141" t="s">
        <v>6647</v>
      </c>
      <c r="B3833" s="141">
        <v>531359</v>
      </c>
      <c r="C3833" s="141" t="s">
        <v>1129</v>
      </c>
      <c r="D3833" s="141" t="s">
        <v>3534</v>
      </c>
    </row>
    <row r="3834" spans="1:4" x14ac:dyDescent="0.3">
      <c r="A3834" s="141" t="s">
        <v>6648</v>
      </c>
      <c r="B3834" s="141">
        <v>532498</v>
      </c>
      <c r="C3834" s="141" t="s">
        <v>6649</v>
      </c>
      <c r="D3834" s="141" t="s">
        <v>1146</v>
      </c>
    </row>
    <row r="3835" spans="1:4" x14ac:dyDescent="0.3">
      <c r="A3835" s="141" t="s">
        <v>6650</v>
      </c>
      <c r="B3835" s="141">
        <v>532945</v>
      </c>
      <c r="C3835" s="141" t="s">
        <v>6651</v>
      </c>
      <c r="D3835" s="141" t="s">
        <v>1527</v>
      </c>
    </row>
    <row r="3836" spans="1:4" x14ac:dyDescent="0.3">
      <c r="A3836" s="141" t="s">
        <v>6652</v>
      </c>
      <c r="B3836" s="141" t="s">
        <v>1129</v>
      </c>
      <c r="C3836" s="141" t="s">
        <v>6653</v>
      </c>
      <c r="D3836" s="141" t="s">
        <v>1220</v>
      </c>
    </row>
    <row r="3837" spans="1:4" x14ac:dyDescent="0.3">
      <c r="A3837" s="141" t="s">
        <v>6654</v>
      </c>
      <c r="B3837" s="141">
        <v>511218</v>
      </c>
      <c r="C3837" s="141" t="s">
        <v>6655</v>
      </c>
      <c r="D3837" s="141" t="s">
        <v>1146</v>
      </c>
    </row>
    <row r="3838" spans="1:4" x14ac:dyDescent="0.3">
      <c r="A3838" s="141" t="s">
        <v>6656</v>
      </c>
      <c r="B3838" s="141">
        <v>511411</v>
      </c>
      <c r="C3838" s="141" t="s">
        <v>1129</v>
      </c>
      <c r="D3838" s="141" t="s">
        <v>1527</v>
      </c>
    </row>
    <row r="3839" spans="1:4" x14ac:dyDescent="0.3">
      <c r="A3839" s="141" t="s">
        <v>6657</v>
      </c>
      <c r="B3839" s="141">
        <v>542019</v>
      </c>
      <c r="C3839" s="141" t="s">
        <v>1129</v>
      </c>
      <c r="D3839" s="141" t="s">
        <v>1144</v>
      </c>
    </row>
    <row r="3840" spans="1:4" x14ac:dyDescent="0.3">
      <c r="A3840" s="141" t="s">
        <v>6658</v>
      </c>
      <c r="B3840" s="141" t="s">
        <v>1129</v>
      </c>
      <c r="C3840" s="141" t="s">
        <v>6659</v>
      </c>
      <c r="D3840" s="141" t="s">
        <v>1140</v>
      </c>
    </row>
    <row r="3841" spans="1:4" x14ac:dyDescent="0.3">
      <c r="A3841" s="141" t="s">
        <v>6660</v>
      </c>
      <c r="B3841" s="141">
        <v>531506</v>
      </c>
      <c r="C3841" s="141" t="s">
        <v>6661</v>
      </c>
      <c r="D3841" s="141" t="s">
        <v>1550</v>
      </c>
    </row>
    <row r="3842" spans="1:4" x14ac:dyDescent="0.3">
      <c r="A3842" s="141" t="s">
        <v>6662</v>
      </c>
      <c r="B3842" s="141">
        <v>523790</v>
      </c>
      <c r="C3842" s="141" t="s">
        <v>1129</v>
      </c>
      <c r="D3842" s="141" t="s">
        <v>1243</v>
      </c>
    </row>
    <row r="3843" spans="1:4" x14ac:dyDescent="0.3">
      <c r="A3843" s="141" t="s">
        <v>6663</v>
      </c>
      <c r="B3843" s="141">
        <v>524632</v>
      </c>
      <c r="C3843" s="141" t="s">
        <v>1129</v>
      </c>
      <c r="D3843" s="141" t="s">
        <v>1167</v>
      </c>
    </row>
    <row r="3844" spans="1:4" x14ac:dyDescent="0.3">
      <c r="A3844" s="141" t="s">
        <v>6664</v>
      </c>
      <c r="B3844" s="141">
        <v>539252</v>
      </c>
      <c r="C3844" s="141" t="s">
        <v>6665</v>
      </c>
      <c r="D3844" s="141" t="s">
        <v>1161</v>
      </c>
    </row>
    <row r="3845" spans="1:4" x14ac:dyDescent="0.3">
      <c r="A3845" s="141" t="s">
        <v>6666</v>
      </c>
      <c r="B3845" s="141">
        <v>517411</v>
      </c>
      <c r="C3845" s="141" t="s">
        <v>6667</v>
      </c>
      <c r="D3845" s="141" t="s">
        <v>1275</v>
      </c>
    </row>
    <row r="3846" spans="1:4" x14ac:dyDescent="0.3">
      <c r="A3846" s="141" t="s">
        <v>6668</v>
      </c>
      <c r="B3846" s="141">
        <v>531219</v>
      </c>
      <c r="C3846" s="141" t="s">
        <v>1129</v>
      </c>
      <c r="D3846" s="141" t="s">
        <v>1167</v>
      </c>
    </row>
    <row r="3847" spans="1:4" x14ac:dyDescent="0.3">
      <c r="A3847" s="141" t="s">
        <v>6669</v>
      </c>
      <c r="B3847" s="141">
        <v>505515</v>
      </c>
      <c r="C3847" s="141" t="s">
        <v>1129</v>
      </c>
      <c r="D3847" s="141" t="s">
        <v>1112</v>
      </c>
    </row>
    <row r="3848" spans="1:4" x14ac:dyDescent="0.3">
      <c r="A3848" s="141" t="s">
        <v>6670</v>
      </c>
      <c r="B3848" s="141">
        <v>530907</v>
      </c>
      <c r="C3848" s="141" t="s">
        <v>1129</v>
      </c>
      <c r="D3848" s="141" t="s">
        <v>1550</v>
      </c>
    </row>
    <row r="3849" spans="1:4" x14ac:dyDescent="0.3">
      <c r="A3849" s="141" t="s">
        <v>6671</v>
      </c>
      <c r="B3849" s="141">
        <v>520141</v>
      </c>
      <c r="C3849" s="141" t="s">
        <v>1129</v>
      </c>
      <c r="D3849" s="141" t="s">
        <v>1484</v>
      </c>
    </row>
    <row r="3850" spans="1:4" x14ac:dyDescent="0.3">
      <c r="A3850" s="141" t="s">
        <v>6672</v>
      </c>
      <c r="B3850" s="141">
        <v>533014</v>
      </c>
      <c r="C3850" s="141" t="s">
        <v>6673</v>
      </c>
      <c r="D3850" s="141" t="s">
        <v>1151</v>
      </c>
    </row>
    <row r="3851" spans="1:4" x14ac:dyDescent="0.3">
      <c r="A3851" s="141" t="s">
        <v>6674</v>
      </c>
      <c r="B3851" s="141">
        <v>533014</v>
      </c>
      <c r="C3851" s="141" t="s">
        <v>6673</v>
      </c>
      <c r="D3851" s="141" t="s">
        <v>1151</v>
      </c>
    </row>
    <row r="3852" spans="1:4" x14ac:dyDescent="0.3">
      <c r="A3852" s="141" t="s">
        <v>6675</v>
      </c>
      <c r="B3852" s="141">
        <v>520086</v>
      </c>
      <c r="C3852" s="141" t="s">
        <v>6676</v>
      </c>
      <c r="D3852" s="141" t="s">
        <v>1450</v>
      </c>
    </row>
    <row r="3853" spans="1:4" x14ac:dyDescent="0.3">
      <c r="A3853" s="141" t="s">
        <v>6677</v>
      </c>
      <c r="B3853" s="141">
        <v>540736</v>
      </c>
      <c r="C3853" s="141" t="s">
        <v>1129</v>
      </c>
      <c r="D3853" s="141" t="s">
        <v>1234</v>
      </c>
    </row>
    <row r="3854" spans="1:4" x14ac:dyDescent="0.3">
      <c r="A3854" s="141" t="s">
        <v>6678</v>
      </c>
      <c r="B3854" s="141">
        <v>539983</v>
      </c>
      <c r="C3854" s="141" t="s">
        <v>1129</v>
      </c>
      <c r="D3854" s="141" t="s">
        <v>1112</v>
      </c>
    </row>
    <row r="3855" spans="1:4" x14ac:dyDescent="0.3">
      <c r="A3855" s="141" t="s">
        <v>6679</v>
      </c>
      <c r="B3855" s="141">
        <v>532217</v>
      </c>
      <c r="C3855" s="141" t="s">
        <v>1129</v>
      </c>
      <c r="D3855" s="141" t="s">
        <v>1112</v>
      </c>
    </row>
    <row r="3856" spans="1:4" x14ac:dyDescent="0.3">
      <c r="A3856" s="141" t="s">
        <v>6680</v>
      </c>
      <c r="B3856" s="141">
        <v>500550</v>
      </c>
      <c r="C3856" s="141" t="s">
        <v>6681</v>
      </c>
      <c r="D3856" s="141" t="s">
        <v>1172</v>
      </c>
    </row>
    <row r="3857" spans="1:4" x14ac:dyDescent="0.3">
      <c r="A3857" s="141" t="s">
        <v>6682</v>
      </c>
      <c r="B3857" s="141">
        <v>512131</v>
      </c>
      <c r="C3857" s="141" t="s">
        <v>6683</v>
      </c>
      <c r="D3857" s="141" t="s">
        <v>1249</v>
      </c>
    </row>
    <row r="3858" spans="1:4" x14ac:dyDescent="0.3">
      <c r="A3858" s="141" t="s">
        <v>6684</v>
      </c>
      <c r="B3858" s="141">
        <v>523606</v>
      </c>
      <c r="C3858" s="141" t="s">
        <v>1129</v>
      </c>
      <c r="D3858" s="141" t="s">
        <v>1602</v>
      </c>
    </row>
    <row r="3859" spans="1:4" x14ac:dyDescent="0.3">
      <c r="A3859" s="141" t="s">
        <v>6685</v>
      </c>
      <c r="B3859" s="141" t="s">
        <v>1129</v>
      </c>
      <c r="C3859" s="141" t="s">
        <v>6686</v>
      </c>
      <c r="D3859" s="141" t="s">
        <v>1140</v>
      </c>
    </row>
    <row r="3860" spans="1:4" x14ac:dyDescent="0.3">
      <c r="A3860" s="141" t="s">
        <v>6687</v>
      </c>
      <c r="B3860" s="141">
        <v>524642</v>
      </c>
      <c r="C3860" s="141" t="s">
        <v>1129</v>
      </c>
      <c r="D3860" s="141" t="s">
        <v>1215</v>
      </c>
    </row>
    <row r="3861" spans="1:4" x14ac:dyDescent="0.3">
      <c r="A3861" s="141" t="s">
        <v>6688</v>
      </c>
      <c r="B3861" s="141">
        <v>521194</v>
      </c>
      <c r="C3861" s="141" t="s">
        <v>6689</v>
      </c>
      <c r="D3861" s="141" t="s">
        <v>1112</v>
      </c>
    </row>
    <row r="3862" spans="1:4" x14ac:dyDescent="0.3">
      <c r="A3862" s="141" t="s">
        <v>6690</v>
      </c>
      <c r="B3862" s="141" t="s">
        <v>1129</v>
      </c>
      <c r="C3862" s="141" t="s">
        <v>6691</v>
      </c>
      <c r="D3862" s="141" t="s">
        <v>1140</v>
      </c>
    </row>
    <row r="3863" spans="1:4" x14ac:dyDescent="0.3">
      <c r="A3863" s="141" t="s">
        <v>6692</v>
      </c>
      <c r="B3863" s="141" t="s">
        <v>1129</v>
      </c>
      <c r="C3863" s="141" t="s">
        <v>6693</v>
      </c>
      <c r="D3863" s="141" t="s">
        <v>1140</v>
      </c>
    </row>
    <row r="3864" spans="1:4" x14ac:dyDescent="0.3">
      <c r="A3864" s="141" t="s">
        <v>6694</v>
      </c>
      <c r="B3864" s="141">
        <v>531635</v>
      </c>
      <c r="C3864" s="141" t="s">
        <v>1129</v>
      </c>
      <c r="D3864" s="141" t="s">
        <v>1761</v>
      </c>
    </row>
    <row r="3865" spans="1:4" x14ac:dyDescent="0.3">
      <c r="A3865" s="141" t="s">
        <v>6695</v>
      </c>
      <c r="B3865" s="141">
        <v>512197</v>
      </c>
      <c r="C3865" s="141" t="s">
        <v>1129</v>
      </c>
      <c r="D3865" s="141" t="s">
        <v>1146</v>
      </c>
    </row>
    <row r="3866" spans="1:4" x14ac:dyDescent="0.3">
      <c r="A3866" s="141" t="s">
        <v>6696</v>
      </c>
      <c r="B3866" s="141">
        <v>531635</v>
      </c>
      <c r="C3866" s="141" t="s">
        <v>1129</v>
      </c>
      <c r="D3866" s="141" t="s">
        <v>1761</v>
      </c>
    </row>
    <row r="3867" spans="1:4" x14ac:dyDescent="0.3">
      <c r="A3867" s="141" t="s">
        <v>6697</v>
      </c>
      <c r="B3867" s="141" t="s">
        <v>1129</v>
      </c>
      <c r="C3867" s="141" t="s">
        <v>6698</v>
      </c>
      <c r="D3867" s="141" t="s">
        <v>1140</v>
      </c>
    </row>
    <row r="3868" spans="1:4" x14ac:dyDescent="0.3">
      <c r="A3868" s="141" t="s">
        <v>6699</v>
      </c>
      <c r="B3868" s="141">
        <v>536073</v>
      </c>
      <c r="C3868" s="141" t="s">
        <v>1129</v>
      </c>
      <c r="D3868" s="141" t="s">
        <v>1527</v>
      </c>
    </row>
    <row r="3869" spans="1:4" x14ac:dyDescent="0.3">
      <c r="A3869" s="141" t="s">
        <v>6700</v>
      </c>
      <c r="B3869" s="141">
        <v>539742</v>
      </c>
      <c r="C3869" s="141" t="s">
        <v>6701</v>
      </c>
      <c r="D3869" s="141" t="s">
        <v>1828</v>
      </c>
    </row>
    <row r="3870" spans="1:4" x14ac:dyDescent="0.3">
      <c r="A3870" s="141" t="s">
        <v>6702</v>
      </c>
      <c r="B3870" s="141">
        <v>507998</v>
      </c>
      <c r="C3870" s="141" t="s">
        <v>1129</v>
      </c>
      <c r="D3870" s="141" t="s">
        <v>1484</v>
      </c>
    </row>
    <row r="3871" spans="1:4" x14ac:dyDescent="0.3">
      <c r="A3871" s="141" t="s">
        <v>6703</v>
      </c>
      <c r="B3871" s="141">
        <v>513472</v>
      </c>
      <c r="C3871" s="141" t="s">
        <v>1129</v>
      </c>
      <c r="D3871" s="141" t="s">
        <v>2049</v>
      </c>
    </row>
    <row r="3872" spans="1:4" x14ac:dyDescent="0.3">
      <c r="A3872" s="141" t="s">
        <v>6704</v>
      </c>
      <c r="B3872" s="141">
        <v>523838</v>
      </c>
      <c r="C3872" s="141" t="s">
        <v>6705</v>
      </c>
      <c r="D3872" s="141" t="s">
        <v>1527</v>
      </c>
    </row>
    <row r="3873" spans="1:4" x14ac:dyDescent="0.3">
      <c r="A3873" s="141" t="s">
        <v>6706</v>
      </c>
      <c r="B3873" s="141">
        <v>533018</v>
      </c>
      <c r="C3873" s="141" t="s">
        <v>1129</v>
      </c>
      <c r="D3873" s="141" t="s">
        <v>1144</v>
      </c>
    </row>
    <row r="3874" spans="1:4" x14ac:dyDescent="0.3">
      <c r="A3874" s="141" t="s">
        <v>6707</v>
      </c>
      <c r="B3874" s="141">
        <v>533019</v>
      </c>
      <c r="C3874" s="141" t="s">
        <v>1129</v>
      </c>
      <c r="D3874" s="141" t="s">
        <v>1123</v>
      </c>
    </row>
    <row r="3875" spans="1:4" x14ac:dyDescent="0.3">
      <c r="A3875" s="141" t="s">
        <v>6708</v>
      </c>
      <c r="B3875" s="141">
        <v>503229</v>
      </c>
      <c r="C3875" s="141" t="s">
        <v>1129</v>
      </c>
      <c r="D3875" s="141" t="s">
        <v>1215</v>
      </c>
    </row>
    <row r="3876" spans="1:4" x14ac:dyDescent="0.3">
      <c r="A3876" s="141" t="s">
        <v>6709</v>
      </c>
      <c r="B3876" s="141">
        <v>519566</v>
      </c>
      <c r="C3876" s="141" t="s">
        <v>1129</v>
      </c>
      <c r="D3876" s="141" t="s">
        <v>1189</v>
      </c>
    </row>
    <row r="3877" spans="1:4" x14ac:dyDescent="0.3">
      <c r="A3877" s="141" t="s">
        <v>6710</v>
      </c>
      <c r="B3877" s="141">
        <v>523023</v>
      </c>
      <c r="C3877" s="141" t="s">
        <v>1129</v>
      </c>
      <c r="D3877" s="141" t="s">
        <v>1330</v>
      </c>
    </row>
    <row r="3878" spans="1:4" x14ac:dyDescent="0.3">
      <c r="A3878" s="141" t="s">
        <v>6711</v>
      </c>
      <c r="B3878" s="141">
        <v>532029</v>
      </c>
      <c r="C3878" s="141" t="s">
        <v>1129</v>
      </c>
      <c r="D3878" s="141" t="s">
        <v>1550</v>
      </c>
    </row>
    <row r="3879" spans="1:4" x14ac:dyDescent="0.3">
      <c r="A3879" s="141" t="s">
        <v>6712</v>
      </c>
      <c r="B3879" s="141">
        <v>505504</v>
      </c>
      <c r="C3879" s="141" t="s">
        <v>1129</v>
      </c>
      <c r="D3879" s="141" t="s">
        <v>1115</v>
      </c>
    </row>
    <row r="3880" spans="1:4" x14ac:dyDescent="0.3">
      <c r="A3880" s="141" t="s">
        <v>6713</v>
      </c>
      <c r="B3880" s="141">
        <v>505729</v>
      </c>
      <c r="C3880" s="141" t="s">
        <v>1129</v>
      </c>
      <c r="D3880" s="141" t="s">
        <v>1137</v>
      </c>
    </row>
    <row r="3881" spans="1:4" x14ac:dyDescent="0.3">
      <c r="A3881" s="141" t="s">
        <v>6714</v>
      </c>
      <c r="B3881" s="141">
        <v>505729</v>
      </c>
      <c r="C3881" s="141" t="s">
        <v>1129</v>
      </c>
      <c r="D3881" s="141" t="s">
        <v>1137</v>
      </c>
    </row>
    <row r="3882" spans="1:4" x14ac:dyDescent="0.3">
      <c r="A3882" s="141" t="s">
        <v>6715</v>
      </c>
      <c r="B3882" s="141">
        <v>509887</v>
      </c>
      <c r="C3882" s="141" t="s">
        <v>1129</v>
      </c>
      <c r="D3882" s="141" t="s">
        <v>3300</v>
      </c>
    </row>
    <row r="3883" spans="1:4" x14ac:dyDescent="0.3">
      <c r="A3883" s="141" t="s">
        <v>6716</v>
      </c>
      <c r="B3883" s="141">
        <v>539410</v>
      </c>
      <c r="C3883" s="141" t="s">
        <v>1129</v>
      </c>
      <c r="D3883" s="141" t="s">
        <v>1151</v>
      </c>
    </row>
    <row r="3884" spans="1:4" x14ac:dyDescent="0.3">
      <c r="A3884" s="141" t="s">
        <v>6717</v>
      </c>
      <c r="B3884" s="141">
        <v>539410</v>
      </c>
      <c r="C3884" s="141" t="s">
        <v>1129</v>
      </c>
      <c r="D3884" s="141" t="s">
        <v>1151</v>
      </c>
    </row>
    <row r="3885" spans="1:4" x14ac:dyDescent="0.3">
      <c r="A3885" s="141" t="s">
        <v>6718</v>
      </c>
      <c r="B3885" s="141" t="s">
        <v>1129</v>
      </c>
      <c r="C3885" s="141" t="s">
        <v>6719</v>
      </c>
      <c r="D3885" s="141" t="s">
        <v>1140</v>
      </c>
    </row>
    <row r="3886" spans="1:4" x14ac:dyDescent="0.3">
      <c r="A3886" s="141" t="s">
        <v>6720</v>
      </c>
      <c r="B3886" s="141" t="s">
        <v>1129</v>
      </c>
      <c r="C3886" s="141" t="s">
        <v>6719</v>
      </c>
      <c r="D3886" s="141" t="s">
        <v>1140</v>
      </c>
    </row>
    <row r="3887" spans="1:4" x14ac:dyDescent="0.3">
      <c r="A3887" s="141" t="s">
        <v>6721</v>
      </c>
      <c r="B3887" s="141">
        <v>502742</v>
      </c>
      <c r="C3887" s="141" t="s">
        <v>6722</v>
      </c>
      <c r="D3887" s="141" t="s">
        <v>1144</v>
      </c>
    </row>
    <row r="3888" spans="1:4" x14ac:dyDescent="0.3">
      <c r="A3888" s="141" t="s">
        <v>6723</v>
      </c>
      <c r="B3888" s="141">
        <v>540653</v>
      </c>
      <c r="C3888" s="141" t="s">
        <v>6724</v>
      </c>
      <c r="D3888" s="141" t="s">
        <v>1249</v>
      </c>
    </row>
    <row r="3889" spans="1:4" x14ac:dyDescent="0.3">
      <c r="A3889" s="141" t="s">
        <v>6725</v>
      </c>
      <c r="B3889" s="141">
        <v>523164</v>
      </c>
      <c r="C3889" s="141" t="s">
        <v>1129</v>
      </c>
      <c r="D3889" s="141" t="s">
        <v>1327</v>
      </c>
    </row>
    <row r="3890" spans="1:4" x14ac:dyDescent="0.3">
      <c r="A3890" s="141" t="s">
        <v>6726</v>
      </c>
      <c r="B3890" s="141">
        <v>532879</v>
      </c>
      <c r="C3890" s="141" t="s">
        <v>1129</v>
      </c>
      <c r="D3890" s="141" t="s">
        <v>1828</v>
      </c>
    </row>
    <row r="3891" spans="1:4" x14ac:dyDescent="0.3">
      <c r="A3891" s="141" t="s">
        <v>6727</v>
      </c>
      <c r="B3891" s="141" t="s">
        <v>1129</v>
      </c>
      <c r="C3891" s="141" t="s">
        <v>6728</v>
      </c>
      <c r="D3891" s="141" t="s">
        <v>1140</v>
      </c>
    </row>
    <row r="3892" spans="1:4" x14ac:dyDescent="0.3">
      <c r="A3892" s="141" t="s">
        <v>6729</v>
      </c>
      <c r="B3892" s="141" t="s">
        <v>1129</v>
      </c>
      <c r="C3892" s="141" t="s">
        <v>6728</v>
      </c>
      <c r="D3892" s="141" t="s">
        <v>1140</v>
      </c>
    </row>
    <row r="3893" spans="1:4" x14ac:dyDescent="0.3">
      <c r="A3893" s="141" t="s">
        <v>6730</v>
      </c>
      <c r="B3893" s="141">
        <v>538667</v>
      </c>
      <c r="C3893" s="141" t="s">
        <v>1129</v>
      </c>
      <c r="D3893" s="141" t="s">
        <v>1151</v>
      </c>
    </row>
    <row r="3894" spans="1:4" x14ac:dyDescent="0.3">
      <c r="A3894" s="141" t="s">
        <v>6731</v>
      </c>
      <c r="B3894" s="141">
        <v>512589</v>
      </c>
      <c r="C3894" s="141" t="s">
        <v>1129</v>
      </c>
      <c r="D3894" s="141" t="s">
        <v>1151</v>
      </c>
    </row>
    <row r="3895" spans="1:4" x14ac:dyDescent="0.3">
      <c r="A3895" s="141" t="s">
        <v>6732</v>
      </c>
      <c r="B3895" s="141">
        <v>532961</v>
      </c>
      <c r="C3895" s="141" t="s">
        <v>6733</v>
      </c>
      <c r="D3895" s="141" t="s">
        <v>1209</v>
      </c>
    </row>
    <row r="3896" spans="1:4" x14ac:dyDescent="0.3">
      <c r="A3896" s="141" t="s">
        <v>6734</v>
      </c>
      <c r="B3896" s="141">
        <v>532795</v>
      </c>
      <c r="C3896" s="141" t="s">
        <v>6735</v>
      </c>
      <c r="D3896" s="141" t="s">
        <v>1868</v>
      </c>
    </row>
    <row r="3897" spans="1:4" x14ac:dyDescent="0.3">
      <c r="A3897" s="141" t="s">
        <v>6736</v>
      </c>
      <c r="B3897" s="141">
        <v>503811</v>
      </c>
      <c r="C3897" s="141" t="s">
        <v>6737</v>
      </c>
      <c r="D3897" s="141" t="s">
        <v>1144</v>
      </c>
    </row>
    <row r="3898" spans="1:4" x14ac:dyDescent="0.3">
      <c r="A3898" s="141" t="s">
        <v>6738</v>
      </c>
      <c r="B3898" s="141">
        <v>504398</v>
      </c>
      <c r="C3898" s="141" t="s">
        <v>1129</v>
      </c>
      <c r="D3898" s="141" t="s">
        <v>1243</v>
      </c>
    </row>
    <row r="3899" spans="1:4" x14ac:dyDescent="0.3">
      <c r="A3899" s="141" t="s">
        <v>6739</v>
      </c>
      <c r="B3899" s="141">
        <v>533206</v>
      </c>
      <c r="C3899" s="141" t="s">
        <v>6740</v>
      </c>
      <c r="D3899" s="141" t="s">
        <v>1268</v>
      </c>
    </row>
    <row r="3900" spans="1:4" x14ac:dyDescent="0.3">
      <c r="A3900" s="141" t="s">
        <v>6741</v>
      </c>
      <c r="B3900" s="141">
        <v>500472</v>
      </c>
      <c r="C3900" s="141" t="s">
        <v>6742</v>
      </c>
      <c r="D3900" s="141" t="s">
        <v>1314</v>
      </c>
    </row>
    <row r="3901" spans="1:4" x14ac:dyDescent="0.3">
      <c r="A3901" s="141" t="s">
        <v>6743</v>
      </c>
      <c r="B3901" s="141">
        <v>500472</v>
      </c>
      <c r="C3901" s="141" t="s">
        <v>6744</v>
      </c>
      <c r="D3901" s="141" t="s">
        <v>1314</v>
      </c>
    </row>
    <row r="3902" spans="1:4" x14ac:dyDescent="0.3">
      <c r="A3902" s="141" t="s">
        <v>6745</v>
      </c>
      <c r="B3902" s="141">
        <v>539861</v>
      </c>
      <c r="C3902" s="141" t="s">
        <v>6746</v>
      </c>
      <c r="D3902" s="141" t="s">
        <v>1527</v>
      </c>
    </row>
    <row r="3903" spans="1:4" x14ac:dyDescent="0.3">
      <c r="A3903" s="141" t="s">
        <v>6747</v>
      </c>
      <c r="B3903" s="141">
        <v>538562</v>
      </c>
      <c r="C3903" s="141" t="s">
        <v>6748</v>
      </c>
      <c r="D3903" s="141" t="s">
        <v>1527</v>
      </c>
    </row>
    <row r="3904" spans="1:4" x14ac:dyDescent="0.3">
      <c r="A3904" s="141" t="s">
        <v>6749</v>
      </c>
      <c r="B3904" s="141">
        <v>532143</v>
      </c>
      <c r="C3904" s="141" t="s">
        <v>6750</v>
      </c>
      <c r="D3904" s="141" t="s">
        <v>1209</v>
      </c>
    </row>
    <row r="3905" spans="1:4" x14ac:dyDescent="0.3">
      <c r="A3905" s="141" t="s">
        <v>6751</v>
      </c>
      <c r="B3905" s="141">
        <v>532143</v>
      </c>
      <c r="C3905" s="141" t="s">
        <v>6750</v>
      </c>
      <c r="D3905" s="141" t="s">
        <v>1209</v>
      </c>
    </row>
    <row r="3906" spans="1:4" x14ac:dyDescent="0.3">
      <c r="A3906" s="141" t="s">
        <v>6752</v>
      </c>
      <c r="B3906" s="141">
        <v>531169</v>
      </c>
      <c r="C3906" s="141" t="s">
        <v>1129</v>
      </c>
      <c r="D3906" s="141" t="s">
        <v>1146</v>
      </c>
    </row>
    <row r="3907" spans="1:4" x14ac:dyDescent="0.3">
      <c r="A3907" s="141" t="s">
        <v>6753</v>
      </c>
      <c r="B3907" s="141" t="s">
        <v>1129</v>
      </c>
      <c r="C3907" s="141" t="s">
        <v>6754</v>
      </c>
      <c r="D3907" s="141" t="s">
        <v>1140</v>
      </c>
    </row>
    <row r="3908" spans="1:4" x14ac:dyDescent="0.3">
      <c r="A3908" s="141" t="s">
        <v>6755</v>
      </c>
      <c r="B3908" s="141">
        <v>541967</v>
      </c>
      <c r="C3908" s="141" t="s">
        <v>1129</v>
      </c>
      <c r="D3908" s="141" t="s">
        <v>1243</v>
      </c>
    </row>
    <row r="3909" spans="1:4" x14ac:dyDescent="0.3">
      <c r="A3909" s="141" t="s">
        <v>6756</v>
      </c>
      <c r="B3909" s="141">
        <v>526479</v>
      </c>
      <c r="C3909" s="141" t="s">
        <v>1129</v>
      </c>
      <c r="D3909" s="141" t="s">
        <v>1144</v>
      </c>
    </row>
    <row r="3910" spans="1:4" x14ac:dyDescent="0.3">
      <c r="A3910" s="141" t="s">
        <v>6757</v>
      </c>
      <c r="B3910" s="141">
        <v>505650</v>
      </c>
      <c r="C3910" s="141" t="s">
        <v>1129</v>
      </c>
      <c r="D3910" s="141" t="s">
        <v>1207</v>
      </c>
    </row>
    <row r="3911" spans="1:4" x14ac:dyDescent="0.3">
      <c r="A3911" s="141" t="s">
        <v>6758</v>
      </c>
      <c r="B3911" s="141">
        <v>538919</v>
      </c>
      <c r="C3911" s="141" t="s">
        <v>1129</v>
      </c>
      <c r="D3911" s="141" t="s">
        <v>1215</v>
      </c>
    </row>
    <row r="3912" spans="1:4" x14ac:dyDescent="0.3">
      <c r="A3912" s="141" t="s">
        <v>6759</v>
      </c>
      <c r="B3912" s="141">
        <v>538919</v>
      </c>
      <c r="C3912" s="141" t="s">
        <v>1129</v>
      </c>
      <c r="D3912" s="141" t="s">
        <v>1215</v>
      </c>
    </row>
    <row r="3913" spans="1:4" x14ac:dyDescent="0.3">
      <c r="A3913" s="141" t="s">
        <v>6760</v>
      </c>
      <c r="B3913" s="141">
        <v>539494</v>
      </c>
      <c r="C3913" s="141" t="s">
        <v>1129</v>
      </c>
      <c r="D3913" s="141" t="s">
        <v>1146</v>
      </c>
    </row>
    <row r="3914" spans="1:4" x14ac:dyDescent="0.3">
      <c r="A3914" s="141" t="s">
        <v>6761</v>
      </c>
      <c r="B3914" s="141">
        <v>532419</v>
      </c>
      <c r="C3914" s="141" t="s">
        <v>6762</v>
      </c>
      <c r="D3914" s="141" t="s">
        <v>2756</v>
      </c>
    </row>
    <row r="3915" spans="1:4" x14ac:dyDescent="0.3">
      <c r="A3915" s="141" t="s">
        <v>6763</v>
      </c>
      <c r="B3915" s="141">
        <v>508905</v>
      </c>
      <c r="C3915" s="141" t="s">
        <v>1129</v>
      </c>
      <c r="D3915" s="141" t="s">
        <v>1112</v>
      </c>
    </row>
    <row r="3916" spans="1:4" x14ac:dyDescent="0.3">
      <c r="A3916" s="141" t="s">
        <v>6764</v>
      </c>
      <c r="B3916" s="141">
        <v>505192</v>
      </c>
      <c r="C3916" s="141" t="s">
        <v>6765</v>
      </c>
      <c r="D3916" s="141" t="s">
        <v>1207</v>
      </c>
    </row>
    <row r="3917" spans="1:4" x14ac:dyDescent="0.3">
      <c r="A3917" s="141" t="s">
        <v>6766</v>
      </c>
      <c r="B3917" s="141">
        <v>540686</v>
      </c>
      <c r="C3917" s="141" t="s">
        <v>1129</v>
      </c>
      <c r="D3917" s="141" t="s">
        <v>1167</v>
      </c>
    </row>
    <row r="3918" spans="1:4" x14ac:dyDescent="0.3">
      <c r="A3918" s="141" t="s">
        <v>6767</v>
      </c>
      <c r="B3918" s="141">
        <v>540679</v>
      </c>
      <c r="C3918" s="141" t="s">
        <v>6768</v>
      </c>
      <c r="D3918" s="141" t="s">
        <v>1167</v>
      </c>
    </row>
    <row r="3919" spans="1:4" x14ac:dyDescent="0.3">
      <c r="A3919" s="141" t="s">
        <v>6769</v>
      </c>
      <c r="B3919" s="141">
        <v>540679</v>
      </c>
      <c r="C3919" s="141" t="s">
        <v>6768</v>
      </c>
      <c r="D3919" s="141" t="s">
        <v>1167</v>
      </c>
    </row>
    <row r="3920" spans="1:4" x14ac:dyDescent="0.3">
      <c r="A3920" s="141" t="s">
        <v>6770</v>
      </c>
      <c r="B3920" s="141">
        <v>532815</v>
      </c>
      <c r="C3920" s="141" t="s">
        <v>6771</v>
      </c>
      <c r="D3920" s="141" t="s">
        <v>1167</v>
      </c>
    </row>
    <row r="3921" spans="1:4" x14ac:dyDescent="0.3">
      <c r="A3921" s="141" t="s">
        <v>6772</v>
      </c>
      <c r="B3921" s="141" t="s">
        <v>1129</v>
      </c>
      <c r="C3921" s="141" t="s">
        <v>6773</v>
      </c>
      <c r="D3921" s="141" t="s">
        <v>1140</v>
      </c>
    </row>
    <row r="3922" spans="1:4" x14ac:dyDescent="0.3">
      <c r="A3922" s="141" t="s">
        <v>6774</v>
      </c>
      <c r="B3922" s="141">
        <v>505827</v>
      </c>
      <c r="C3922" s="141" t="s">
        <v>1129</v>
      </c>
      <c r="D3922" s="141" t="s">
        <v>1314</v>
      </c>
    </row>
    <row r="3923" spans="1:4" x14ac:dyDescent="0.3">
      <c r="A3923" s="141" t="s">
        <v>6775</v>
      </c>
      <c r="B3923" s="141">
        <v>538635</v>
      </c>
      <c r="C3923" s="141" t="s">
        <v>6776</v>
      </c>
      <c r="D3923" s="141" t="s">
        <v>1450</v>
      </c>
    </row>
    <row r="3924" spans="1:4" x14ac:dyDescent="0.3">
      <c r="A3924" s="141" t="s">
        <v>6777</v>
      </c>
      <c r="B3924" s="141">
        <v>532784</v>
      </c>
      <c r="C3924" s="141" t="s">
        <v>6778</v>
      </c>
      <c r="D3924" s="141" t="s">
        <v>1215</v>
      </c>
    </row>
    <row r="3925" spans="1:4" x14ac:dyDescent="0.3">
      <c r="A3925" s="141" t="s">
        <v>6779</v>
      </c>
      <c r="B3925" s="141">
        <v>512014</v>
      </c>
      <c r="C3925" s="141" t="s">
        <v>1129</v>
      </c>
      <c r="D3925" s="141" t="s">
        <v>1550</v>
      </c>
    </row>
    <row r="3926" spans="1:4" x14ac:dyDescent="0.3">
      <c r="A3926" s="141" t="s">
        <v>6780</v>
      </c>
      <c r="B3926" s="141">
        <v>538923</v>
      </c>
      <c r="C3926" s="141" t="s">
        <v>1129</v>
      </c>
      <c r="D3926" s="141" t="s">
        <v>1115</v>
      </c>
    </row>
    <row r="3927" spans="1:4" x14ac:dyDescent="0.3">
      <c r="A3927" s="141" t="s">
        <v>6781</v>
      </c>
      <c r="B3927" s="141">
        <v>504375</v>
      </c>
      <c r="C3927" s="141" t="s">
        <v>1129</v>
      </c>
      <c r="D3927" s="141" t="s">
        <v>1115</v>
      </c>
    </row>
    <row r="3928" spans="1:4" x14ac:dyDescent="0.3">
      <c r="A3928" s="141" t="s">
        <v>6782</v>
      </c>
      <c r="B3928" s="141">
        <v>532344</v>
      </c>
      <c r="C3928" s="141" t="s">
        <v>1129</v>
      </c>
      <c r="D3928" s="141" t="s">
        <v>1222</v>
      </c>
    </row>
    <row r="3929" spans="1:4" x14ac:dyDescent="0.3">
      <c r="A3929" s="141" t="s">
        <v>6783</v>
      </c>
      <c r="B3929" s="141">
        <v>532344</v>
      </c>
      <c r="C3929" s="141" t="s">
        <v>1129</v>
      </c>
      <c r="D3929" s="141" t="s">
        <v>1222</v>
      </c>
    </row>
    <row r="3930" spans="1:4" x14ac:dyDescent="0.3">
      <c r="A3930" s="141" t="s">
        <v>6784</v>
      </c>
      <c r="B3930" s="141" t="s">
        <v>1129</v>
      </c>
      <c r="C3930" s="141" t="s">
        <v>6785</v>
      </c>
      <c r="D3930" s="141" t="s">
        <v>1140</v>
      </c>
    </row>
    <row r="3931" spans="1:4" x14ac:dyDescent="0.3">
      <c r="A3931" s="141" t="s">
        <v>6786</v>
      </c>
      <c r="B3931" s="141">
        <v>532725</v>
      </c>
      <c r="C3931" s="141" t="s">
        <v>6787</v>
      </c>
      <c r="D3931" s="141" t="s">
        <v>1289</v>
      </c>
    </row>
    <row r="3932" spans="1:4" x14ac:dyDescent="0.3">
      <c r="A3932" s="141" t="s">
        <v>6788</v>
      </c>
      <c r="B3932" s="141">
        <v>532725</v>
      </c>
      <c r="C3932" s="141" t="s">
        <v>6787</v>
      </c>
      <c r="D3932" s="141" t="s">
        <v>1289</v>
      </c>
    </row>
    <row r="3933" spans="1:4" x14ac:dyDescent="0.3">
      <c r="A3933" s="141" t="s">
        <v>6789</v>
      </c>
      <c r="B3933" s="141">
        <v>541540</v>
      </c>
      <c r="C3933" s="141" t="s">
        <v>6790</v>
      </c>
      <c r="D3933" s="141" t="s">
        <v>1167</v>
      </c>
    </row>
    <row r="3934" spans="1:4" x14ac:dyDescent="0.3">
      <c r="A3934" s="141" t="s">
        <v>6791</v>
      </c>
      <c r="B3934" s="141" t="s">
        <v>1129</v>
      </c>
      <c r="C3934" s="141" t="s">
        <v>6792</v>
      </c>
      <c r="D3934" s="141" t="s">
        <v>1140</v>
      </c>
    </row>
    <row r="3935" spans="1:4" x14ac:dyDescent="0.3">
      <c r="A3935" s="141" t="s">
        <v>6793</v>
      </c>
      <c r="B3935" s="141">
        <v>500394</v>
      </c>
      <c r="C3935" s="141" t="s">
        <v>1129</v>
      </c>
      <c r="D3935" s="141" t="s">
        <v>1314</v>
      </c>
    </row>
    <row r="3936" spans="1:4" x14ac:dyDescent="0.3">
      <c r="A3936" s="141" t="s">
        <v>6794</v>
      </c>
      <c r="B3936" s="141">
        <v>502460</v>
      </c>
      <c r="C3936" s="141" t="s">
        <v>1129</v>
      </c>
      <c r="D3936" s="141" t="s">
        <v>1123</v>
      </c>
    </row>
    <row r="3937" spans="1:4" x14ac:dyDescent="0.3">
      <c r="A3937" s="141" t="s">
        <v>6795</v>
      </c>
      <c r="B3937" s="141">
        <v>513699</v>
      </c>
      <c r="C3937" s="141" t="s">
        <v>1129</v>
      </c>
      <c r="D3937" s="141" t="s">
        <v>1657</v>
      </c>
    </row>
    <row r="3938" spans="1:4" x14ac:dyDescent="0.3">
      <c r="A3938" s="141" t="s">
        <v>6796</v>
      </c>
      <c r="B3938" s="141">
        <v>538575</v>
      </c>
      <c r="C3938" s="141" t="s">
        <v>1129</v>
      </c>
      <c r="D3938" s="141" t="s">
        <v>1151</v>
      </c>
    </row>
    <row r="3939" spans="1:4" x14ac:dyDescent="0.3">
      <c r="A3939" s="141" t="s">
        <v>6797</v>
      </c>
      <c r="B3939" s="141">
        <v>522152</v>
      </c>
      <c r="C3939" s="141" t="s">
        <v>1129</v>
      </c>
      <c r="D3939" s="141" t="s">
        <v>1137</v>
      </c>
    </row>
    <row r="3940" spans="1:4" x14ac:dyDescent="0.3">
      <c r="A3940" s="141" t="s">
        <v>6798</v>
      </c>
      <c r="B3940" s="141">
        <v>511571</v>
      </c>
      <c r="C3940" s="141" t="s">
        <v>1129</v>
      </c>
      <c r="D3940" s="141" t="s">
        <v>1146</v>
      </c>
    </row>
    <row r="3941" spans="1:4" x14ac:dyDescent="0.3">
      <c r="A3941" s="141" t="s">
        <v>6799</v>
      </c>
      <c r="B3941" s="141">
        <v>507514</v>
      </c>
      <c r="C3941" s="141" t="s">
        <v>6800</v>
      </c>
      <c r="D3941" s="141" t="s">
        <v>1761</v>
      </c>
    </row>
    <row r="3942" spans="1:4" x14ac:dyDescent="0.3">
      <c r="A3942" s="141" t="s">
        <v>6801</v>
      </c>
      <c r="B3942" s="141">
        <v>521034</v>
      </c>
      <c r="C3942" s="141" t="s">
        <v>6802</v>
      </c>
      <c r="D3942" s="141" t="s">
        <v>1144</v>
      </c>
    </row>
    <row r="3943" spans="1:4" x14ac:dyDescent="0.3">
      <c r="A3943" s="141" t="s">
        <v>6803</v>
      </c>
      <c r="B3943" s="141">
        <v>531548</v>
      </c>
      <c r="C3943" s="141" t="s">
        <v>6804</v>
      </c>
      <c r="D3943" s="141" t="s">
        <v>1406</v>
      </c>
    </row>
    <row r="3944" spans="1:4" x14ac:dyDescent="0.3">
      <c r="A3944" s="141" t="s">
        <v>6805</v>
      </c>
      <c r="B3944" s="141">
        <v>533001</v>
      </c>
      <c r="C3944" s="141" t="s">
        <v>6806</v>
      </c>
      <c r="D3944" s="141" t="s">
        <v>1137</v>
      </c>
    </row>
    <row r="3945" spans="1:4" x14ac:dyDescent="0.3">
      <c r="A3945" s="141" t="s">
        <v>6807</v>
      </c>
      <c r="B3945" s="141">
        <v>526901</v>
      </c>
      <c r="C3945" s="141" t="s">
        <v>1129</v>
      </c>
      <c r="D3945" s="141" t="s">
        <v>1177</v>
      </c>
    </row>
    <row r="3946" spans="1:4" x14ac:dyDescent="0.3">
      <c r="A3946" s="141" t="s">
        <v>6808</v>
      </c>
      <c r="B3946" s="141">
        <v>538943</v>
      </c>
      <c r="C3946" s="141" t="s">
        <v>1129</v>
      </c>
      <c r="D3946" s="141" t="s">
        <v>1146</v>
      </c>
    </row>
    <row r="3947" spans="1:4" x14ac:dyDescent="0.3">
      <c r="A3947" s="141" t="s">
        <v>6809</v>
      </c>
      <c r="B3947" s="141" t="s">
        <v>1129</v>
      </c>
      <c r="C3947" s="141" t="s">
        <v>6810</v>
      </c>
      <c r="D3947" s="141" t="s">
        <v>1140</v>
      </c>
    </row>
    <row r="3948" spans="1:4" x14ac:dyDescent="0.3">
      <c r="A3948" s="141" t="s">
        <v>6811</v>
      </c>
      <c r="B3948" s="141">
        <v>532221</v>
      </c>
      <c r="C3948" s="141" t="s">
        <v>6812</v>
      </c>
      <c r="D3948" s="141" t="s">
        <v>1115</v>
      </c>
    </row>
    <row r="3949" spans="1:4" x14ac:dyDescent="0.3">
      <c r="A3949" s="141" t="s">
        <v>6813</v>
      </c>
      <c r="B3949" s="141">
        <v>539378</v>
      </c>
      <c r="C3949" s="141" t="s">
        <v>1129</v>
      </c>
      <c r="D3949" s="141" t="s">
        <v>1599</v>
      </c>
    </row>
    <row r="3950" spans="1:4" x14ac:dyDescent="0.3">
      <c r="A3950" s="141" t="s">
        <v>6814</v>
      </c>
      <c r="B3950" s="141" t="s">
        <v>1129</v>
      </c>
      <c r="C3950" s="141" t="s">
        <v>6815</v>
      </c>
      <c r="D3950" s="141" t="s">
        <v>1140</v>
      </c>
    </row>
    <row r="3951" spans="1:4" x14ac:dyDescent="0.3">
      <c r="A3951" s="141" t="s">
        <v>6816</v>
      </c>
      <c r="B3951" s="141">
        <v>541633</v>
      </c>
      <c r="C3951" s="141" t="s">
        <v>1129</v>
      </c>
      <c r="D3951" s="141" t="s">
        <v>1123</v>
      </c>
    </row>
    <row r="3952" spans="1:4" x14ac:dyDescent="0.3">
      <c r="A3952" s="141" t="s">
        <v>6817</v>
      </c>
      <c r="B3952" s="141">
        <v>532679</v>
      </c>
      <c r="C3952" s="141" t="s">
        <v>6818</v>
      </c>
      <c r="D3952" s="141" t="s">
        <v>1118</v>
      </c>
    </row>
    <row r="3953" spans="1:4" x14ac:dyDescent="0.3">
      <c r="A3953" s="141" t="s">
        <v>6819</v>
      </c>
      <c r="B3953" s="141">
        <v>521036</v>
      </c>
      <c r="C3953" s="141" t="s">
        <v>1129</v>
      </c>
      <c r="D3953" s="141" t="s">
        <v>1144</v>
      </c>
    </row>
    <row r="3954" spans="1:4" x14ac:dyDescent="0.3">
      <c r="A3954" s="141" t="s">
        <v>6820</v>
      </c>
      <c r="B3954" s="141">
        <v>521036</v>
      </c>
      <c r="C3954" s="141" t="s">
        <v>1129</v>
      </c>
      <c r="D3954" s="141" t="s">
        <v>1144</v>
      </c>
    </row>
    <row r="3955" spans="1:4" x14ac:dyDescent="0.3">
      <c r="A3955" s="141" t="s">
        <v>6821</v>
      </c>
      <c r="B3955" s="141">
        <v>531398</v>
      </c>
      <c r="C3955" s="141" t="s">
        <v>1129</v>
      </c>
      <c r="D3955" s="141" t="s">
        <v>1167</v>
      </c>
    </row>
    <row r="3956" spans="1:4" x14ac:dyDescent="0.3">
      <c r="A3956" s="141" t="s">
        <v>6822</v>
      </c>
      <c r="B3956" s="141">
        <v>526477</v>
      </c>
      <c r="C3956" s="141" t="s">
        <v>1129</v>
      </c>
      <c r="D3956" s="141" t="s">
        <v>1307</v>
      </c>
    </row>
    <row r="3957" spans="1:4" x14ac:dyDescent="0.3">
      <c r="A3957" s="141" t="s">
        <v>6823</v>
      </c>
      <c r="B3957" s="141">
        <v>516108</v>
      </c>
      <c r="C3957" s="141" t="s">
        <v>1129</v>
      </c>
      <c r="D3957" s="141" t="s">
        <v>1123</v>
      </c>
    </row>
    <row r="3958" spans="1:4" x14ac:dyDescent="0.3">
      <c r="A3958" s="141" t="s">
        <v>6824</v>
      </c>
      <c r="B3958" s="141">
        <v>538891</v>
      </c>
      <c r="C3958" s="141" t="s">
        <v>1129</v>
      </c>
      <c r="D3958" s="141" t="s">
        <v>1146</v>
      </c>
    </row>
    <row r="3959" spans="1:4" x14ac:dyDescent="0.3">
      <c r="A3959" s="141" t="s">
        <v>6825</v>
      </c>
      <c r="B3959" s="141" t="s">
        <v>1129</v>
      </c>
      <c r="C3959" s="141" t="s">
        <v>6826</v>
      </c>
      <c r="D3959" s="141" t="s">
        <v>1140</v>
      </c>
    </row>
    <row r="3960" spans="1:4" x14ac:dyDescent="0.3">
      <c r="A3960" s="141" t="s">
        <v>6827</v>
      </c>
      <c r="B3960" s="141">
        <v>509910</v>
      </c>
      <c r="C3960" s="141" t="s">
        <v>1129</v>
      </c>
      <c r="D3960" s="141" t="s">
        <v>1177</v>
      </c>
    </row>
    <row r="3961" spans="1:4" x14ac:dyDescent="0.3">
      <c r="A3961" s="141" t="s">
        <v>6828</v>
      </c>
      <c r="B3961" s="141">
        <v>540174</v>
      </c>
      <c r="C3961" s="141" t="s">
        <v>1129</v>
      </c>
      <c r="D3961" s="141" t="s">
        <v>1115</v>
      </c>
    </row>
    <row r="3962" spans="1:4" x14ac:dyDescent="0.3">
      <c r="A3962" s="141" t="s">
        <v>6829</v>
      </c>
      <c r="B3962" s="141">
        <v>514454</v>
      </c>
      <c r="C3962" s="141" t="s">
        <v>1129</v>
      </c>
      <c r="D3962" s="141" t="s">
        <v>1144</v>
      </c>
    </row>
    <row r="3963" spans="1:4" x14ac:dyDescent="0.3">
      <c r="A3963" s="141" t="s">
        <v>6830</v>
      </c>
      <c r="B3963" s="141">
        <v>513498</v>
      </c>
      <c r="C3963" s="141" t="s">
        <v>1129</v>
      </c>
      <c r="D3963" s="141" t="s">
        <v>1109</v>
      </c>
    </row>
    <row r="3964" spans="1:4" x14ac:dyDescent="0.3">
      <c r="A3964" s="141" t="s">
        <v>6831</v>
      </c>
      <c r="B3964" s="141">
        <v>532669</v>
      </c>
      <c r="C3964" s="141" t="s">
        <v>1129</v>
      </c>
      <c r="D3964" s="141" t="s">
        <v>1177</v>
      </c>
    </row>
    <row r="3965" spans="1:4" x14ac:dyDescent="0.3">
      <c r="A3965" s="141" t="s">
        <v>6832</v>
      </c>
      <c r="B3965" s="141">
        <v>590030</v>
      </c>
      <c r="C3965" s="141" t="s">
        <v>6833</v>
      </c>
      <c r="D3965" s="141" t="s">
        <v>1637</v>
      </c>
    </row>
    <row r="3966" spans="1:4" x14ac:dyDescent="0.3">
      <c r="A3966" s="141" t="s">
        <v>6834</v>
      </c>
      <c r="B3966" s="141">
        <v>523826</v>
      </c>
      <c r="C3966" s="141" t="s">
        <v>1129</v>
      </c>
      <c r="D3966" s="141" t="s">
        <v>1243</v>
      </c>
    </row>
    <row r="3967" spans="1:4" x14ac:dyDescent="0.3">
      <c r="A3967" s="141" t="s">
        <v>6835</v>
      </c>
      <c r="B3967" s="141">
        <v>532025</v>
      </c>
      <c r="C3967" s="141" t="s">
        <v>1129</v>
      </c>
      <c r="D3967" s="141" t="s">
        <v>1132</v>
      </c>
    </row>
    <row r="3968" spans="1:4" x14ac:dyDescent="0.3">
      <c r="A3968" s="141" t="s">
        <v>6836</v>
      </c>
      <c r="B3968" s="141">
        <v>530289</v>
      </c>
      <c r="C3968" s="141" t="s">
        <v>1129</v>
      </c>
      <c r="D3968" s="141" t="s">
        <v>1550</v>
      </c>
    </row>
    <row r="3969" spans="1:4" x14ac:dyDescent="0.3">
      <c r="A3969" s="141" t="s">
        <v>6837</v>
      </c>
      <c r="B3969" s="141">
        <v>542376</v>
      </c>
      <c r="C3969" s="141" t="s">
        <v>6838</v>
      </c>
      <c r="D3969" s="141" t="s">
        <v>1112</v>
      </c>
    </row>
    <row r="3970" spans="1:4" x14ac:dyDescent="0.3">
      <c r="A3970" s="141" t="s">
        <v>6839</v>
      </c>
      <c r="B3970" s="141">
        <v>541890</v>
      </c>
      <c r="C3970" s="141" t="s">
        <v>1129</v>
      </c>
      <c r="D3970" s="141" t="s">
        <v>1115</v>
      </c>
    </row>
    <row r="3971" spans="1:4" x14ac:dyDescent="0.3">
      <c r="A3971" s="141" t="s">
        <v>6840</v>
      </c>
      <c r="B3971" s="141">
        <v>538920</v>
      </c>
      <c r="C3971" s="141" t="s">
        <v>1129</v>
      </c>
      <c r="D3971" s="141" t="s">
        <v>1151</v>
      </c>
    </row>
    <row r="3972" spans="1:4" x14ac:dyDescent="0.3">
      <c r="A3972" s="141" t="s">
        <v>6841</v>
      </c>
      <c r="B3972" s="141" t="s">
        <v>1129</v>
      </c>
      <c r="C3972" s="141" t="s">
        <v>6842</v>
      </c>
      <c r="D3972" s="141" t="s">
        <v>1220</v>
      </c>
    </row>
    <row r="3973" spans="1:4" x14ac:dyDescent="0.3">
      <c r="A3973" s="141" t="s">
        <v>6843</v>
      </c>
      <c r="B3973" s="141" t="s">
        <v>1129</v>
      </c>
      <c r="C3973" s="141" t="s">
        <v>6842</v>
      </c>
      <c r="D3973" s="141" t="s">
        <v>1220</v>
      </c>
    </row>
    <row r="3974" spans="1:4" x14ac:dyDescent="0.3">
      <c r="A3974" s="141" t="s">
        <v>6844</v>
      </c>
      <c r="B3974" s="141">
        <v>524727</v>
      </c>
      <c r="C3974" s="141" t="s">
        <v>1129</v>
      </c>
      <c r="D3974" s="141" t="s">
        <v>1167</v>
      </c>
    </row>
    <row r="3975" spans="1:4" x14ac:dyDescent="0.3">
      <c r="A3975" s="141" t="s">
        <v>6845</v>
      </c>
      <c r="B3975" s="141">
        <v>531370</v>
      </c>
      <c r="C3975" s="141" t="s">
        <v>1129</v>
      </c>
      <c r="D3975" s="141" t="s">
        <v>1115</v>
      </c>
    </row>
    <row r="3976" spans="1:4" x14ac:dyDescent="0.3">
      <c r="A3976" s="141" t="s">
        <v>6846</v>
      </c>
      <c r="B3976" s="141">
        <v>540211</v>
      </c>
      <c r="C3976" s="141" t="s">
        <v>1129</v>
      </c>
      <c r="D3976" s="141" t="s">
        <v>1146</v>
      </c>
    </row>
    <row r="3977" spans="1:4" x14ac:dyDescent="0.3">
      <c r="A3977" s="141" t="s">
        <v>6847</v>
      </c>
      <c r="B3977" s="141">
        <v>534425</v>
      </c>
      <c r="C3977" s="141" t="s">
        <v>6848</v>
      </c>
      <c r="D3977" s="141" t="s">
        <v>1618</v>
      </c>
    </row>
    <row r="3978" spans="1:4" x14ac:dyDescent="0.3">
      <c r="A3978" s="141" t="s">
        <v>6849</v>
      </c>
      <c r="B3978" s="141">
        <v>513687</v>
      </c>
      <c r="C3978" s="141" t="s">
        <v>1129</v>
      </c>
      <c r="D3978" s="141" t="s">
        <v>1484</v>
      </c>
    </row>
    <row r="3979" spans="1:4" x14ac:dyDescent="0.3">
      <c r="A3979" s="141" t="s">
        <v>6850</v>
      </c>
      <c r="B3979" s="141" t="s">
        <v>1129</v>
      </c>
      <c r="C3979" s="141" t="s">
        <v>6851</v>
      </c>
      <c r="D3979" s="141" t="s">
        <v>1140</v>
      </c>
    </row>
    <row r="3980" spans="1:4" x14ac:dyDescent="0.3">
      <c r="A3980" s="141" t="s">
        <v>6852</v>
      </c>
      <c r="B3980" s="141">
        <v>531982</v>
      </c>
      <c r="C3980" s="141" t="s">
        <v>1129</v>
      </c>
      <c r="D3980" s="141" t="s">
        <v>1209</v>
      </c>
    </row>
    <row r="3981" spans="1:4" x14ac:dyDescent="0.3">
      <c r="A3981" s="141" t="s">
        <v>6853</v>
      </c>
      <c r="B3981" s="141">
        <v>512153</v>
      </c>
      <c r="C3981" s="141" t="s">
        <v>1129</v>
      </c>
      <c r="D3981" s="141" t="s">
        <v>1550</v>
      </c>
    </row>
    <row r="3982" spans="1:4" x14ac:dyDescent="0.3">
      <c r="A3982" s="141" t="s">
        <v>6854</v>
      </c>
      <c r="B3982" s="141">
        <v>512291</v>
      </c>
      <c r="C3982" s="141" t="s">
        <v>1129</v>
      </c>
      <c r="D3982" s="141" t="s">
        <v>1112</v>
      </c>
    </row>
    <row r="3983" spans="1:4" x14ac:dyDescent="0.3">
      <c r="A3983" s="141" t="s">
        <v>6855</v>
      </c>
      <c r="B3983" s="141">
        <v>517166</v>
      </c>
      <c r="C3983" s="141" t="s">
        <v>1129</v>
      </c>
      <c r="D3983" s="141" t="s">
        <v>1671</v>
      </c>
    </row>
    <row r="3984" spans="1:4" x14ac:dyDescent="0.3">
      <c r="A3984" s="141" t="s">
        <v>6856</v>
      </c>
      <c r="B3984" s="141">
        <v>542337</v>
      </c>
      <c r="C3984" s="141" t="s">
        <v>6857</v>
      </c>
      <c r="D3984" s="141" t="s">
        <v>1298</v>
      </c>
    </row>
    <row r="3985" spans="1:4" x14ac:dyDescent="0.3">
      <c r="A3985" s="141" t="s">
        <v>6858</v>
      </c>
      <c r="B3985" s="141" t="s">
        <v>1129</v>
      </c>
      <c r="C3985" s="141" t="s">
        <v>6859</v>
      </c>
      <c r="D3985" s="141" t="s">
        <v>1298</v>
      </c>
    </row>
    <row r="3986" spans="1:4" x14ac:dyDescent="0.3">
      <c r="A3986" s="141" t="s">
        <v>6860</v>
      </c>
      <c r="B3986" s="141">
        <v>526161</v>
      </c>
      <c r="C3986" s="141" t="s">
        <v>1129</v>
      </c>
      <c r="D3986" s="141" t="s">
        <v>1243</v>
      </c>
    </row>
    <row r="3987" spans="1:4" x14ac:dyDescent="0.3">
      <c r="A3987" s="141" t="s">
        <v>6861</v>
      </c>
      <c r="B3987" s="141">
        <v>521082</v>
      </c>
      <c r="C3987" s="141" t="s">
        <v>6862</v>
      </c>
      <c r="D3987" s="141" t="s">
        <v>1144</v>
      </c>
    </row>
    <row r="3988" spans="1:4" x14ac:dyDescent="0.3">
      <c r="A3988" s="141" t="s">
        <v>6863</v>
      </c>
      <c r="B3988" s="141">
        <v>526827</v>
      </c>
      <c r="C3988" s="141" t="s">
        <v>1129</v>
      </c>
      <c r="D3988" s="141" t="s">
        <v>1243</v>
      </c>
    </row>
    <row r="3989" spans="1:4" x14ac:dyDescent="0.3">
      <c r="A3989" s="141" t="s">
        <v>6864</v>
      </c>
      <c r="B3989" s="141">
        <v>517214</v>
      </c>
      <c r="C3989" s="141" t="s">
        <v>6865</v>
      </c>
      <c r="D3989" s="141" t="s">
        <v>1275</v>
      </c>
    </row>
    <row r="3990" spans="1:4" x14ac:dyDescent="0.3">
      <c r="A3990" s="141" t="s">
        <v>6866</v>
      </c>
      <c r="B3990" s="141">
        <v>500285</v>
      </c>
      <c r="C3990" s="141" t="s">
        <v>1129</v>
      </c>
      <c r="D3990" s="141" t="s">
        <v>3267</v>
      </c>
    </row>
    <row r="3991" spans="1:4" x14ac:dyDescent="0.3">
      <c r="A3991" s="141" t="s">
        <v>6867</v>
      </c>
      <c r="B3991" s="141">
        <v>540084</v>
      </c>
      <c r="C3991" s="141" t="s">
        <v>1129</v>
      </c>
      <c r="D3991" s="141" t="s">
        <v>1132</v>
      </c>
    </row>
    <row r="3992" spans="1:4" x14ac:dyDescent="0.3">
      <c r="A3992" s="141" t="s">
        <v>6868</v>
      </c>
      <c r="B3992" s="141">
        <v>532651</v>
      </c>
      <c r="C3992" s="141" t="s">
        <v>6869</v>
      </c>
      <c r="D3992" s="141" t="s">
        <v>1243</v>
      </c>
    </row>
    <row r="3993" spans="1:4" x14ac:dyDescent="0.3">
      <c r="A3993" s="141" t="s">
        <v>6870</v>
      </c>
      <c r="B3993" s="141">
        <v>513414</v>
      </c>
      <c r="C3993" s="141" t="s">
        <v>6871</v>
      </c>
      <c r="D3993" s="141" t="s">
        <v>1161</v>
      </c>
    </row>
    <row r="3994" spans="1:4" x14ac:dyDescent="0.3">
      <c r="A3994" s="141" t="s">
        <v>6872</v>
      </c>
      <c r="B3994" s="141">
        <v>500402</v>
      </c>
      <c r="C3994" s="141" t="s">
        <v>6873</v>
      </c>
      <c r="D3994" s="141" t="s">
        <v>1527</v>
      </c>
    </row>
    <row r="3995" spans="1:4" x14ac:dyDescent="0.3">
      <c r="A3995" s="141" t="s">
        <v>6874</v>
      </c>
      <c r="B3995" s="141">
        <v>539221</v>
      </c>
      <c r="C3995" s="141" t="s">
        <v>1129</v>
      </c>
      <c r="D3995" s="141" t="s">
        <v>1144</v>
      </c>
    </row>
    <row r="3996" spans="1:4" x14ac:dyDescent="0.3">
      <c r="A3996" s="141" t="s">
        <v>6875</v>
      </c>
      <c r="B3996" s="141">
        <v>539221</v>
      </c>
      <c r="C3996" s="141" t="s">
        <v>1129</v>
      </c>
      <c r="D3996" s="141" t="s">
        <v>1144</v>
      </c>
    </row>
    <row r="3997" spans="1:4" x14ac:dyDescent="0.3">
      <c r="A3997" s="141" t="s">
        <v>6876</v>
      </c>
      <c r="B3997" s="141">
        <v>540079</v>
      </c>
      <c r="C3997" s="141" t="s">
        <v>1129</v>
      </c>
      <c r="D3997" s="141" t="s">
        <v>2049</v>
      </c>
    </row>
    <row r="3998" spans="1:4" x14ac:dyDescent="0.3">
      <c r="A3998" s="141" t="s">
        <v>6877</v>
      </c>
      <c r="B3998" s="141">
        <v>540570</v>
      </c>
      <c r="C3998" s="141" t="s">
        <v>6878</v>
      </c>
      <c r="D3998" s="141" t="s">
        <v>5947</v>
      </c>
    </row>
    <row r="3999" spans="1:4" x14ac:dyDescent="0.3">
      <c r="A3999" s="141" t="s">
        <v>6879</v>
      </c>
      <c r="B3999" s="141">
        <v>538402</v>
      </c>
      <c r="C3999" s="141" t="s">
        <v>1129</v>
      </c>
      <c r="D3999" s="141" t="s">
        <v>1146</v>
      </c>
    </row>
    <row r="4000" spans="1:4" x14ac:dyDescent="0.3">
      <c r="A4000" s="141" t="s">
        <v>6880</v>
      </c>
      <c r="B4000" s="141">
        <v>530177</v>
      </c>
      <c r="C4000" s="141" t="s">
        <v>1129</v>
      </c>
      <c r="D4000" s="141" t="s">
        <v>1151</v>
      </c>
    </row>
    <row r="4001" spans="1:4" x14ac:dyDescent="0.3">
      <c r="A4001" s="141" t="s">
        <v>6881</v>
      </c>
      <c r="B4001" s="141">
        <v>533121</v>
      </c>
      <c r="C4001" s="141" t="s">
        <v>6882</v>
      </c>
      <c r="D4001" s="141" t="s">
        <v>1115</v>
      </c>
    </row>
    <row r="4002" spans="1:4" x14ac:dyDescent="0.3">
      <c r="A4002" s="141" t="s">
        <v>6883</v>
      </c>
      <c r="B4002" s="141">
        <v>526532</v>
      </c>
      <c r="C4002" s="141" t="s">
        <v>1129</v>
      </c>
      <c r="D4002" s="141" t="s">
        <v>1177</v>
      </c>
    </row>
    <row r="4003" spans="1:4" x14ac:dyDescent="0.3">
      <c r="A4003" s="141" t="s">
        <v>6884</v>
      </c>
      <c r="B4003" s="141">
        <v>526532</v>
      </c>
      <c r="C4003" s="141" t="s">
        <v>1129</v>
      </c>
      <c r="D4003" s="141" t="s">
        <v>1177</v>
      </c>
    </row>
    <row r="4004" spans="1:4" x14ac:dyDescent="0.3">
      <c r="A4004" s="141" t="s">
        <v>6885</v>
      </c>
      <c r="B4004" s="141">
        <v>530037</v>
      </c>
      <c r="C4004" s="141" t="s">
        <v>1129</v>
      </c>
      <c r="D4004" s="141" t="s">
        <v>1144</v>
      </c>
    </row>
    <row r="4005" spans="1:4" x14ac:dyDescent="0.3">
      <c r="A4005" s="141" t="s">
        <v>6886</v>
      </c>
      <c r="B4005" s="141">
        <v>532842</v>
      </c>
      <c r="C4005" s="141" t="s">
        <v>6887</v>
      </c>
      <c r="D4005" s="141" t="s">
        <v>1177</v>
      </c>
    </row>
    <row r="4006" spans="1:4" x14ac:dyDescent="0.3">
      <c r="A4006" s="141" t="s">
        <v>6888</v>
      </c>
      <c r="B4006" s="141">
        <v>514248</v>
      </c>
      <c r="C4006" s="141" t="s">
        <v>1129</v>
      </c>
      <c r="D4006" s="141" t="s">
        <v>1177</v>
      </c>
    </row>
    <row r="4007" spans="1:4" x14ac:dyDescent="0.3">
      <c r="A4007" s="141" t="s">
        <v>6889</v>
      </c>
      <c r="B4007" s="141">
        <v>535601</v>
      </c>
      <c r="C4007" s="141" t="s">
        <v>6890</v>
      </c>
      <c r="D4007" s="141" t="s">
        <v>1555</v>
      </c>
    </row>
    <row r="4008" spans="1:4" x14ac:dyDescent="0.3">
      <c r="A4008" s="141" t="s">
        <v>6891</v>
      </c>
      <c r="B4008" s="141">
        <v>523756</v>
      </c>
      <c r="C4008" s="141" t="s">
        <v>6892</v>
      </c>
      <c r="D4008" s="141" t="s">
        <v>1146</v>
      </c>
    </row>
    <row r="4009" spans="1:4" x14ac:dyDescent="0.3">
      <c r="A4009" s="141" t="s">
        <v>6893</v>
      </c>
      <c r="B4009" s="141">
        <v>539217</v>
      </c>
      <c r="C4009" s="141" t="s">
        <v>1129</v>
      </c>
      <c r="D4009" s="141" t="s">
        <v>1149</v>
      </c>
    </row>
    <row r="4010" spans="1:4" x14ac:dyDescent="0.3">
      <c r="A4010" s="141" t="s">
        <v>6894</v>
      </c>
      <c r="B4010" s="141">
        <v>503806</v>
      </c>
      <c r="C4010" s="141" t="s">
        <v>6895</v>
      </c>
      <c r="D4010" s="141" t="s">
        <v>1144</v>
      </c>
    </row>
    <row r="4011" spans="1:4" x14ac:dyDescent="0.3">
      <c r="A4011" s="141" t="s">
        <v>6896</v>
      </c>
      <c r="B4011" s="141">
        <v>534680</v>
      </c>
      <c r="C4011" s="141" t="s">
        <v>1129</v>
      </c>
      <c r="D4011" s="141" t="s">
        <v>1187</v>
      </c>
    </row>
    <row r="4012" spans="1:4" x14ac:dyDescent="0.3">
      <c r="A4012" s="141" t="s">
        <v>6897</v>
      </c>
      <c r="B4012" s="141">
        <v>530943</v>
      </c>
      <c r="C4012" s="141" t="s">
        <v>6898</v>
      </c>
      <c r="D4012" s="141" t="s">
        <v>1132</v>
      </c>
    </row>
    <row r="4013" spans="1:4" x14ac:dyDescent="0.3">
      <c r="A4013" s="141" t="s">
        <v>6899</v>
      </c>
      <c r="B4013" s="141">
        <v>538863</v>
      </c>
      <c r="C4013" s="141" t="s">
        <v>1129</v>
      </c>
      <c r="D4013" s="141" t="s">
        <v>1146</v>
      </c>
    </row>
    <row r="4014" spans="1:4" x14ac:dyDescent="0.3">
      <c r="A4014" s="141" t="s">
        <v>6900</v>
      </c>
      <c r="B4014" s="141">
        <v>531322</v>
      </c>
      <c r="C4014" s="141" t="s">
        <v>6901</v>
      </c>
      <c r="D4014" s="141" t="s">
        <v>1339</v>
      </c>
    </row>
    <row r="4015" spans="1:4" x14ac:dyDescent="0.3">
      <c r="A4015" s="141" t="s">
        <v>6902</v>
      </c>
      <c r="B4015" s="141">
        <v>514442</v>
      </c>
      <c r="C4015" s="141" t="s">
        <v>1129</v>
      </c>
      <c r="D4015" s="141" t="s">
        <v>1249</v>
      </c>
    </row>
    <row r="4016" spans="1:4" x14ac:dyDescent="0.3">
      <c r="A4016" s="141" t="s">
        <v>6903</v>
      </c>
      <c r="B4016" s="141">
        <v>539363</v>
      </c>
      <c r="C4016" s="141" t="s">
        <v>1129</v>
      </c>
      <c r="D4016" s="141" t="s">
        <v>1215</v>
      </c>
    </row>
    <row r="4017" spans="1:4" x14ac:dyDescent="0.3">
      <c r="A4017" s="141" t="s">
        <v>6904</v>
      </c>
      <c r="B4017" s="141">
        <v>539363</v>
      </c>
      <c r="C4017" s="141" t="s">
        <v>1129</v>
      </c>
      <c r="D4017" s="141" t="s">
        <v>1215</v>
      </c>
    </row>
    <row r="4018" spans="1:4" x14ac:dyDescent="0.3">
      <c r="A4018" s="141" t="s">
        <v>6905</v>
      </c>
      <c r="B4018" s="141" t="s">
        <v>1129</v>
      </c>
      <c r="C4018" s="141" t="s">
        <v>6906</v>
      </c>
      <c r="D4018" s="141" t="s">
        <v>1140</v>
      </c>
    </row>
    <row r="4019" spans="1:4" x14ac:dyDescent="0.3">
      <c r="A4019" s="141" t="s">
        <v>6907</v>
      </c>
      <c r="B4019" s="141">
        <v>521161</v>
      </c>
      <c r="C4019" s="141" t="s">
        <v>1129</v>
      </c>
      <c r="D4019" s="141" t="s">
        <v>1144</v>
      </c>
    </row>
    <row r="4020" spans="1:4" x14ac:dyDescent="0.3">
      <c r="A4020" s="141" t="s">
        <v>6908</v>
      </c>
      <c r="B4020" s="141">
        <v>521234</v>
      </c>
      <c r="C4020" s="141" t="s">
        <v>1129</v>
      </c>
      <c r="D4020" s="141" t="s">
        <v>1144</v>
      </c>
    </row>
    <row r="4021" spans="1:4" x14ac:dyDescent="0.3">
      <c r="A4021" s="141" t="s">
        <v>6909</v>
      </c>
      <c r="B4021" s="141">
        <v>521178</v>
      </c>
      <c r="C4021" s="141" t="s">
        <v>1129</v>
      </c>
      <c r="D4021" s="141" t="s">
        <v>1144</v>
      </c>
    </row>
    <row r="4022" spans="1:4" x14ac:dyDescent="0.3">
      <c r="A4022" s="141" t="s">
        <v>6910</v>
      </c>
      <c r="B4022" s="141">
        <v>515081</v>
      </c>
      <c r="C4022" s="141" t="s">
        <v>1129</v>
      </c>
      <c r="D4022" s="141" t="s">
        <v>1657</v>
      </c>
    </row>
    <row r="4023" spans="1:4" x14ac:dyDescent="0.3">
      <c r="A4023" s="141" t="s">
        <v>6911</v>
      </c>
      <c r="B4023" s="141">
        <v>513605</v>
      </c>
      <c r="C4023" s="141" t="s">
        <v>6912</v>
      </c>
      <c r="D4023" s="141" t="s">
        <v>1452</v>
      </c>
    </row>
    <row r="4024" spans="1:4" x14ac:dyDescent="0.3">
      <c r="A4024" s="141" t="s">
        <v>6913</v>
      </c>
      <c r="B4024" s="141">
        <v>523222</v>
      </c>
      <c r="C4024" s="141" t="s">
        <v>1129</v>
      </c>
      <c r="D4024" s="141" t="s">
        <v>1268</v>
      </c>
    </row>
    <row r="4025" spans="1:4" x14ac:dyDescent="0.3">
      <c r="A4025" s="141" t="s">
        <v>6914</v>
      </c>
      <c r="B4025" s="141">
        <v>536799</v>
      </c>
      <c r="C4025" s="141" t="s">
        <v>1129</v>
      </c>
      <c r="D4025" s="141" t="s">
        <v>1146</v>
      </c>
    </row>
    <row r="4026" spans="1:4" x14ac:dyDescent="0.3">
      <c r="A4026" s="141" t="s">
        <v>6915</v>
      </c>
      <c r="B4026" s="141">
        <v>533569</v>
      </c>
      <c r="C4026" s="141" t="s">
        <v>6916</v>
      </c>
      <c r="D4026" s="141" t="s">
        <v>1243</v>
      </c>
    </row>
    <row r="4027" spans="1:4" x14ac:dyDescent="0.3">
      <c r="A4027" s="141" t="s">
        <v>6917</v>
      </c>
      <c r="B4027" s="141">
        <v>540914</v>
      </c>
      <c r="C4027" s="141" t="s">
        <v>1129</v>
      </c>
      <c r="D4027" s="141" t="s">
        <v>1151</v>
      </c>
    </row>
    <row r="4028" spans="1:4" x14ac:dyDescent="0.3">
      <c r="A4028" s="141" t="s">
        <v>6918</v>
      </c>
      <c r="B4028" s="141">
        <v>524636</v>
      </c>
      <c r="C4028" s="141" t="s">
        <v>1129</v>
      </c>
      <c r="D4028" s="141" t="s">
        <v>1167</v>
      </c>
    </row>
    <row r="4029" spans="1:4" x14ac:dyDescent="0.3">
      <c r="A4029" s="141" t="s">
        <v>6919</v>
      </c>
      <c r="B4029" s="141">
        <v>530821</v>
      </c>
      <c r="C4029" s="141" t="s">
        <v>1129</v>
      </c>
      <c r="D4029" s="141" t="s">
        <v>1215</v>
      </c>
    </row>
    <row r="4030" spans="1:4" x14ac:dyDescent="0.3">
      <c r="A4030" s="141" t="s">
        <v>6920</v>
      </c>
      <c r="B4030" s="141">
        <v>539026</v>
      </c>
      <c r="C4030" s="141" t="s">
        <v>1129</v>
      </c>
      <c r="D4030" s="141" t="s">
        <v>1112</v>
      </c>
    </row>
    <row r="4031" spans="1:4" x14ac:dyDescent="0.3">
      <c r="A4031" s="141" t="s">
        <v>6921</v>
      </c>
      <c r="B4031" s="141">
        <v>531723</v>
      </c>
      <c r="C4031" s="141" t="s">
        <v>6922</v>
      </c>
      <c r="D4031" s="141" t="s">
        <v>1112</v>
      </c>
    </row>
    <row r="4032" spans="1:4" x14ac:dyDescent="0.3">
      <c r="A4032" s="141" t="s">
        <v>6921</v>
      </c>
      <c r="B4032" s="141">
        <v>570005</v>
      </c>
      <c r="C4032" s="141" t="s">
        <v>6923</v>
      </c>
      <c r="D4032" s="141" t="s">
        <v>1112</v>
      </c>
    </row>
    <row r="4033" spans="1:4" x14ac:dyDescent="0.3">
      <c r="A4033" s="141" t="s">
        <v>6924</v>
      </c>
      <c r="B4033" s="141">
        <v>504180</v>
      </c>
      <c r="C4033" s="141" t="s">
        <v>1129</v>
      </c>
      <c r="D4033" s="141" t="s">
        <v>1146</v>
      </c>
    </row>
    <row r="4034" spans="1:4" x14ac:dyDescent="0.3">
      <c r="A4034" s="141" t="s">
        <v>6925</v>
      </c>
      <c r="B4034" s="141">
        <v>511700</v>
      </c>
      <c r="C4034" s="141" t="s">
        <v>1129</v>
      </c>
      <c r="D4034" s="141" t="s">
        <v>1146</v>
      </c>
    </row>
    <row r="4035" spans="1:4" x14ac:dyDescent="0.3">
      <c r="A4035" s="141" t="s">
        <v>6926</v>
      </c>
      <c r="B4035" s="141">
        <v>580001</v>
      </c>
      <c r="C4035" s="141" t="s">
        <v>1129</v>
      </c>
      <c r="D4035" s="141" t="s">
        <v>1447</v>
      </c>
    </row>
    <row r="4036" spans="1:4" x14ac:dyDescent="0.3">
      <c r="A4036" s="141" t="s">
        <v>6927</v>
      </c>
      <c r="B4036" s="141">
        <v>530017</v>
      </c>
      <c r="C4036" s="141" t="s">
        <v>6928</v>
      </c>
      <c r="D4036" s="141" t="s">
        <v>1177</v>
      </c>
    </row>
    <row r="4037" spans="1:4" x14ac:dyDescent="0.3">
      <c r="A4037" s="141" t="s">
        <v>6929</v>
      </c>
      <c r="B4037" s="141">
        <v>523351</v>
      </c>
      <c r="C4037" s="141" t="s">
        <v>1129</v>
      </c>
      <c r="D4037" s="141" t="s">
        <v>1289</v>
      </c>
    </row>
    <row r="4038" spans="1:4" x14ac:dyDescent="0.3">
      <c r="A4038" s="141" t="s">
        <v>6930</v>
      </c>
      <c r="B4038" s="141">
        <v>523351</v>
      </c>
      <c r="C4038" s="141" t="s">
        <v>1129</v>
      </c>
      <c r="D4038" s="141" t="s">
        <v>1289</v>
      </c>
    </row>
    <row r="4039" spans="1:4" x14ac:dyDescent="0.3">
      <c r="A4039" s="141" t="s">
        <v>6931</v>
      </c>
      <c r="B4039" s="141">
        <v>526231</v>
      </c>
      <c r="C4039" s="141" t="s">
        <v>1129</v>
      </c>
      <c r="D4039" s="141" t="s">
        <v>1177</v>
      </c>
    </row>
    <row r="4040" spans="1:4" x14ac:dyDescent="0.3">
      <c r="A4040" s="141" t="s">
        <v>6932</v>
      </c>
      <c r="B4040" s="141">
        <v>530931</v>
      </c>
      <c r="C4040" s="141" t="s">
        <v>1129</v>
      </c>
      <c r="D4040" s="141" t="s">
        <v>1324</v>
      </c>
    </row>
    <row r="4041" spans="1:4" x14ac:dyDescent="0.3">
      <c r="A4041" s="141" t="s">
        <v>6933</v>
      </c>
      <c r="B4041" s="141">
        <v>530931</v>
      </c>
      <c r="C4041" s="141" t="s">
        <v>1129</v>
      </c>
      <c r="D4041" s="141" t="s">
        <v>1324</v>
      </c>
    </row>
    <row r="4042" spans="1:4" x14ac:dyDescent="0.3">
      <c r="A4042" s="141" t="s">
        <v>6934</v>
      </c>
      <c r="B4042" s="141">
        <v>506105</v>
      </c>
      <c r="C4042" s="141" t="s">
        <v>1129</v>
      </c>
      <c r="D4042" s="141" t="s">
        <v>1149</v>
      </c>
    </row>
    <row r="4043" spans="1:4" x14ac:dyDescent="0.3">
      <c r="A4043" s="141" t="s">
        <v>6935</v>
      </c>
      <c r="B4043" s="141">
        <v>540575</v>
      </c>
      <c r="C4043" s="141" t="s">
        <v>6936</v>
      </c>
      <c r="D4043" s="141" t="s">
        <v>1142</v>
      </c>
    </row>
    <row r="4044" spans="1:4" x14ac:dyDescent="0.3">
      <c r="A4044" s="141" t="s">
        <v>6937</v>
      </c>
      <c r="B4044" s="141">
        <v>539255</v>
      </c>
      <c r="C4044" s="141" t="s">
        <v>1129</v>
      </c>
      <c r="D4044" s="141" t="s">
        <v>1172</v>
      </c>
    </row>
    <row r="4045" spans="1:4" x14ac:dyDescent="0.3">
      <c r="A4045" s="141" t="s">
        <v>6938</v>
      </c>
      <c r="B4045" s="141">
        <v>516022</v>
      </c>
      <c r="C4045" s="141" t="s">
        <v>6939</v>
      </c>
      <c r="D4045" s="141" t="s">
        <v>1123</v>
      </c>
    </row>
    <row r="4046" spans="1:4" x14ac:dyDescent="0.3">
      <c r="A4046" s="141" t="s">
        <v>6940</v>
      </c>
      <c r="B4046" s="141">
        <v>531616</v>
      </c>
      <c r="C4046" s="141" t="s">
        <v>1129</v>
      </c>
      <c r="D4046" s="141" t="s">
        <v>1115</v>
      </c>
    </row>
    <row r="4047" spans="1:4" x14ac:dyDescent="0.3">
      <c r="A4047" s="141" t="s">
        <v>6941</v>
      </c>
      <c r="B4047" s="141">
        <v>538733</v>
      </c>
      <c r="C4047" s="141" t="s">
        <v>1129</v>
      </c>
      <c r="D4047" s="141" t="s">
        <v>3376</v>
      </c>
    </row>
    <row r="4048" spans="1:4" x14ac:dyDescent="0.3">
      <c r="A4048" s="141" t="s">
        <v>6942</v>
      </c>
      <c r="B4048" s="141">
        <v>517548</v>
      </c>
      <c r="C4048" s="141" t="s">
        <v>1129</v>
      </c>
      <c r="D4048" s="141" t="s">
        <v>1151</v>
      </c>
    </row>
    <row r="4049" spans="1:4" x14ac:dyDescent="0.3">
      <c r="A4049" s="141" t="s">
        <v>6943</v>
      </c>
      <c r="B4049" s="141">
        <v>520155</v>
      </c>
      <c r="C4049" s="141" t="s">
        <v>1129</v>
      </c>
      <c r="D4049" s="141" t="s">
        <v>1265</v>
      </c>
    </row>
    <row r="4050" spans="1:4" x14ac:dyDescent="0.3">
      <c r="A4050" s="141" t="s">
        <v>6944</v>
      </c>
      <c r="B4050" s="141">
        <v>500112</v>
      </c>
      <c r="C4050" s="141" t="s">
        <v>6945</v>
      </c>
      <c r="D4050" s="141" t="s">
        <v>1447</v>
      </c>
    </row>
    <row r="4051" spans="1:4" x14ac:dyDescent="0.3">
      <c r="A4051" s="141" t="s">
        <v>6946</v>
      </c>
      <c r="B4051" s="141">
        <v>500113</v>
      </c>
      <c r="C4051" s="141" t="s">
        <v>6947</v>
      </c>
      <c r="D4051" s="141" t="s">
        <v>1161</v>
      </c>
    </row>
    <row r="4052" spans="1:4" x14ac:dyDescent="0.3">
      <c r="A4052" s="141" t="s">
        <v>6948</v>
      </c>
      <c r="B4052" s="141">
        <v>500113</v>
      </c>
      <c r="C4052" s="141" t="s">
        <v>6947</v>
      </c>
      <c r="D4052" s="141" t="s">
        <v>1161</v>
      </c>
    </row>
    <row r="4053" spans="1:4" x14ac:dyDescent="0.3">
      <c r="A4053" s="141" t="s">
        <v>6949</v>
      </c>
      <c r="B4053" s="141" t="s">
        <v>1129</v>
      </c>
      <c r="C4053" s="141" t="s">
        <v>6950</v>
      </c>
      <c r="D4053" s="141" t="s">
        <v>1140</v>
      </c>
    </row>
    <row r="4054" spans="1:4" x14ac:dyDescent="0.3">
      <c r="A4054" s="141" t="s">
        <v>6951</v>
      </c>
      <c r="B4054" s="141">
        <v>534748</v>
      </c>
      <c r="C4054" s="141" t="s">
        <v>6952</v>
      </c>
      <c r="D4054" s="141" t="s">
        <v>1161</v>
      </c>
    </row>
    <row r="4055" spans="1:4" x14ac:dyDescent="0.3">
      <c r="A4055" s="141" t="s">
        <v>6953</v>
      </c>
      <c r="B4055" s="141">
        <v>534748</v>
      </c>
      <c r="C4055" s="141" t="s">
        <v>6952</v>
      </c>
      <c r="D4055" s="141" t="s">
        <v>1161</v>
      </c>
    </row>
    <row r="4056" spans="1:4" x14ac:dyDescent="0.3">
      <c r="A4056" s="141" t="s">
        <v>6954</v>
      </c>
      <c r="B4056" s="141">
        <v>513173</v>
      </c>
      <c r="C4056" s="141" t="s">
        <v>1129</v>
      </c>
      <c r="D4056" s="141" t="s">
        <v>1215</v>
      </c>
    </row>
    <row r="4057" spans="1:4" x14ac:dyDescent="0.3">
      <c r="A4057" s="141" t="s">
        <v>6955</v>
      </c>
      <c r="B4057" s="141">
        <v>504717</v>
      </c>
      <c r="C4057" s="141" t="s">
        <v>6956</v>
      </c>
      <c r="D4057" s="141" t="s">
        <v>5003</v>
      </c>
    </row>
    <row r="4058" spans="1:4" x14ac:dyDescent="0.3">
      <c r="A4058" s="141" t="s">
        <v>6957</v>
      </c>
      <c r="B4058" s="141">
        <v>513262</v>
      </c>
      <c r="C4058" s="141" t="s">
        <v>6958</v>
      </c>
      <c r="D4058" s="141" t="s">
        <v>1484</v>
      </c>
    </row>
    <row r="4059" spans="1:4" x14ac:dyDescent="0.3">
      <c r="A4059" s="141" t="s">
        <v>6959</v>
      </c>
      <c r="B4059" s="141">
        <v>513517</v>
      </c>
      <c r="C4059" s="141" t="s">
        <v>1129</v>
      </c>
      <c r="D4059" s="141" t="s">
        <v>2049</v>
      </c>
    </row>
    <row r="4060" spans="1:4" x14ac:dyDescent="0.3">
      <c r="A4060" s="141" t="s">
        <v>6960</v>
      </c>
      <c r="B4060" s="141">
        <v>500399</v>
      </c>
      <c r="C4060" s="141" t="s">
        <v>1129</v>
      </c>
      <c r="D4060" s="141" t="s">
        <v>1161</v>
      </c>
    </row>
    <row r="4061" spans="1:4" x14ac:dyDescent="0.3">
      <c r="A4061" s="141" t="s">
        <v>6961</v>
      </c>
      <c r="B4061" s="141">
        <v>533316</v>
      </c>
      <c r="C4061" s="141" t="s">
        <v>6962</v>
      </c>
      <c r="D4061" s="141" t="s">
        <v>1295</v>
      </c>
    </row>
    <row r="4062" spans="1:4" x14ac:dyDescent="0.3">
      <c r="A4062" s="141" t="s">
        <v>6963</v>
      </c>
      <c r="B4062" s="141">
        <v>526071</v>
      </c>
      <c r="C4062" s="141" t="s">
        <v>1129</v>
      </c>
      <c r="D4062" s="141" t="s">
        <v>1112</v>
      </c>
    </row>
    <row r="4063" spans="1:4" x14ac:dyDescent="0.3">
      <c r="A4063" s="141" t="s">
        <v>6964</v>
      </c>
      <c r="B4063" s="141">
        <v>526071</v>
      </c>
      <c r="C4063" s="141" t="s">
        <v>1129</v>
      </c>
      <c r="D4063" s="141" t="s">
        <v>1112</v>
      </c>
    </row>
    <row r="4064" spans="1:4" x14ac:dyDescent="0.3">
      <c r="A4064" s="141" t="s">
        <v>6965</v>
      </c>
      <c r="B4064" s="141">
        <v>536738</v>
      </c>
      <c r="C4064" s="141" t="s">
        <v>1129</v>
      </c>
      <c r="D4064" s="141" t="s">
        <v>1112</v>
      </c>
    </row>
    <row r="4065" spans="1:4" x14ac:dyDescent="0.3">
      <c r="A4065" s="141" t="s">
        <v>6966</v>
      </c>
      <c r="B4065" s="141">
        <v>531509</v>
      </c>
      <c r="C4065" s="141" t="s">
        <v>1129</v>
      </c>
      <c r="D4065" s="141" t="s">
        <v>1112</v>
      </c>
    </row>
    <row r="4066" spans="1:4" x14ac:dyDescent="0.3">
      <c r="A4066" s="141" t="s">
        <v>6967</v>
      </c>
      <c r="B4066" s="141">
        <v>526500</v>
      </c>
      <c r="C4066" s="141" t="s">
        <v>1129</v>
      </c>
      <c r="D4066" s="141" t="s">
        <v>1330</v>
      </c>
    </row>
    <row r="4067" spans="1:4" x14ac:dyDescent="0.3">
      <c r="A4067" s="141" t="s">
        <v>6968</v>
      </c>
      <c r="B4067" s="141">
        <v>508963</v>
      </c>
      <c r="C4067" s="141" t="s">
        <v>6969</v>
      </c>
      <c r="D4067" s="141" t="s">
        <v>1146</v>
      </c>
    </row>
    <row r="4068" spans="1:4" x14ac:dyDescent="0.3">
      <c r="A4068" s="141" t="s">
        <v>6970</v>
      </c>
      <c r="B4068" s="141">
        <v>531628</v>
      </c>
      <c r="C4068" s="141" t="s">
        <v>1129</v>
      </c>
      <c r="D4068" s="141" t="s">
        <v>1144</v>
      </c>
    </row>
    <row r="4069" spans="1:4" x14ac:dyDescent="0.3">
      <c r="A4069" s="141" t="s">
        <v>6971</v>
      </c>
      <c r="B4069" s="141">
        <v>530759</v>
      </c>
      <c r="C4069" s="141" t="s">
        <v>6972</v>
      </c>
      <c r="D4069" s="141" t="s">
        <v>1484</v>
      </c>
    </row>
    <row r="4070" spans="1:4" x14ac:dyDescent="0.3">
      <c r="A4070" s="141" t="s">
        <v>6973</v>
      </c>
      <c r="B4070" s="141">
        <v>532374</v>
      </c>
      <c r="C4070" s="141" t="s">
        <v>6974</v>
      </c>
      <c r="D4070" s="141" t="s">
        <v>2076</v>
      </c>
    </row>
    <row r="4071" spans="1:4" x14ac:dyDescent="0.3">
      <c r="A4071" s="141" t="s">
        <v>6975</v>
      </c>
      <c r="B4071" s="141">
        <v>513151</v>
      </c>
      <c r="C4071" s="141" t="s">
        <v>6976</v>
      </c>
      <c r="D4071" s="141" t="s">
        <v>1144</v>
      </c>
    </row>
    <row r="4072" spans="1:4" x14ac:dyDescent="0.3">
      <c r="A4072" s="141" t="s">
        <v>6977</v>
      </c>
      <c r="B4072" s="141">
        <v>513151</v>
      </c>
      <c r="C4072" s="141" t="s">
        <v>6978</v>
      </c>
      <c r="D4072" s="141" t="s">
        <v>1144</v>
      </c>
    </row>
    <row r="4073" spans="1:4" x14ac:dyDescent="0.3">
      <c r="A4073" s="141" t="s">
        <v>6979</v>
      </c>
      <c r="B4073" s="141">
        <v>532730</v>
      </c>
      <c r="C4073" s="141" t="s">
        <v>6980</v>
      </c>
      <c r="D4073" s="141" t="s">
        <v>1144</v>
      </c>
    </row>
    <row r="4074" spans="1:4" x14ac:dyDescent="0.3">
      <c r="A4074" s="141" t="s">
        <v>6981</v>
      </c>
      <c r="B4074" s="141">
        <v>504959</v>
      </c>
      <c r="C4074" s="141" t="s">
        <v>1129</v>
      </c>
      <c r="D4074" s="141" t="s">
        <v>1137</v>
      </c>
    </row>
    <row r="4075" spans="1:4" x14ac:dyDescent="0.3">
      <c r="A4075" s="141" t="s">
        <v>6982</v>
      </c>
      <c r="B4075" s="141">
        <v>530495</v>
      </c>
      <c r="C4075" s="141" t="s">
        <v>1129</v>
      </c>
      <c r="D4075" s="141" t="s">
        <v>1151</v>
      </c>
    </row>
    <row r="4076" spans="1:4" x14ac:dyDescent="0.3">
      <c r="A4076" s="141" t="s">
        <v>6983</v>
      </c>
      <c r="B4076" s="141">
        <v>532531</v>
      </c>
      <c r="C4076" s="141" t="s">
        <v>6984</v>
      </c>
      <c r="D4076" s="141" t="s">
        <v>1167</v>
      </c>
    </row>
    <row r="4077" spans="1:4" x14ac:dyDescent="0.3">
      <c r="A4077" s="141" t="s">
        <v>6985</v>
      </c>
      <c r="B4077" s="141">
        <v>530611</v>
      </c>
      <c r="C4077" s="141" t="s">
        <v>1129</v>
      </c>
      <c r="D4077" s="141" t="s">
        <v>1249</v>
      </c>
    </row>
    <row r="4078" spans="1:4" x14ac:dyDescent="0.3">
      <c r="A4078" s="141" t="s">
        <v>6986</v>
      </c>
      <c r="B4078" s="141">
        <v>526951</v>
      </c>
      <c r="C4078" s="141" t="s">
        <v>1129</v>
      </c>
      <c r="D4078" s="141" t="s">
        <v>1624</v>
      </c>
    </row>
    <row r="4079" spans="1:4" x14ac:dyDescent="0.3">
      <c r="A4079" s="141" t="s">
        <v>6987</v>
      </c>
      <c r="B4079" s="141" t="s">
        <v>1129</v>
      </c>
      <c r="C4079" s="141" t="s">
        <v>6988</v>
      </c>
      <c r="D4079" s="141" t="s">
        <v>1624</v>
      </c>
    </row>
    <row r="4080" spans="1:4" x14ac:dyDescent="0.3">
      <c r="A4080" s="141" t="s">
        <v>6989</v>
      </c>
      <c r="B4080" s="141">
        <v>532348</v>
      </c>
      <c r="C4080" s="141" t="s">
        <v>1129</v>
      </c>
      <c r="D4080" s="141" t="s">
        <v>1222</v>
      </c>
    </row>
    <row r="4081" spans="1:4" x14ac:dyDescent="0.3">
      <c r="A4081" s="141" t="s">
        <v>6990</v>
      </c>
      <c r="B4081" s="141">
        <v>530231</v>
      </c>
      <c r="C4081" s="141" t="s">
        <v>1129</v>
      </c>
      <c r="D4081" s="141" t="s">
        <v>1144</v>
      </c>
    </row>
    <row r="4082" spans="1:4" x14ac:dyDescent="0.3">
      <c r="A4082" s="141" t="s">
        <v>6991</v>
      </c>
      <c r="B4082" s="141">
        <v>517168</v>
      </c>
      <c r="C4082" s="141" t="s">
        <v>6992</v>
      </c>
      <c r="D4082" s="141" t="s">
        <v>1484</v>
      </c>
    </row>
    <row r="4083" spans="1:4" x14ac:dyDescent="0.3">
      <c r="A4083" s="141" t="s">
        <v>6993</v>
      </c>
      <c r="B4083" s="141">
        <v>511024</v>
      </c>
      <c r="C4083" s="141" t="s">
        <v>1129</v>
      </c>
      <c r="D4083" s="141" t="s">
        <v>1550</v>
      </c>
    </row>
    <row r="4084" spans="1:4" x14ac:dyDescent="0.3">
      <c r="A4084" s="141" t="s">
        <v>6994</v>
      </c>
      <c r="B4084" s="141">
        <v>538714</v>
      </c>
      <c r="C4084" s="141" t="s">
        <v>1129</v>
      </c>
      <c r="D4084" s="141" t="s">
        <v>1146</v>
      </c>
    </row>
    <row r="4085" spans="1:4" x14ac:dyDescent="0.3">
      <c r="A4085" s="141" t="s">
        <v>6995</v>
      </c>
      <c r="B4085" s="141">
        <v>506003</v>
      </c>
      <c r="C4085" s="141" t="s">
        <v>1129</v>
      </c>
      <c r="D4085" s="141" t="s">
        <v>1434</v>
      </c>
    </row>
    <row r="4086" spans="1:4" x14ac:dyDescent="0.3">
      <c r="A4086" s="141" t="s">
        <v>6996</v>
      </c>
      <c r="B4086" s="141">
        <v>506655</v>
      </c>
      <c r="C4086" s="141" t="s">
        <v>6997</v>
      </c>
      <c r="D4086" s="141" t="s">
        <v>1289</v>
      </c>
    </row>
    <row r="4087" spans="1:4" x14ac:dyDescent="0.3">
      <c r="A4087" s="141" t="s">
        <v>6998</v>
      </c>
      <c r="B4087" s="141">
        <v>521113</v>
      </c>
      <c r="C4087" s="141" t="s">
        <v>1129</v>
      </c>
      <c r="D4087" s="141" t="s">
        <v>1144</v>
      </c>
    </row>
    <row r="4088" spans="1:4" x14ac:dyDescent="0.3">
      <c r="A4088" s="141" t="s">
        <v>6999</v>
      </c>
      <c r="B4088" s="141">
        <v>540318</v>
      </c>
      <c r="C4088" s="141" t="s">
        <v>1129</v>
      </c>
      <c r="D4088" s="141" t="s">
        <v>1144</v>
      </c>
    </row>
    <row r="4089" spans="1:4" x14ac:dyDescent="0.3">
      <c r="A4089" s="141" t="s">
        <v>7000</v>
      </c>
      <c r="B4089" s="141">
        <v>511654</v>
      </c>
      <c r="C4089" s="141" t="s">
        <v>1129</v>
      </c>
      <c r="D4089" s="141" t="s">
        <v>1146</v>
      </c>
    </row>
    <row r="4090" spans="1:4" x14ac:dyDescent="0.3">
      <c r="A4090" s="141" t="s">
        <v>7001</v>
      </c>
      <c r="B4090" s="141">
        <v>542683</v>
      </c>
      <c r="C4090" s="141" t="s">
        <v>7002</v>
      </c>
      <c r="D4090" s="141" t="s">
        <v>1275</v>
      </c>
    </row>
    <row r="4091" spans="1:4" x14ac:dyDescent="0.3">
      <c r="A4091" s="141" t="s">
        <v>7003</v>
      </c>
      <c r="B4091" s="141">
        <v>539117</v>
      </c>
      <c r="C4091" s="141" t="s">
        <v>1129</v>
      </c>
      <c r="D4091" s="141" t="s">
        <v>1146</v>
      </c>
    </row>
    <row r="4092" spans="1:4" x14ac:dyDescent="0.3">
      <c r="A4092" s="141" t="s">
        <v>7004</v>
      </c>
      <c r="B4092" s="141">
        <v>517224</v>
      </c>
      <c r="C4092" s="141" t="s">
        <v>7005</v>
      </c>
      <c r="D4092" s="141" t="s">
        <v>2049</v>
      </c>
    </row>
    <row r="4093" spans="1:4" x14ac:dyDescent="0.3">
      <c r="A4093" s="141" t="s">
        <v>7006</v>
      </c>
      <c r="B4093" s="141">
        <v>524542</v>
      </c>
      <c r="C4093" s="141" t="s">
        <v>1129</v>
      </c>
      <c r="D4093" s="141" t="s">
        <v>1327</v>
      </c>
    </row>
    <row r="4094" spans="1:4" x14ac:dyDescent="0.3">
      <c r="A4094" s="141" t="s">
        <v>7007</v>
      </c>
      <c r="B4094" s="141">
        <v>508969</v>
      </c>
      <c r="C4094" s="141" t="s">
        <v>1129</v>
      </c>
      <c r="D4094" s="141" t="s">
        <v>1146</v>
      </c>
    </row>
    <row r="4095" spans="1:4" x14ac:dyDescent="0.3">
      <c r="A4095" s="141" t="s">
        <v>7008</v>
      </c>
      <c r="B4095" s="141">
        <v>530419</v>
      </c>
      <c r="C4095" s="141" t="s">
        <v>1129</v>
      </c>
      <c r="D4095" s="141" t="s">
        <v>1112</v>
      </c>
    </row>
    <row r="4096" spans="1:4" x14ac:dyDescent="0.3">
      <c r="A4096" s="141" t="s">
        <v>7009</v>
      </c>
      <c r="B4096" s="141">
        <v>514211</v>
      </c>
      <c r="C4096" s="141" t="s">
        <v>7010</v>
      </c>
      <c r="D4096" s="141" t="s">
        <v>1144</v>
      </c>
    </row>
    <row r="4097" spans="1:4" x14ac:dyDescent="0.3">
      <c r="A4097" s="141" t="s">
        <v>7011</v>
      </c>
      <c r="B4097" s="141">
        <v>530445</v>
      </c>
      <c r="C4097" s="141" t="s">
        <v>1129</v>
      </c>
      <c r="D4097" s="141" t="s">
        <v>1151</v>
      </c>
    </row>
    <row r="4098" spans="1:4" x14ac:dyDescent="0.3">
      <c r="A4098" s="141" t="s">
        <v>7012</v>
      </c>
      <c r="B4098" s="141" t="s">
        <v>1129</v>
      </c>
      <c r="C4098" s="141" t="s">
        <v>7013</v>
      </c>
      <c r="D4098" s="141" t="s">
        <v>1140</v>
      </c>
    </row>
    <row r="4099" spans="1:4" x14ac:dyDescent="0.3">
      <c r="A4099" s="141" t="s">
        <v>7014</v>
      </c>
      <c r="B4099" s="141">
        <v>533306</v>
      </c>
      <c r="C4099" s="141" t="s">
        <v>7015</v>
      </c>
      <c r="D4099" s="141" t="s">
        <v>1149</v>
      </c>
    </row>
    <row r="4100" spans="1:4" x14ac:dyDescent="0.3">
      <c r="A4100" s="141" t="s">
        <v>7016</v>
      </c>
      <c r="B4100" s="141">
        <v>532154</v>
      </c>
      <c r="C4100" s="141" t="s">
        <v>1129</v>
      </c>
      <c r="D4100" s="141" t="s">
        <v>1550</v>
      </c>
    </row>
    <row r="4101" spans="1:4" x14ac:dyDescent="0.3">
      <c r="A4101" s="141" t="s">
        <v>7017</v>
      </c>
      <c r="B4101" s="141">
        <v>532872</v>
      </c>
      <c r="C4101" s="141" t="s">
        <v>7018</v>
      </c>
      <c r="D4101" s="141" t="s">
        <v>1167</v>
      </c>
    </row>
    <row r="4102" spans="1:4" x14ac:dyDescent="0.3">
      <c r="A4102" s="141" t="s">
        <v>7019</v>
      </c>
      <c r="B4102" s="141">
        <v>524715</v>
      </c>
      <c r="C4102" s="141" t="s">
        <v>7020</v>
      </c>
      <c r="D4102" s="141" t="s">
        <v>1167</v>
      </c>
    </row>
    <row r="4103" spans="1:4" x14ac:dyDescent="0.3">
      <c r="A4103" s="141" t="s">
        <v>7021</v>
      </c>
      <c r="B4103" s="141">
        <v>542025</v>
      </c>
      <c r="C4103" s="141" t="s">
        <v>1129</v>
      </c>
      <c r="D4103" s="141" t="s">
        <v>1151</v>
      </c>
    </row>
    <row r="4104" spans="1:4" x14ac:dyDescent="0.3">
      <c r="A4104" s="141" t="s">
        <v>7022</v>
      </c>
      <c r="B4104" s="141">
        <v>517403</v>
      </c>
      <c r="C4104" s="141" t="s">
        <v>1129</v>
      </c>
      <c r="D4104" s="141" t="s">
        <v>1268</v>
      </c>
    </row>
    <row r="4105" spans="1:4" x14ac:dyDescent="0.3">
      <c r="A4105" s="141" t="s">
        <v>7023</v>
      </c>
      <c r="B4105" s="141">
        <v>517403</v>
      </c>
      <c r="C4105" s="141" t="s">
        <v>1129</v>
      </c>
      <c r="D4105" s="141" t="s">
        <v>1268</v>
      </c>
    </row>
    <row r="4106" spans="1:4" x14ac:dyDescent="0.3">
      <c r="A4106" s="141" t="s">
        <v>7024</v>
      </c>
      <c r="B4106" s="141">
        <v>531752</v>
      </c>
      <c r="C4106" s="141" t="s">
        <v>1129</v>
      </c>
      <c r="D4106" s="141" t="s">
        <v>1151</v>
      </c>
    </row>
    <row r="4107" spans="1:4" x14ac:dyDescent="0.3">
      <c r="A4107" s="141" t="s">
        <v>7025</v>
      </c>
      <c r="B4107" s="141">
        <v>532733</v>
      </c>
      <c r="C4107" s="141" t="s">
        <v>7026</v>
      </c>
      <c r="D4107" s="141" t="s">
        <v>1868</v>
      </c>
    </row>
    <row r="4108" spans="1:4" x14ac:dyDescent="0.3">
      <c r="A4108" s="141" t="s">
        <v>7027</v>
      </c>
      <c r="B4108" s="141">
        <v>539526</v>
      </c>
      <c r="C4108" s="141" t="s">
        <v>1129</v>
      </c>
      <c r="D4108" s="141" t="s">
        <v>1163</v>
      </c>
    </row>
    <row r="4109" spans="1:4" x14ac:dyDescent="0.3">
      <c r="A4109" s="141" t="s">
        <v>7028</v>
      </c>
      <c r="B4109" s="141">
        <v>530795</v>
      </c>
      <c r="C4109" s="141" t="s">
        <v>1129</v>
      </c>
      <c r="D4109" s="141" t="s">
        <v>1144</v>
      </c>
    </row>
    <row r="4110" spans="1:4" x14ac:dyDescent="0.3">
      <c r="A4110" s="141" t="s">
        <v>7029</v>
      </c>
      <c r="B4110" s="141">
        <v>590072</v>
      </c>
      <c r="C4110" s="141" t="s">
        <v>7030</v>
      </c>
      <c r="D4110" s="141" t="s">
        <v>1484</v>
      </c>
    </row>
    <row r="4111" spans="1:4" x14ac:dyDescent="0.3">
      <c r="A4111" s="141" t="s">
        <v>7031</v>
      </c>
      <c r="B4111" s="141">
        <v>520056</v>
      </c>
      <c r="C4111" s="141" t="s">
        <v>7032</v>
      </c>
      <c r="D4111" s="141" t="s">
        <v>1484</v>
      </c>
    </row>
    <row r="4112" spans="1:4" x14ac:dyDescent="0.3">
      <c r="A4112" s="141" t="s">
        <v>7033</v>
      </c>
      <c r="B4112" s="141" t="s">
        <v>1129</v>
      </c>
      <c r="C4112" s="141" t="s">
        <v>7034</v>
      </c>
      <c r="D4112" s="141" t="s">
        <v>1220</v>
      </c>
    </row>
    <row r="4113" spans="1:4" x14ac:dyDescent="0.3">
      <c r="A4113" s="141" t="s">
        <v>7035</v>
      </c>
      <c r="B4113" s="141">
        <v>590071</v>
      </c>
      <c r="C4113" s="141" t="s">
        <v>7036</v>
      </c>
      <c r="D4113" s="141" t="s">
        <v>1146</v>
      </c>
    </row>
    <row r="4114" spans="1:4" x14ac:dyDescent="0.3">
      <c r="A4114" s="141" t="s">
        <v>7037</v>
      </c>
      <c r="B4114" s="141">
        <v>533166</v>
      </c>
      <c r="C4114" s="141" t="s">
        <v>7038</v>
      </c>
      <c r="D4114" s="141" t="s">
        <v>3122</v>
      </c>
    </row>
    <row r="4115" spans="1:4" x14ac:dyDescent="0.3">
      <c r="A4115" s="141" t="s">
        <v>7039</v>
      </c>
      <c r="B4115" s="141">
        <v>500403</v>
      </c>
      <c r="C4115" s="141" t="s">
        <v>7040</v>
      </c>
      <c r="D4115" s="141" t="s">
        <v>1484</v>
      </c>
    </row>
    <row r="4116" spans="1:4" x14ac:dyDescent="0.3">
      <c r="A4116" s="141" t="s">
        <v>7041</v>
      </c>
      <c r="B4116" s="141">
        <v>500404</v>
      </c>
      <c r="C4116" s="141" t="s">
        <v>7042</v>
      </c>
      <c r="D4116" s="141" t="s">
        <v>1161</v>
      </c>
    </row>
    <row r="4117" spans="1:4" x14ac:dyDescent="0.3">
      <c r="A4117" s="141" t="s">
        <v>7043</v>
      </c>
      <c r="B4117" s="141">
        <v>531433</v>
      </c>
      <c r="C4117" s="141" t="s">
        <v>1129</v>
      </c>
      <c r="D4117" s="141" t="s">
        <v>1146</v>
      </c>
    </row>
    <row r="4118" spans="1:4" x14ac:dyDescent="0.3">
      <c r="A4118" s="141" t="s">
        <v>7044</v>
      </c>
      <c r="B4118" s="141">
        <v>541799</v>
      </c>
      <c r="C4118" s="141" t="s">
        <v>1129</v>
      </c>
      <c r="D4118" s="141" t="s">
        <v>2732</v>
      </c>
    </row>
    <row r="4119" spans="1:4" x14ac:dyDescent="0.3">
      <c r="A4119" s="141" t="s">
        <v>7045</v>
      </c>
      <c r="B4119" s="141">
        <v>530953</v>
      </c>
      <c r="C4119" s="141" t="s">
        <v>1129</v>
      </c>
      <c r="D4119" s="141" t="s">
        <v>1189</v>
      </c>
    </row>
    <row r="4120" spans="1:4" x14ac:dyDescent="0.3">
      <c r="A4120" s="141" t="s">
        <v>7046</v>
      </c>
      <c r="B4120" s="141">
        <v>537253</v>
      </c>
      <c r="C4120" s="141" t="s">
        <v>1129</v>
      </c>
      <c r="D4120" s="141" t="s">
        <v>1167</v>
      </c>
    </row>
    <row r="4121" spans="1:4" x14ac:dyDescent="0.3">
      <c r="A4121" s="141" t="s">
        <v>7047</v>
      </c>
      <c r="B4121" s="141">
        <v>532711</v>
      </c>
      <c r="C4121" s="141" t="s">
        <v>7048</v>
      </c>
      <c r="D4121" s="141" t="s">
        <v>1527</v>
      </c>
    </row>
    <row r="4122" spans="1:4" x14ac:dyDescent="0.3">
      <c r="A4122" s="141" t="s">
        <v>7049</v>
      </c>
      <c r="B4122" s="141">
        <v>521232</v>
      </c>
      <c r="C4122" s="141" t="s">
        <v>1129</v>
      </c>
      <c r="D4122" s="141" t="s">
        <v>1151</v>
      </c>
    </row>
    <row r="4123" spans="1:4" x14ac:dyDescent="0.3">
      <c r="A4123" s="141" t="s">
        <v>7050</v>
      </c>
      <c r="B4123" s="141">
        <v>523425</v>
      </c>
      <c r="C4123" s="141" t="s">
        <v>7051</v>
      </c>
      <c r="D4123" s="141" t="s">
        <v>1685</v>
      </c>
    </row>
    <row r="4124" spans="1:4" x14ac:dyDescent="0.3">
      <c r="A4124" s="141" t="s">
        <v>7052</v>
      </c>
      <c r="B4124" s="141">
        <v>501110</v>
      </c>
      <c r="C4124" s="141" t="s">
        <v>1129</v>
      </c>
      <c r="D4124" s="141" t="s">
        <v>1112</v>
      </c>
    </row>
    <row r="4125" spans="1:4" x14ac:dyDescent="0.3">
      <c r="A4125" s="141" t="s">
        <v>7053</v>
      </c>
      <c r="B4125" s="141">
        <v>530845</v>
      </c>
      <c r="C4125" s="141" t="s">
        <v>1129</v>
      </c>
      <c r="D4125" s="141" t="s">
        <v>1177</v>
      </c>
    </row>
    <row r="4126" spans="1:4" x14ac:dyDescent="0.3">
      <c r="A4126" s="141" t="s">
        <v>7054</v>
      </c>
      <c r="B4126" s="141">
        <v>539574</v>
      </c>
      <c r="C4126" s="141" t="s">
        <v>1129</v>
      </c>
      <c r="D4126" s="141" t="s">
        <v>1146</v>
      </c>
    </row>
    <row r="4127" spans="1:4" x14ac:dyDescent="0.3">
      <c r="A4127" s="141" t="s">
        <v>7055</v>
      </c>
      <c r="B4127" s="141">
        <v>535141</v>
      </c>
      <c r="C4127" s="141" t="s">
        <v>1129</v>
      </c>
      <c r="D4127" s="141" t="s">
        <v>1215</v>
      </c>
    </row>
    <row r="4128" spans="1:4" x14ac:dyDescent="0.3">
      <c r="A4128" s="141" t="s">
        <v>7056</v>
      </c>
      <c r="B4128" s="141">
        <v>512179</v>
      </c>
      <c r="C4128" s="141" t="s">
        <v>7057</v>
      </c>
      <c r="D4128" s="141" t="s">
        <v>1215</v>
      </c>
    </row>
    <row r="4129" spans="1:4" x14ac:dyDescent="0.3">
      <c r="A4129" s="141" t="s">
        <v>7058</v>
      </c>
      <c r="B4129" s="141">
        <v>530735</v>
      </c>
      <c r="C4129" s="141" t="s">
        <v>1129</v>
      </c>
      <c r="D4129" s="141" t="s">
        <v>1189</v>
      </c>
    </row>
    <row r="4130" spans="1:4" x14ac:dyDescent="0.3">
      <c r="A4130" s="141" t="s">
        <v>7059</v>
      </c>
      <c r="B4130" s="141">
        <v>530735</v>
      </c>
      <c r="C4130" s="141" t="s">
        <v>1129</v>
      </c>
      <c r="D4130" s="141" t="s">
        <v>1189</v>
      </c>
    </row>
    <row r="4131" spans="1:4" x14ac:dyDescent="0.3">
      <c r="A4131" s="141" t="s">
        <v>7060</v>
      </c>
      <c r="B4131" s="141">
        <v>530883</v>
      </c>
      <c r="C4131" s="141" t="s">
        <v>1129</v>
      </c>
      <c r="D4131" s="141" t="s">
        <v>1273</v>
      </c>
    </row>
    <row r="4132" spans="1:4" x14ac:dyDescent="0.3">
      <c r="A4132" s="141" t="s">
        <v>7061</v>
      </c>
      <c r="B4132" s="141">
        <v>531699</v>
      </c>
      <c r="C4132" s="141" t="s">
        <v>1129</v>
      </c>
      <c r="D4132" s="141" t="s">
        <v>1894</v>
      </c>
    </row>
    <row r="4133" spans="1:4" x14ac:dyDescent="0.3">
      <c r="A4133" s="141" t="s">
        <v>7062</v>
      </c>
      <c r="B4133" s="141">
        <v>540269</v>
      </c>
      <c r="C4133" s="141" t="s">
        <v>1129</v>
      </c>
      <c r="D4133" s="141" t="s">
        <v>1243</v>
      </c>
    </row>
    <row r="4134" spans="1:4" x14ac:dyDescent="0.3">
      <c r="A4134" s="141" t="s">
        <v>7063</v>
      </c>
      <c r="B4134" s="141">
        <v>512527</v>
      </c>
      <c r="C4134" s="141" t="s">
        <v>1129</v>
      </c>
      <c r="D4134" s="141" t="s">
        <v>1144</v>
      </c>
    </row>
    <row r="4135" spans="1:4" x14ac:dyDescent="0.3">
      <c r="A4135" s="141" t="s">
        <v>7064</v>
      </c>
      <c r="B4135" s="141">
        <v>512527</v>
      </c>
      <c r="C4135" s="141" t="s">
        <v>1129</v>
      </c>
      <c r="D4135" s="141" t="s">
        <v>1144</v>
      </c>
    </row>
    <row r="4136" spans="1:4" x14ac:dyDescent="0.3">
      <c r="A4136" s="141" t="s">
        <v>7065</v>
      </c>
      <c r="B4136" s="141">
        <v>521180</v>
      </c>
      <c r="C4136" s="141" t="s">
        <v>7066</v>
      </c>
      <c r="D4136" s="141" t="s">
        <v>1144</v>
      </c>
    </row>
    <row r="4137" spans="1:4" x14ac:dyDescent="0.3">
      <c r="A4137" s="141" t="s">
        <v>7067</v>
      </c>
      <c r="B4137" s="141">
        <v>523842</v>
      </c>
      <c r="C4137" s="141" t="s">
        <v>1129</v>
      </c>
      <c r="D4137" s="141" t="s">
        <v>1243</v>
      </c>
    </row>
    <row r="4138" spans="1:4" x14ac:dyDescent="0.3">
      <c r="A4138" s="141" t="s">
        <v>7068</v>
      </c>
      <c r="B4138" s="141">
        <v>532070</v>
      </c>
      <c r="C4138" s="141" t="s">
        <v>1129</v>
      </c>
      <c r="D4138" s="141" t="s">
        <v>1123</v>
      </c>
    </row>
    <row r="4139" spans="1:4" x14ac:dyDescent="0.3">
      <c r="A4139" s="141" t="s">
        <v>7069</v>
      </c>
      <c r="B4139" s="141">
        <v>523283</v>
      </c>
      <c r="C4139" s="141" t="s">
        <v>7070</v>
      </c>
      <c r="D4139" s="141" t="s">
        <v>1555</v>
      </c>
    </row>
    <row r="4140" spans="1:4" x14ac:dyDescent="0.3">
      <c r="A4140" s="141" t="s">
        <v>7071</v>
      </c>
      <c r="B4140" s="141">
        <v>539835</v>
      </c>
      <c r="C4140" s="141" t="s">
        <v>1129</v>
      </c>
      <c r="D4140" s="141" t="s">
        <v>1146</v>
      </c>
    </row>
    <row r="4141" spans="1:4" x14ac:dyDescent="0.3">
      <c r="A4141" s="141" t="s">
        <v>7072</v>
      </c>
      <c r="B4141" s="141">
        <v>519234</v>
      </c>
      <c r="C4141" s="141" t="s">
        <v>7073</v>
      </c>
      <c r="D4141" s="141" t="s">
        <v>1378</v>
      </c>
    </row>
    <row r="4142" spans="1:4" x14ac:dyDescent="0.3">
      <c r="A4142" s="141" t="s">
        <v>7074</v>
      </c>
      <c r="B4142" s="141">
        <v>780008</v>
      </c>
      <c r="C4142" s="141" t="s">
        <v>1129</v>
      </c>
      <c r="D4142" s="141" t="s">
        <v>1220</v>
      </c>
    </row>
    <row r="4143" spans="1:4" x14ac:dyDescent="0.3">
      <c r="A4143" s="141" t="s">
        <v>7075</v>
      </c>
      <c r="B4143" s="141">
        <v>541701</v>
      </c>
      <c r="C4143" s="141" t="s">
        <v>1129</v>
      </c>
      <c r="D4143" s="141" t="s">
        <v>1452</v>
      </c>
    </row>
    <row r="4144" spans="1:4" x14ac:dyDescent="0.3">
      <c r="A4144" s="141" t="s">
        <v>7076</v>
      </c>
      <c r="B4144" s="141">
        <v>526133</v>
      </c>
      <c r="C4144" s="141" t="s">
        <v>1129</v>
      </c>
      <c r="D4144" s="141" t="s">
        <v>1144</v>
      </c>
    </row>
    <row r="4145" spans="1:4" x14ac:dyDescent="0.3">
      <c r="A4145" s="141" t="s">
        <v>7077</v>
      </c>
      <c r="B4145" s="141">
        <v>540168</v>
      </c>
      <c r="C4145" s="141" t="s">
        <v>1129</v>
      </c>
      <c r="D4145" s="141" t="s">
        <v>1146</v>
      </c>
    </row>
    <row r="4146" spans="1:4" x14ac:dyDescent="0.3">
      <c r="A4146" s="141" t="s">
        <v>7078</v>
      </c>
      <c r="B4146" s="141">
        <v>511539</v>
      </c>
      <c r="C4146" s="141" t="s">
        <v>1129</v>
      </c>
      <c r="D4146" s="141" t="s">
        <v>1112</v>
      </c>
    </row>
    <row r="4147" spans="1:4" x14ac:dyDescent="0.3">
      <c r="A4147" s="141" t="s">
        <v>7079</v>
      </c>
      <c r="B4147" s="141">
        <v>532509</v>
      </c>
      <c r="C4147" s="141" t="s">
        <v>7080</v>
      </c>
      <c r="D4147" s="141" t="s">
        <v>1484</v>
      </c>
    </row>
    <row r="4148" spans="1:4" x14ac:dyDescent="0.3">
      <c r="A4148" s="141" t="s">
        <v>7081</v>
      </c>
      <c r="B4148" s="141" t="s">
        <v>1129</v>
      </c>
      <c r="C4148" s="141" t="s">
        <v>7082</v>
      </c>
      <c r="D4148" s="141" t="s">
        <v>1140</v>
      </c>
    </row>
    <row r="4149" spans="1:4" x14ac:dyDescent="0.3">
      <c r="A4149" s="141" t="s">
        <v>7083</v>
      </c>
      <c r="B4149" s="141">
        <v>530677</v>
      </c>
      <c r="C4149" s="141" t="s">
        <v>1129</v>
      </c>
      <c r="D4149" s="141" t="s">
        <v>1215</v>
      </c>
    </row>
    <row r="4150" spans="1:4" x14ac:dyDescent="0.3">
      <c r="A4150" s="141" t="s">
        <v>7084</v>
      </c>
      <c r="B4150" s="141">
        <v>530677</v>
      </c>
      <c r="C4150" s="141" t="s">
        <v>1129</v>
      </c>
      <c r="D4150" s="141" t="s">
        <v>1215</v>
      </c>
    </row>
    <row r="4151" spans="1:4" x14ac:dyDescent="0.3">
      <c r="A4151" s="141" t="s">
        <v>7085</v>
      </c>
      <c r="B4151" s="141" t="s">
        <v>1129</v>
      </c>
      <c r="C4151" s="141" t="s">
        <v>7086</v>
      </c>
      <c r="D4151" s="141" t="s">
        <v>1140</v>
      </c>
    </row>
    <row r="4152" spans="1:4" x14ac:dyDescent="0.3">
      <c r="A4152" s="141" t="s">
        <v>7087</v>
      </c>
      <c r="B4152" s="141">
        <v>509930</v>
      </c>
      <c r="C4152" s="141" t="s">
        <v>7088</v>
      </c>
      <c r="D4152" s="141" t="s">
        <v>1249</v>
      </c>
    </row>
    <row r="4153" spans="1:4" x14ac:dyDescent="0.3">
      <c r="A4153" s="141" t="s">
        <v>7089</v>
      </c>
      <c r="B4153" s="141">
        <v>532904</v>
      </c>
      <c r="C4153" s="141" t="s">
        <v>7090</v>
      </c>
      <c r="D4153" s="141" t="s">
        <v>1527</v>
      </c>
    </row>
    <row r="4154" spans="1:4" x14ac:dyDescent="0.3">
      <c r="A4154" s="141" t="s">
        <v>7091</v>
      </c>
      <c r="B4154" s="141">
        <v>532904</v>
      </c>
      <c r="C4154" s="141" t="s">
        <v>7090</v>
      </c>
      <c r="D4154" s="141" t="s">
        <v>1527</v>
      </c>
    </row>
    <row r="4155" spans="1:4" x14ac:dyDescent="0.3">
      <c r="A4155" s="141" t="s">
        <v>7092</v>
      </c>
      <c r="B4155" s="141">
        <v>500405</v>
      </c>
      <c r="C4155" s="141" t="s">
        <v>7093</v>
      </c>
      <c r="D4155" s="141" t="s">
        <v>1343</v>
      </c>
    </row>
    <row r="4156" spans="1:4" x14ac:dyDescent="0.3">
      <c r="A4156" s="141" t="s">
        <v>7094</v>
      </c>
      <c r="B4156" s="141">
        <v>534733</v>
      </c>
      <c r="C4156" s="141" t="s">
        <v>1129</v>
      </c>
      <c r="D4156" s="141" t="s">
        <v>1161</v>
      </c>
    </row>
    <row r="4157" spans="1:4" x14ac:dyDescent="0.3">
      <c r="A4157" s="141" t="s">
        <v>7095</v>
      </c>
      <c r="B4157" s="141">
        <v>531638</v>
      </c>
      <c r="C4157" s="141" t="s">
        <v>1129</v>
      </c>
      <c r="D4157" s="141" t="s">
        <v>1452</v>
      </c>
    </row>
    <row r="4158" spans="1:4" x14ac:dyDescent="0.3">
      <c r="A4158" s="141" t="s">
        <v>7096</v>
      </c>
      <c r="B4158" s="141">
        <v>518075</v>
      </c>
      <c r="C4158" s="141" t="s">
        <v>1129</v>
      </c>
      <c r="D4158" s="141" t="s">
        <v>1161</v>
      </c>
    </row>
    <row r="4159" spans="1:4" x14ac:dyDescent="0.3">
      <c r="A4159" s="141" t="s">
        <v>7097</v>
      </c>
      <c r="B4159" s="141">
        <v>533298</v>
      </c>
      <c r="C4159" s="141" t="s">
        <v>7098</v>
      </c>
      <c r="D4159" s="141" t="s">
        <v>1671</v>
      </c>
    </row>
    <row r="4160" spans="1:4" x14ac:dyDescent="0.3">
      <c r="A4160" s="141" t="s">
        <v>7099</v>
      </c>
      <c r="B4160" s="141">
        <v>517530</v>
      </c>
      <c r="C4160" s="141" t="s">
        <v>7100</v>
      </c>
      <c r="D4160" s="141" t="s">
        <v>1399</v>
      </c>
    </row>
    <row r="4161" spans="1:4" x14ac:dyDescent="0.3">
      <c r="A4161" s="141" t="s">
        <v>7101</v>
      </c>
      <c r="B4161" s="141">
        <v>530185</v>
      </c>
      <c r="C4161" s="141" t="s">
        <v>1129</v>
      </c>
      <c r="D4161" s="141" t="s">
        <v>1144</v>
      </c>
    </row>
    <row r="4162" spans="1:4" x14ac:dyDescent="0.3">
      <c r="A4162" s="141" t="s">
        <v>7102</v>
      </c>
      <c r="B4162" s="141" t="s">
        <v>1129</v>
      </c>
      <c r="C4162" s="141" t="s">
        <v>7103</v>
      </c>
      <c r="D4162" s="141" t="s">
        <v>1140</v>
      </c>
    </row>
    <row r="4163" spans="1:4" x14ac:dyDescent="0.3">
      <c r="A4163" s="141" t="s">
        <v>7104</v>
      </c>
      <c r="B4163" s="141">
        <v>539253</v>
      </c>
      <c r="C4163" s="141" t="s">
        <v>1129</v>
      </c>
      <c r="D4163" s="141" t="s">
        <v>1146</v>
      </c>
    </row>
    <row r="4164" spans="1:4" x14ac:dyDescent="0.3">
      <c r="A4164" s="141" t="s">
        <v>7105</v>
      </c>
      <c r="B4164" s="141">
        <v>539253</v>
      </c>
      <c r="C4164" s="141" t="s">
        <v>1129</v>
      </c>
      <c r="D4164" s="141" t="s">
        <v>1146</v>
      </c>
    </row>
    <row r="4165" spans="1:4" x14ac:dyDescent="0.3">
      <c r="A4165" s="141" t="s">
        <v>7106</v>
      </c>
      <c r="B4165" s="141">
        <v>500336</v>
      </c>
      <c r="C4165" s="141" t="s">
        <v>7107</v>
      </c>
      <c r="D4165" s="141" t="s">
        <v>1118</v>
      </c>
    </row>
    <row r="4166" spans="1:4" x14ac:dyDescent="0.3">
      <c r="A4166" s="141" t="s">
        <v>7108</v>
      </c>
      <c r="B4166" s="141">
        <v>533101</v>
      </c>
      <c r="C4166" s="141" t="s">
        <v>1129</v>
      </c>
      <c r="D4166" s="141" t="s">
        <v>1144</v>
      </c>
    </row>
    <row r="4167" spans="1:4" x14ac:dyDescent="0.3">
      <c r="A4167" s="141" t="s">
        <v>7109</v>
      </c>
      <c r="B4167" s="141">
        <v>532874</v>
      </c>
      <c r="C4167" s="141" t="s">
        <v>1129</v>
      </c>
      <c r="D4167" s="141" t="s">
        <v>1268</v>
      </c>
    </row>
    <row r="4168" spans="1:4" x14ac:dyDescent="0.3">
      <c r="A4168" s="141" t="s">
        <v>7110</v>
      </c>
      <c r="B4168" s="141">
        <v>511185</v>
      </c>
      <c r="C4168" s="141" t="s">
        <v>1129</v>
      </c>
      <c r="D4168" s="141" t="s">
        <v>1450</v>
      </c>
    </row>
    <row r="4169" spans="1:4" x14ac:dyDescent="0.3">
      <c r="A4169" s="141" t="s">
        <v>7111</v>
      </c>
      <c r="B4169" s="141">
        <v>521200</v>
      </c>
      <c r="C4169" s="141" t="s">
        <v>7112</v>
      </c>
      <c r="D4169" s="141" t="s">
        <v>1144</v>
      </c>
    </row>
    <row r="4170" spans="1:4" x14ac:dyDescent="0.3">
      <c r="A4170" s="141" t="s">
        <v>7113</v>
      </c>
      <c r="B4170" s="141">
        <v>514138</v>
      </c>
      <c r="C4170" s="141" t="s">
        <v>1129</v>
      </c>
      <c r="D4170" s="141" t="s">
        <v>1144</v>
      </c>
    </row>
    <row r="4171" spans="1:4" x14ac:dyDescent="0.3">
      <c r="A4171" s="141" t="s">
        <v>7114</v>
      </c>
      <c r="B4171" s="141">
        <v>514140</v>
      </c>
      <c r="C4171" s="141" t="s">
        <v>1129</v>
      </c>
      <c r="D4171" s="141" t="s">
        <v>1144</v>
      </c>
    </row>
    <row r="4172" spans="1:4" x14ac:dyDescent="0.3">
      <c r="A4172" s="141" t="s">
        <v>7115</v>
      </c>
      <c r="B4172" s="141">
        <v>519604</v>
      </c>
      <c r="C4172" s="141" t="s">
        <v>7116</v>
      </c>
      <c r="D4172" s="141" t="s">
        <v>1189</v>
      </c>
    </row>
    <row r="4173" spans="1:4" x14ac:dyDescent="0.3">
      <c r="A4173" s="141" t="s">
        <v>7117</v>
      </c>
      <c r="B4173" s="141">
        <v>532782</v>
      </c>
      <c r="C4173" s="141" t="s">
        <v>7118</v>
      </c>
      <c r="D4173" s="141" t="s">
        <v>1144</v>
      </c>
    </row>
    <row r="4174" spans="1:4" x14ac:dyDescent="0.3">
      <c r="A4174" s="141" t="s">
        <v>7119</v>
      </c>
      <c r="B4174" s="141" t="s">
        <v>1129</v>
      </c>
      <c r="C4174" s="141" t="s">
        <v>7120</v>
      </c>
      <c r="D4174" s="141" t="s">
        <v>1140</v>
      </c>
    </row>
    <row r="4175" spans="1:4" x14ac:dyDescent="0.3">
      <c r="A4175" s="141" t="s">
        <v>7121</v>
      </c>
      <c r="B4175" s="141">
        <v>530239</v>
      </c>
      <c r="C4175" s="141" t="s">
        <v>7122</v>
      </c>
      <c r="D4175" s="141" t="s">
        <v>1167</v>
      </c>
    </row>
    <row r="4176" spans="1:4" x14ac:dyDescent="0.3">
      <c r="A4176" s="141" t="s">
        <v>7123</v>
      </c>
      <c r="B4176" s="141">
        <v>531640</v>
      </c>
      <c r="C4176" s="141" t="s">
        <v>1129</v>
      </c>
      <c r="D4176" s="141" t="s">
        <v>1215</v>
      </c>
    </row>
    <row r="4177" spans="1:4" x14ac:dyDescent="0.3">
      <c r="A4177" s="141" t="s">
        <v>7124</v>
      </c>
      <c r="B4177" s="141">
        <v>537259</v>
      </c>
      <c r="C4177" s="141" t="s">
        <v>1129</v>
      </c>
      <c r="D4177" s="141" t="s">
        <v>2076</v>
      </c>
    </row>
    <row r="4178" spans="1:4" x14ac:dyDescent="0.3">
      <c r="A4178" s="141" t="s">
        <v>7125</v>
      </c>
      <c r="B4178" s="141">
        <v>532667</v>
      </c>
      <c r="C4178" s="141" t="s">
        <v>7126</v>
      </c>
      <c r="D4178" s="141" t="s">
        <v>1172</v>
      </c>
    </row>
    <row r="4179" spans="1:4" x14ac:dyDescent="0.3">
      <c r="A4179" s="141" t="s">
        <v>7127</v>
      </c>
      <c r="B4179" s="141">
        <v>531885</v>
      </c>
      <c r="C4179" s="141" t="s">
        <v>1129</v>
      </c>
      <c r="D4179" s="141" t="s">
        <v>1151</v>
      </c>
    </row>
    <row r="4180" spans="1:4" x14ac:dyDescent="0.3">
      <c r="A4180" s="141" t="s">
        <v>7128</v>
      </c>
      <c r="B4180" s="141">
        <v>531885</v>
      </c>
      <c r="C4180" s="141" t="s">
        <v>1129</v>
      </c>
      <c r="D4180" s="141" t="s">
        <v>1151</v>
      </c>
    </row>
    <row r="4181" spans="1:4" x14ac:dyDescent="0.3">
      <c r="A4181" s="141" t="s">
        <v>7129</v>
      </c>
      <c r="B4181" s="141">
        <v>523722</v>
      </c>
      <c r="C4181" s="141" t="s">
        <v>1129</v>
      </c>
      <c r="D4181" s="141" t="s">
        <v>1222</v>
      </c>
    </row>
    <row r="4182" spans="1:4" x14ac:dyDescent="0.3">
      <c r="A4182" s="141" t="s">
        <v>7130</v>
      </c>
      <c r="B4182" s="141">
        <v>503624</v>
      </c>
      <c r="C4182" s="141" t="s">
        <v>1129</v>
      </c>
      <c r="D4182" s="141" t="s">
        <v>1112</v>
      </c>
    </row>
    <row r="4183" spans="1:4" x14ac:dyDescent="0.3">
      <c r="A4183" s="141" t="s">
        <v>7131</v>
      </c>
      <c r="B4183" s="141">
        <v>539911</v>
      </c>
      <c r="C4183" s="141" t="s">
        <v>1129</v>
      </c>
      <c r="D4183" s="141" t="s">
        <v>1151</v>
      </c>
    </row>
    <row r="4184" spans="1:4" x14ac:dyDescent="0.3">
      <c r="A4184" s="141" t="s">
        <v>7132</v>
      </c>
      <c r="B4184" s="141">
        <v>524488</v>
      </c>
      <c r="C4184" s="141" t="s">
        <v>7133</v>
      </c>
      <c r="D4184" s="141" t="s">
        <v>1177</v>
      </c>
    </row>
    <row r="4185" spans="1:4" x14ac:dyDescent="0.3">
      <c r="A4185" s="141" t="s">
        <v>7134</v>
      </c>
      <c r="B4185" s="141">
        <v>512449</v>
      </c>
      <c r="C4185" s="141" t="s">
        <v>1129</v>
      </c>
      <c r="D4185" s="141" t="s">
        <v>1109</v>
      </c>
    </row>
    <row r="4186" spans="1:4" x14ac:dyDescent="0.3">
      <c r="A4186" s="141" t="s">
        <v>7135</v>
      </c>
      <c r="B4186" s="141">
        <v>505590</v>
      </c>
      <c r="C4186" s="141" t="s">
        <v>1129</v>
      </c>
      <c r="D4186" s="141" t="s">
        <v>1144</v>
      </c>
    </row>
    <row r="4187" spans="1:4" x14ac:dyDescent="0.3">
      <c r="A4187" s="141" t="s">
        <v>7136</v>
      </c>
      <c r="B4187" s="141">
        <v>539041</v>
      </c>
      <c r="C4187" s="141" t="s">
        <v>1129</v>
      </c>
      <c r="D4187" s="141" t="s">
        <v>1151</v>
      </c>
    </row>
    <row r="4188" spans="1:4" x14ac:dyDescent="0.3">
      <c r="A4188" s="141" t="s">
        <v>7137</v>
      </c>
      <c r="B4188" s="141">
        <v>503659</v>
      </c>
      <c r="C4188" s="141" t="s">
        <v>1129</v>
      </c>
      <c r="D4188" s="141" t="s">
        <v>1550</v>
      </c>
    </row>
    <row r="4189" spans="1:4" x14ac:dyDescent="0.3">
      <c r="A4189" s="141" t="s">
        <v>7138</v>
      </c>
      <c r="B4189" s="141">
        <v>506863</v>
      </c>
      <c r="C4189" s="141" t="s">
        <v>1129</v>
      </c>
      <c r="D4189" s="141" t="s">
        <v>1324</v>
      </c>
    </row>
    <row r="4190" spans="1:4" x14ac:dyDescent="0.3">
      <c r="A4190" s="141" t="s">
        <v>7139</v>
      </c>
      <c r="B4190" s="141">
        <v>503816</v>
      </c>
      <c r="C4190" s="141" t="s">
        <v>1129</v>
      </c>
      <c r="D4190" s="141" t="s">
        <v>1144</v>
      </c>
    </row>
    <row r="4191" spans="1:4" x14ac:dyDescent="0.3">
      <c r="A4191" s="141" t="s">
        <v>7140</v>
      </c>
      <c r="B4191" s="141">
        <v>531909</v>
      </c>
      <c r="C4191" s="141" t="s">
        <v>1129</v>
      </c>
      <c r="D4191" s="141" t="s">
        <v>1215</v>
      </c>
    </row>
    <row r="4192" spans="1:4" x14ac:dyDescent="0.3">
      <c r="A4192" s="141" t="s">
        <v>7141</v>
      </c>
      <c r="B4192" s="141">
        <v>539406</v>
      </c>
      <c r="C4192" s="141" t="s">
        <v>1129</v>
      </c>
      <c r="D4192" s="141" t="s">
        <v>1151</v>
      </c>
    </row>
    <row r="4193" spans="1:4" x14ac:dyDescent="0.3">
      <c r="A4193" s="141" t="s">
        <v>7142</v>
      </c>
      <c r="B4193" s="141">
        <v>503310</v>
      </c>
      <c r="C4193" s="141" t="s">
        <v>7143</v>
      </c>
      <c r="D4193" s="141" t="s">
        <v>1144</v>
      </c>
    </row>
    <row r="4194" spans="1:4" x14ac:dyDescent="0.3">
      <c r="A4194" s="141" t="s">
        <v>7144</v>
      </c>
      <c r="B4194" s="141">
        <v>539353</v>
      </c>
      <c r="C4194" s="141" t="s">
        <v>1129</v>
      </c>
      <c r="D4194" s="141" t="s">
        <v>1484</v>
      </c>
    </row>
    <row r="4195" spans="1:4" x14ac:dyDescent="0.3">
      <c r="A4195" s="141" t="s">
        <v>7145</v>
      </c>
      <c r="B4195" s="141">
        <v>500407</v>
      </c>
      <c r="C4195" s="141" t="s">
        <v>7146</v>
      </c>
      <c r="D4195" s="141" t="s">
        <v>1484</v>
      </c>
    </row>
    <row r="4196" spans="1:4" x14ac:dyDescent="0.3">
      <c r="A4196" s="141" t="s">
        <v>7147</v>
      </c>
      <c r="B4196" s="141">
        <v>531003</v>
      </c>
      <c r="C4196" s="141" t="s">
        <v>1129</v>
      </c>
      <c r="D4196" s="141" t="s">
        <v>1146</v>
      </c>
    </row>
    <row r="4197" spans="1:4" x14ac:dyDescent="0.3">
      <c r="A4197" s="141" t="s">
        <v>7148</v>
      </c>
      <c r="B4197" s="141">
        <v>526365</v>
      </c>
      <c r="C4197" s="141" t="s">
        <v>1129</v>
      </c>
      <c r="D4197" s="141" t="s">
        <v>1243</v>
      </c>
    </row>
    <row r="4198" spans="1:4" x14ac:dyDescent="0.3">
      <c r="A4198" s="141" t="s">
        <v>7149</v>
      </c>
      <c r="B4198" s="141">
        <v>512257</v>
      </c>
      <c r="C4198" s="141" t="s">
        <v>1129</v>
      </c>
      <c r="D4198" s="141" t="s">
        <v>1118</v>
      </c>
    </row>
    <row r="4199" spans="1:4" x14ac:dyDescent="0.3">
      <c r="A4199" s="141" t="s">
        <v>7150</v>
      </c>
      <c r="B4199" s="141">
        <v>510245</v>
      </c>
      <c r="C4199" s="141" t="s">
        <v>1129</v>
      </c>
      <c r="D4199" s="141" t="s">
        <v>1151</v>
      </c>
    </row>
    <row r="4200" spans="1:4" x14ac:dyDescent="0.3">
      <c r="A4200" s="141" t="s">
        <v>7151</v>
      </c>
      <c r="B4200" s="141">
        <v>501386</v>
      </c>
      <c r="C4200" s="141" t="s">
        <v>1129</v>
      </c>
      <c r="D4200" s="141" t="s">
        <v>1112</v>
      </c>
    </row>
    <row r="4201" spans="1:4" x14ac:dyDescent="0.3">
      <c r="A4201" s="141" t="s">
        <v>7152</v>
      </c>
      <c r="B4201" s="141">
        <v>530585</v>
      </c>
      <c r="C4201" s="141" t="s">
        <v>1129</v>
      </c>
      <c r="D4201" s="141" t="s">
        <v>1112</v>
      </c>
    </row>
    <row r="4202" spans="1:4" x14ac:dyDescent="0.3">
      <c r="A4202" s="141" t="s">
        <v>7153</v>
      </c>
      <c r="B4202" s="141">
        <v>532051</v>
      </c>
      <c r="C4202" s="141" t="s">
        <v>7154</v>
      </c>
      <c r="D4202" s="141" t="s">
        <v>1172</v>
      </c>
    </row>
    <row r="4203" spans="1:4" x14ac:dyDescent="0.3">
      <c r="A4203" s="141" t="s">
        <v>7155</v>
      </c>
      <c r="B4203" s="141">
        <v>522215</v>
      </c>
      <c r="C4203" s="141" t="s">
        <v>1129</v>
      </c>
      <c r="D4203" s="141" t="s">
        <v>1137</v>
      </c>
    </row>
    <row r="4204" spans="1:4" x14ac:dyDescent="0.3">
      <c r="A4204" s="141" t="s">
        <v>7156</v>
      </c>
      <c r="B4204" s="141">
        <v>517201</v>
      </c>
      <c r="C4204" s="141" t="s">
        <v>1129</v>
      </c>
      <c r="D4204" s="141" t="s">
        <v>1671</v>
      </c>
    </row>
    <row r="4205" spans="1:4" x14ac:dyDescent="0.3">
      <c r="A4205" s="141" t="s">
        <v>7157</v>
      </c>
      <c r="B4205" s="141">
        <v>531637</v>
      </c>
      <c r="C4205" s="141" t="s">
        <v>1129</v>
      </c>
      <c r="D4205" s="141" t="s">
        <v>1167</v>
      </c>
    </row>
    <row r="4206" spans="1:4" x14ac:dyDescent="0.3">
      <c r="A4206" s="141" t="s">
        <v>7158</v>
      </c>
      <c r="B4206" s="141">
        <v>512359</v>
      </c>
      <c r="C4206" s="141" t="s">
        <v>1129</v>
      </c>
      <c r="D4206" s="141" t="s">
        <v>1151</v>
      </c>
    </row>
    <row r="4207" spans="1:4" x14ac:dyDescent="0.3">
      <c r="A4207" s="141" t="s">
        <v>7159</v>
      </c>
      <c r="B4207" s="141">
        <v>531499</v>
      </c>
      <c r="C4207" s="141" t="s">
        <v>1129</v>
      </c>
      <c r="D4207" s="141" t="s">
        <v>1144</v>
      </c>
    </row>
    <row r="4208" spans="1:4" x14ac:dyDescent="0.3">
      <c r="A4208" s="141" t="s">
        <v>7160</v>
      </c>
      <c r="B4208" s="141">
        <v>539682</v>
      </c>
      <c r="C4208" s="141" t="s">
        <v>1129</v>
      </c>
      <c r="D4208" s="141" t="s">
        <v>1234</v>
      </c>
    </row>
    <row r="4209" spans="1:4" x14ac:dyDescent="0.3">
      <c r="A4209" s="141" t="s">
        <v>7161</v>
      </c>
      <c r="B4209" s="141">
        <v>511447</v>
      </c>
      <c r="C4209" s="141" t="s">
        <v>1129</v>
      </c>
      <c r="D4209" s="141" t="s">
        <v>1135</v>
      </c>
    </row>
    <row r="4210" spans="1:4" x14ac:dyDescent="0.3">
      <c r="A4210" s="141" t="s">
        <v>7162</v>
      </c>
      <c r="B4210" s="141">
        <v>539278</v>
      </c>
      <c r="C4210" s="141" t="s">
        <v>1129</v>
      </c>
      <c r="D4210" s="141" t="s">
        <v>1112</v>
      </c>
    </row>
    <row r="4211" spans="1:4" x14ac:dyDescent="0.3">
      <c r="A4211" s="141" t="s">
        <v>7163</v>
      </c>
      <c r="B4211" s="141">
        <v>517385</v>
      </c>
      <c r="C4211" s="141" t="s">
        <v>7164</v>
      </c>
      <c r="D4211" s="141" t="s">
        <v>1498</v>
      </c>
    </row>
    <row r="4212" spans="1:4" x14ac:dyDescent="0.3">
      <c r="A4212" s="141" t="s">
        <v>7165</v>
      </c>
      <c r="B4212" s="141">
        <v>524470</v>
      </c>
      <c r="C4212" s="141" t="s">
        <v>1129</v>
      </c>
      <c r="D4212" s="141" t="s">
        <v>1167</v>
      </c>
    </row>
    <row r="4213" spans="1:4" x14ac:dyDescent="0.3">
      <c r="A4213" s="141" t="s">
        <v>7166</v>
      </c>
      <c r="B4213" s="141">
        <v>524470</v>
      </c>
      <c r="C4213" s="141" t="s">
        <v>1129</v>
      </c>
      <c r="D4213" s="141" t="s">
        <v>1167</v>
      </c>
    </row>
    <row r="4214" spans="1:4" x14ac:dyDescent="0.3">
      <c r="A4214" s="141" t="s">
        <v>7167</v>
      </c>
      <c r="B4214" s="141">
        <v>533157</v>
      </c>
      <c r="C4214" s="141" t="s">
        <v>7168</v>
      </c>
      <c r="D4214" s="141" t="s">
        <v>1167</v>
      </c>
    </row>
    <row r="4215" spans="1:4" x14ac:dyDescent="0.3">
      <c r="A4215" s="141" t="s">
        <v>7169</v>
      </c>
      <c r="B4215" s="141">
        <v>532276</v>
      </c>
      <c r="C4215" s="141" t="s">
        <v>7170</v>
      </c>
      <c r="D4215" s="141" t="s">
        <v>1447</v>
      </c>
    </row>
    <row r="4216" spans="1:4" x14ac:dyDescent="0.3">
      <c r="A4216" s="141" t="s">
        <v>7171</v>
      </c>
      <c r="B4216" s="141">
        <v>541929</v>
      </c>
      <c r="C4216" s="141" t="s">
        <v>1129</v>
      </c>
      <c r="D4216" s="141" t="s">
        <v>2049</v>
      </c>
    </row>
    <row r="4217" spans="1:4" x14ac:dyDescent="0.3">
      <c r="A4217" s="141" t="s">
        <v>7172</v>
      </c>
      <c r="B4217" s="141">
        <v>539268</v>
      </c>
      <c r="C4217" s="141" t="s">
        <v>7173</v>
      </c>
      <c r="D4217" s="141" t="s">
        <v>1167</v>
      </c>
    </row>
    <row r="4218" spans="1:4" x14ac:dyDescent="0.3">
      <c r="A4218" s="141" t="s">
        <v>7174</v>
      </c>
      <c r="B4218" s="141">
        <v>513307</v>
      </c>
      <c r="C4218" s="141" t="s">
        <v>1129</v>
      </c>
      <c r="D4218" s="141" t="s">
        <v>1434</v>
      </c>
    </row>
    <row r="4219" spans="1:4" x14ac:dyDescent="0.3">
      <c r="A4219" s="141" t="s">
        <v>7175</v>
      </c>
      <c r="B4219" s="141">
        <v>531173</v>
      </c>
      <c r="C4219" s="141" t="s">
        <v>1129</v>
      </c>
      <c r="D4219" s="141" t="s">
        <v>1167</v>
      </c>
    </row>
    <row r="4220" spans="1:4" x14ac:dyDescent="0.3">
      <c r="A4220" s="141" t="s">
        <v>7176</v>
      </c>
      <c r="B4220" s="141">
        <v>531173</v>
      </c>
      <c r="C4220" s="141" t="s">
        <v>1129</v>
      </c>
      <c r="D4220" s="141" t="s">
        <v>1167</v>
      </c>
    </row>
    <row r="4221" spans="1:4" x14ac:dyDescent="0.3">
      <c r="A4221" s="141" t="s">
        <v>7177</v>
      </c>
      <c r="B4221" s="141">
        <v>539842</v>
      </c>
      <c r="C4221" s="141" t="s">
        <v>1129</v>
      </c>
      <c r="D4221" s="141" t="s">
        <v>1324</v>
      </c>
    </row>
    <row r="4222" spans="1:4" x14ac:dyDescent="0.3">
      <c r="A4222" s="141" t="s">
        <v>7178</v>
      </c>
      <c r="B4222" s="141">
        <v>526506</v>
      </c>
      <c r="C4222" s="141" t="s">
        <v>1129</v>
      </c>
      <c r="D4222" s="141" t="s">
        <v>1112</v>
      </c>
    </row>
    <row r="4223" spans="1:4" x14ac:dyDescent="0.3">
      <c r="A4223" s="141" t="s">
        <v>7179</v>
      </c>
      <c r="B4223" s="141">
        <v>531432</v>
      </c>
      <c r="C4223" s="141" t="s">
        <v>1129</v>
      </c>
      <c r="D4223" s="141" t="s">
        <v>1146</v>
      </c>
    </row>
    <row r="4224" spans="1:4" x14ac:dyDescent="0.3">
      <c r="A4224" s="141" t="s">
        <v>7180</v>
      </c>
      <c r="B4224" s="141">
        <v>522294</v>
      </c>
      <c r="C4224" s="141" t="s">
        <v>1129</v>
      </c>
      <c r="D4224" s="141" t="s">
        <v>1137</v>
      </c>
    </row>
    <row r="4225" spans="1:4" x14ac:dyDescent="0.3">
      <c r="A4225" s="141" t="s">
        <v>7181</v>
      </c>
      <c r="B4225" s="141">
        <v>533553</v>
      </c>
      <c r="C4225" s="141" t="s">
        <v>1129</v>
      </c>
      <c r="D4225" s="141" t="s">
        <v>1172</v>
      </c>
    </row>
    <row r="4226" spans="1:4" x14ac:dyDescent="0.3">
      <c r="A4226" s="141" t="s">
        <v>7182</v>
      </c>
      <c r="B4226" s="141">
        <v>532444</v>
      </c>
      <c r="C4226" s="141" t="s">
        <v>1129</v>
      </c>
      <c r="D4226" s="141" t="s">
        <v>1222</v>
      </c>
    </row>
    <row r="4227" spans="1:4" x14ac:dyDescent="0.3">
      <c r="A4227" s="141" t="s">
        <v>7183</v>
      </c>
      <c r="B4227" s="141">
        <v>514142</v>
      </c>
      <c r="C4227" s="141" t="s">
        <v>7184</v>
      </c>
      <c r="D4227" s="141" t="s">
        <v>1144</v>
      </c>
    </row>
    <row r="4228" spans="1:4" x14ac:dyDescent="0.3">
      <c r="A4228" s="141" t="s">
        <v>7185</v>
      </c>
      <c r="B4228" s="141">
        <v>539956</v>
      </c>
      <c r="C4228" s="141" t="s">
        <v>1129</v>
      </c>
      <c r="D4228" s="141" t="s">
        <v>3267</v>
      </c>
    </row>
    <row r="4229" spans="1:4" x14ac:dyDescent="0.3">
      <c r="A4229" s="141" t="s">
        <v>7186</v>
      </c>
      <c r="B4229" s="141">
        <v>537392</v>
      </c>
      <c r="C4229" s="141" t="s">
        <v>1129</v>
      </c>
      <c r="D4229" s="141" t="s">
        <v>1298</v>
      </c>
    </row>
    <row r="4230" spans="1:4" x14ac:dyDescent="0.3">
      <c r="A4230" s="141" t="s">
        <v>7187</v>
      </c>
      <c r="B4230" s="141">
        <v>519483</v>
      </c>
      <c r="C4230" s="141" t="s">
        <v>1129</v>
      </c>
      <c r="D4230" s="141" t="s">
        <v>1151</v>
      </c>
    </row>
    <row r="4231" spans="1:4" x14ac:dyDescent="0.3">
      <c r="A4231" s="141" t="s">
        <v>7188</v>
      </c>
      <c r="B4231" s="141">
        <v>507785</v>
      </c>
      <c r="C4231" s="141" t="s">
        <v>7189</v>
      </c>
      <c r="D4231" s="141" t="s">
        <v>1249</v>
      </c>
    </row>
    <row r="4232" spans="1:4" x14ac:dyDescent="0.3">
      <c r="A4232" s="141" t="s">
        <v>7190</v>
      </c>
      <c r="B4232" s="141">
        <v>532390</v>
      </c>
      <c r="C4232" s="141" t="s">
        <v>7191</v>
      </c>
      <c r="D4232" s="141" t="s">
        <v>1330</v>
      </c>
    </row>
    <row r="4233" spans="1:4" x14ac:dyDescent="0.3">
      <c r="A4233" s="141" t="s">
        <v>7192</v>
      </c>
      <c r="B4233" s="141">
        <v>532890</v>
      </c>
      <c r="C4233" s="141" t="s">
        <v>7193</v>
      </c>
      <c r="D4233" s="141" t="s">
        <v>1115</v>
      </c>
    </row>
    <row r="4234" spans="1:4" x14ac:dyDescent="0.3">
      <c r="A4234" s="141" t="s">
        <v>7194</v>
      </c>
      <c r="B4234" s="141">
        <v>505160</v>
      </c>
      <c r="C4234" s="141" t="s">
        <v>7195</v>
      </c>
      <c r="D4234" s="141" t="s">
        <v>1484</v>
      </c>
    </row>
    <row r="4235" spans="1:4" x14ac:dyDescent="0.3">
      <c r="A4235" s="141" t="s">
        <v>7196</v>
      </c>
      <c r="B4235" s="141">
        <v>538987</v>
      </c>
      <c r="C4235" s="141" t="s">
        <v>1129</v>
      </c>
      <c r="D4235" s="141" t="s">
        <v>1484</v>
      </c>
    </row>
    <row r="4236" spans="1:4" x14ac:dyDescent="0.3">
      <c r="A4236" s="141" t="s">
        <v>7197</v>
      </c>
      <c r="B4236" s="141">
        <v>533200</v>
      </c>
      <c r="C4236" s="141" t="s">
        <v>7198</v>
      </c>
      <c r="D4236" s="141" t="s">
        <v>1307</v>
      </c>
    </row>
    <row r="4237" spans="1:4" x14ac:dyDescent="0.3">
      <c r="A4237" s="141" t="s">
        <v>7199</v>
      </c>
      <c r="B4237" s="141">
        <v>541545</v>
      </c>
      <c r="C4237" s="141" t="s">
        <v>7200</v>
      </c>
      <c r="D4237" s="141" t="s">
        <v>1307</v>
      </c>
    </row>
    <row r="4238" spans="1:4" x14ac:dyDescent="0.3">
      <c r="A4238" s="141" t="s">
        <v>7201</v>
      </c>
      <c r="B4238" s="141">
        <v>533170</v>
      </c>
      <c r="C4238" s="141" t="s">
        <v>1129</v>
      </c>
      <c r="D4238" s="141" t="s">
        <v>1149</v>
      </c>
    </row>
    <row r="4239" spans="1:4" x14ac:dyDescent="0.3">
      <c r="A4239" s="141" t="s">
        <v>7202</v>
      </c>
      <c r="B4239" s="141">
        <v>531426</v>
      </c>
      <c r="C4239" s="141" t="s">
        <v>7203</v>
      </c>
      <c r="D4239" s="141" t="s">
        <v>1123</v>
      </c>
    </row>
    <row r="4240" spans="1:4" x14ac:dyDescent="0.3">
      <c r="A4240" s="141" t="s">
        <v>7204</v>
      </c>
      <c r="B4240" s="141">
        <v>521038</v>
      </c>
      <c r="C4240" s="141" t="s">
        <v>1129</v>
      </c>
      <c r="D4240" s="141" t="s">
        <v>1144</v>
      </c>
    </row>
    <row r="4241" spans="1:4" x14ac:dyDescent="0.3">
      <c r="A4241" s="141" t="s">
        <v>7205</v>
      </c>
      <c r="B4241" s="141">
        <v>500777</v>
      </c>
      <c r="C4241" s="141" t="s">
        <v>7206</v>
      </c>
      <c r="D4241" s="141" t="s">
        <v>1177</v>
      </c>
    </row>
    <row r="4242" spans="1:4" x14ac:dyDescent="0.3">
      <c r="A4242" s="141" t="s">
        <v>7207</v>
      </c>
      <c r="B4242" s="141">
        <v>513540</v>
      </c>
      <c r="C4242" s="141" t="s">
        <v>1129</v>
      </c>
      <c r="D4242" s="141" t="s">
        <v>1452</v>
      </c>
    </row>
    <row r="4243" spans="1:4" x14ac:dyDescent="0.3">
      <c r="A4243" s="141" t="s">
        <v>7208</v>
      </c>
      <c r="B4243" s="141">
        <v>523419</v>
      </c>
      <c r="C4243" s="141" t="s">
        <v>7209</v>
      </c>
      <c r="D4243" s="141" t="s">
        <v>1399</v>
      </c>
    </row>
    <row r="4244" spans="1:4" x14ac:dyDescent="0.3">
      <c r="A4244" s="141" t="s">
        <v>7210</v>
      </c>
      <c r="B4244" s="141">
        <v>522229</v>
      </c>
      <c r="C4244" s="141" t="s">
        <v>1129</v>
      </c>
      <c r="D4244" s="141" t="s">
        <v>3613</v>
      </c>
    </row>
    <row r="4245" spans="1:4" x14ac:dyDescent="0.3">
      <c r="A4245" s="141" t="s">
        <v>7211</v>
      </c>
      <c r="B4245" s="141">
        <v>506854</v>
      </c>
      <c r="C4245" s="141" t="s">
        <v>1129</v>
      </c>
      <c r="D4245" s="141" t="s">
        <v>1177</v>
      </c>
    </row>
    <row r="4246" spans="1:4" x14ac:dyDescent="0.3">
      <c r="A4246" s="141" t="s">
        <v>7212</v>
      </c>
      <c r="B4246" s="141">
        <v>532790</v>
      </c>
      <c r="C4246" s="141" t="s">
        <v>7213</v>
      </c>
      <c r="D4246" s="141" t="s">
        <v>1222</v>
      </c>
    </row>
    <row r="4247" spans="1:4" x14ac:dyDescent="0.3">
      <c r="A4247" s="141" t="s">
        <v>7214</v>
      </c>
      <c r="B4247" s="141">
        <v>532738</v>
      </c>
      <c r="C4247" s="141" t="s">
        <v>7215</v>
      </c>
      <c r="D4247" s="141" t="s">
        <v>1527</v>
      </c>
    </row>
    <row r="4248" spans="1:4" x14ac:dyDescent="0.3">
      <c r="A4248" s="141" t="s">
        <v>7216</v>
      </c>
      <c r="B4248" s="141">
        <v>540332</v>
      </c>
      <c r="C4248" s="141" t="s">
        <v>1129</v>
      </c>
      <c r="D4248" s="141" t="s">
        <v>1151</v>
      </c>
    </row>
    <row r="4249" spans="1:4" x14ac:dyDescent="0.3">
      <c r="A4249" s="141" t="s">
        <v>7217</v>
      </c>
      <c r="B4249" s="141">
        <v>540332</v>
      </c>
      <c r="C4249" s="141" t="s">
        <v>1129</v>
      </c>
      <c r="D4249" s="141" t="s">
        <v>1151</v>
      </c>
    </row>
    <row r="4250" spans="1:4" x14ac:dyDescent="0.3">
      <c r="A4250" s="141" t="s">
        <v>7218</v>
      </c>
      <c r="B4250" s="141">
        <v>505685</v>
      </c>
      <c r="C4250" s="141" t="s">
        <v>1129</v>
      </c>
      <c r="D4250" s="141" t="s">
        <v>1452</v>
      </c>
    </row>
    <row r="4251" spans="1:4" x14ac:dyDescent="0.3">
      <c r="A4251" s="141" t="s">
        <v>7219</v>
      </c>
      <c r="B4251" s="141" t="s">
        <v>1129</v>
      </c>
      <c r="C4251" s="141" t="s">
        <v>7220</v>
      </c>
      <c r="D4251" s="141" t="s">
        <v>1140</v>
      </c>
    </row>
    <row r="4252" spans="1:4" x14ac:dyDescent="0.3">
      <c r="A4252" s="141" t="s">
        <v>7221</v>
      </c>
      <c r="B4252" s="141">
        <v>534756</v>
      </c>
      <c r="C4252" s="141" t="s">
        <v>7222</v>
      </c>
      <c r="D4252" s="141" t="s">
        <v>1243</v>
      </c>
    </row>
    <row r="4253" spans="1:4" x14ac:dyDescent="0.3">
      <c r="A4253" s="141" t="s">
        <v>7223</v>
      </c>
      <c r="B4253" s="141">
        <v>519285</v>
      </c>
      <c r="C4253" s="141" t="s">
        <v>1129</v>
      </c>
      <c r="D4253" s="141" t="s">
        <v>1327</v>
      </c>
    </row>
    <row r="4254" spans="1:4" x14ac:dyDescent="0.3">
      <c r="A4254" s="141" t="s">
        <v>7224</v>
      </c>
      <c r="B4254" s="141">
        <v>533203</v>
      </c>
      <c r="C4254" s="141" t="s">
        <v>7225</v>
      </c>
      <c r="D4254" s="141" t="s">
        <v>1172</v>
      </c>
    </row>
    <row r="4255" spans="1:4" x14ac:dyDescent="0.3">
      <c r="A4255" s="141" t="s">
        <v>7226</v>
      </c>
      <c r="B4255" s="141">
        <v>538496</v>
      </c>
      <c r="C4255" s="141" t="s">
        <v>1129</v>
      </c>
      <c r="D4255" s="141" t="s">
        <v>1213</v>
      </c>
    </row>
    <row r="4256" spans="1:4" x14ac:dyDescent="0.3">
      <c r="A4256" s="141" t="s">
        <v>7227</v>
      </c>
      <c r="B4256" s="141">
        <v>532869</v>
      </c>
      <c r="C4256" s="141" t="s">
        <v>7228</v>
      </c>
      <c r="D4256" s="141" t="s">
        <v>1527</v>
      </c>
    </row>
    <row r="4257" spans="1:4" x14ac:dyDescent="0.3">
      <c r="A4257" s="141" t="s">
        <v>7229</v>
      </c>
      <c r="B4257" s="141">
        <v>512271</v>
      </c>
      <c r="C4257" s="141" t="s">
        <v>1129</v>
      </c>
      <c r="D4257" s="141" t="s">
        <v>1550</v>
      </c>
    </row>
    <row r="4258" spans="1:4" x14ac:dyDescent="0.3">
      <c r="A4258" s="141" t="s">
        <v>7230</v>
      </c>
      <c r="B4258" s="141">
        <v>512271</v>
      </c>
      <c r="C4258" s="141" t="s">
        <v>1129</v>
      </c>
      <c r="D4258" s="141" t="s">
        <v>1550</v>
      </c>
    </row>
    <row r="4259" spans="1:4" x14ac:dyDescent="0.3">
      <c r="A4259" s="141" t="s">
        <v>7231</v>
      </c>
      <c r="B4259" s="141">
        <v>519091</v>
      </c>
      <c r="C4259" s="141" t="s">
        <v>7232</v>
      </c>
      <c r="D4259" s="141" t="s">
        <v>1189</v>
      </c>
    </row>
    <row r="4260" spans="1:4" x14ac:dyDescent="0.3">
      <c r="A4260" s="141" t="s">
        <v>7233</v>
      </c>
      <c r="B4260" s="141">
        <v>540955</v>
      </c>
      <c r="C4260" s="141" t="s">
        <v>1129</v>
      </c>
      <c r="D4260" s="141" t="s">
        <v>1189</v>
      </c>
    </row>
    <row r="4261" spans="1:4" x14ac:dyDescent="0.3">
      <c r="A4261" s="141" t="s">
        <v>7234</v>
      </c>
      <c r="B4261" s="141">
        <v>500770</v>
      </c>
      <c r="C4261" s="141" t="s">
        <v>7235</v>
      </c>
      <c r="D4261" s="141" t="s">
        <v>1177</v>
      </c>
    </row>
    <row r="4262" spans="1:4" x14ac:dyDescent="0.3">
      <c r="A4262" s="141" t="s">
        <v>7236</v>
      </c>
      <c r="B4262" s="141">
        <v>532301</v>
      </c>
      <c r="C4262" s="141" t="s">
        <v>7237</v>
      </c>
      <c r="D4262" s="141" t="s">
        <v>1536</v>
      </c>
    </row>
    <row r="4263" spans="1:4" x14ac:dyDescent="0.3">
      <c r="A4263" s="141" t="s">
        <v>7238</v>
      </c>
      <c r="B4263" s="141">
        <v>500483</v>
      </c>
      <c r="C4263" s="141" t="s">
        <v>7239</v>
      </c>
      <c r="D4263" s="141" t="s">
        <v>7240</v>
      </c>
    </row>
    <row r="4264" spans="1:4" x14ac:dyDescent="0.3">
      <c r="A4264" s="141" t="s">
        <v>7241</v>
      </c>
      <c r="B4264" s="141">
        <v>532540</v>
      </c>
      <c r="C4264" s="141" t="s">
        <v>7242</v>
      </c>
      <c r="D4264" s="141" t="s">
        <v>1115</v>
      </c>
    </row>
    <row r="4265" spans="1:4" x14ac:dyDescent="0.3">
      <c r="A4265" s="141" t="s">
        <v>7243</v>
      </c>
      <c r="B4265" s="141">
        <v>500408</v>
      </c>
      <c r="C4265" s="141" t="s">
        <v>7244</v>
      </c>
      <c r="D4265" s="141" t="s">
        <v>1222</v>
      </c>
    </row>
    <row r="4266" spans="1:4" x14ac:dyDescent="0.3">
      <c r="A4266" s="141" t="s">
        <v>7245</v>
      </c>
      <c r="B4266" s="141">
        <v>500800</v>
      </c>
      <c r="C4266" s="141" t="s">
        <v>7246</v>
      </c>
      <c r="D4266" s="141" t="s">
        <v>1536</v>
      </c>
    </row>
    <row r="4267" spans="1:4" x14ac:dyDescent="0.3">
      <c r="A4267" s="141" t="s">
        <v>7247</v>
      </c>
      <c r="B4267" s="141">
        <v>501301</v>
      </c>
      <c r="C4267" s="141" t="s">
        <v>7248</v>
      </c>
      <c r="D4267" s="141" t="s">
        <v>1295</v>
      </c>
    </row>
    <row r="4268" spans="1:4" x14ac:dyDescent="0.3">
      <c r="A4268" s="141" t="s">
        <v>7249</v>
      </c>
      <c r="B4268" s="141">
        <v>513434</v>
      </c>
      <c r="C4268" s="141" t="s">
        <v>7250</v>
      </c>
      <c r="D4268" s="141" t="s">
        <v>1161</v>
      </c>
    </row>
    <row r="4269" spans="1:4" x14ac:dyDescent="0.3">
      <c r="A4269" s="141" t="s">
        <v>7251</v>
      </c>
      <c r="B4269" s="141">
        <v>500570</v>
      </c>
      <c r="C4269" s="141" t="s">
        <v>7252</v>
      </c>
      <c r="D4269" s="141" t="s">
        <v>1207</v>
      </c>
    </row>
    <row r="4270" spans="1:4" x14ac:dyDescent="0.3">
      <c r="A4270" s="141" t="s">
        <v>7251</v>
      </c>
      <c r="B4270" s="141">
        <v>570001</v>
      </c>
      <c r="C4270" s="141" t="s">
        <v>7253</v>
      </c>
      <c r="D4270" s="141" t="s">
        <v>1207</v>
      </c>
    </row>
    <row r="4271" spans="1:4" x14ac:dyDescent="0.3">
      <c r="A4271" s="141" t="s">
        <v>7254</v>
      </c>
      <c r="B4271" s="141">
        <v>500400</v>
      </c>
      <c r="C4271" s="141" t="s">
        <v>7255</v>
      </c>
      <c r="D4271" s="141" t="s">
        <v>1268</v>
      </c>
    </row>
    <row r="4272" spans="1:4" x14ac:dyDescent="0.3">
      <c r="A4272" s="141" t="s">
        <v>7256</v>
      </c>
      <c r="B4272" s="141">
        <v>513010</v>
      </c>
      <c r="C4272" s="141" t="s">
        <v>7257</v>
      </c>
      <c r="D4272" s="141" t="s">
        <v>1161</v>
      </c>
    </row>
    <row r="4273" spans="1:4" x14ac:dyDescent="0.3">
      <c r="A4273" s="141" t="s">
        <v>7258</v>
      </c>
      <c r="B4273" s="141" t="s">
        <v>1129</v>
      </c>
      <c r="C4273" s="141" t="s">
        <v>7259</v>
      </c>
      <c r="D4273" s="141" t="s">
        <v>1161</v>
      </c>
    </row>
    <row r="4274" spans="1:4" x14ac:dyDescent="0.3">
      <c r="A4274" s="141" t="s">
        <v>7260</v>
      </c>
      <c r="B4274" s="141">
        <v>500470</v>
      </c>
      <c r="C4274" s="141" t="s">
        <v>7261</v>
      </c>
      <c r="D4274" s="141" t="s">
        <v>1161</v>
      </c>
    </row>
    <row r="4275" spans="1:4" x14ac:dyDescent="0.3">
      <c r="A4275" s="141" t="s">
        <v>7262</v>
      </c>
      <c r="B4275" s="141">
        <v>532371</v>
      </c>
      <c r="C4275" s="141" t="s">
        <v>7263</v>
      </c>
      <c r="D4275" s="141" t="s">
        <v>2073</v>
      </c>
    </row>
    <row r="4276" spans="1:4" x14ac:dyDescent="0.3">
      <c r="A4276" s="141" t="s">
        <v>7264</v>
      </c>
      <c r="B4276" s="141">
        <v>521228</v>
      </c>
      <c r="C4276" s="141" t="s">
        <v>1129</v>
      </c>
      <c r="D4276" s="141" t="s">
        <v>1243</v>
      </c>
    </row>
    <row r="4277" spans="1:4" x14ac:dyDescent="0.3">
      <c r="A4277" s="141" t="s">
        <v>7265</v>
      </c>
      <c r="B4277" s="141">
        <v>531190</v>
      </c>
      <c r="C4277" s="141" t="s">
        <v>1129</v>
      </c>
      <c r="D4277" s="141" t="s">
        <v>1144</v>
      </c>
    </row>
    <row r="4278" spans="1:4" x14ac:dyDescent="0.3">
      <c r="A4278" s="141" t="s">
        <v>7266</v>
      </c>
      <c r="B4278" s="141">
        <v>541228</v>
      </c>
      <c r="C4278" s="141" t="s">
        <v>1129</v>
      </c>
      <c r="D4278" s="141" t="s">
        <v>1137</v>
      </c>
    </row>
    <row r="4279" spans="1:4" x14ac:dyDescent="0.3">
      <c r="A4279" s="141" t="s">
        <v>7267</v>
      </c>
      <c r="B4279" s="141">
        <v>504961</v>
      </c>
      <c r="C4279" s="141" t="s">
        <v>1129</v>
      </c>
      <c r="D4279" s="141" t="s">
        <v>1161</v>
      </c>
    </row>
    <row r="4280" spans="1:4" x14ac:dyDescent="0.3">
      <c r="A4280" s="141" t="s">
        <v>7268</v>
      </c>
      <c r="B4280" s="141">
        <v>532284</v>
      </c>
      <c r="C4280" s="141" t="s">
        <v>1129</v>
      </c>
      <c r="D4280" s="141" t="s">
        <v>1112</v>
      </c>
    </row>
    <row r="4281" spans="1:4" x14ac:dyDescent="0.3">
      <c r="A4281" s="141" t="s">
        <v>7269</v>
      </c>
      <c r="B4281" s="141">
        <v>533393</v>
      </c>
      <c r="C4281" s="141" t="s">
        <v>7270</v>
      </c>
      <c r="D4281" s="141" t="s">
        <v>1215</v>
      </c>
    </row>
    <row r="4282" spans="1:4" x14ac:dyDescent="0.3">
      <c r="A4282" s="141" t="s">
        <v>7271</v>
      </c>
      <c r="B4282" s="141">
        <v>540212</v>
      </c>
      <c r="C4282" s="141" t="s">
        <v>7272</v>
      </c>
      <c r="D4282" s="141" t="s">
        <v>1450</v>
      </c>
    </row>
    <row r="4283" spans="1:4" x14ac:dyDescent="0.3">
      <c r="A4283" s="141" t="s">
        <v>7273</v>
      </c>
      <c r="B4283" s="141">
        <v>501242</v>
      </c>
      <c r="C4283" s="141" t="s">
        <v>7274</v>
      </c>
      <c r="D4283" s="141" t="s">
        <v>1146</v>
      </c>
    </row>
    <row r="4284" spans="1:4" x14ac:dyDescent="0.3">
      <c r="A4284" s="141" t="s">
        <v>7275</v>
      </c>
      <c r="B4284" s="141">
        <v>532262</v>
      </c>
      <c r="C4284" s="141" t="s">
        <v>1129</v>
      </c>
      <c r="D4284" s="141" t="s">
        <v>1450</v>
      </c>
    </row>
    <row r="4285" spans="1:4" x14ac:dyDescent="0.3">
      <c r="A4285" s="141" t="s">
        <v>7276</v>
      </c>
      <c r="B4285" s="141">
        <v>524156</v>
      </c>
      <c r="C4285" s="141" t="s">
        <v>1129</v>
      </c>
      <c r="D4285" s="141" t="s">
        <v>1177</v>
      </c>
    </row>
    <row r="4286" spans="1:4" x14ac:dyDescent="0.3">
      <c r="A4286" s="141" t="s">
        <v>7277</v>
      </c>
      <c r="B4286" s="141">
        <v>541700</v>
      </c>
      <c r="C4286" s="141" t="s">
        <v>7278</v>
      </c>
      <c r="D4286" s="141" t="s">
        <v>1243</v>
      </c>
    </row>
    <row r="4287" spans="1:4" x14ac:dyDescent="0.3">
      <c r="A4287" s="141" t="s">
        <v>7279</v>
      </c>
      <c r="B4287" s="141">
        <v>523301</v>
      </c>
      <c r="C4287" s="141" t="s">
        <v>7280</v>
      </c>
      <c r="D4287" s="141" t="s">
        <v>1123</v>
      </c>
    </row>
    <row r="4288" spans="1:4" x14ac:dyDescent="0.3">
      <c r="A4288" s="141" t="s">
        <v>7281</v>
      </c>
      <c r="B4288" s="141" t="s">
        <v>1129</v>
      </c>
      <c r="C4288" s="141" t="s">
        <v>7282</v>
      </c>
      <c r="D4288" s="141" t="s">
        <v>1220</v>
      </c>
    </row>
    <row r="4289" spans="1:4" x14ac:dyDescent="0.3">
      <c r="A4289" s="141" t="s">
        <v>7283</v>
      </c>
      <c r="B4289" s="141">
        <v>512011</v>
      </c>
      <c r="C4289" s="141" t="s">
        <v>1129</v>
      </c>
      <c r="D4289" s="141" t="s">
        <v>1151</v>
      </c>
    </row>
    <row r="4290" spans="1:4" x14ac:dyDescent="0.3">
      <c r="A4290" s="141" t="s">
        <v>7284</v>
      </c>
      <c r="B4290" s="141">
        <v>539658</v>
      </c>
      <c r="C4290" s="141" t="s">
        <v>7285</v>
      </c>
      <c r="D4290" s="141" t="s">
        <v>3909</v>
      </c>
    </row>
    <row r="4291" spans="1:4" x14ac:dyDescent="0.3">
      <c r="A4291" s="141" t="s">
        <v>7286</v>
      </c>
      <c r="B4291" s="141">
        <v>532755</v>
      </c>
      <c r="C4291" s="141" t="s">
        <v>7287</v>
      </c>
      <c r="D4291" s="141" t="s">
        <v>1115</v>
      </c>
    </row>
    <row r="4292" spans="1:4" x14ac:dyDescent="0.3">
      <c r="A4292" s="141" t="s">
        <v>7288</v>
      </c>
      <c r="B4292" s="141">
        <v>526576</v>
      </c>
      <c r="C4292" s="141" t="s">
        <v>7289</v>
      </c>
      <c r="D4292" s="141" t="s">
        <v>1327</v>
      </c>
    </row>
    <row r="4293" spans="1:4" x14ac:dyDescent="0.3">
      <c r="A4293" s="141" t="s">
        <v>7290</v>
      </c>
      <c r="B4293" s="141">
        <v>542141</v>
      </c>
      <c r="C4293" s="141" t="s">
        <v>7291</v>
      </c>
      <c r="D4293" s="141" t="s">
        <v>1527</v>
      </c>
    </row>
    <row r="4294" spans="1:4" x14ac:dyDescent="0.3">
      <c r="A4294" s="141" t="s">
        <v>7292</v>
      </c>
      <c r="B4294" s="141">
        <v>532804</v>
      </c>
      <c r="C4294" s="141" t="s">
        <v>7293</v>
      </c>
      <c r="D4294" s="141" t="s">
        <v>1452</v>
      </c>
    </row>
    <row r="4295" spans="1:4" x14ac:dyDescent="0.3">
      <c r="A4295" s="141" t="s">
        <v>7294</v>
      </c>
      <c r="B4295" s="141">
        <v>532804</v>
      </c>
      <c r="C4295" s="141" t="s">
        <v>7293</v>
      </c>
      <c r="D4295" s="141" t="s">
        <v>1452</v>
      </c>
    </row>
    <row r="4296" spans="1:4" x14ac:dyDescent="0.3">
      <c r="A4296" s="141" t="s">
        <v>7295</v>
      </c>
      <c r="B4296" s="141">
        <v>533216</v>
      </c>
      <c r="C4296" s="141" t="s">
        <v>7296</v>
      </c>
      <c r="D4296" s="141" t="s">
        <v>1527</v>
      </c>
    </row>
    <row r="4297" spans="1:4" x14ac:dyDescent="0.3">
      <c r="A4297" s="141" t="s">
        <v>7297</v>
      </c>
      <c r="B4297" s="141">
        <v>509917</v>
      </c>
      <c r="C4297" s="141" t="s">
        <v>1129</v>
      </c>
      <c r="D4297" s="141" t="s">
        <v>1671</v>
      </c>
    </row>
    <row r="4298" spans="1:4" x14ac:dyDescent="0.3">
      <c r="A4298" s="141" t="s">
        <v>7298</v>
      </c>
      <c r="B4298" s="141">
        <v>501421</v>
      </c>
      <c r="C4298" s="141" t="s">
        <v>1129</v>
      </c>
      <c r="D4298" s="141" t="s">
        <v>1222</v>
      </c>
    </row>
    <row r="4299" spans="1:4" x14ac:dyDescent="0.3">
      <c r="A4299" s="141" t="s">
        <v>7299</v>
      </c>
      <c r="B4299" s="141">
        <v>524204</v>
      </c>
      <c r="C4299" s="141" t="s">
        <v>1129</v>
      </c>
      <c r="D4299" s="141" t="s">
        <v>1637</v>
      </c>
    </row>
    <row r="4300" spans="1:4" x14ac:dyDescent="0.3">
      <c r="A4300" s="141" t="s">
        <v>7300</v>
      </c>
      <c r="B4300" s="141">
        <v>540595</v>
      </c>
      <c r="C4300" s="141" t="s">
        <v>7301</v>
      </c>
      <c r="D4300" s="141" t="s">
        <v>2076</v>
      </c>
    </row>
    <row r="4301" spans="1:4" x14ac:dyDescent="0.3">
      <c r="A4301" s="141" t="s">
        <v>7302</v>
      </c>
      <c r="B4301" s="141">
        <v>539428</v>
      </c>
      <c r="C4301" s="141" t="s">
        <v>1129</v>
      </c>
      <c r="D4301" s="141" t="s">
        <v>1599</v>
      </c>
    </row>
    <row r="4302" spans="1:4" x14ac:dyDescent="0.3">
      <c r="A4302" s="141" t="s">
        <v>7303</v>
      </c>
      <c r="B4302" s="141">
        <v>530595</v>
      </c>
      <c r="C4302" s="141" t="s">
        <v>1129</v>
      </c>
      <c r="D4302" s="141" t="s">
        <v>1222</v>
      </c>
    </row>
    <row r="4303" spans="1:4" x14ac:dyDescent="0.3">
      <c r="A4303" s="141" t="s">
        <v>7304</v>
      </c>
      <c r="B4303" s="141">
        <v>533982</v>
      </c>
      <c r="C4303" s="141" t="s">
        <v>7305</v>
      </c>
      <c r="D4303" s="141" t="s">
        <v>1115</v>
      </c>
    </row>
    <row r="4304" spans="1:4" x14ac:dyDescent="0.3">
      <c r="A4304" s="141" t="s">
        <v>7306</v>
      </c>
      <c r="B4304" s="141">
        <v>530533</v>
      </c>
      <c r="C4304" s="141" t="s">
        <v>1129</v>
      </c>
      <c r="D4304" s="141" t="s">
        <v>1536</v>
      </c>
    </row>
    <row r="4305" spans="1:4" x14ac:dyDescent="0.3">
      <c r="A4305" s="141" t="s">
        <v>7307</v>
      </c>
      <c r="B4305" s="141">
        <v>506162</v>
      </c>
      <c r="C4305" s="141" t="s">
        <v>1129</v>
      </c>
      <c r="D4305" s="141" t="s">
        <v>1112</v>
      </c>
    </row>
    <row r="4306" spans="1:4" x14ac:dyDescent="0.3">
      <c r="A4306" s="141" t="s">
        <v>7308</v>
      </c>
      <c r="B4306" s="141">
        <v>512157</v>
      </c>
      <c r="C4306" s="141" t="s">
        <v>1129</v>
      </c>
      <c r="D4306" s="141" t="s">
        <v>1550</v>
      </c>
    </row>
    <row r="4307" spans="1:4" x14ac:dyDescent="0.3">
      <c r="A4307" s="141" t="s">
        <v>7309</v>
      </c>
      <c r="B4307" s="141">
        <v>505400</v>
      </c>
      <c r="C4307" s="141" t="s">
        <v>7310</v>
      </c>
      <c r="D4307" s="141" t="s">
        <v>1215</v>
      </c>
    </row>
    <row r="4308" spans="1:4" x14ac:dyDescent="0.3">
      <c r="A4308" s="141" t="s">
        <v>7311</v>
      </c>
      <c r="B4308" s="141">
        <v>533326</v>
      </c>
      <c r="C4308" s="141" t="s">
        <v>7312</v>
      </c>
      <c r="D4308" s="141" t="s">
        <v>1527</v>
      </c>
    </row>
    <row r="4309" spans="1:4" x14ac:dyDescent="0.3">
      <c r="A4309" s="141" t="s">
        <v>7313</v>
      </c>
      <c r="B4309" s="141">
        <v>533164</v>
      </c>
      <c r="C4309" s="141" t="s">
        <v>7314</v>
      </c>
      <c r="D4309" s="141" t="s">
        <v>1249</v>
      </c>
    </row>
    <row r="4310" spans="1:4" x14ac:dyDescent="0.3">
      <c r="A4310" s="141" t="s">
        <v>7315</v>
      </c>
      <c r="B4310" s="141">
        <v>532845</v>
      </c>
      <c r="C4310" s="141" t="s">
        <v>7316</v>
      </c>
      <c r="D4310" s="141" t="s">
        <v>1330</v>
      </c>
    </row>
    <row r="4311" spans="1:4" x14ac:dyDescent="0.3">
      <c r="A4311" s="141" t="s">
        <v>7317</v>
      </c>
      <c r="B4311" s="141">
        <v>507753</v>
      </c>
      <c r="C4311" s="141" t="s">
        <v>1129</v>
      </c>
      <c r="D4311" s="141" t="s">
        <v>1177</v>
      </c>
    </row>
    <row r="4312" spans="1:4" x14ac:dyDescent="0.3">
      <c r="A4312" s="141" t="s">
        <v>7318</v>
      </c>
      <c r="B4312" s="141">
        <v>509945</v>
      </c>
      <c r="C4312" s="141" t="s">
        <v>1129</v>
      </c>
      <c r="D4312" s="141" t="s">
        <v>1112</v>
      </c>
    </row>
    <row r="4313" spans="1:4" x14ac:dyDescent="0.3">
      <c r="A4313" s="141" t="s">
        <v>7319</v>
      </c>
      <c r="B4313" s="141">
        <v>526654</v>
      </c>
      <c r="C4313" s="141" t="s">
        <v>1129</v>
      </c>
      <c r="D4313" s="141" t="s">
        <v>1215</v>
      </c>
    </row>
    <row r="4314" spans="1:4" x14ac:dyDescent="0.3">
      <c r="A4314" s="141" t="s">
        <v>7320</v>
      </c>
      <c r="B4314" s="141">
        <v>509015</v>
      </c>
      <c r="C4314" s="141" t="s">
        <v>1129</v>
      </c>
      <c r="D4314" s="141" t="s">
        <v>1671</v>
      </c>
    </row>
    <row r="4315" spans="1:4" x14ac:dyDescent="0.3">
      <c r="A4315" s="141" t="s">
        <v>7321</v>
      </c>
      <c r="B4315" s="141">
        <v>509015</v>
      </c>
      <c r="C4315" s="141" t="s">
        <v>1129</v>
      </c>
      <c r="D4315" s="141" t="s">
        <v>1671</v>
      </c>
    </row>
    <row r="4316" spans="1:4" x14ac:dyDescent="0.3">
      <c r="A4316" s="141" t="s">
        <v>7322</v>
      </c>
      <c r="B4316" s="141">
        <v>514484</v>
      </c>
      <c r="C4316" s="141" t="s">
        <v>1129</v>
      </c>
      <c r="D4316" s="141" t="s">
        <v>1144</v>
      </c>
    </row>
    <row r="4317" spans="1:4" x14ac:dyDescent="0.3">
      <c r="A4317" s="141" t="s">
        <v>7323</v>
      </c>
      <c r="B4317" s="141">
        <v>533158</v>
      </c>
      <c r="C4317" s="141" t="s">
        <v>7324</v>
      </c>
      <c r="D4317" s="141" t="s">
        <v>1243</v>
      </c>
    </row>
    <row r="4318" spans="1:4" x14ac:dyDescent="0.3">
      <c r="A4318" s="141" t="s">
        <v>7325</v>
      </c>
      <c r="B4318" s="141">
        <v>590062</v>
      </c>
      <c r="C4318" s="141" t="s">
        <v>7326</v>
      </c>
      <c r="D4318" s="141" t="s">
        <v>1177</v>
      </c>
    </row>
    <row r="4319" spans="1:4" x14ac:dyDescent="0.3">
      <c r="A4319" s="141" t="s">
        <v>7327</v>
      </c>
      <c r="B4319" s="141">
        <v>542460</v>
      </c>
      <c r="C4319" s="141" t="s">
        <v>7328</v>
      </c>
      <c r="D4319" s="141" t="s">
        <v>1137</v>
      </c>
    </row>
    <row r="4320" spans="1:4" x14ac:dyDescent="0.3">
      <c r="A4320" s="141" t="s">
        <v>7329</v>
      </c>
      <c r="B4320" s="141">
        <v>531373</v>
      </c>
      <c r="C4320" s="141" t="s">
        <v>7330</v>
      </c>
      <c r="D4320" s="141" t="s">
        <v>1330</v>
      </c>
    </row>
    <row r="4321" spans="1:4" x14ac:dyDescent="0.3">
      <c r="A4321" s="141" t="s">
        <v>7331</v>
      </c>
      <c r="B4321" s="141">
        <v>500469</v>
      </c>
      <c r="C4321" s="141" t="s">
        <v>7332</v>
      </c>
      <c r="D4321" s="141" t="s">
        <v>1447</v>
      </c>
    </row>
    <row r="4322" spans="1:4" x14ac:dyDescent="0.3">
      <c r="A4322" s="141" t="s">
        <v>7333</v>
      </c>
      <c r="B4322" s="141">
        <v>500620</v>
      </c>
      <c r="C4322" s="141" t="s">
        <v>7334</v>
      </c>
      <c r="D4322" s="141" t="s">
        <v>2377</v>
      </c>
    </row>
    <row r="4323" spans="1:4" x14ac:dyDescent="0.3">
      <c r="A4323" s="141" t="s">
        <v>7335</v>
      </c>
      <c r="B4323" s="141" t="s">
        <v>1129</v>
      </c>
      <c r="C4323" s="141" t="s">
        <v>7336</v>
      </c>
      <c r="D4323" s="141" t="s">
        <v>1220</v>
      </c>
    </row>
    <row r="4324" spans="1:4" x14ac:dyDescent="0.3">
      <c r="A4324" s="141" t="s">
        <v>7337</v>
      </c>
      <c r="B4324" s="141">
        <v>522073</v>
      </c>
      <c r="C4324" s="141" t="s">
        <v>7338</v>
      </c>
      <c r="D4324" s="141" t="s">
        <v>1484</v>
      </c>
    </row>
    <row r="4325" spans="1:4" x14ac:dyDescent="0.3">
      <c r="A4325" s="141" t="s">
        <v>7339</v>
      </c>
      <c r="B4325" s="141">
        <v>530005</v>
      </c>
      <c r="C4325" s="141" t="s">
        <v>7340</v>
      </c>
      <c r="D4325" s="141" t="s">
        <v>1142</v>
      </c>
    </row>
    <row r="4326" spans="1:4" x14ac:dyDescent="0.3">
      <c r="A4326" s="141" t="s">
        <v>7341</v>
      </c>
      <c r="B4326" s="141">
        <v>500850</v>
      </c>
      <c r="C4326" s="141" t="s">
        <v>7342</v>
      </c>
      <c r="D4326" s="141" t="s">
        <v>1330</v>
      </c>
    </row>
    <row r="4327" spans="1:4" x14ac:dyDescent="0.3">
      <c r="A4327" s="141" t="s">
        <v>7343</v>
      </c>
      <c r="B4327" s="141">
        <v>540954</v>
      </c>
      <c r="C4327" s="141" t="s">
        <v>1129</v>
      </c>
      <c r="D4327" s="141" t="s">
        <v>1624</v>
      </c>
    </row>
    <row r="4328" spans="1:4" x14ac:dyDescent="0.3">
      <c r="A4328" s="141" t="s">
        <v>7344</v>
      </c>
      <c r="B4328" s="141">
        <v>530023</v>
      </c>
      <c r="C4328" s="141" t="s">
        <v>7345</v>
      </c>
      <c r="D4328" s="141" t="s">
        <v>1146</v>
      </c>
    </row>
    <row r="4329" spans="1:4" x14ac:dyDescent="0.3">
      <c r="A4329" s="141" t="s">
        <v>7346</v>
      </c>
      <c r="B4329" s="141">
        <v>530023</v>
      </c>
      <c r="C4329" s="141" t="s">
        <v>7345</v>
      </c>
      <c r="D4329" s="141" t="s">
        <v>1146</v>
      </c>
    </row>
    <row r="4330" spans="1:4" x14ac:dyDescent="0.3">
      <c r="A4330" s="141" t="s">
        <v>7347</v>
      </c>
      <c r="B4330" s="141">
        <v>532209</v>
      </c>
      <c r="C4330" s="141" t="s">
        <v>7348</v>
      </c>
      <c r="D4330" s="141" t="s">
        <v>1447</v>
      </c>
    </row>
    <row r="4331" spans="1:4" x14ac:dyDescent="0.3">
      <c r="A4331" s="141" t="s">
        <v>7349</v>
      </c>
      <c r="B4331" s="141">
        <v>532652</v>
      </c>
      <c r="C4331" s="141" t="s">
        <v>7350</v>
      </c>
      <c r="D4331" s="141" t="s">
        <v>1447</v>
      </c>
    </row>
    <row r="4332" spans="1:4" x14ac:dyDescent="0.3">
      <c r="A4332" s="141" t="s">
        <v>7351</v>
      </c>
      <c r="B4332" s="141">
        <v>540210</v>
      </c>
      <c r="C4332" s="141" t="s">
        <v>7352</v>
      </c>
      <c r="D4332" s="141" t="s">
        <v>1130</v>
      </c>
    </row>
    <row r="4333" spans="1:4" x14ac:dyDescent="0.3">
      <c r="A4333" s="141" t="s">
        <v>7353</v>
      </c>
      <c r="B4333" s="141">
        <v>501343</v>
      </c>
      <c r="C4333" s="141" t="s">
        <v>7354</v>
      </c>
      <c r="D4333" s="141" t="s">
        <v>1146</v>
      </c>
    </row>
    <row r="4334" spans="1:4" x14ac:dyDescent="0.3">
      <c r="A4334" s="141" t="s">
        <v>7355</v>
      </c>
      <c r="B4334" s="141">
        <v>540769</v>
      </c>
      <c r="C4334" s="141" t="s">
        <v>7356</v>
      </c>
      <c r="D4334" s="141" t="s">
        <v>3212</v>
      </c>
    </row>
    <row r="4335" spans="1:4" x14ac:dyDescent="0.3">
      <c r="A4335" s="141" t="s">
        <v>7357</v>
      </c>
      <c r="B4335" s="141">
        <v>590086</v>
      </c>
      <c r="C4335" s="141" t="s">
        <v>7358</v>
      </c>
      <c r="D4335" s="141" t="s">
        <v>1109</v>
      </c>
    </row>
    <row r="4336" spans="1:4" x14ac:dyDescent="0.3">
      <c r="A4336" s="141" t="s">
        <v>7359</v>
      </c>
      <c r="B4336" s="141" t="s">
        <v>1129</v>
      </c>
      <c r="C4336" s="141" t="s">
        <v>7360</v>
      </c>
      <c r="D4336" s="141" t="s">
        <v>1220</v>
      </c>
    </row>
    <row r="4337" spans="1:4" x14ac:dyDescent="0.3">
      <c r="A4337" s="141" t="s">
        <v>7361</v>
      </c>
      <c r="B4337" s="141">
        <v>503100</v>
      </c>
      <c r="C4337" s="141" t="s">
        <v>7362</v>
      </c>
      <c r="D4337" s="141" t="s">
        <v>1215</v>
      </c>
    </row>
    <row r="4338" spans="1:4" x14ac:dyDescent="0.3">
      <c r="A4338" s="141" t="s">
        <v>7363</v>
      </c>
      <c r="B4338" s="141">
        <v>542123</v>
      </c>
      <c r="C4338" s="141" t="s">
        <v>1129</v>
      </c>
      <c r="D4338" s="141" t="s">
        <v>1637</v>
      </c>
    </row>
    <row r="4339" spans="1:4" x14ac:dyDescent="0.3">
      <c r="A4339" s="141" t="s">
        <v>7364</v>
      </c>
      <c r="B4339" s="141">
        <v>500260</v>
      </c>
      <c r="C4339" s="141" t="s">
        <v>7365</v>
      </c>
      <c r="D4339" s="141" t="s">
        <v>1142</v>
      </c>
    </row>
    <row r="4340" spans="1:4" x14ac:dyDescent="0.3">
      <c r="A4340" s="141" t="s">
        <v>7366</v>
      </c>
      <c r="B4340" s="141">
        <v>503169</v>
      </c>
      <c r="C4340" s="141" t="s">
        <v>7367</v>
      </c>
      <c r="D4340" s="141" t="s">
        <v>1144</v>
      </c>
    </row>
    <row r="4341" spans="1:4" x14ac:dyDescent="0.3">
      <c r="A4341" s="141" t="s">
        <v>7368</v>
      </c>
      <c r="B4341" s="141">
        <v>526725</v>
      </c>
      <c r="C4341" s="141" t="s">
        <v>7369</v>
      </c>
      <c r="D4341" s="141" t="s">
        <v>1653</v>
      </c>
    </row>
    <row r="4342" spans="1:4" x14ac:dyDescent="0.3">
      <c r="A4342" s="141" t="s">
        <v>7370</v>
      </c>
      <c r="B4342" s="141">
        <v>532218</v>
      </c>
      <c r="C4342" s="141" t="s">
        <v>7371</v>
      </c>
      <c r="D4342" s="141" t="s">
        <v>1447</v>
      </c>
    </row>
    <row r="4343" spans="1:4" x14ac:dyDescent="0.3">
      <c r="A4343" s="141" t="s">
        <v>7372</v>
      </c>
      <c r="B4343" s="141">
        <v>512531</v>
      </c>
      <c r="C4343" s="141" t="s">
        <v>7373</v>
      </c>
      <c r="D4343" s="141" t="s">
        <v>1151</v>
      </c>
    </row>
    <row r="4344" spans="1:4" x14ac:dyDescent="0.3">
      <c r="A4344" s="141" t="s">
        <v>7374</v>
      </c>
      <c r="B4344" s="141">
        <v>512531</v>
      </c>
      <c r="C4344" s="141" t="s">
        <v>7375</v>
      </c>
      <c r="D4344" s="141" t="s">
        <v>1151</v>
      </c>
    </row>
    <row r="4345" spans="1:4" x14ac:dyDescent="0.3">
      <c r="A4345" s="141" t="s">
        <v>7376</v>
      </c>
      <c r="B4345" s="141">
        <v>504966</v>
      </c>
      <c r="C4345" s="141" t="s">
        <v>7377</v>
      </c>
      <c r="D4345" s="141" t="s">
        <v>1324</v>
      </c>
    </row>
    <row r="4346" spans="1:4" x14ac:dyDescent="0.3">
      <c r="A4346" s="141" t="s">
        <v>7378</v>
      </c>
      <c r="B4346" s="141">
        <v>504966</v>
      </c>
      <c r="C4346" s="141" t="s">
        <v>7377</v>
      </c>
      <c r="D4346" s="141" t="s">
        <v>1324</v>
      </c>
    </row>
    <row r="4347" spans="1:4" x14ac:dyDescent="0.3">
      <c r="A4347" s="141" t="s">
        <v>7379</v>
      </c>
      <c r="B4347" s="141">
        <v>530363</v>
      </c>
      <c r="C4347" s="141" t="s">
        <v>7380</v>
      </c>
      <c r="D4347" s="141" t="s">
        <v>1828</v>
      </c>
    </row>
    <row r="4348" spans="1:4" x14ac:dyDescent="0.3">
      <c r="A4348" s="141" t="s">
        <v>7381</v>
      </c>
      <c r="B4348" s="141" t="s">
        <v>1129</v>
      </c>
      <c r="C4348" s="141" t="s">
        <v>7382</v>
      </c>
      <c r="D4348" s="141" t="s">
        <v>1220</v>
      </c>
    </row>
    <row r="4349" spans="1:4" x14ac:dyDescent="0.3">
      <c r="A4349" s="141" t="s">
        <v>7383</v>
      </c>
      <c r="B4349" s="141" t="s">
        <v>1129</v>
      </c>
      <c r="C4349" s="141" t="s">
        <v>7384</v>
      </c>
      <c r="D4349" s="141" t="s">
        <v>1220</v>
      </c>
    </row>
    <row r="4350" spans="1:4" x14ac:dyDescent="0.3">
      <c r="A4350" s="141" t="s">
        <v>7385</v>
      </c>
      <c r="B4350" s="141">
        <v>540980</v>
      </c>
      <c r="C4350" s="141" t="s">
        <v>1129</v>
      </c>
      <c r="D4350" s="141" t="s">
        <v>1151</v>
      </c>
    </row>
    <row r="4351" spans="1:4" x14ac:dyDescent="0.3">
      <c r="A4351" s="141" t="s">
        <v>7386</v>
      </c>
      <c r="B4351" s="141" t="s">
        <v>1129</v>
      </c>
      <c r="C4351" s="141" t="s">
        <v>7387</v>
      </c>
      <c r="D4351" s="141" t="s">
        <v>1140</v>
      </c>
    </row>
    <row r="4352" spans="1:4" x14ac:dyDescent="0.3">
      <c r="A4352" s="141" t="s">
        <v>7388</v>
      </c>
      <c r="B4352" s="141">
        <v>530199</v>
      </c>
      <c r="C4352" s="141" t="s">
        <v>7389</v>
      </c>
      <c r="D4352" s="141" t="s">
        <v>1167</v>
      </c>
    </row>
    <row r="4353" spans="1:4" x14ac:dyDescent="0.3">
      <c r="A4353" s="141" t="s">
        <v>7390</v>
      </c>
      <c r="B4353" s="141">
        <v>500411</v>
      </c>
      <c r="C4353" s="141" t="s">
        <v>7391</v>
      </c>
      <c r="D4353" s="141" t="s">
        <v>1172</v>
      </c>
    </row>
    <row r="4354" spans="1:4" x14ac:dyDescent="0.3">
      <c r="A4354" s="141" t="s">
        <v>7392</v>
      </c>
      <c r="B4354" s="141">
        <v>539310</v>
      </c>
      <c r="C4354" s="141" t="s">
        <v>1129</v>
      </c>
      <c r="D4354" s="141" t="s">
        <v>2732</v>
      </c>
    </row>
    <row r="4355" spans="1:4" x14ac:dyDescent="0.3">
      <c r="A4355" s="141" t="s">
        <v>7393</v>
      </c>
      <c r="B4355" s="141">
        <v>538464</v>
      </c>
      <c r="C4355" s="141" t="s">
        <v>1129</v>
      </c>
      <c r="D4355" s="141" t="s">
        <v>1146</v>
      </c>
    </row>
    <row r="4356" spans="1:4" x14ac:dyDescent="0.3">
      <c r="A4356" s="141" t="s">
        <v>7394</v>
      </c>
      <c r="B4356" s="141">
        <v>531652</v>
      </c>
      <c r="C4356" s="141" t="s">
        <v>1129</v>
      </c>
      <c r="D4356" s="141" t="s">
        <v>1146</v>
      </c>
    </row>
    <row r="4357" spans="1:4" x14ac:dyDescent="0.3">
      <c r="A4357" s="141" t="s">
        <v>7395</v>
      </c>
      <c r="B4357" s="141">
        <v>507450</v>
      </c>
      <c r="C4357" s="141" t="s">
        <v>7396</v>
      </c>
      <c r="D4357" s="141" t="s">
        <v>1828</v>
      </c>
    </row>
    <row r="4358" spans="1:4" x14ac:dyDescent="0.3">
      <c r="A4358" s="141" t="s">
        <v>7397</v>
      </c>
      <c r="B4358" s="141">
        <v>500412</v>
      </c>
      <c r="C4358" s="141" t="s">
        <v>7398</v>
      </c>
      <c r="D4358" s="141" t="s">
        <v>1177</v>
      </c>
    </row>
    <row r="4359" spans="1:4" x14ac:dyDescent="0.3">
      <c r="A4359" s="141" t="s">
        <v>7399</v>
      </c>
      <c r="B4359" s="141">
        <v>500413</v>
      </c>
      <c r="C4359" s="141" t="s">
        <v>7400</v>
      </c>
      <c r="D4359" s="141" t="s">
        <v>2132</v>
      </c>
    </row>
    <row r="4360" spans="1:4" x14ac:dyDescent="0.3">
      <c r="A4360" s="141" t="s">
        <v>7401</v>
      </c>
      <c r="B4360" s="141">
        <v>500413</v>
      </c>
      <c r="C4360" s="141" t="s">
        <v>7400</v>
      </c>
      <c r="D4360" s="141" t="s">
        <v>2132</v>
      </c>
    </row>
    <row r="4361" spans="1:4" x14ac:dyDescent="0.3">
      <c r="A4361" s="141" t="s">
        <v>7402</v>
      </c>
      <c r="B4361" s="141">
        <v>533941</v>
      </c>
      <c r="C4361" s="141" t="s">
        <v>7403</v>
      </c>
      <c r="D4361" s="141" t="s">
        <v>1243</v>
      </c>
    </row>
    <row r="4362" spans="1:4" x14ac:dyDescent="0.3">
      <c r="A4362" s="141" t="s">
        <v>7404</v>
      </c>
      <c r="B4362" s="141">
        <v>533941</v>
      </c>
      <c r="C4362" s="141" t="s">
        <v>7403</v>
      </c>
      <c r="D4362" s="141" t="s">
        <v>1243</v>
      </c>
    </row>
    <row r="4363" spans="1:4" x14ac:dyDescent="0.3">
      <c r="A4363" s="141" t="s">
        <v>7405</v>
      </c>
      <c r="B4363" s="141">
        <v>539871</v>
      </c>
      <c r="C4363" s="141" t="s">
        <v>7406</v>
      </c>
      <c r="D4363" s="141" t="s">
        <v>1318</v>
      </c>
    </row>
    <row r="4364" spans="1:4" x14ac:dyDescent="0.3">
      <c r="A4364" s="141" t="s">
        <v>7407</v>
      </c>
      <c r="B4364" s="141">
        <v>504973</v>
      </c>
      <c r="C4364" s="141" t="s">
        <v>7408</v>
      </c>
      <c r="D4364" s="141" t="s">
        <v>1484</v>
      </c>
    </row>
    <row r="4365" spans="1:4" x14ac:dyDescent="0.3">
      <c r="A4365" s="141" t="s">
        <v>7409</v>
      </c>
      <c r="B4365" s="141">
        <v>540108</v>
      </c>
      <c r="C4365" s="141" t="s">
        <v>1129</v>
      </c>
      <c r="D4365" s="141" t="s">
        <v>1112</v>
      </c>
    </row>
    <row r="4366" spans="1:4" x14ac:dyDescent="0.3">
      <c r="A4366" s="141" t="s">
        <v>7410</v>
      </c>
      <c r="B4366" s="141">
        <v>590005</v>
      </c>
      <c r="C4366" s="141" t="s">
        <v>7411</v>
      </c>
      <c r="D4366" s="141" t="s">
        <v>1339</v>
      </c>
    </row>
    <row r="4367" spans="1:4" x14ac:dyDescent="0.3">
      <c r="A4367" s="141" t="s">
        <v>7412</v>
      </c>
      <c r="B4367" s="141">
        <v>590005</v>
      </c>
      <c r="C4367" s="141" t="s">
        <v>7411</v>
      </c>
      <c r="D4367" s="141" t="s">
        <v>1339</v>
      </c>
    </row>
    <row r="4368" spans="1:4" x14ac:dyDescent="0.3">
      <c r="A4368" s="141" t="s">
        <v>7413</v>
      </c>
      <c r="B4368" s="141">
        <v>536264</v>
      </c>
      <c r="C4368" s="141" t="s">
        <v>1129</v>
      </c>
      <c r="D4368" s="141" t="s">
        <v>1450</v>
      </c>
    </row>
    <row r="4369" spans="1:4" x14ac:dyDescent="0.3">
      <c r="A4369" s="141" t="s">
        <v>7414</v>
      </c>
      <c r="B4369" s="141">
        <v>536264</v>
      </c>
      <c r="C4369" s="141" t="s">
        <v>1129</v>
      </c>
      <c r="D4369" s="141" t="s">
        <v>1450</v>
      </c>
    </row>
    <row r="4370" spans="1:4" x14ac:dyDescent="0.3">
      <c r="A4370" s="141" t="s">
        <v>7415</v>
      </c>
      <c r="B4370" s="141">
        <v>533629</v>
      </c>
      <c r="C4370" s="141" t="s">
        <v>7416</v>
      </c>
      <c r="D4370" s="141" t="s">
        <v>1249</v>
      </c>
    </row>
    <row r="4371" spans="1:4" x14ac:dyDescent="0.3">
      <c r="A4371" s="141" t="s">
        <v>7417</v>
      </c>
      <c r="B4371" s="141">
        <v>505196</v>
      </c>
      <c r="C4371" s="141" t="s">
        <v>7418</v>
      </c>
      <c r="D4371" s="141" t="s">
        <v>1252</v>
      </c>
    </row>
    <row r="4372" spans="1:4" x14ac:dyDescent="0.3">
      <c r="A4372" s="141" t="s">
        <v>7419</v>
      </c>
      <c r="B4372" s="141">
        <v>503663</v>
      </c>
      <c r="C4372" s="141" t="s">
        <v>7420</v>
      </c>
      <c r="D4372" s="141" t="s">
        <v>1149</v>
      </c>
    </row>
    <row r="4373" spans="1:4" x14ac:dyDescent="0.3">
      <c r="A4373" s="141" t="s">
        <v>7421</v>
      </c>
      <c r="B4373" s="141">
        <v>507205</v>
      </c>
      <c r="C4373" s="141" t="s">
        <v>7422</v>
      </c>
      <c r="D4373" s="141" t="s">
        <v>1761</v>
      </c>
    </row>
    <row r="4374" spans="1:4" x14ac:dyDescent="0.3">
      <c r="A4374" s="141" t="s">
        <v>7423</v>
      </c>
      <c r="B4374" s="141">
        <v>532856</v>
      </c>
      <c r="C4374" s="141" t="s">
        <v>7424</v>
      </c>
      <c r="D4374" s="141" t="s">
        <v>1249</v>
      </c>
    </row>
    <row r="4375" spans="1:4" x14ac:dyDescent="0.3">
      <c r="A4375" s="141" t="s">
        <v>7425</v>
      </c>
      <c r="B4375" s="141">
        <v>511559</v>
      </c>
      <c r="C4375" s="141" t="s">
        <v>7426</v>
      </c>
      <c r="D4375" s="141" t="s">
        <v>1146</v>
      </c>
    </row>
    <row r="4376" spans="1:4" x14ac:dyDescent="0.3">
      <c r="A4376" s="141" t="s">
        <v>7427</v>
      </c>
      <c r="B4376" s="141">
        <v>500414</v>
      </c>
      <c r="C4376" s="141" t="s">
        <v>1129</v>
      </c>
      <c r="D4376" s="141" t="s">
        <v>1243</v>
      </c>
    </row>
    <row r="4377" spans="1:4" x14ac:dyDescent="0.3">
      <c r="A4377" s="141" t="s">
        <v>7428</v>
      </c>
      <c r="B4377" s="141">
        <v>500414</v>
      </c>
      <c r="C4377" s="141" t="s">
        <v>1129</v>
      </c>
      <c r="D4377" s="141" t="s">
        <v>1243</v>
      </c>
    </row>
    <row r="4378" spans="1:4" x14ac:dyDescent="0.3">
      <c r="A4378" s="141" t="s">
        <v>7429</v>
      </c>
      <c r="B4378" s="141">
        <v>522113</v>
      </c>
      <c r="C4378" s="141" t="s">
        <v>7430</v>
      </c>
      <c r="D4378" s="141" t="s">
        <v>1137</v>
      </c>
    </row>
    <row r="4379" spans="1:4" x14ac:dyDescent="0.3">
      <c r="A4379" s="141" t="s">
        <v>7431</v>
      </c>
      <c r="B4379" s="141">
        <v>522113</v>
      </c>
      <c r="C4379" s="141" t="s">
        <v>7430</v>
      </c>
      <c r="D4379" s="141" t="s">
        <v>1137</v>
      </c>
    </row>
    <row r="4380" spans="1:4" x14ac:dyDescent="0.3">
      <c r="A4380" s="141" t="s">
        <v>7432</v>
      </c>
      <c r="B4380" s="141">
        <v>530475</v>
      </c>
      <c r="C4380" s="141" t="s">
        <v>1129</v>
      </c>
      <c r="D4380" s="141" t="s">
        <v>1289</v>
      </c>
    </row>
    <row r="4381" spans="1:4" x14ac:dyDescent="0.3">
      <c r="A4381" s="141" t="s">
        <v>7433</v>
      </c>
      <c r="B4381" s="141">
        <v>541741</v>
      </c>
      <c r="C4381" s="141" t="s">
        <v>1129</v>
      </c>
      <c r="D4381" s="141" t="s">
        <v>1151</v>
      </c>
    </row>
    <row r="4382" spans="1:4" x14ac:dyDescent="0.3">
      <c r="A4382" s="141" t="s">
        <v>7434</v>
      </c>
      <c r="B4382" s="141">
        <v>532375</v>
      </c>
      <c r="C4382" s="141" t="s">
        <v>7435</v>
      </c>
      <c r="D4382" s="141" t="s">
        <v>1132</v>
      </c>
    </row>
    <row r="4383" spans="1:4" x14ac:dyDescent="0.3">
      <c r="A4383" s="141" t="s">
        <v>7436</v>
      </c>
      <c r="B4383" s="141">
        <v>539488</v>
      </c>
      <c r="C4383" s="141" t="s">
        <v>1129</v>
      </c>
      <c r="D4383" s="141" t="s">
        <v>1149</v>
      </c>
    </row>
    <row r="4384" spans="1:4" x14ac:dyDescent="0.3">
      <c r="A4384" s="141" t="s">
        <v>7437</v>
      </c>
      <c r="B4384" s="141">
        <v>540904</v>
      </c>
      <c r="C4384" s="141" t="s">
        <v>1129</v>
      </c>
      <c r="D4384" s="141" t="s">
        <v>1406</v>
      </c>
    </row>
    <row r="4385" spans="1:4" x14ac:dyDescent="0.3">
      <c r="A4385" s="141" t="s">
        <v>7438</v>
      </c>
      <c r="B4385" s="141" t="s">
        <v>1129</v>
      </c>
      <c r="C4385" s="141" t="s">
        <v>7439</v>
      </c>
      <c r="D4385" s="141" t="s">
        <v>1140</v>
      </c>
    </row>
    <row r="4386" spans="1:4" x14ac:dyDescent="0.3">
      <c r="A4386" s="141" t="s">
        <v>7440</v>
      </c>
      <c r="B4386" s="141">
        <v>531547</v>
      </c>
      <c r="C4386" s="141" t="s">
        <v>1129</v>
      </c>
      <c r="D4386" s="141" t="s">
        <v>1327</v>
      </c>
    </row>
    <row r="4387" spans="1:4" x14ac:dyDescent="0.3">
      <c r="A4387" s="141" t="s">
        <v>7441</v>
      </c>
      <c r="B4387" s="141">
        <v>531547</v>
      </c>
      <c r="C4387" s="141" t="s">
        <v>1129</v>
      </c>
      <c r="D4387" s="141" t="s">
        <v>1327</v>
      </c>
    </row>
    <row r="4388" spans="1:4" x14ac:dyDescent="0.3">
      <c r="A4388" s="141" t="s">
        <v>7442</v>
      </c>
      <c r="B4388" s="141">
        <v>531814</v>
      </c>
      <c r="C4388" s="141" t="s">
        <v>1129</v>
      </c>
      <c r="D4388" s="141" t="s">
        <v>1215</v>
      </c>
    </row>
    <row r="4389" spans="1:4" x14ac:dyDescent="0.3">
      <c r="A4389" s="141" t="s">
        <v>7443</v>
      </c>
      <c r="B4389" s="141">
        <v>524582</v>
      </c>
      <c r="C4389" s="141" t="s">
        <v>1129</v>
      </c>
      <c r="D4389" s="141" t="s">
        <v>1209</v>
      </c>
    </row>
    <row r="4390" spans="1:4" x14ac:dyDescent="0.3">
      <c r="A4390" s="141" t="s">
        <v>7444</v>
      </c>
      <c r="B4390" s="141">
        <v>539040</v>
      </c>
      <c r="C4390" s="141" t="s">
        <v>1129</v>
      </c>
      <c r="D4390" s="141" t="s">
        <v>1609</v>
      </c>
    </row>
    <row r="4391" spans="1:4" x14ac:dyDescent="0.3">
      <c r="A4391" s="141" t="s">
        <v>7445</v>
      </c>
      <c r="B4391" s="141">
        <v>539985</v>
      </c>
      <c r="C4391" s="141" t="s">
        <v>1129</v>
      </c>
      <c r="D4391" s="141" t="s">
        <v>1144</v>
      </c>
    </row>
    <row r="4392" spans="1:4" x14ac:dyDescent="0.3">
      <c r="A4392" s="141" t="s">
        <v>7446</v>
      </c>
      <c r="B4392" s="141">
        <v>532966</v>
      </c>
      <c r="C4392" s="141" t="s">
        <v>7447</v>
      </c>
      <c r="D4392" s="141" t="s">
        <v>1207</v>
      </c>
    </row>
    <row r="4393" spans="1:4" x14ac:dyDescent="0.3">
      <c r="A4393" s="141" t="s">
        <v>7448</v>
      </c>
      <c r="B4393" s="141">
        <v>524717</v>
      </c>
      <c r="C4393" s="141" t="s">
        <v>1129</v>
      </c>
      <c r="D4393" s="141" t="s">
        <v>1289</v>
      </c>
    </row>
    <row r="4394" spans="1:4" x14ac:dyDescent="0.3">
      <c r="A4394" s="141" t="s">
        <v>7449</v>
      </c>
      <c r="B4394" s="141">
        <v>500114</v>
      </c>
      <c r="C4394" s="141" t="s">
        <v>7450</v>
      </c>
      <c r="D4394" s="141" t="s">
        <v>1243</v>
      </c>
    </row>
    <row r="4395" spans="1:4" x14ac:dyDescent="0.3">
      <c r="A4395" s="141" t="s">
        <v>7451</v>
      </c>
      <c r="B4395" s="141">
        <v>530045</v>
      </c>
      <c r="C4395" s="141" t="s">
        <v>1129</v>
      </c>
      <c r="D4395" s="141" t="s">
        <v>1146</v>
      </c>
    </row>
    <row r="4396" spans="1:4" x14ac:dyDescent="0.3">
      <c r="A4396" s="141" t="s">
        <v>7452</v>
      </c>
      <c r="B4396" s="141">
        <v>511096</v>
      </c>
      <c r="C4396" s="141" t="s">
        <v>1129</v>
      </c>
      <c r="D4396" s="141" t="s">
        <v>1215</v>
      </c>
    </row>
    <row r="4397" spans="1:4" x14ac:dyDescent="0.3">
      <c r="A4397" s="141" t="s">
        <v>7453</v>
      </c>
      <c r="B4397" s="141">
        <v>531830</v>
      </c>
      <c r="C4397" s="141" t="s">
        <v>7454</v>
      </c>
      <c r="D4397" s="141" t="s">
        <v>1675</v>
      </c>
    </row>
    <row r="4398" spans="1:4" x14ac:dyDescent="0.3">
      <c r="A4398" s="141" t="s">
        <v>7455</v>
      </c>
      <c r="B4398" s="141">
        <v>531644</v>
      </c>
      <c r="C4398" s="141" t="s">
        <v>1129</v>
      </c>
      <c r="D4398" s="141" t="s">
        <v>1146</v>
      </c>
    </row>
    <row r="4399" spans="1:4" x14ac:dyDescent="0.3">
      <c r="A4399" s="141" t="s">
        <v>7456</v>
      </c>
      <c r="B4399" s="141">
        <v>500418</v>
      </c>
      <c r="C4399" s="141" t="s">
        <v>7457</v>
      </c>
      <c r="D4399" s="141" t="s">
        <v>1249</v>
      </c>
    </row>
    <row r="4400" spans="1:4" x14ac:dyDescent="0.3">
      <c r="A4400" s="141" t="s">
        <v>7458</v>
      </c>
      <c r="B4400" s="141">
        <v>500420</v>
      </c>
      <c r="C4400" s="141" t="s">
        <v>7459</v>
      </c>
      <c r="D4400" s="141" t="s">
        <v>1167</v>
      </c>
    </row>
    <row r="4401" spans="1:4" x14ac:dyDescent="0.3">
      <c r="A4401" s="141" t="s">
        <v>7460</v>
      </c>
      <c r="B4401" s="141">
        <v>532779</v>
      </c>
      <c r="C4401" s="141" t="s">
        <v>7461</v>
      </c>
      <c r="D4401" s="141" t="s">
        <v>1268</v>
      </c>
    </row>
    <row r="4402" spans="1:4" x14ac:dyDescent="0.3">
      <c r="A4402" s="141" t="s">
        <v>7462</v>
      </c>
      <c r="B4402" s="141">
        <v>523878</v>
      </c>
      <c r="C4402" s="141" t="s">
        <v>1129</v>
      </c>
      <c r="D4402" s="141" t="s">
        <v>1454</v>
      </c>
    </row>
    <row r="4403" spans="1:4" x14ac:dyDescent="0.3">
      <c r="A4403" s="141" t="s">
        <v>7463</v>
      </c>
      <c r="B4403" s="141" t="s">
        <v>1129</v>
      </c>
      <c r="C4403" s="141" t="s">
        <v>7464</v>
      </c>
      <c r="D4403" s="141" t="s">
        <v>1140</v>
      </c>
    </row>
    <row r="4404" spans="1:4" x14ac:dyDescent="0.3">
      <c r="A4404" s="141" t="s">
        <v>7465</v>
      </c>
      <c r="B4404" s="141" t="s">
        <v>1129</v>
      </c>
      <c r="C4404" s="141" t="s">
        <v>7466</v>
      </c>
      <c r="D4404" s="141" t="s">
        <v>1140</v>
      </c>
    </row>
    <row r="4405" spans="1:4" x14ac:dyDescent="0.3">
      <c r="A4405" s="141" t="s">
        <v>7467</v>
      </c>
      <c r="B4405" s="141">
        <v>526650</v>
      </c>
      <c r="C4405" s="141" t="s">
        <v>7468</v>
      </c>
      <c r="D4405" s="141" t="s">
        <v>3461</v>
      </c>
    </row>
    <row r="4406" spans="1:4" x14ac:dyDescent="0.3">
      <c r="A4406" s="141" t="s">
        <v>7469</v>
      </c>
      <c r="B4406" s="141">
        <v>526650</v>
      </c>
      <c r="C4406" s="141" t="s">
        <v>7468</v>
      </c>
      <c r="D4406" s="141" t="s">
        <v>3461</v>
      </c>
    </row>
    <row r="4407" spans="1:4" x14ac:dyDescent="0.3">
      <c r="A4407" s="141" t="s">
        <v>7470</v>
      </c>
      <c r="B4407" s="141">
        <v>531771</v>
      </c>
      <c r="C4407" s="141" t="s">
        <v>1129</v>
      </c>
      <c r="D4407" s="141" t="s">
        <v>1427</v>
      </c>
    </row>
    <row r="4408" spans="1:4" x14ac:dyDescent="0.3">
      <c r="A4408" s="141" t="s">
        <v>7471</v>
      </c>
      <c r="B4408" s="141">
        <v>538607</v>
      </c>
      <c r="C4408" s="141" t="s">
        <v>1129</v>
      </c>
      <c r="D4408" s="141" t="s">
        <v>1112</v>
      </c>
    </row>
    <row r="4409" spans="1:4" x14ac:dyDescent="0.3">
      <c r="A4409" s="141" t="s">
        <v>7472</v>
      </c>
      <c r="B4409" s="141">
        <v>500421</v>
      </c>
      <c r="C4409" s="141" t="s">
        <v>1129</v>
      </c>
      <c r="D4409" s="141" t="s">
        <v>1324</v>
      </c>
    </row>
    <row r="4410" spans="1:4" x14ac:dyDescent="0.3">
      <c r="A4410" s="141" t="s">
        <v>7473</v>
      </c>
      <c r="B4410" s="141">
        <v>500421</v>
      </c>
      <c r="C4410" s="141" t="s">
        <v>1129</v>
      </c>
      <c r="D4410" s="141" t="s">
        <v>1324</v>
      </c>
    </row>
    <row r="4411" spans="1:4" x14ac:dyDescent="0.3">
      <c r="A4411" s="141" t="s">
        <v>7474</v>
      </c>
      <c r="B4411" s="141">
        <v>526582</v>
      </c>
      <c r="C4411" s="141" t="s">
        <v>7475</v>
      </c>
      <c r="D4411" s="141" t="s">
        <v>1249</v>
      </c>
    </row>
    <row r="4412" spans="1:4" x14ac:dyDescent="0.3">
      <c r="A4412" s="141" t="s">
        <v>7476</v>
      </c>
      <c r="B4412" s="141">
        <v>509953</v>
      </c>
      <c r="C4412" s="141" t="s">
        <v>1129</v>
      </c>
      <c r="D4412" s="141" t="s">
        <v>2132</v>
      </c>
    </row>
    <row r="4413" spans="1:4" x14ac:dyDescent="0.3">
      <c r="A4413" s="141" t="s">
        <v>7477</v>
      </c>
      <c r="B4413" s="141">
        <v>530783</v>
      </c>
      <c r="C4413" s="141" t="s">
        <v>1129</v>
      </c>
      <c r="D4413" s="141" t="s">
        <v>1167</v>
      </c>
    </row>
    <row r="4414" spans="1:4" x14ac:dyDescent="0.3">
      <c r="A4414" s="141" t="s">
        <v>7478</v>
      </c>
      <c r="B4414" s="141">
        <v>526961</v>
      </c>
      <c r="C4414" s="141" t="s">
        <v>7479</v>
      </c>
      <c r="D4414" s="141" t="s">
        <v>1146</v>
      </c>
    </row>
    <row r="4415" spans="1:4" x14ac:dyDescent="0.3">
      <c r="A4415" s="141" t="s">
        <v>7480</v>
      </c>
      <c r="B4415" s="141">
        <v>500422</v>
      </c>
      <c r="C4415" s="141" t="s">
        <v>1129</v>
      </c>
      <c r="D4415" s="141" t="s">
        <v>1167</v>
      </c>
    </row>
    <row r="4416" spans="1:4" x14ac:dyDescent="0.3">
      <c r="A4416" s="141" t="s">
        <v>7481</v>
      </c>
      <c r="B4416" s="141">
        <v>532410</v>
      </c>
      <c r="C4416" s="141" t="s">
        <v>1129</v>
      </c>
      <c r="D4416" s="141" t="s">
        <v>1112</v>
      </c>
    </row>
    <row r="4417" spans="1:4" x14ac:dyDescent="0.3">
      <c r="A4417" s="141" t="s">
        <v>7482</v>
      </c>
      <c r="B4417" s="141">
        <v>532928</v>
      </c>
      <c r="C4417" s="141" t="s">
        <v>7483</v>
      </c>
      <c r="D4417" s="141" t="s">
        <v>1172</v>
      </c>
    </row>
    <row r="4418" spans="1:4" x14ac:dyDescent="0.3">
      <c r="A4418" s="141" t="s">
        <v>7484</v>
      </c>
      <c r="B4418" s="141">
        <v>532928</v>
      </c>
      <c r="C4418" s="141" t="s">
        <v>7483</v>
      </c>
      <c r="D4418" s="141" t="s">
        <v>1172</v>
      </c>
    </row>
    <row r="4419" spans="1:4" x14ac:dyDescent="0.3">
      <c r="A4419" s="141" t="s">
        <v>7485</v>
      </c>
      <c r="B4419" s="141">
        <v>513063</v>
      </c>
      <c r="C4419" s="141" t="s">
        <v>1129</v>
      </c>
      <c r="D4419" s="141" t="s">
        <v>1452</v>
      </c>
    </row>
    <row r="4420" spans="1:4" x14ac:dyDescent="0.3">
      <c r="A4420" s="141" t="s">
        <v>7486</v>
      </c>
      <c r="B4420" s="141">
        <v>526139</v>
      </c>
      <c r="C4420" s="141" t="s">
        <v>1129</v>
      </c>
      <c r="D4420" s="141" t="s">
        <v>1318</v>
      </c>
    </row>
    <row r="4421" spans="1:4" x14ac:dyDescent="0.3">
      <c r="A4421" s="141" t="s">
        <v>7487</v>
      </c>
      <c r="B4421" s="141">
        <v>519367</v>
      </c>
      <c r="C4421" s="141" t="s">
        <v>1129</v>
      </c>
      <c r="D4421" s="141" t="s">
        <v>1564</v>
      </c>
    </row>
    <row r="4422" spans="1:4" x14ac:dyDescent="0.3">
      <c r="A4422" s="141" t="s">
        <v>7488</v>
      </c>
      <c r="B4422" s="141">
        <v>509003</v>
      </c>
      <c r="C4422" s="141" t="s">
        <v>1129</v>
      </c>
      <c r="D4422" s="141" t="s">
        <v>1550</v>
      </c>
    </row>
    <row r="4423" spans="1:4" x14ac:dyDescent="0.3">
      <c r="A4423" s="141" t="s">
        <v>7489</v>
      </c>
      <c r="B4423" s="141">
        <v>506687</v>
      </c>
      <c r="C4423" s="141" t="s">
        <v>1129</v>
      </c>
      <c r="D4423" s="141" t="s">
        <v>1177</v>
      </c>
    </row>
    <row r="4424" spans="1:4" x14ac:dyDescent="0.3">
      <c r="A4424" s="141" t="s">
        <v>7490</v>
      </c>
      <c r="B4424" s="141">
        <v>532349</v>
      </c>
      <c r="C4424" s="141" t="s">
        <v>7491</v>
      </c>
      <c r="D4424" s="141" t="s">
        <v>1201</v>
      </c>
    </row>
    <row r="4425" spans="1:4" x14ac:dyDescent="0.3">
      <c r="A4425" s="141" t="s">
        <v>7492</v>
      </c>
      <c r="B4425" s="141">
        <v>532349</v>
      </c>
      <c r="C4425" s="141" t="s">
        <v>7491</v>
      </c>
      <c r="D4425" s="141" t="s">
        <v>1201</v>
      </c>
    </row>
    <row r="4426" spans="1:4" x14ac:dyDescent="0.3">
      <c r="A4426" s="141" t="s">
        <v>7493</v>
      </c>
      <c r="B4426" s="141">
        <v>532812</v>
      </c>
      <c r="C4426" s="141" t="s">
        <v>7494</v>
      </c>
      <c r="D4426" s="141" t="s">
        <v>1146</v>
      </c>
    </row>
    <row r="4427" spans="1:4" x14ac:dyDescent="0.3">
      <c r="A4427" s="141" t="s">
        <v>7495</v>
      </c>
      <c r="B4427" s="141" t="s">
        <v>1129</v>
      </c>
      <c r="C4427" s="141" t="s">
        <v>7496</v>
      </c>
      <c r="D4427" s="141" t="s">
        <v>1140</v>
      </c>
    </row>
    <row r="4428" spans="1:4" x14ac:dyDescent="0.3">
      <c r="A4428" s="141" t="s">
        <v>7497</v>
      </c>
      <c r="B4428" s="141">
        <v>533540</v>
      </c>
      <c r="C4428" s="141" t="s">
        <v>7498</v>
      </c>
      <c r="D4428" s="141" t="s">
        <v>1234</v>
      </c>
    </row>
    <row r="4429" spans="1:4" x14ac:dyDescent="0.3">
      <c r="A4429" s="141" t="s">
        <v>7499</v>
      </c>
      <c r="B4429" s="141">
        <v>542233</v>
      </c>
      <c r="C4429" s="141" t="s">
        <v>7500</v>
      </c>
      <c r="D4429" s="141" t="s">
        <v>2326</v>
      </c>
    </row>
    <row r="4430" spans="1:4" x14ac:dyDescent="0.3">
      <c r="A4430" s="141" t="s">
        <v>7501</v>
      </c>
      <c r="B4430" s="141">
        <v>500251</v>
      </c>
      <c r="C4430" s="141" t="s">
        <v>7502</v>
      </c>
      <c r="D4430" s="141" t="s">
        <v>1130</v>
      </c>
    </row>
    <row r="4431" spans="1:4" x14ac:dyDescent="0.3">
      <c r="A4431" s="141" t="s">
        <v>7503</v>
      </c>
      <c r="B4431" s="141">
        <v>532159</v>
      </c>
      <c r="C4431" s="141" t="s">
        <v>1129</v>
      </c>
      <c r="D4431" s="141" t="s">
        <v>1112</v>
      </c>
    </row>
    <row r="4432" spans="1:4" x14ac:dyDescent="0.3">
      <c r="A4432" s="141" t="s">
        <v>7504</v>
      </c>
      <c r="B4432" s="141">
        <v>505854</v>
      </c>
      <c r="C4432" s="141" t="s">
        <v>7505</v>
      </c>
      <c r="D4432" s="141" t="s">
        <v>1137</v>
      </c>
    </row>
    <row r="4433" spans="1:4" x14ac:dyDescent="0.3">
      <c r="A4433" s="141" t="s">
        <v>7506</v>
      </c>
      <c r="B4433" s="141">
        <v>534369</v>
      </c>
      <c r="C4433" s="141" t="s">
        <v>7507</v>
      </c>
      <c r="D4433" s="141" t="s">
        <v>1243</v>
      </c>
    </row>
    <row r="4434" spans="1:4" x14ac:dyDescent="0.3">
      <c r="A4434" s="141" t="s">
        <v>7508</v>
      </c>
      <c r="B4434" s="141">
        <v>531716</v>
      </c>
      <c r="C4434" s="141" t="s">
        <v>1129</v>
      </c>
      <c r="D4434" s="141" t="s">
        <v>1209</v>
      </c>
    </row>
    <row r="4435" spans="1:4" x14ac:dyDescent="0.3">
      <c r="A4435" s="141" t="s">
        <v>7509</v>
      </c>
      <c r="B4435" s="141">
        <v>521064</v>
      </c>
      <c r="C4435" s="141" t="s">
        <v>7510</v>
      </c>
      <c r="D4435" s="141" t="s">
        <v>1144</v>
      </c>
    </row>
    <row r="4436" spans="1:4" x14ac:dyDescent="0.3">
      <c r="A4436" s="141" t="s">
        <v>7511</v>
      </c>
      <c r="B4436" s="141">
        <v>540726</v>
      </c>
      <c r="C4436" s="141" t="s">
        <v>1129</v>
      </c>
      <c r="D4436" s="141" t="s">
        <v>1151</v>
      </c>
    </row>
    <row r="4437" spans="1:4" x14ac:dyDescent="0.3">
      <c r="A4437" s="141" t="s">
        <v>7512</v>
      </c>
      <c r="B4437" s="141">
        <v>531972</v>
      </c>
      <c r="C4437" s="141" t="s">
        <v>1129</v>
      </c>
      <c r="D4437" s="141" t="s">
        <v>1314</v>
      </c>
    </row>
    <row r="4438" spans="1:4" x14ac:dyDescent="0.3">
      <c r="A4438" s="141" t="s">
        <v>7513</v>
      </c>
      <c r="B4438" s="141">
        <v>517562</v>
      </c>
      <c r="C4438" s="141" t="s">
        <v>7514</v>
      </c>
      <c r="D4438" s="141" t="s">
        <v>1115</v>
      </c>
    </row>
    <row r="4439" spans="1:4" x14ac:dyDescent="0.3">
      <c r="A4439" s="141" t="s">
        <v>7515</v>
      </c>
      <c r="B4439" s="141">
        <v>531658</v>
      </c>
      <c r="C4439" s="141" t="s">
        <v>1129</v>
      </c>
      <c r="D4439" s="141" t="s">
        <v>1146</v>
      </c>
    </row>
    <row r="4440" spans="1:4" x14ac:dyDescent="0.3">
      <c r="A4440" s="141" t="s">
        <v>7516</v>
      </c>
      <c r="B4440" s="141">
        <v>536565</v>
      </c>
      <c r="C4440" s="141" t="s">
        <v>1129</v>
      </c>
      <c r="D4440" s="141" t="s">
        <v>7517</v>
      </c>
    </row>
    <row r="4441" spans="1:4" x14ac:dyDescent="0.3">
      <c r="A4441" s="141" t="s">
        <v>7518</v>
      </c>
      <c r="B4441" s="141">
        <v>531846</v>
      </c>
      <c r="C4441" s="141" t="s">
        <v>1129</v>
      </c>
      <c r="D4441" s="141" t="s">
        <v>1112</v>
      </c>
    </row>
    <row r="4442" spans="1:4" x14ac:dyDescent="0.3">
      <c r="A4442" s="141" t="s">
        <v>7519</v>
      </c>
      <c r="B4442" s="141">
        <v>531846</v>
      </c>
      <c r="C4442" s="141" t="s">
        <v>1129</v>
      </c>
      <c r="D4442" s="141" t="s">
        <v>1112</v>
      </c>
    </row>
    <row r="4443" spans="1:4" x14ac:dyDescent="0.3">
      <c r="A4443" s="141" t="s">
        <v>7520</v>
      </c>
      <c r="B4443" s="141">
        <v>534755</v>
      </c>
      <c r="C4443" s="141" t="s">
        <v>7521</v>
      </c>
      <c r="D4443" s="141" t="s">
        <v>1112</v>
      </c>
    </row>
    <row r="4444" spans="1:4" x14ac:dyDescent="0.3">
      <c r="A4444" s="141" t="s">
        <v>7522</v>
      </c>
      <c r="B4444" s="141">
        <v>512101</v>
      </c>
      <c r="C4444" s="141" t="s">
        <v>1129</v>
      </c>
      <c r="D4444" s="141" t="s">
        <v>1167</v>
      </c>
    </row>
    <row r="4445" spans="1:4" x14ac:dyDescent="0.3">
      <c r="A4445" s="141" t="s">
        <v>7523</v>
      </c>
      <c r="B4445" s="141">
        <v>531279</v>
      </c>
      <c r="C4445" s="141" t="s">
        <v>1129</v>
      </c>
      <c r="D4445" s="141" t="s">
        <v>1146</v>
      </c>
    </row>
    <row r="4446" spans="1:4" x14ac:dyDescent="0.3">
      <c r="A4446" s="141" t="s">
        <v>7524</v>
      </c>
      <c r="B4446" s="141">
        <v>523387</v>
      </c>
      <c r="C4446" s="141" t="s">
        <v>1129</v>
      </c>
      <c r="D4446" s="141" t="s">
        <v>1243</v>
      </c>
    </row>
    <row r="4447" spans="1:4" x14ac:dyDescent="0.3">
      <c r="A4447" s="141" t="s">
        <v>7525</v>
      </c>
      <c r="B4447" s="141">
        <v>505978</v>
      </c>
      <c r="C4447" s="141" t="s">
        <v>1129</v>
      </c>
      <c r="D4447" s="141" t="s">
        <v>1484</v>
      </c>
    </row>
    <row r="4448" spans="1:4" x14ac:dyDescent="0.3">
      <c r="A4448" s="141" t="s">
        <v>7526</v>
      </c>
      <c r="B4448" s="141">
        <v>532356</v>
      </c>
      <c r="C4448" s="141" t="s">
        <v>7527</v>
      </c>
      <c r="D4448" s="141" t="s">
        <v>1828</v>
      </c>
    </row>
    <row r="4449" spans="1:4" x14ac:dyDescent="0.3">
      <c r="A4449" s="141" t="s">
        <v>7528</v>
      </c>
      <c r="B4449" s="141">
        <v>538569</v>
      </c>
      <c r="C4449" s="141" t="s">
        <v>7529</v>
      </c>
      <c r="D4449" s="141" t="s">
        <v>1495</v>
      </c>
    </row>
    <row r="4450" spans="1:4" x14ac:dyDescent="0.3">
      <c r="A4450" s="141" t="s">
        <v>7530</v>
      </c>
      <c r="B4450" s="141">
        <v>502281</v>
      </c>
      <c r="C4450" s="141" t="s">
        <v>1129</v>
      </c>
      <c r="D4450" s="141" t="s">
        <v>1657</v>
      </c>
    </row>
    <row r="4451" spans="1:4" x14ac:dyDescent="0.3">
      <c r="A4451" s="141" t="s">
        <v>7531</v>
      </c>
      <c r="B4451" s="141">
        <v>533655</v>
      </c>
      <c r="C4451" s="141" t="s">
        <v>7532</v>
      </c>
      <c r="D4451" s="141" t="s">
        <v>1172</v>
      </c>
    </row>
    <row r="4452" spans="1:4" x14ac:dyDescent="0.3">
      <c r="A4452" s="141" t="s">
        <v>7533</v>
      </c>
      <c r="B4452" s="141">
        <v>538579</v>
      </c>
      <c r="C4452" s="141" t="s">
        <v>1129</v>
      </c>
      <c r="D4452" s="141" t="s">
        <v>1151</v>
      </c>
    </row>
    <row r="4453" spans="1:4" x14ac:dyDescent="0.3">
      <c r="A4453" s="141" t="s">
        <v>7534</v>
      </c>
      <c r="B4453" s="141">
        <v>519303</v>
      </c>
      <c r="C4453" s="141" t="s">
        <v>1129</v>
      </c>
      <c r="D4453" s="141" t="s">
        <v>1378</v>
      </c>
    </row>
    <row r="4454" spans="1:4" x14ac:dyDescent="0.3">
      <c r="A4454" s="141" t="s">
        <v>7535</v>
      </c>
      <c r="B4454" s="141">
        <v>538597</v>
      </c>
      <c r="C4454" s="141" t="s">
        <v>1129</v>
      </c>
      <c r="D4454" s="141" t="s">
        <v>1146</v>
      </c>
    </row>
    <row r="4455" spans="1:4" x14ac:dyDescent="0.3">
      <c r="A4455" s="141" t="s">
        <v>7536</v>
      </c>
      <c r="B4455" s="141">
        <v>507747</v>
      </c>
      <c r="C4455" s="141" t="s">
        <v>7537</v>
      </c>
      <c r="D4455" s="141" t="s">
        <v>1167</v>
      </c>
    </row>
    <row r="4456" spans="1:4" x14ac:dyDescent="0.3">
      <c r="A4456" s="141" t="s">
        <v>7538</v>
      </c>
      <c r="B4456" s="141">
        <v>517506</v>
      </c>
      <c r="C4456" s="141" t="s">
        <v>7539</v>
      </c>
      <c r="D4456" s="141" t="s">
        <v>2175</v>
      </c>
    </row>
    <row r="4457" spans="1:4" x14ac:dyDescent="0.3">
      <c r="A4457" s="141" t="s">
        <v>7540</v>
      </c>
      <c r="B4457" s="141">
        <v>514236</v>
      </c>
      <c r="C4457" s="141" t="s">
        <v>7541</v>
      </c>
      <c r="D4457" s="141" t="s">
        <v>1495</v>
      </c>
    </row>
    <row r="4458" spans="1:4" x14ac:dyDescent="0.3">
      <c r="A4458" s="141" t="s">
        <v>7542</v>
      </c>
      <c r="B4458" s="141">
        <v>540762</v>
      </c>
      <c r="C4458" s="141" t="s">
        <v>7543</v>
      </c>
      <c r="D4458" s="141" t="s">
        <v>1484</v>
      </c>
    </row>
    <row r="4459" spans="1:4" x14ac:dyDescent="0.3">
      <c r="A4459" s="141" t="s">
        <v>7544</v>
      </c>
      <c r="B4459" s="141">
        <v>540762</v>
      </c>
      <c r="C4459" s="141" t="s">
        <v>7545</v>
      </c>
      <c r="D4459" s="141" t="s">
        <v>1484</v>
      </c>
    </row>
    <row r="4460" spans="1:4" x14ac:dyDescent="0.3">
      <c r="A4460" s="141" t="s">
        <v>7546</v>
      </c>
      <c r="B4460" s="141">
        <v>524514</v>
      </c>
      <c r="C4460" s="141" t="s">
        <v>1129</v>
      </c>
      <c r="D4460" s="141" t="s">
        <v>1177</v>
      </c>
    </row>
    <row r="4461" spans="1:4" x14ac:dyDescent="0.3">
      <c r="A4461" s="141" t="s">
        <v>7547</v>
      </c>
      <c r="B4461" s="141">
        <v>531088</v>
      </c>
      <c r="C4461" s="141" t="s">
        <v>1129</v>
      </c>
      <c r="D4461" s="141" t="s">
        <v>1146</v>
      </c>
    </row>
    <row r="4462" spans="1:4" x14ac:dyDescent="0.3">
      <c r="A4462" s="141" t="s">
        <v>7548</v>
      </c>
      <c r="B4462" s="141">
        <v>505285</v>
      </c>
      <c r="C4462" s="141" t="s">
        <v>1129</v>
      </c>
      <c r="D4462" s="141" t="s">
        <v>1314</v>
      </c>
    </row>
    <row r="4463" spans="1:4" x14ac:dyDescent="0.3">
      <c r="A4463" s="141" t="s">
        <v>7549</v>
      </c>
      <c r="B4463" s="141">
        <v>532948</v>
      </c>
      <c r="C4463" s="141" t="s">
        <v>7550</v>
      </c>
      <c r="D4463" s="141" t="s">
        <v>1249</v>
      </c>
    </row>
    <row r="4464" spans="1:4" x14ac:dyDescent="0.3">
      <c r="A4464" s="141" t="s">
        <v>7551</v>
      </c>
      <c r="B4464" s="141">
        <v>504273</v>
      </c>
      <c r="C4464" s="141" t="s">
        <v>1129</v>
      </c>
      <c r="D4464" s="141" t="s">
        <v>1427</v>
      </c>
    </row>
    <row r="4465" spans="1:4" x14ac:dyDescent="0.3">
      <c r="A4465" s="141" t="s">
        <v>7552</v>
      </c>
      <c r="B4465" s="141">
        <v>531411</v>
      </c>
      <c r="C4465" s="141" t="s">
        <v>1129</v>
      </c>
      <c r="D4465" s="141" t="s">
        <v>1144</v>
      </c>
    </row>
    <row r="4466" spans="1:4" x14ac:dyDescent="0.3">
      <c r="A4466" s="141" t="s">
        <v>7553</v>
      </c>
      <c r="B4466" s="141">
        <v>506808</v>
      </c>
      <c r="C4466" s="141" t="s">
        <v>1129</v>
      </c>
      <c r="D4466" s="141" t="s">
        <v>1177</v>
      </c>
    </row>
    <row r="4467" spans="1:4" x14ac:dyDescent="0.3">
      <c r="A4467" s="141" t="s">
        <v>7554</v>
      </c>
      <c r="B4467" s="141">
        <v>532515</v>
      </c>
      <c r="C4467" s="141" t="s">
        <v>7555</v>
      </c>
      <c r="D4467" s="141" t="s">
        <v>1868</v>
      </c>
    </row>
    <row r="4468" spans="1:4" x14ac:dyDescent="0.3">
      <c r="A4468" s="141" t="s">
        <v>7556</v>
      </c>
      <c r="B4468" s="141">
        <v>540083</v>
      </c>
      <c r="C4468" s="141" t="s">
        <v>7557</v>
      </c>
      <c r="D4468" s="141" t="s">
        <v>1868</v>
      </c>
    </row>
    <row r="4469" spans="1:4" x14ac:dyDescent="0.3">
      <c r="A4469" s="141" t="s">
        <v>7558</v>
      </c>
      <c r="B4469" s="141">
        <v>532800</v>
      </c>
      <c r="C4469" s="141" t="s">
        <v>7559</v>
      </c>
      <c r="D4469" s="141" t="s">
        <v>1868</v>
      </c>
    </row>
    <row r="4470" spans="1:4" x14ac:dyDescent="0.3">
      <c r="A4470" s="141" t="s">
        <v>7560</v>
      </c>
      <c r="B4470" s="141">
        <v>532513</v>
      </c>
      <c r="C4470" s="141" t="s">
        <v>7561</v>
      </c>
      <c r="D4470" s="141" t="s">
        <v>1226</v>
      </c>
    </row>
    <row r="4471" spans="1:4" x14ac:dyDescent="0.3">
      <c r="A4471" s="141" t="s">
        <v>7562</v>
      </c>
      <c r="B4471" s="141">
        <v>532343</v>
      </c>
      <c r="C4471" s="141" t="s">
        <v>7563</v>
      </c>
      <c r="D4471" s="141" t="s">
        <v>1787</v>
      </c>
    </row>
    <row r="4472" spans="1:4" x14ac:dyDescent="0.3">
      <c r="A4472" s="141" t="s">
        <v>7564</v>
      </c>
      <c r="B4472" s="141">
        <v>509243</v>
      </c>
      <c r="C4472" s="141" t="s">
        <v>7565</v>
      </c>
      <c r="D4472" s="141" t="s">
        <v>1609</v>
      </c>
    </row>
    <row r="4473" spans="1:4" x14ac:dyDescent="0.3">
      <c r="A4473" s="141" t="s">
        <v>7566</v>
      </c>
      <c r="B4473" s="141">
        <v>512117</v>
      </c>
      <c r="C4473" s="141" t="s">
        <v>1129</v>
      </c>
      <c r="D4473" s="141" t="s">
        <v>1550</v>
      </c>
    </row>
    <row r="4474" spans="1:4" x14ac:dyDescent="0.3">
      <c r="A4474" s="141" t="s">
        <v>7567</v>
      </c>
      <c r="B4474" s="141">
        <v>531917</v>
      </c>
      <c r="C4474" s="141" t="s">
        <v>1129</v>
      </c>
      <c r="D4474" s="141" t="s">
        <v>1222</v>
      </c>
    </row>
    <row r="4475" spans="1:4" x14ac:dyDescent="0.3">
      <c r="A4475" s="141" t="s">
        <v>7568</v>
      </c>
      <c r="B4475" s="141">
        <v>532384</v>
      </c>
      <c r="C4475" s="141" t="s">
        <v>1129</v>
      </c>
      <c r="D4475" s="141" t="s">
        <v>1167</v>
      </c>
    </row>
    <row r="4476" spans="1:4" x14ac:dyDescent="0.3">
      <c r="A4476" s="141" t="s">
        <v>7569</v>
      </c>
      <c r="B4476" s="141">
        <v>539468</v>
      </c>
      <c r="C4476" s="141" t="s">
        <v>1129</v>
      </c>
      <c r="D4476" s="141" t="s">
        <v>1146</v>
      </c>
    </row>
    <row r="4477" spans="1:4" x14ac:dyDescent="0.3">
      <c r="A4477" s="141" t="s">
        <v>7570</v>
      </c>
      <c r="B4477" s="141">
        <v>512307</v>
      </c>
      <c r="C4477" s="141" t="s">
        <v>1129</v>
      </c>
      <c r="D4477" s="141" t="s">
        <v>1144</v>
      </c>
    </row>
    <row r="4478" spans="1:4" x14ac:dyDescent="0.3">
      <c r="A4478" s="141" t="s">
        <v>7571</v>
      </c>
      <c r="B4478" s="141">
        <v>526945</v>
      </c>
      <c r="C4478" s="141" t="s">
        <v>1129</v>
      </c>
      <c r="D4478" s="141" t="s">
        <v>1536</v>
      </c>
    </row>
    <row r="4479" spans="1:4" x14ac:dyDescent="0.3">
      <c r="A4479" s="141" t="s">
        <v>7572</v>
      </c>
      <c r="B4479" s="141">
        <v>541338</v>
      </c>
      <c r="C4479" s="141" t="s">
        <v>1129</v>
      </c>
      <c r="D4479" s="141" t="s">
        <v>1243</v>
      </c>
    </row>
    <row r="4480" spans="1:4" x14ac:dyDescent="0.3">
      <c r="A4480" s="141" t="s">
        <v>7573</v>
      </c>
      <c r="B4480" s="141">
        <v>500464</v>
      </c>
      <c r="C4480" s="141" t="s">
        <v>7574</v>
      </c>
      <c r="D4480" s="141" t="s">
        <v>1484</v>
      </c>
    </row>
    <row r="4481" spans="1:4" x14ac:dyDescent="0.3">
      <c r="A4481" s="141" t="s">
        <v>7575</v>
      </c>
      <c r="B4481" s="141">
        <v>532505</v>
      </c>
      <c r="C4481" s="141" t="s">
        <v>7576</v>
      </c>
      <c r="D4481" s="141" t="s">
        <v>1447</v>
      </c>
    </row>
    <row r="4482" spans="1:4" x14ac:dyDescent="0.3">
      <c r="A4482" s="141" t="s">
        <v>7577</v>
      </c>
      <c r="B4482" s="141">
        <v>530131</v>
      </c>
      <c r="C4482" s="141" t="s">
        <v>1129</v>
      </c>
      <c r="D4482" s="141" t="s">
        <v>1142</v>
      </c>
    </row>
    <row r="4483" spans="1:4" x14ac:dyDescent="0.3">
      <c r="A4483" s="141" t="s">
        <v>7578</v>
      </c>
      <c r="B4483" s="141">
        <v>539518</v>
      </c>
      <c r="C4483" s="141" t="s">
        <v>1129</v>
      </c>
      <c r="D4483" s="141" t="s">
        <v>1163</v>
      </c>
    </row>
    <row r="4484" spans="1:4" x14ac:dyDescent="0.3">
      <c r="A4484" s="141" t="s">
        <v>7579</v>
      </c>
      <c r="B4484" s="141">
        <v>500148</v>
      </c>
      <c r="C4484" s="141" t="s">
        <v>7580</v>
      </c>
      <c r="D4484" s="141" t="s">
        <v>1324</v>
      </c>
    </row>
    <row r="4485" spans="1:4" x14ac:dyDescent="0.3">
      <c r="A4485" s="141" t="s">
        <v>7581</v>
      </c>
      <c r="B4485" s="141">
        <v>539141</v>
      </c>
      <c r="C4485" s="141" t="s">
        <v>7582</v>
      </c>
      <c r="D4485" s="141" t="s">
        <v>1868</v>
      </c>
    </row>
    <row r="4486" spans="1:4" x14ac:dyDescent="0.3">
      <c r="A4486" s="141" t="s">
        <v>7583</v>
      </c>
      <c r="B4486" s="141">
        <v>539141</v>
      </c>
      <c r="C4486" s="141" t="s">
        <v>7582</v>
      </c>
      <c r="D4486" s="141" t="s">
        <v>1868</v>
      </c>
    </row>
    <row r="4487" spans="1:4" x14ac:dyDescent="0.3">
      <c r="A4487" s="141" t="s">
        <v>7584</v>
      </c>
      <c r="B4487" s="141">
        <v>511742</v>
      </c>
      <c r="C4487" s="141" t="s">
        <v>1129</v>
      </c>
      <c r="D4487" s="141" t="s">
        <v>1146</v>
      </c>
    </row>
    <row r="4488" spans="1:4" x14ac:dyDescent="0.3">
      <c r="A4488" s="141" t="s">
        <v>7585</v>
      </c>
      <c r="B4488" s="141">
        <v>533644</v>
      </c>
      <c r="C4488" s="141" t="s">
        <v>7586</v>
      </c>
      <c r="D4488" s="141" t="s">
        <v>1172</v>
      </c>
    </row>
    <row r="4489" spans="1:4" x14ac:dyDescent="0.3">
      <c r="A4489" s="141" t="s">
        <v>7587</v>
      </c>
      <c r="B4489" s="141">
        <v>539874</v>
      </c>
      <c r="C4489" s="141" t="s">
        <v>7588</v>
      </c>
      <c r="D4489" s="141" t="s">
        <v>1146</v>
      </c>
    </row>
    <row r="4490" spans="1:4" x14ac:dyDescent="0.3">
      <c r="A4490" s="141" t="s">
        <v>7589</v>
      </c>
      <c r="B4490" s="141" t="s">
        <v>1129</v>
      </c>
      <c r="C4490" s="141" t="s">
        <v>7590</v>
      </c>
      <c r="D4490" s="141" t="s">
        <v>1140</v>
      </c>
    </row>
    <row r="4491" spans="1:4" x14ac:dyDescent="0.3">
      <c r="A4491" s="141" t="s">
        <v>7591</v>
      </c>
      <c r="B4491" s="141">
        <v>538706</v>
      </c>
      <c r="C4491" s="141" t="s">
        <v>1129</v>
      </c>
      <c r="D4491" s="141" t="s">
        <v>1427</v>
      </c>
    </row>
    <row r="4492" spans="1:4" x14ac:dyDescent="0.3">
      <c r="A4492" s="141" t="s">
        <v>7592</v>
      </c>
      <c r="B4492" s="141">
        <v>538706</v>
      </c>
      <c r="C4492" s="141" t="s">
        <v>1129</v>
      </c>
      <c r="D4492" s="141" t="s">
        <v>1427</v>
      </c>
    </row>
    <row r="4493" spans="1:4" x14ac:dyDescent="0.3">
      <c r="A4493" s="141" t="s">
        <v>7593</v>
      </c>
      <c r="B4493" s="141">
        <v>506685</v>
      </c>
      <c r="C4493" s="141" t="s">
        <v>1129</v>
      </c>
      <c r="D4493" s="141" t="s">
        <v>1289</v>
      </c>
    </row>
    <row r="4494" spans="1:4" x14ac:dyDescent="0.3">
      <c r="A4494" s="141" t="s">
        <v>7594</v>
      </c>
      <c r="B4494" s="141">
        <v>532538</v>
      </c>
      <c r="C4494" s="141" t="s">
        <v>7595</v>
      </c>
      <c r="D4494" s="141" t="s">
        <v>1142</v>
      </c>
    </row>
    <row r="4495" spans="1:4" x14ac:dyDescent="0.3">
      <c r="A4495" s="141" t="s">
        <v>7596</v>
      </c>
      <c r="B4495" s="141">
        <v>500231</v>
      </c>
      <c r="C4495" s="141" t="s">
        <v>7597</v>
      </c>
      <c r="D4495" s="141" t="s">
        <v>1189</v>
      </c>
    </row>
    <row r="4496" spans="1:4" x14ac:dyDescent="0.3">
      <c r="A4496" s="141" t="s">
        <v>7598</v>
      </c>
      <c r="B4496" s="141">
        <v>539798</v>
      </c>
      <c r="C4496" s="141" t="s">
        <v>1129</v>
      </c>
      <c r="D4496" s="141" t="s">
        <v>1452</v>
      </c>
    </row>
    <row r="4497" spans="1:4" x14ac:dyDescent="0.3">
      <c r="A4497" s="141" t="s">
        <v>7599</v>
      </c>
      <c r="B4497" s="141">
        <v>504605</v>
      </c>
      <c r="C4497" s="141" t="s">
        <v>1129</v>
      </c>
      <c r="D4497" s="141" t="s">
        <v>1452</v>
      </c>
    </row>
    <row r="4498" spans="1:4" x14ac:dyDescent="0.3">
      <c r="A4498" s="141" t="s">
        <v>7600</v>
      </c>
      <c r="B4498" s="141">
        <v>506690</v>
      </c>
      <c r="C4498" s="141" t="s">
        <v>7601</v>
      </c>
      <c r="D4498" s="141" t="s">
        <v>1167</v>
      </c>
    </row>
    <row r="4499" spans="1:4" x14ac:dyDescent="0.3">
      <c r="A4499" s="141" t="s">
        <v>7602</v>
      </c>
      <c r="B4499" s="141">
        <v>541503</v>
      </c>
      <c r="C4499" s="141" t="s">
        <v>1129</v>
      </c>
      <c r="D4499" s="141" t="s">
        <v>3122</v>
      </c>
    </row>
    <row r="4500" spans="1:4" x14ac:dyDescent="0.3">
      <c r="A4500" s="141" t="s">
        <v>7603</v>
      </c>
      <c r="B4500" s="141" t="s">
        <v>1129</v>
      </c>
      <c r="C4500" s="141" t="s">
        <v>7604</v>
      </c>
      <c r="D4500" s="141" t="s">
        <v>1140</v>
      </c>
    </row>
    <row r="4501" spans="1:4" x14ac:dyDescent="0.3">
      <c r="A4501" s="141" t="s">
        <v>7605</v>
      </c>
      <c r="B4501" s="141">
        <v>503671</v>
      </c>
      <c r="C4501" s="141" t="s">
        <v>1129</v>
      </c>
      <c r="D4501" s="141" t="s">
        <v>1112</v>
      </c>
    </row>
    <row r="4502" spans="1:4" x14ac:dyDescent="0.3">
      <c r="A4502" s="141" t="s">
        <v>7606</v>
      </c>
      <c r="B4502" s="141">
        <v>512595</v>
      </c>
      <c r="C4502" s="141" t="s">
        <v>7607</v>
      </c>
      <c r="D4502" s="141" t="s">
        <v>1685</v>
      </c>
    </row>
    <row r="4503" spans="1:4" x14ac:dyDescent="0.3">
      <c r="A4503" s="141" t="s">
        <v>7608</v>
      </c>
      <c r="B4503" s="141">
        <v>532477</v>
      </c>
      <c r="C4503" s="141" t="s">
        <v>7609</v>
      </c>
      <c r="D4503" s="141" t="s">
        <v>1447</v>
      </c>
    </row>
    <row r="4504" spans="1:4" x14ac:dyDescent="0.3">
      <c r="A4504" s="141" t="s">
        <v>7610</v>
      </c>
      <c r="B4504" s="141">
        <v>526799</v>
      </c>
      <c r="C4504" s="141" t="s">
        <v>1129</v>
      </c>
      <c r="D4504" s="141" t="s">
        <v>1324</v>
      </c>
    </row>
    <row r="4505" spans="1:4" x14ac:dyDescent="0.3">
      <c r="A4505" s="141" t="s">
        <v>7611</v>
      </c>
      <c r="B4505" s="141">
        <v>500429</v>
      </c>
      <c r="C4505" s="141" t="s">
        <v>7612</v>
      </c>
      <c r="D4505" s="141" t="s">
        <v>1151</v>
      </c>
    </row>
    <row r="4506" spans="1:4" x14ac:dyDescent="0.3">
      <c r="A4506" s="141" t="s">
        <v>7613</v>
      </c>
      <c r="B4506" s="141">
        <v>526957</v>
      </c>
      <c r="C4506" s="141" t="s">
        <v>1129</v>
      </c>
      <c r="D4506" s="141" t="s">
        <v>1624</v>
      </c>
    </row>
    <row r="4507" spans="1:4" x14ac:dyDescent="0.3">
      <c r="A4507" s="141" t="s">
        <v>7614</v>
      </c>
      <c r="B4507" s="141">
        <v>532646</v>
      </c>
      <c r="C4507" s="141" t="s">
        <v>7615</v>
      </c>
      <c r="D4507" s="141" t="s">
        <v>1624</v>
      </c>
    </row>
    <row r="4508" spans="1:4" x14ac:dyDescent="0.3">
      <c r="A4508" s="141" t="s">
        <v>7616</v>
      </c>
      <c r="B4508" s="141">
        <v>530997</v>
      </c>
      <c r="C4508" s="141" t="s">
        <v>1129</v>
      </c>
      <c r="D4508" s="141" t="s">
        <v>1327</v>
      </c>
    </row>
    <row r="4509" spans="1:4" x14ac:dyDescent="0.3">
      <c r="A4509" s="141" t="s">
        <v>7617</v>
      </c>
      <c r="B4509" s="141">
        <v>521226</v>
      </c>
      <c r="C4509" s="141" t="s">
        <v>1129</v>
      </c>
      <c r="D4509" s="141" t="s">
        <v>1144</v>
      </c>
    </row>
    <row r="4510" spans="1:4" x14ac:dyDescent="0.3">
      <c r="A4510" s="141" t="s">
        <v>7618</v>
      </c>
      <c r="B4510" s="141">
        <v>526113</v>
      </c>
      <c r="C4510" s="141" t="s">
        <v>1129</v>
      </c>
      <c r="D4510" s="141" t="s">
        <v>1189</v>
      </c>
    </row>
    <row r="4511" spans="1:4" x14ac:dyDescent="0.3">
      <c r="A4511" s="141" t="s">
        <v>7619</v>
      </c>
      <c r="B4511" s="141">
        <v>537582</v>
      </c>
      <c r="C4511" s="141" t="s">
        <v>1129</v>
      </c>
      <c r="D4511" s="141" t="s">
        <v>1215</v>
      </c>
    </row>
    <row r="4512" spans="1:4" x14ac:dyDescent="0.3">
      <c r="A4512" s="141" t="s">
        <v>7620</v>
      </c>
      <c r="B4512" s="141">
        <v>538610</v>
      </c>
      <c r="C4512" s="141" t="s">
        <v>1129</v>
      </c>
      <c r="D4512" s="141" t="s">
        <v>1452</v>
      </c>
    </row>
    <row r="4513" spans="1:4" x14ac:dyDescent="0.3">
      <c r="A4513" s="141" t="s">
        <v>7621</v>
      </c>
      <c r="B4513" s="141">
        <v>532035</v>
      </c>
      <c r="C4513" s="141" t="s">
        <v>1129</v>
      </c>
      <c r="D4513" s="141" t="s">
        <v>1146</v>
      </c>
    </row>
    <row r="4514" spans="1:4" x14ac:dyDescent="0.3">
      <c r="A4514" s="141" t="s">
        <v>7622</v>
      </c>
      <c r="B4514" s="141">
        <v>531831</v>
      </c>
      <c r="C4514" s="141" t="s">
        <v>1129</v>
      </c>
      <c r="D4514" s="141" t="s">
        <v>1187</v>
      </c>
    </row>
    <row r="4515" spans="1:4" x14ac:dyDescent="0.3">
      <c r="A4515" s="141" t="s">
        <v>7623</v>
      </c>
      <c r="B4515" s="141">
        <v>531867</v>
      </c>
      <c r="C4515" s="141" t="s">
        <v>1129</v>
      </c>
      <c r="D4515" s="141" t="s">
        <v>1151</v>
      </c>
    </row>
    <row r="4516" spans="1:4" x14ac:dyDescent="0.3">
      <c r="A4516" s="141" t="s">
        <v>7624</v>
      </c>
      <c r="B4516" s="141">
        <v>507878</v>
      </c>
      <c r="C4516" s="141" t="s">
        <v>7625</v>
      </c>
      <c r="D4516" s="141" t="s">
        <v>1215</v>
      </c>
    </row>
    <row r="4517" spans="1:4" x14ac:dyDescent="0.3">
      <c r="A4517" s="141" t="s">
        <v>7626</v>
      </c>
      <c r="B4517" s="141">
        <v>533171</v>
      </c>
      <c r="C4517" s="141" t="s">
        <v>7627</v>
      </c>
      <c r="D4517" s="141" t="s">
        <v>1447</v>
      </c>
    </row>
    <row r="4518" spans="1:4" x14ac:dyDescent="0.3">
      <c r="A4518" s="141" t="s">
        <v>7628</v>
      </c>
      <c r="B4518" s="141">
        <v>532478</v>
      </c>
      <c r="C4518" s="141" t="s">
        <v>7629</v>
      </c>
      <c r="D4518" s="141" t="s">
        <v>1761</v>
      </c>
    </row>
    <row r="4519" spans="1:4" x14ac:dyDescent="0.3">
      <c r="A4519" s="141" t="s">
        <v>7630</v>
      </c>
      <c r="B4519" s="141">
        <v>531091</v>
      </c>
      <c r="C4519" s="141" t="s">
        <v>1129</v>
      </c>
      <c r="D4519" s="141" t="s">
        <v>1146</v>
      </c>
    </row>
    <row r="4520" spans="1:4" x14ac:dyDescent="0.3">
      <c r="A4520" s="141" t="s">
        <v>7631</v>
      </c>
      <c r="B4520" s="141">
        <v>522014</v>
      </c>
      <c r="C4520" s="141" t="s">
        <v>1129</v>
      </c>
      <c r="D4520" s="141" t="s">
        <v>1314</v>
      </c>
    </row>
    <row r="4521" spans="1:4" x14ac:dyDescent="0.3">
      <c r="A4521" s="141" t="s">
        <v>7632</v>
      </c>
      <c r="B4521" s="141">
        <v>502893</v>
      </c>
      <c r="C4521" s="141" t="s">
        <v>1129</v>
      </c>
      <c r="D4521" s="141" t="s">
        <v>1135</v>
      </c>
    </row>
    <row r="4522" spans="1:4" x14ac:dyDescent="0.3">
      <c r="A4522" s="141" t="s">
        <v>7633</v>
      </c>
      <c r="B4522" s="141">
        <v>507808</v>
      </c>
      <c r="C4522" s="141" t="s">
        <v>1129</v>
      </c>
      <c r="D4522" s="141" t="s">
        <v>1146</v>
      </c>
    </row>
    <row r="4523" spans="1:4" x14ac:dyDescent="0.3">
      <c r="A4523" s="141" t="s">
        <v>7634</v>
      </c>
      <c r="B4523" s="141" t="s">
        <v>1129</v>
      </c>
      <c r="C4523" s="141" t="s">
        <v>7635</v>
      </c>
      <c r="D4523" s="141" t="s">
        <v>1140</v>
      </c>
    </row>
    <row r="4524" spans="1:4" x14ac:dyDescent="0.3">
      <c r="A4524" s="141" t="s">
        <v>7636</v>
      </c>
      <c r="B4524" s="141">
        <v>532432</v>
      </c>
      <c r="C4524" s="141" t="s">
        <v>7637</v>
      </c>
      <c r="D4524" s="141" t="s">
        <v>1761</v>
      </c>
    </row>
    <row r="4525" spans="1:4" x14ac:dyDescent="0.3">
      <c r="A4525" s="141" t="s">
        <v>7638</v>
      </c>
      <c r="B4525" s="141">
        <v>521188</v>
      </c>
      <c r="C4525" s="141" t="s">
        <v>1129</v>
      </c>
      <c r="D4525" s="141" t="s">
        <v>1144</v>
      </c>
    </row>
    <row r="4526" spans="1:4" x14ac:dyDescent="0.3">
      <c r="A4526" s="141" t="s">
        <v>7639</v>
      </c>
      <c r="B4526" s="141">
        <v>522091</v>
      </c>
      <c r="C4526" s="141" t="s">
        <v>1129</v>
      </c>
      <c r="D4526" s="141" t="s">
        <v>1172</v>
      </c>
    </row>
    <row r="4527" spans="1:4" x14ac:dyDescent="0.3">
      <c r="A4527" s="141" t="s">
        <v>7640</v>
      </c>
      <c r="B4527" s="141">
        <v>532746</v>
      </c>
      <c r="C4527" s="141" t="s">
        <v>7641</v>
      </c>
      <c r="D4527" s="141" t="s">
        <v>1527</v>
      </c>
    </row>
    <row r="4528" spans="1:4" x14ac:dyDescent="0.3">
      <c r="A4528" s="141" t="s">
        <v>7642</v>
      </c>
      <c r="B4528" s="141" t="s">
        <v>1129</v>
      </c>
      <c r="C4528" s="141" t="s">
        <v>7643</v>
      </c>
      <c r="D4528" s="141" t="s">
        <v>1140</v>
      </c>
    </row>
    <row r="4529" spans="1:4" x14ac:dyDescent="0.3">
      <c r="A4529" s="141" t="s">
        <v>7644</v>
      </c>
      <c r="B4529" s="141" t="s">
        <v>1129</v>
      </c>
      <c r="C4529" s="141" t="s">
        <v>7643</v>
      </c>
      <c r="D4529" s="141" t="s">
        <v>1140</v>
      </c>
    </row>
    <row r="4530" spans="1:4" x14ac:dyDescent="0.3">
      <c r="A4530" s="141" t="s">
        <v>7645</v>
      </c>
      <c r="B4530" s="141">
        <v>532378</v>
      </c>
      <c r="C4530" s="141" t="s">
        <v>1129</v>
      </c>
      <c r="D4530" s="141" t="s">
        <v>1132</v>
      </c>
    </row>
    <row r="4531" spans="1:4" x14ac:dyDescent="0.3">
      <c r="A4531" s="141" t="s">
        <v>7646</v>
      </c>
      <c r="B4531" s="141">
        <v>539314</v>
      </c>
      <c r="C4531" s="141" t="s">
        <v>1129</v>
      </c>
      <c r="D4531" s="141" t="s">
        <v>1484</v>
      </c>
    </row>
    <row r="4532" spans="1:4" x14ac:dyDescent="0.3">
      <c r="A4532" s="141" t="s">
        <v>7647</v>
      </c>
      <c r="B4532" s="141">
        <v>504212</v>
      </c>
      <c r="C4532" s="141" t="s">
        <v>7648</v>
      </c>
      <c r="D4532" s="141" t="s">
        <v>1427</v>
      </c>
    </row>
    <row r="4533" spans="1:4" x14ac:dyDescent="0.3">
      <c r="A4533" s="141" t="s">
        <v>7649</v>
      </c>
      <c r="B4533" s="141">
        <v>531963</v>
      </c>
      <c r="C4533" s="141" t="s">
        <v>1129</v>
      </c>
      <c r="D4533" s="141" t="s">
        <v>1550</v>
      </c>
    </row>
    <row r="4534" spans="1:4" x14ac:dyDescent="0.3">
      <c r="A4534" s="141" t="s">
        <v>7650</v>
      </c>
      <c r="B4534" s="141">
        <v>523519</v>
      </c>
      <c r="C4534" s="141" t="s">
        <v>1129</v>
      </c>
      <c r="D4534" s="141" t="s">
        <v>1151</v>
      </c>
    </row>
    <row r="4535" spans="1:4" x14ac:dyDescent="0.3">
      <c r="A4535" s="141" t="s">
        <v>7651</v>
      </c>
      <c r="B4535" s="141">
        <v>504673</v>
      </c>
      <c r="C4535" s="141" t="s">
        <v>1129</v>
      </c>
      <c r="D4535" s="141" t="s">
        <v>1434</v>
      </c>
    </row>
    <row r="4536" spans="1:4" x14ac:dyDescent="0.3">
      <c r="A4536" s="141" t="s">
        <v>7652</v>
      </c>
      <c r="B4536" s="141">
        <v>524408</v>
      </c>
      <c r="C4536" s="141" t="s">
        <v>1129</v>
      </c>
      <c r="D4536" s="141" t="s">
        <v>1177</v>
      </c>
    </row>
    <row r="4537" spans="1:4" x14ac:dyDescent="0.3">
      <c r="A4537" s="141" t="s">
        <v>7653</v>
      </c>
      <c r="B4537" s="141">
        <v>514144</v>
      </c>
      <c r="C4537" s="141" t="s">
        <v>1129</v>
      </c>
      <c r="D4537" s="141" t="s">
        <v>1144</v>
      </c>
    </row>
    <row r="4538" spans="1:4" x14ac:dyDescent="0.3">
      <c r="A4538" s="141" t="s">
        <v>7654</v>
      </c>
      <c r="B4538" s="141">
        <v>512408</v>
      </c>
      <c r="C4538" s="141" t="s">
        <v>1129</v>
      </c>
      <c r="D4538" s="141" t="s">
        <v>1144</v>
      </c>
    </row>
    <row r="4539" spans="1:4" x14ac:dyDescent="0.3">
      <c r="A4539" s="141" t="s">
        <v>7655</v>
      </c>
      <c r="B4539" s="141">
        <v>531762</v>
      </c>
      <c r="C4539" s="141" t="s">
        <v>1129</v>
      </c>
      <c r="D4539" s="141" t="s">
        <v>1167</v>
      </c>
    </row>
    <row r="4540" spans="1:4" x14ac:dyDescent="0.3">
      <c r="A4540" s="141" t="s">
        <v>7656</v>
      </c>
      <c r="B4540" s="141">
        <v>511764</v>
      </c>
      <c r="C4540" s="141" t="s">
        <v>1129</v>
      </c>
      <c r="D4540" s="141" t="s">
        <v>1146</v>
      </c>
    </row>
    <row r="4541" spans="1:4" x14ac:dyDescent="0.3">
      <c r="A4541" s="141" t="s">
        <v>7657</v>
      </c>
      <c r="B4541" s="141">
        <v>512070</v>
      </c>
      <c r="C4541" s="141" t="s">
        <v>7658</v>
      </c>
      <c r="D4541" s="141" t="s">
        <v>1273</v>
      </c>
    </row>
    <row r="4542" spans="1:4" x14ac:dyDescent="0.3">
      <c r="A4542" s="141" t="s">
        <v>7659</v>
      </c>
      <c r="B4542" s="141">
        <v>531390</v>
      </c>
      <c r="C4542" s="141" t="s">
        <v>1129</v>
      </c>
      <c r="D4542" s="141" t="s">
        <v>1146</v>
      </c>
    </row>
    <row r="4543" spans="1:4" x14ac:dyDescent="0.3">
      <c r="A4543" s="141" t="s">
        <v>7660</v>
      </c>
      <c r="B4543" s="141" t="s">
        <v>1129</v>
      </c>
      <c r="C4543" s="141" t="s">
        <v>7661</v>
      </c>
      <c r="D4543" s="141" t="s">
        <v>1140</v>
      </c>
    </row>
    <row r="4544" spans="1:4" x14ac:dyDescent="0.3">
      <c r="A4544" s="141" t="s">
        <v>7662</v>
      </c>
      <c r="B4544" s="141">
        <v>526987</v>
      </c>
      <c r="C4544" s="141" t="s">
        <v>7663</v>
      </c>
      <c r="D4544" s="141" t="s">
        <v>1151</v>
      </c>
    </row>
    <row r="4545" spans="1:4" x14ac:dyDescent="0.3">
      <c r="A4545" s="141" t="s">
        <v>7664</v>
      </c>
      <c r="B4545" s="141">
        <v>532402</v>
      </c>
      <c r="C4545" s="141" t="s">
        <v>1129</v>
      </c>
      <c r="D4545" s="141" t="s">
        <v>1222</v>
      </c>
    </row>
    <row r="4546" spans="1:4" x14ac:dyDescent="0.3">
      <c r="A4546" s="141" t="s">
        <v>7665</v>
      </c>
      <c r="B4546" s="141">
        <v>532398</v>
      </c>
      <c r="C4546" s="141" t="s">
        <v>7666</v>
      </c>
      <c r="D4546" s="141" t="s">
        <v>1222</v>
      </c>
    </row>
    <row r="4547" spans="1:4" x14ac:dyDescent="0.3">
      <c r="A4547" s="141" t="s">
        <v>7667</v>
      </c>
      <c r="B4547" s="141">
        <v>517146</v>
      </c>
      <c r="C4547" s="141" t="s">
        <v>7668</v>
      </c>
      <c r="D4547" s="141" t="s">
        <v>1452</v>
      </c>
    </row>
    <row r="4548" spans="1:4" x14ac:dyDescent="0.3">
      <c r="A4548" s="141" t="s">
        <v>7669</v>
      </c>
      <c r="B4548" s="141">
        <v>511507</v>
      </c>
      <c r="C4548" s="141" t="s">
        <v>1129</v>
      </c>
      <c r="D4548" s="141" t="s">
        <v>1146</v>
      </c>
    </row>
    <row r="4549" spans="1:4" x14ac:dyDescent="0.3">
      <c r="A4549" s="141" t="s">
        <v>7670</v>
      </c>
      <c r="B4549" s="141" t="s">
        <v>1129</v>
      </c>
      <c r="C4549" s="141" t="s">
        <v>7671</v>
      </c>
      <c r="D4549" s="141" t="s">
        <v>1140</v>
      </c>
    </row>
    <row r="4550" spans="1:4" x14ac:dyDescent="0.3">
      <c r="A4550" s="141" t="s">
        <v>7672</v>
      </c>
      <c r="B4550" s="141">
        <v>511736</v>
      </c>
      <c r="C4550" s="141" t="s">
        <v>1129</v>
      </c>
      <c r="D4550" s="141" t="s">
        <v>1151</v>
      </c>
    </row>
    <row r="4551" spans="1:4" x14ac:dyDescent="0.3">
      <c r="A4551" s="141" t="s">
        <v>7673</v>
      </c>
      <c r="B4551" s="141">
        <v>532765</v>
      </c>
      <c r="C4551" s="141" t="s">
        <v>7674</v>
      </c>
      <c r="D4551" s="141" t="s">
        <v>1327</v>
      </c>
    </row>
    <row r="4552" spans="1:4" x14ac:dyDescent="0.3">
      <c r="A4552" s="141" t="s">
        <v>7675</v>
      </c>
      <c r="B4552" s="141">
        <v>590101</v>
      </c>
      <c r="C4552" s="141" t="s">
        <v>7676</v>
      </c>
      <c r="D4552" s="141" t="s">
        <v>1112</v>
      </c>
    </row>
    <row r="4553" spans="1:4" x14ac:dyDescent="0.3">
      <c r="A4553" s="141" t="s">
        <v>7677</v>
      </c>
      <c r="B4553" s="141">
        <v>500426</v>
      </c>
      <c r="C4553" s="141" t="s">
        <v>1129</v>
      </c>
      <c r="D4553" s="141" t="s">
        <v>1215</v>
      </c>
    </row>
    <row r="4554" spans="1:4" x14ac:dyDescent="0.3">
      <c r="A4554" s="141" t="s">
        <v>7678</v>
      </c>
      <c r="B4554" s="141">
        <v>513216</v>
      </c>
      <c r="C4554" s="141" t="s">
        <v>7679</v>
      </c>
      <c r="D4554" s="141" t="s">
        <v>1161</v>
      </c>
    </row>
    <row r="4555" spans="1:4" x14ac:dyDescent="0.3">
      <c r="A4555" s="141" t="s">
        <v>7680</v>
      </c>
      <c r="B4555" s="141">
        <v>532729</v>
      </c>
      <c r="C4555" s="141" t="s">
        <v>7681</v>
      </c>
      <c r="D4555" s="141" t="s">
        <v>1828</v>
      </c>
    </row>
    <row r="4556" spans="1:4" x14ac:dyDescent="0.3">
      <c r="A4556" s="141" t="s">
        <v>7682</v>
      </c>
      <c r="B4556" s="141">
        <v>500254</v>
      </c>
      <c r="C4556" s="141" t="s">
        <v>7683</v>
      </c>
      <c r="D4556" s="141" t="s">
        <v>1161</v>
      </c>
    </row>
    <row r="4557" spans="1:4" x14ac:dyDescent="0.3">
      <c r="A4557" s="141" t="s">
        <v>7684</v>
      </c>
      <c r="B4557" s="141">
        <v>511110</v>
      </c>
      <c r="C4557" s="141" t="s">
        <v>1129</v>
      </c>
      <c r="D4557" s="141" t="s">
        <v>1112</v>
      </c>
    </row>
    <row r="4558" spans="1:4" x14ac:dyDescent="0.3">
      <c r="A4558" s="141" t="s">
        <v>7685</v>
      </c>
      <c r="B4558" s="141">
        <v>539123</v>
      </c>
      <c r="C4558" s="141" t="s">
        <v>1129</v>
      </c>
      <c r="D4558" s="141" t="s">
        <v>1149</v>
      </c>
    </row>
    <row r="4559" spans="1:4" x14ac:dyDescent="0.3">
      <c r="A4559" s="141" t="s">
        <v>7686</v>
      </c>
      <c r="B4559" s="141">
        <v>542654</v>
      </c>
      <c r="C4559" s="141" t="s">
        <v>7687</v>
      </c>
      <c r="D4559" s="141" t="s">
        <v>1130</v>
      </c>
    </row>
    <row r="4560" spans="1:4" x14ac:dyDescent="0.3">
      <c r="A4560" s="141" t="s">
        <v>7688</v>
      </c>
      <c r="B4560" s="141">
        <v>523888</v>
      </c>
      <c r="C4560" s="141" t="s">
        <v>1129</v>
      </c>
      <c r="D4560" s="141" t="s">
        <v>1609</v>
      </c>
    </row>
    <row r="4561" spans="1:4" x14ac:dyDescent="0.3">
      <c r="A4561" s="141" t="s">
        <v>7689</v>
      </c>
      <c r="B4561" s="141">
        <v>531266</v>
      </c>
      <c r="C4561" s="141" t="s">
        <v>7690</v>
      </c>
      <c r="D4561" s="141" t="s">
        <v>1207</v>
      </c>
    </row>
    <row r="4562" spans="1:4" x14ac:dyDescent="0.3">
      <c r="A4562" s="141" t="s">
        <v>7691</v>
      </c>
      <c r="B4562" s="141">
        <v>532867</v>
      </c>
      <c r="C4562" s="141" t="s">
        <v>7692</v>
      </c>
      <c r="D4562" s="141" t="s">
        <v>1298</v>
      </c>
    </row>
    <row r="4563" spans="1:4" x14ac:dyDescent="0.3">
      <c r="A4563" s="141" t="s">
        <v>7693</v>
      </c>
      <c r="B4563" s="141">
        <v>533269</v>
      </c>
      <c r="C4563" s="141" t="s">
        <v>7694</v>
      </c>
      <c r="D4563" s="141" t="s">
        <v>1154</v>
      </c>
    </row>
    <row r="4564" spans="1:4" x14ac:dyDescent="0.3">
      <c r="A4564" s="141" t="s">
        <v>7695</v>
      </c>
      <c r="B4564" s="141">
        <v>532320</v>
      </c>
      <c r="C4564" s="141" t="s">
        <v>1129</v>
      </c>
      <c r="D4564" s="141" t="s">
        <v>1146</v>
      </c>
    </row>
    <row r="4565" spans="1:4" x14ac:dyDescent="0.3">
      <c r="A4565" s="141" t="s">
        <v>7696</v>
      </c>
      <c r="B4565" s="141">
        <v>519152</v>
      </c>
      <c r="C4565" s="141" t="s">
        <v>1129</v>
      </c>
      <c r="D4565" s="141" t="s">
        <v>1151</v>
      </c>
    </row>
    <row r="4566" spans="1:4" x14ac:dyDescent="0.3">
      <c r="A4566" s="141" t="s">
        <v>7697</v>
      </c>
      <c r="B4566" s="141">
        <v>519156</v>
      </c>
      <c r="C4566" s="141" t="s">
        <v>7698</v>
      </c>
      <c r="D4566" s="141" t="s">
        <v>1189</v>
      </c>
    </row>
    <row r="4567" spans="1:4" x14ac:dyDescent="0.3">
      <c r="A4567" s="141" t="s">
        <v>7699</v>
      </c>
      <c r="B4567" s="141" t="s">
        <v>1129</v>
      </c>
      <c r="C4567" s="141" t="s">
        <v>7700</v>
      </c>
      <c r="D4567" s="141" t="s">
        <v>1140</v>
      </c>
    </row>
    <row r="4568" spans="1:4" x14ac:dyDescent="0.3">
      <c r="A4568" s="141" t="s">
        <v>7701</v>
      </c>
      <c r="B4568" s="141">
        <v>531676</v>
      </c>
      <c r="C4568" s="141" t="s">
        <v>1129</v>
      </c>
      <c r="D4568" s="141" t="s">
        <v>1189</v>
      </c>
    </row>
    <row r="4569" spans="1:4" x14ac:dyDescent="0.3">
      <c r="A4569" s="141" t="s">
        <v>7702</v>
      </c>
      <c r="B4569" s="141">
        <v>532156</v>
      </c>
      <c r="C4569" s="141" t="s">
        <v>7703</v>
      </c>
      <c r="D4569" s="141" t="s">
        <v>1243</v>
      </c>
    </row>
    <row r="4570" spans="1:4" x14ac:dyDescent="0.3">
      <c r="A4570" s="141" t="s">
        <v>7704</v>
      </c>
      <c r="B4570" s="141" t="s">
        <v>1129</v>
      </c>
      <c r="C4570" s="141" t="s">
        <v>7705</v>
      </c>
      <c r="D4570" s="141" t="s">
        <v>1140</v>
      </c>
    </row>
    <row r="4571" spans="1:4" x14ac:dyDescent="0.3">
      <c r="A4571" s="141" t="s">
        <v>7706</v>
      </c>
      <c r="B4571" s="141">
        <v>511431</v>
      </c>
      <c r="C4571" s="141" t="s">
        <v>7707</v>
      </c>
      <c r="D4571" s="141" t="s">
        <v>1130</v>
      </c>
    </row>
    <row r="4572" spans="1:4" x14ac:dyDescent="0.3">
      <c r="A4572" s="141" t="s">
        <v>7708</v>
      </c>
      <c r="B4572" s="141">
        <v>539402</v>
      </c>
      <c r="C4572" s="141" t="s">
        <v>1129</v>
      </c>
      <c r="D4572" s="141" t="s">
        <v>1327</v>
      </c>
    </row>
    <row r="4573" spans="1:4" x14ac:dyDescent="0.3">
      <c r="A4573" s="141" t="s">
        <v>7709</v>
      </c>
      <c r="B4573" s="141">
        <v>526775</v>
      </c>
      <c r="C4573" s="141" t="s">
        <v>1129</v>
      </c>
      <c r="D4573" s="141" t="s">
        <v>1275</v>
      </c>
    </row>
    <row r="4574" spans="1:4" x14ac:dyDescent="0.3">
      <c r="A4574" s="141" t="s">
        <v>7710</v>
      </c>
      <c r="B4574" s="141">
        <v>540145</v>
      </c>
      <c r="C4574" s="141" t="s">
        <v>1129</v>
      </c>
      <c r="D4574" s="141" t="s">
        <v>1167</v>
      </c>
    </row>
    <row r="4575" spans="1:4" x14ac:dyDescent="0.3">
      <c r="A4575" s="141" t="s">
        <v>7711</v>
      </c>
      <c r="B4575" s="141">
        <v>530403</v>
      </c>
      <c r="C4575" s="141" t="s">
        <v>1129</v>
      </c>
      <c r="D4575" s="141" t="s">
        <v>1324</v>
      </c>
    </row>
    <row r="4576" spans="1:4" x14ac:dyDescent="0.3">
      <c r="A4576" s="141" t="s">
        <v>7712</v>
      </c>
      <c r="B4576" s="141">
        <v>513397</v>
      </c>
      <c r="C4576" s="141" t="s">
        <v>1129</v>
      </c>
      <c r="D4576" s="141" t="s">
        <v>1452</v>
      </c>
    </row>
    <row r="4577" spans="1:4" x14ac:dyDescent="0.3">
      <c r="A4577" s="141" t="s">
        <v>7713</v>
      </c>
      <c r="B4577" s="141">
        <v>539543</v>
      </c>
      <c r="C4577" s="141" t="s">
        <v>1129</v>
      </c>
      <c r="D4577" s="141" t="s">
        <v>1149</v>
      </c>
    </row>
    <row r="4578" spans="1:4" x14ac:dyDescent="0.3">
      <c r="A4578" s="141" t="s">
        <v>7714</v>
      </c>
      <c r="B4578" s="141">
        <v>530459</v>
      </c>
      <c r="C4578" s="141" t="s">
        <v>1129</v>
      </c>
      <c r="D4578" s="141" t="s">
        <v>1144</v>
      </c>
    </row>
    <row r="4579" spans="1:4" x14ac:dyDescent="0.3">
      <c r="A4579" s="141" t="s">
        <v>7715</v>
      </c>
      <c r="B4579" s="141">
        <v>512175</v>
      </c>
      <c r="C4579" s="141" t="s">
        <v>1129</v>
      </c>
      <c r="D4579" s="141" t="s">
        <v>1115</v>
      </c>
    </row>
    <row r="4580" spans="1:4" x14ac:dyDescent="0.3">
      <c r="A4580" s="141" t="s">
        <v>7716</v>
      </c>
      <c r="B4580" s="141">
        <v>530369</v>
      </c>
      <c r="C4580" s="141" t="s">
        <v>1129</v>
      </c>
      <c r="D4580" s="141" t="s">
        <v>1609</v>
      </c>
    </row>
    <row r="4581" spans="1:4" x14ac:dyDescent="0.3">
      <c r="A4581" s="141" t="s">
        <v>7717</v>
      </c>
      <c r="B4581" s="141">
        <v>532090</v>
      </c>
      <c r="C4581" s="141" t="s">
        <v>1129</v>
      </c>
      <c r="D4581" s="141" t="s">
        <v>1144</v>
      </c>
    </row>
    <row r="4582" spans="1:4" x14ac:dyDescent="0.3">
      <c r="A4582" s="141" t="s">
        <v>7718</v>
      </c>
      <c r="B4582" s="141">
        <v>538918</v>
      </c>
      <c r="C4582" s="141" t="s">
        <v>1129</v>
      </c>
      <c r="D4582" s="141" t="s">
        <v>1146</v>
      </c>
    </row>
    <row r="4583" spans="1:4" x14ac:dyDescent="0.3">
      <c r="A4583" s="141" t="s">
        <v>7719</v>
      </c>
      <c r="B4583" s="141">
        <v>540729</v>
      </c>
      <c r="C4583" s="141" t="s">
        <v>1129</v>
      </c>
      <c r="D4583" s="141" t="s">
        <v>1167</v>
      </c>
    </row>
    <row r="4584" spans="1:4" x14ac:dyDescent="0.3">
      <c r="A4584" s="141" t="s">
        <v>7720</v>
      </c>
      <c r="B4584" s="141">
        <v>539761</v>
      </c>
      <c r="C4584" s="141" t="s">
        <v>1129</v>
      </c>
      <c r="D4584" s="141" t="s">
        <v>1234</v>
      </c>
    </row>
    <row r="4585" spans="1:4" x14ac:dyDescent="0.3">
      <c r="A4585" s="141" t="s">
        <v>7721</v>
      </c>
      <c r="B4585" s="141">
        <v>502589</v>
      </c>
      <c r="C4585" s="141" t="s">
        <v>1129</v>
      </c>
      <c r="D4585" s="141" t="s">
        <v>1123</v>
      </c>
    </row>
    <row r="4586" spans="1:4" x14ac:dyDescent="0.3">
      <c r="A4586" s="141" t="s">
        <v>7722</v>
      </c>
      <c r="B4586" s="141">
        <v>524796</v>
      </c>
      <c r="C4586" s="141" t="s">
        <v>1129</v>
      </c>
      <c r="D4586" s="141" t="s">
        <v>1167</v>
      </c>
    </row>
    <row r="4587" spans="1:4" x14ac:dyDescent="0.3">
      <c r="A4587" s="141" t="s">
        <v>7723</v>
      </c>
      <c r="B4587" s="141" t="s">
        <v>1129</v>
      </c>
      <c r="C4587" s="141" t="s">
        <v>7724</v>
      </c>
      <c r="D4587" s="141" t="s">
        <v>1220</v>
      </c>
    </row>
    <row r="4588" spans="1:4" x14ac:dyDescent="0.3">
      <c r="A4588" s="141" t="s">
        <v>7725</v>
      </c>
      <c r="B4588" s="141">
        <v>531444</v>
      </c>
      <c r="C4588" s="141" t="s">
        <v>1129</v>
      </c>
      <c r="D4588" s="141" t="s">
        <v>1142</v>
      </c>
    </row>
    <row r="4589" spans="1:4" x14ac:dyDescent="0.3">
      <c r="A4589" s="141" t="s">
        <v>7726</v>
      </c>
      <c r="B4589" s="141">
        <v>500439</v>
      </c>
      <c r="C4589" s="141" t="s">
        <v>7727</v>
      </c>
      <c r="D4589" s="141" t="s">
        <v>1146</v>
      </c>
    </row>
    <row r="4590" spans="1:4" x14ac:dyDescent="0.3">
      <c r="A4590" s="141" t="s">
        <v>7728</v>
      </c>
      <c r="B4590" s="141">
        <v>513534</v>
      </c>
      <c r="C4590" s="141" t="s">
        <v>1129</v>
      </c>
      <c r="D4590" s="141" t="s">
        <v>1161</v>
      </c>
    </row>
    <row r="4591" spans="1:4" x14ac:dyDescent="0.3">
      <c r="A4591" s="141" t="s">
        <v>7729</v>
      </c>
      <c r="B4591" s="141">
        <v>514175</v>
      </c>
      <c r="C4591" s="141" t="s">
        <v>7730</v>
      </c>
      <c r="D4591" s="141" t="s">
        <v>1144</v>
      </c>
    </row>
    <row r="4592" spans="1:4" x14ac:dyDescent="0.3">
      <c r="A4592" s="141" t="s">
        <v>7731</v>
      </c>
      <c r="B4592" s="141">
        <v>534392</v>
      </c>
      <c r="C4592" s="141" t="s">
        <v>7732</v>
      </c>
      <c r="D4592" s="141" t="s">
        <v>1452</v>
      </c>
    </row>
    <row r="4593" spans="1:4" x14ac:dyDescent="0.3">
      <c r="A4593" s="141" t="s">
        <v>7733</v>
      </c>
      <c r="B4593" s="141">
        <v>502986</v>
      </c>
      <c r="C4593" s="141" t="s">
        <v>7734</v>
      </c>
      <c r="D4593" s="141" t="s">
        <v>1144</v>
      </c>
    </row>
    <row r="4594" spans="1:4" x14ac:dyDescent="0.3">
      <c r="A4594" s="141" t="s">
        <v>7735</v>
      </c>
      <c r="B4594" s="141">
        <v>541578</v>
      </c>
      <c r="C4594" s="141" t="s">
        <v>7736</v>
      </c>
      <c r="D4594" s="141" t="s">
        <v>1484</v>
      </c>
    </row>
    <row r="4595" spans="1:4" x14ac:dyDescent="0.3">
      <c r="A4595" s="141" t="s">
        <v>7737</v>
      </c>
      <c r="B4595" s="141">
        <v>540180</v>
      </c>
      <c r="C4595" s="141" t="s">
        <v>7738</v>
      </c>
      <c r="D4595" s="141" t="s">
        <v>1324</v>
      </c>
    </row>
    <row r="4596" spans="1:4" x14ac:dyDescent="0.3">
      <c r="A4596" s="141" t="s">
        <v>7739</v>
      </c>
      <c r="B4596" s="141">
        <v>512511</v>
      </c>
      <c r="C4596" s="141" t="s">
        <v>1129</v>
      </c>
      <c r="D4596" s="141" t="s">
        <v>1550</v>
      </c>
    </row>
    <row r="4597" spans="1:4" x14ac:dyDescent="0.3">
      <c r="A4597" s="141" t="s">
        <v>7740</v>
      </c>
      <c r="B4597" s="141">
        <v>531574</v>
      </c>
      <c r="C4597" s="141" t="s">
        <v>1129</v>
      </c>
      <c r="D4597" s="141" t="s">
        <v>1215</v>
      </c>
    </row>
    <row r="4598" spans="1:4" x14ac:dyDescent="0.3">
      <c r="A4598" s="141" t="s">
        <v>7741</v>
      </c>
      <c r="B4598" s="141" t="s">
        <v>1129</v>
      </c>
      <c r="C4598" s="141" t="s">
        <v>7742</v>
      </c>
      <c r="D4598" s="141" t="s">
        <v>1140</v>
      </c>
    </row>
    <row r="4599" spans="1:4" x14ac:dyDescent="0.3">
      <c r="A4599" s="141" t="s">
        <v>7743</v>
      </c>
      <c r="B4599" s="141">
        <v>533156</v>
      </c>
      <c r="C4599" s="141" t="s">
        <v>7744</v>
      </c>
      <c r="D4599" s="141" t="s">
        <v>1215</v>
      </c>
    </row>
    <row r="4600" spans="1:4" x14ac:dyDescent="0.3">
      <c r="A4600" s="141" t="s">
        <v>7745</v>
      </c>
      <c r="B4600" s="141">
        <v>538634</v>
      </c>
      <c r="C4600" s="141" t="s">
        <v>1129</v>
      </c>
      <c r="D4600" s="141" t="s">
        <v>1167</v>
      </c>
    </row>
    <row r="4601" spans="1:4" x14ac:dyDescent="0.3">
      <c r="A4601" s="141" t="s">
        <v>7746</v>
      </c>
      <c r="B4601" s="141">
        <v>533576</v>
      </c>
      <c r="C4601" s="141" t="s">
        <v>7747</v>
      </c>
      <c r="D4601" s="141" t="s">
        <v>1161</v>
      </c>
    </row>
    <row r="4602" spans="1:4" x14ac:dyDescent="0.3">
      <c r="A4602" s="141" t="s">
        <v>7748</v>
      </c>
      <c r="B4602" s="141">
        <v>531650</v>
      </c>
      <c r="C4602" s="141" t="s">
        <v>1129</v>
      </c>
      <c r="D4602" s="141" t="s">
        <v>1550</v>
      </c>
    </row>
    <row r="4603" spans="1:4" x14ac:dyDescent="0.3">
      <c r="A4603" s="141" t="s">
        <v>7749</v>
      </c>
      <c r="B4603" s="141">
        <v>513005</v>
      </c>
      <c r="C4603" s="141" t="s">
        <v>1129</v>
      </c>
      <c r="D4603" s="141" t="s">
        <v>1161</v>
      </c>
    </row>
    <row r="4604" spans="1:4" x14ac:dyDescent="0.3">
      <c r="A4604" s="141" t="s">
        <v>7750</v>
      </c>
      <c r="B4604" s="141">
        <v>511493</v>
      </c>
      <c r="C4604" s="141" t="s">
        <v>1129</v>
      </c>
      <c r="D4604" s="141" t="s">
        <v>1146</v>
      </c>
    </row>
    <row r="4605" spans="1:4" x14ac:dyDescent="0.3">
      <c r="A4605" s="141" t="s">
        <v>7751</v>
      </c>
      <c r="B4605" s="141">
        <v>536672</v>
      </c>
      <c r="C4605" s="141" t="s">
        <v>1129</v>
      </c>
      <c r="D4605" s="141" t="s">
        <v>2756</v>
      </c>
    </row>
    <row r="4606" spans="1:4" x14ac:dyDescent="0.3">
      <c r="A4606" s="141" t="s">
        <v>7752</v>
      </c>
      <c r="B4606" s="141">
        <v>500295</v>
      </c>
      <c r="C4606" s="141" t="s">
        <v>7753</v>
      </c>
      <c r="D4606" s="141" t="s">
        <v>3644</v>
      </c>
    </row>
    <row r="4607" spans="1:4" x14ac:dyDescent="0.3">
      <c r="A4607" s="141" t="s">
        <v>7754</v>
      </c>
      <c r="B4607" s="141">
        <v>533056</v>
      </c>
      <c r="C4607" s="141" t="s">
        <v>1129</v>
      </c>
      <c r="D4607" s="141" t="s">
        <v>1135</v>
      </c>
    </row>
    <row r="4608" spans="1:4" x14ac:dyDescent="0.3">
      <c r="A4608" s="141" t="s">
        <v>7755</v>
      </c>
      <c r="B4608" s="141">
        <v>522267</v>
      </c>
      <c r="C4608" s="141" t="s">
        <v>1129</v>
      </c>
      <c r="D4608" s="141" t="s">
        <v>1137</v>
      </c>
    </row>
    <row r="4609" spans="1:4" x14ac:dyDescent="0.3">
      <c r="A4609" s="141" t="s">
        <v>7756</v>
      </c>
      <c r="B4609" s="141">
        <v>503657</v>
      </c>
      <c r="C4609" s="141" t="s">
        <v>1129</v>
      </c>
      <c r="D4609" s="141" t="s">
        <v>1268</v>
      </c>
    </row>
    <row r="4610" spans="1:4" x14ac:dyDescent="0.3">
      <c r="A4610" s="141" t="s">
        <v>7757</v>
      </c>
      <c r="B4610" s="141">
        <v>542046</v>
      </c>
      <c r="C4610" s="141" t="s">
        <v>1129</v>
      </c>
      <c r="D4610" s="141" t="s">
        <v>1215</v>
      </c>
    </row>
    <row r="4611" spans="1:4" x14ac:dyDescent="0.3">
      <c r="A4611" s="141" t="s">
        <v>7758</v>
      </c>
      <c r="B4611" s="141">
        <v>540252</v>
      </c>
      <c r="C4611" s="141" t="s">
        <v>1129</v>
      </c>
      <c r="D4611" s="141" t="s">
        <v>1243</v>
      </c>
    </row>
    <row r="4612" spans="1:4" x14ac:dyDescent="0.3">
      <c r="A4612" s="141" t="s">
        <v>7759</v>
      </c>
      <c r="B4612" s="141">
        <v>511523</v>
      </c>
      <c r="C4612" s="141" t="s">
        <v>1129</v>
      </c>
      <c r="D4612" s="141" t="s">
        <v>1167</v>
      </c>
    </row>
    <row r="4613" spans="1:4" x14ac:dyDescent="0.3">
      <c r="A4613" s="141" t="s">
        <v>7760</v>
      </c>
      <c r="B4613" s="141">
        <v>539132</v>
      </c>
      <c r="C4613" s="141" t="s">
        <v>1129</v>
      </c>
      <c r="D4613" s="141" t="s">
        <v>1378</v>
      </c>
    </row>
    <row r="4614" spans="1:4" x14ac:dyDescent="0.3">
      <c r="A4614" s="141" t="s">
        <v>7761</v>
      </c>
      <c r="B4614" s="141">
        <v>526755</v>
      </c>
      <c r="C4614" s="141" t="s">
        <v>1129</v>
      </c>
      <c r="D4614" s="141" t="s">
        <v>1330</v>
      </c>
    </row>
    <row r="4615" spans="1:4" x14ac:dyDescent="0.3">
      <c r="A4615" s="141" t="s">
        <v>7762</v>
      </c>
      <c r="B4615" s="141">
        <v>505232</v>
      </c>
      <c r="C4615" s="141" t="s">
        <v>1129</v>
      </c>
      <c r="D4615" s="141" t="s">
        <v>1484</v>
      </c>
    </row>
    <row r="4616" spans="1:4" x14ac:dyDescent="0.3">
      <c r="A4616" s="141" t="s">
        <v>7763</v>
      </c>
      <c r="B4616" s="141">
        <v>523261</v>
      </c>
      <c r="C4616" s="141" t="s">
        <v>7764</v>
      </c>
      <c r="D4616" s="141" t="s">
        <v>1189</v>
      </c>
    </row>
    <row r="4617" spans="1:4" x14ac:dyDescent="0.3">
      <c r="A4617" s="141" t="s">
        <v>7765</v>
      </c>
      <c r="B4617" s="141">
        <v>523261</v>
      </c>
      <c r="C4617" s="141" t="s">
        <v>7764</v>
      </c>
      <c r="D4617" s="141" t="s">
        <v>1189</v>
      </c>
    </row>
    <row r="4618" spans="1:4" x14ac:dyDescent="0.3">
      <c r="A4618" s="141" t="s">
        <v>7766</v>
      </c>
      <c r="B4618" s="141">
        <v>524038</v>
      </c>
      <c r="C4618" s="141" t="s">
        <v>1129</v>
      </c>
      <c r="D4618" s="141" t="s">
        <v>1177</v>
      </c>
    </row>
    <row r="4619" spans="1:4" x14ac:dyDescent="0.3">
      <c r="A4619" s="141" t="s">
        <v>7767</v>
      </c>
      <c r="B4619" s="141">
        <v>512060</v>
      </c>
      <c r="C4619" s="141" t="s">
        <v>7768</v>
      </c>
      <c r="D4619" s="141" t="s">
        <v>1550</v>
      </c>
    </row>
    <row r="4620" spans="1:4" x14ac:dyDescent="0.3">
      <c r="A4620" s="141" t="s">
        <v>7769</v>
      </c>
      <c r="B4620" s="141">
        <v>516098</v>
      </c>
      <c r="C4620" s="141" t="s">
        <v>1129</v>
      </c>
      <c r="D4620" s="141" t="s">
        <v>1144</v>
      </c>
    </row>
    <row r="4621" spans="1:4" x14ac:dyDescent="0.3">
      <c r="A4621" s="141" t="s">
        <v>7770</v>
      </c>
      <c r="B4621" s="141">
        <v>526953</v>
      </c>
      <c r="C4621" s="141" t="s">
        <v>7771</v>
      </c>
      <c r="D4621" s="141" t="s">
        <v>1167</v>
      </c>
    </row>
    <row r="4622" spans="1:4" x14ac:dyDescent="0.3">
      <c r="A4622" s="141" t="s">
        <v>7772</v>
      </c>
      <c r="B4622" s="141" t="s">
        <v>1129</v>
      </c>
      <c r="C4622" s="141" t="s">
        <v>7773</v>
      </c>
      <c r="D4622" s="141" t="s">
        <v>1140</v>
      </c>
    </row>
    <row r="4623" spans="1:4" x14ac:dyDescent="0.3">
      <c r="A4623" s="141" t="s">
        <v>7774</v>
      </c>
      <c r="B4623" s="141">
        <v>512229</v>
      </c>
      <c r="C4623" s="141" t="s">
        <v>1129</v>
      </c>
      <c r="D4623" s="141" t="s">
        <v>1151</v>
      </c>
    </row>
    <row r="4624" spans="1:4" x14ac:dyDescent="0.3">
      <c r="A4624" s="141" t="s">
        <v>7775</v>
      </c>
      <c r="B4624" s="141">
        <v>512229</v>
      </c>
      <c r="C4624" s="141" t="s">
        <v>1129</v>
      </c>
      <c r="D4624" s="141" t="s">
        <v>1151</v>
      </c>
    </row>
    <row r="4625" spans="1:4" x14ac:dyDescent="0.3">
      <c r="A4625" s="141" t="s">
        <v>7776</v>
      </c>
      <c r="B4625" s="141">
        <v>531695</v>
      </c>
      <c r="C4625" s="141" t="s">
        <v>1129</v>
      </c>
      <c r="D4625" s="141" t="s">
        <v>1132</v>
      </c>
    </row>
    <row r="4626" spans="1:4" x14ac:dyDescent="0.3">
      <c r="A4626" s="141" t="s">
        <v>7777</v>
      </c>
      <c r="B4626" s="141">
        <v>531950</v>
      </c>
      <c r="C4626" s="141" t="s">
        <v>1129</v>
      </c>
      <c r="D4626" s="141" t="s">
        <v>1112</v>
      </c>
    </row>
    <row r="4627" spans="1:4" x14ac:dyDescent="0.3">
      <c r="A4627" s="141" t="s">
        <v>7778</v>
      </c>
      <c r="B4627" s="141">
        <v>515099</v>
      </c>
      <c r="C4627" s="141" t="s">
        <v>1129</v>
      </c>
      <c r="D4627" s="141" t="s">
        <v>1657</v>
      </c>
    </row>
    <row r="4628" spans="1:4" x14ac:dyDescent="0.3">
      <c r="A4628" s="141" t="s">
        <v>7779</v>
      </c>
      <c r="B4628" s="141" t="s">
        <v>1129</v>
      </c>
      <c r="C4628" s="141" t="s">
        <v>7780</v>
      </c>
      <c r="D4628" s="141" t="s">
        <v>1140</v>
      </c>
    </row>
    <row r="4629" spans="1:4" x14ac:dyDescent="0.3">
      <c r="A4629" s="141" t="s">
        <v>7781</v>
      </c>
      <c r="B4629" s="141">
        <v>520113</v>
      </c>
      <c r="C4629" s="141" t="s">
        <v>7782</v>
      </c>
      <c r="D4629" s="141" t="s">
        <v>1314</v>
      </c>
    </row>
    <row r="4630" spans="1:4" x14ac:dyDescent="0.3">
      <c r="A4630" s="141" t="s">
        <v>7783</v>
      </c>
      <c r="B4630" s="141">
        <v>520113</v>
      </c>
      <c r="C4630" s="141" t="s">
        <v>7782</v>
      </c>
      <c r="D4630" s="141" t="s">
        <v>1314</v>
      </c>
    </row>
    <row r="4631" spans="1:4" x14ac:dyDescent="0.3">
      <c r="A4631" s="141" t="s">
        <v>7784</v>
      </c>
      <c r="B4631" s="141">
        <v>539331</v>
      </c>
      <c r="C4631" s="141" t="s">
        <v>7785</v>
      </c>
      <c r="D4631" s="141" t="s">
        <v>1427</v>
      </c>
    </row>
    <row r="4632" spans="1:4" x14ac:dyDescent="0.3">
      <c r="A4632" s="141" t="s">
        <v>7786</v>
      </c>
      <c r="B4632" s="141">
        <v>532953</v>
      </c>
      <c r="C4632" s="141" t="s">
        <v>7787</v>
      </c>
      <c r="D4632" s="141" t="s">
        <v>1427</v>
      </c>
    </row>
    <row r="4633" spans="1:4" x14ac:dyDescent="0.3">
      <c r="A4633" s="141" t="s">
        <v>7788</v>
      </c>
      <c r="B4633" s="141">
        <v>537524</v>
      </c>
      <c r="C4633" s="141" t="s">
        <v>1129</v>
      </c>
      <c r="D4633" s="141" t="s">
        <v>2175</v>
      </c>
    </row>
    <row r="4634" spans="1:4" x14ac:dyDescent="0.3">
      <c r="A4634" s="141" t="s">
        <v>7789</v>
      </c>
      <c r="B4634" s="141">
        <v>538732</v>
      </c>
      <c r="C4634" s="141" t="s">
        <v>1129</v>
      </c>
      <c r="D4634" s="141" t="s">
        <v>1146</v>
      </c>
    </row>
    <row r="4635" spans="1:4" x14ac:dyDescent="0.3">
      <c r="A4635" s="141" t="s">
        <v>7790</v>
      </c>
      <c r="B4635" s="141">
        <v>523796</v>
      </c>
      <c r="C4635" s="141" t="s">
        <v>7791</v>
      </c>
      <c r="D4635" s="141" t="s">
        <v>1330</v>
      </c>
    </row>
    <row r="4636" spans="1:4" x14ac:dyDescent="0.3">
      <c r="A4636" s="141" t="s">
        <v>7792</v>
      </c>
      <c r="B4636" s="141">
        <v>503349</v>
      </c>
      <c r="C4636" s="141" t="s">
        <v>1129</v>
      </c>
      <c r="D4636" s="141" t="s">
        <v>1144</v>
      </c>
    </row>
    <row r="4637" spans="1:4" x14ac:dyDescent="0.3">
      <c r="A4637" s="141" t="s">
        <v>7793</v>
      </c>
      <c r="B4637" s="141">
        <v>531234</v>
      </c>
      <c r="C4637" s="141" t="s">
        <v>1129</v>
      </c>
      <c r="D4637" s="141" t="s">
        <v>1123</v>
      </c>
    </row>
    <row r="4638" spans="1:4" x14ac:dyDescent="0.3">
      <c r="A4638" s="141" t="s">
        <v>7794</v>
      </c>
      <c r="B4638" s="141">
        <v>531234</v>
      </c>
      <c r="C4638" s="141" t="s">
        <v>1129</v>
      </c>
      <c r="D4638" s="141" t="s">
        <v>1123</v>
      </c>
    </row>
    <row r="4639" spans="1:4" x14ac:dyDescent="0.3">
      <c r="A4639" s="141" t="s">
        <v>7795</v>
      </c>
      <c r="B4639" s="141">
        <v>511389</v>
      </c>
      <c r="C4639" s="141" t="s">
        <v>7796</v>
      </c>
      <c r="D4639" s="141" t="s">
        <v>1498</v>
      </c>
    </row>
    <row r="4640" spans="1:4" x14ac:dyDescent="0.3">
      <c r="A4640" s="141" t="s">
        <v>7797</v>
      </c>
      <c r="B4640" s="141">
        <v>531717</v>
      </c>
      <c r="C4640" s="141" t="s">
        <v>7798</v>
      </c>
      <c r="D4640" s="141" t="s">
        <v>1289</v>
      </c>
    </row>
    <row r="4641" spans="1:4" x14ac:dyDescent="0.3">
      <c r="A4641" s="141" t="s">
        <v>7799</v>
      </c>
      <c r="B4641" s="141">
        <v>539659</v>
      </c>
      <c r="C4641" s="141" t="s">
        <v>1129</v>
      </c>
      <c r="D4641" s="141" t="s">
        <v>1618</v>
      </c>
    </row>
    <row r="4642" spans="1:4" x14ac:dyDescent="0.3">
      <c r="A4642" s="141" t="s">
        <v>7800</v>
      </c>
      <c r="B4642" s="141">
        <v>523724</v>
      </c>
      <c r="C4642" s="141" t="s">
        <v>7801</v>
      </c>
      <c r="D4642" s="141" t="s">
        <v>1215</v>
      </c>
    </row>
    <row r="4643" spans="1:4" x14ac:dyDescent="0.3">
      <c r="A4643" s="141" t="s">
        <v>7802</v>
      </c>
      <c r="B4643" s="141">
        <v>531069</v>
      </c>
      <c r="C4643" s="141" t="s">
        <v>1129</v>
      </c>
      <c r="D4643" s="141" t="s">
        <v>1378</v>
      </c>
    </row>
    <row r="4644" spans="1:4" x14ac:dyDescent="0.3">
      <c r="A4644" s="141" t="s">
        <v>7803</v>
      </c>
      <c r="B4644" s="141">
        <v>530151</v>
      </c>
      <c r="C4644" s="141" t="s">
        <v>1129</v>
      </c>
      <c r="D4644" s="141" t="s">
        <v>1151</v>
      </c>
    </row>
    <row r="4645" spans="1:4" x14ac:dyDescent="0.3">
      <c r="A4645" s="141" t="s">
        <v>7804</v>
      </c>
      <c r="B4645" s="141">
        <v>532401</v>
      </c>
      <c r="C4645" s="141" t="s">
        <v>7805</v>
      </c>
      <c r="D4645" s="141" t="s">
        <v>1447</v>
      </c>
    </row>
    <row r="4646" spans="1:4" x14ac:dyDescent="0.3">
      <c r="A4646" s="141" t="s">
        <v>7806</v>
      </c>
      <c r="B4646" s="141">
        <v>537820</v>
      </c>
      <c r="C4646" s="141" t="s">
        <v>7807</v>
      </c>
      <c r="D4646" s="141" t="s">
        <v>1146</v>
      </c>
    </row>
    <row r="4647" spans="1:4" x14ac:dyDescent="0.3">
      <c r="A4647" s="141" t="s">
        <v>7808</v>
      </c>
      <c r="B4647" s="141">
        <v>531334</v>
      </c>
      <c r="C4647" s="141" t="s">
        <v>1129</v>
      </c>
      <c r="D4647" s="141" t="s">
        <v>1550</v>
      </c>
    </row>
    <row r="4648" spans="1:4" x14ac:dyDescent="0.3">
      <c r="A4648" s="141" t="s">
        <v>7809</v>
      </c>
      <c r="B4648" s="141">
        <v>530961</v>
      </c>
      <c r="C4648" s="141" t="s">
        <v>7810</v>
      </c>
      <c r="D4648" s="141" t="s">
        <v>1289</v>
      </c>
    </row>
    <row r="4649" spans="1:4" x14ac:dyDescent="0.3">
      <c r="A4649" s="141" t="s">
        <v>7811</v>
      </c>
      <c r="B4649" s="141">
        <v>542655</v>
      </c>
      <c r="C4649" s="141" t="s">
        <v>7812</v>
      </c>
      <c r="D4649" s="141" t="s">
        <v>1495</v>
      </c>
    </row>
    <row r="4650" spans="1:4" x14ac:dyDescent="0.3">
      <c r="A4650" s="141" t="s">
        <v>7813</v>
      </c>
      <c r="B4650" s="141">
        <v>531518</v>
      </c>
      <c r="C4650" s="141" t="s">
        <v>1129</v>
      </c>
      <c r="D4650" s="141" t="s">
        <v>1327</v>
      </c>
    </row>
    <row r="4651" spans="1:4" x14ac:dyDescent="0.3">
      <c r="A4651" s="141" t="s">
        <v>7814</v>
      </c>
      <c r="B4651" s="141">
        <v>519307</v>
      </c>
      <c r="C4651" s="141" t="s">
        <v>1129</v>
      </c>
      <c r="D4651" s="141" t="s">
        <v>1289</v>
      </c>
    </row>
    <row r="4652" spans="1:4" x14ac:dyDescent="0.3">
      <c r="A4652" s="141" t="s">
        <v>7815</v>
      </c>
      <c r="B4652" s="141">
        <v>530477</v>
      </c>
      <c r="C4652" s="141" t="s">
        <v>1129</v>
      </c>
      <c r="D4652" s="141" t="s">
        <v>1167</v>
      </c>
    </row>
    <row r="4653" spans="1:4" x14ac:dyDescent="0.3">
      <c r="A4653" s="141" t="s">
        <v>7816</v>
      </c>
      <c r="B4653" s="141">
        <v>530477</v>
      </c>
      <c r="C4653" s="141" t="s">
        <v>1129</v>
      </c>
      <c r="D4653" s="141" t="s">
        <v>1167</v>
      </c>
    </row>
    <row r="4654" spans="1:4" x14ac:dyDescent="0.3">
      <c r="A4654" s="141" t="s">
        <v>7817</v>
      </c>
      <c r="B4654" s="141">
        <v>506196</v>
      </c>
      <c r="C4654" s="141" t="s">
        <v>1129</v>
      </c>
      <c r="D4654" s="141" t="s">
        <v>1151</v>
      </c>
    </row>
    <row r="4655" spans="1:4" x14ac:dyDescent="0.3">
      <c r="A4655" s="141" t="s">
        <v>7818</v>
      </c>
      <c r="B4655" s="141">
        <v>519373</v>
      </c>
      <c r="C4655" s="141" t="s">
        <v>7819</v>
      </c>
      <c r="D4655" s="141" t="s">
        <v>1378</v>
      </c>
    </row>
    <row r="4656" spans="1:4" x14ac:dyDescent="0.3">
      <c r="A4656" s="141" t="s">
        <v>7820</v>
      </c>
      <c r="B4656" s="141">
        <v>524394</v>
      </c>
      <c r="C4656" s="141" t="s">
        <v>7821</v>
      </c>
      <c r="D4656" s="141" t="s">
        <v>1318</v>
      </c>
    </row>
    <row r="4657" spans="1:4" x14ac:dyDescent="0.3">
      <c r="A4657" s="141" t="s">
        <v>7822</v>
      </c>
      <c r="B4657" s="141">
        <v>504380</v>
      </c>
      <c r="C4657" s="141" t="s">
        <v>1129</v>
      </c>
      <c r="D4657" s="141" t="s">
        <v>1151</v>
      </c>
    </row>
    <row r="4658" spans="1:4" x14ac:dyDescent="0.3">
      <c r="A4658" s="141" t="s">
        <v>7823</v>
      </c>
      <c r="B4658" s="141">
        <v>524200</v>
      </c>
      <c r="C4658" s="141" t="s">
        <v>7824</v>
      </c>
      <c r="D4658" s="141" t="s">
        <v>1177</v>
      </c>
    </row>
    <row r="4659" spans="1:4" x14ac:dyDescent="0.3">
      <c r="A4659" s="141" t="s">
        <v>7825</v>
      </c>
      <c r="B4659" s="141">
        <v>534639</v>
      </c>
      <c r="C4659" s="141" t="s">
        <v>1129</v>
      </c>
      <c r="D4659" s="141" t="s">
        <v>1324</v>
      </c>
    </row>
    <row r="4660" spans="1:4" x14ac:dyDescent="0.3">
      <c r="A4660" s="141" t="s">
        <v>7826</v>
      </c>
      <c r="B4660" s="141">
        <v>517015</v>
      </c>
      <c r="C4660" s="141" t="s">
        <v>7827</v>
      </c>
      <c r="D4660" s="141" t="s">
        <v>1399</v>
      </c>
    </row>
    <row r="4661" spans="1:4" x14ac:dyDescent="0.3">
      <c r="A4661" s="141" t="s">
        <v>7828</v>
      </c>
      <c r="B4661" s="141" t="s">
        <v>1129</v>
      </c>
      <c r="C4661" s="141" t="s">
        <v>7829</v>
      </c>
      <c r="D4661" s="141" t="s">
        <v>1140</v>
      </c>
    </row>
    <row r="4662" spans="1:4" x14ac:dyDescent="0.3">
      <c r="A4662" s="141" t="s">
        <v>7830</v>
      </c>
      <c r="B4662" s="141">
        <v>531051</v>
      </c>
      <c r="C4662" s="141" t="s">
        <v>1129</v>
      </c>
      <c r="D4662" s="141" t="s">
        <v>1146</v>
      </c>
    </row>
    <row r="4663" spans="1:4" x14ac:dyDescent="0.3">
      <c r="A4663" s="141" t="s">
        <v>7831</v>
      </c>
      <c r="B4663" s="141">
        <v>524129</v>
      </c>
      <c r="C4663" s="141" t="s">
        <v>7832</v>
      </c>
      <c r="D4663" s="141" t="s">
        <v>1506</v>
      </c>
    </row>
    <row r="4664" spans="1:4" x14ac:dyDescent="0.3">
      <c r="A4664" s="141" t="s">
        <v>7833</v>
      </c>
      <c r="B4664" s="141">
        <v>524129</v>
      </c>
      <c r="C4664" s="141" t="s">
        <v>7834</v>
      </c>
      <c r="D4664" s="141" t="s">
        <v>1506</v>
      </c>
    </row>
    <row r="4665" spans="1:4" x14ac:dyDescent="0.3">
      <c r="A4665" s="141" t="s">
        <v>7835</v>
      </c>
      <c r="B4665" s="141">
        <v>530401</v>
      </c>
      <c r="C4665" s="141" t="s">
        <v>1129</v>
      </c>
      <c r="D4665" s="141" t="s">
        <v>1177</v>
      </c>
    </row>
    <row r="4666" spans="1:4" x14ac:dyDescent="0.3">
      <c r="A4666" s="141" t="s">
        <v>7836</v>
      </c>
      <c r="B4666" s="141">
        <v>532613</v>
      </c>
      <c r="C4666" s="141" t="s">
        <v>7837</v>
      </c>
      <c r="D4666" s="141" t="s">
        <v>1151</v>
      </c>
    </row>
    <row r="4667" spans="1:4" x14ac:dyDescent="0.3">
      <c r="A4667" s="141" t="s">
        <v>7838</v>
      </c>
      <c r="B4667" s="141">
        <v>507880</v>
      </c>
      <c r="C4667" s="141" t="s">
        <v>7839</v>
      </c>
      <c r="D4667" s="141" t="s">
        <v>1243</v>
      </c>
    </row>
    <row r="4668" spans="1:4" x14ac:dyDescent="0.3">
      <c r="A4668" s="141" t="s">
        <v>7840</v>
      </c>
      <c r="B4668" s="141">
        <v>514302</v>
      </c>
      <c r="C4668" s="141" t="s">
        <v>1129</v>
      </c>
      <c r="D4668" s="141" t="s">
        <v>1144</v>
      </c>
    </row>
    <row r="4669" spans="1:4" x14ac:dyDescent="0.3">
      <c r="A4669" s="141" t="s">
        <v>7841</v>
      </c>
      <c r="B4669" s="141">
        <v>511726</v>
      </c>
      <c r="C4669" s="141" t="s">
        <v>7842</v>
      </c>
      <c r="D4669" s="141" t="s">
        <v>1215</v>
      </c>
    </row>
    <row r="4670" spans="1:4" x14ac:dyDescent="0.3">
      <c r="A4670" s="141" t="s">
        <v>7843</v>
      </c>
      <c r="B4670" s="141">
        <v>530627</v>
      </c>
      <c r="C4670" s="141" t="s">
        <v>1129</v>
      </c>
      <c r="D4670" s="141" t="s">
        <v>1289</v>
      </c>
    </row>
    <row r="4671" spans="1:4" x14ac:dyDescent="0.3">
      <c r="A4671" s="141" t="s">
        <v>7844</v>
      </c>
      <c r="B4671" s="141">
        <v>519457</v>
      </c>
      <c r="C4671" s="141" t="s">
        <v>1129</v>
      </c>
      <c r="D4671" s="141" t="s">
        <v>1189</v>
      </c>
    </row>
    <row r="4672" spans="1:4" x14ac:dyDescent="0.3">
      <c r="A4672" s="141" t="s">
        <v>7845</v>
      </c>
      <c r="B4672" s="141">
        <v>530521</v>
      </c>
      <c r="C4672" s="141" t="s">
        <v>1129</v>
      </c>
      <c r="D4672" s="141" t="s">
        <v>1243</v>
      </c>
    </row>
    <row r="4673" spans="1:4" x14ac:dyDescent="0.3">
      <c r="A4673" s="141" t="s">
        <v>7846</v>
      </c>
      <c r="B4673" s="141">
        <v>539167</v>
      </c>
      <c r="C4673" s="141" t="s">
        <v>1129</v>
      </c>
      <c r="D4673" s="141" t="s">
        <v>1146</v>
      </c>
    </row>
    <row r="4674" spans="1:4" x14ac:dyDescent="0.3">
      <c r="A4674" s="141" t="s">
        <v>7847</v>
      </c>
      <c r="B4674" s="141">
        <v>532354</v>
      </c>
      <c r="C4674" s="141" t="s">
        <v>1129</v>
      </c>
      <c r="D4674" s="141" t="s">
        <v>1222</v>
      </c>
    </row>
    <row r="4675" spans="1:4" x14ac:dyDescent="0.3">
      <c r="A4675" s="141" t="s">
        <v>7848</v>
      </c>
      <c r="B4675" s="141">
        <v>532372</v>
      </c>
      <c r="C4675" s="141" t="s">
        <v>1129</v>
      </c>
      <c r="D4675" s="141" t="s">
        <v>1222</v>
      </c>
    </row>
    <row r="4676" spans="1:4" x14ac:dyDescent="0.3">
      <c r="A4676" s="141" t="s">
        <v>7849</v>
      </c>
      <c r="B4676" s="141">
        <v>534741</v>
      </c>
      <c r="C4676" s="141" t="s">
        <v>1129</v>
      </c>
      <c r="D4676" s="141" t="s">
        <v>1234</v>
      </c>
    </row>
    <row r="4677" spans="1:4" x14ac:dyDescent="0.3">
      <c r="A4677" s="141" t="s">
        <v>7850</v>
      </c>
      <c r="B4677" s="141">
        <v>531126</v>
      </c>
      <c r="C4677" s="141" t="s">
        <v>1129</v>
      </c>
      <c r="D4677" s="141" t="s">
        <v>1222</v>
      </c>
    </row>
    <row r="4678" spans="1:4" x14ac:dyDescent="0.3">
      <c r="A4678" s="141" t="s">
        <v>7851</v>
      </c>
      <c r="B4678" s="141">
        <v>532721</v>
      </c>
      <c r="C4678" s="141" t="s">
        <v>7852</v>
      </c>
      <c r="D4678" s="141" t="s">
        <v>1161</v>
      </c>
    </row>
    <row r="4679" spans="1:4" x14ac:dyDescent="0.3">
      <c r="A4679" s="141" t="s">
        <v>7853</v>
      </c>
      <c r="B4679" s="141">
        <v>531025</v>
      </c>
      <c r="C4679" s="141" t="s">
        <v>1129</v>
      </c>
      <c r="D4679" s="141" t="s">
        <v>1112</v>
      </c>
    </row>
    <row r="4680" spans="1:4" x14ac:dyDescent="0.3">
      <c r="A4680" s="141" t="s">
        <v>7854</v>
      </c>
      <c r="B4680" s="141">
        <v>506146</v>
      </c>
      <c r="C4680" s="141" t="s">
        <v>7855</v>
      </c>
      <c r="D4680" s="141" t="s">
        <v>1144</v>
      </c>
    </row>
    <row r="4681" spans="1:4" x14ac:dyDescent="0.3">
      <c r="A4681" s="141" t="s">
        <v>7856</v>
      </c>
      <c r="B4681" s="141">
        <v>509055</v>
      </c>
      <c r="C4681" s="141" t="s">
        <v>7857</v>
      </c>
      <c r="D4681" s="141" t="s">
        <v>1142</v>
      </c>
    </row>
    <row r="4682" spans="1:4" x14ac:dyDescent="0.3">
      <c r="A4682" s="141" t="s">
        <v>7858</v>
      </c>
      <c r="B4682" s="141">
        <v>540097</v>
      </c>
      <c r="C4682" s="141" t="s">
        <v>1129</v>
      </c>
      <c r="D4682" s="141" t="s">
        <v>1112</v>
      </c>
    </row>
    <row r="4683" spans="1:4" x14ac:dyDescent="0.3">
      <c r="A4683" s="141" t="s">
        <v>7859</v>
      </c>
      <c r="B4683" s="141">
        <v>532411</v>
      </c>
      <c r="C4683" s="141" t="s">
        <v>7860</v>
      </c>
      <c r="D4683" s="141" t="s">
        <v>1222</v>
      </c>
    </row>
    <row r="4684" spans="1:4" x14ac:dyDescent="0.3">
      <c r="A4684" s="141" t="s">
        <v>7861</v>
      </c>
      <c r="B4684" s="141">
        <v>539398</v>
      </c>
      <c r="C4684" s="141" t="s">
        <v>1129</v>
      </c>
      <c r="D4684" s="141" t="s">
        <v>1137</v>
      </c>
    </row>
    <row r="4685" spans="1:4" x14ac:dyDescent="0.3">
      <c r="A4685" s="141" t="s">
        <v>7862</v>
      </c>
      <c r="B4685" s="141">
        <v>538598</v>
      </c>
      <c r="C4685" s="141" t="s">
        <v>1129</v>
      </c>
      <c r="D4685" s="141" t="s">
        <v>1144</v>
      </c>
    </row>
    <row r="4686" spans="1:4" x14ac:dyDescent="0.3">
      <c r="A4686" s="141" t="s">
        <v>7863</v>
      </c>
      <c r="B4686" s="141">
        <v>516072</v>
      </c>
      <c r="C4686" s="141" t="s">
        <v>7864</v>
      </c>
      <c r="D4686" s="141" t="s">
        <v>1177</v>
      </c>
    </row>
    <row r="4687" spans="1:4" x14ac:dyDescent="0.3">
      <c r="A4687" s="141" t="s">
        <v>7865</v>
      </c>
      <c r="B4687" s="141">
        <v>512064</v>
      </c>
      <c r="C4687" s="141" t="s">
        <v>7866</v>
      </c>
      <c r="D4687" s="141" t="s">
        <v>1550</v>
      </c>
    </row>
    <row r="4688" spans="1:4" x14ac:dyDescent="0.3">
      <c r="A4688" s="141" t="s">
        <v>7867</v>
      </c>
      <c r="B4688" s="141">
        <v>526441</v>
      </c>
      <c r="C4688" s="141" t="s">
        <v>1129</v>
      </c>
      <c r="D4688" s="141" t="s">
        <v>2732</v>
      </c>
    </row>
    <row r="4689" spans="1:4" x14ac:dyDescent="0.3">
      <c r="A4689" s="141" t="s">
        <v>7868</v>
      </c>
      <c r="B4689" s="141">
        <v>531668</v>
      </c>
      <c r="C4689" s="141" t="s">
        <v>1129</v>
      </c>
      <c r="D4689" s="141" t="s">
        <v>1132</v>
      </c>
    </row>
    <row r="4690" spans="1:4" x14ac:dyDescent="0.3">
      <c r="A4690" s="141" t="s">
        <v>7869</v>
      </c>
      <c r="B4690" s="141">
        <v>524711</v>
      </c>
      <c r="C4690" s="141" t="s">
        <v>1129</v>
      </c>
      <c r="D4690" s="141" t="s">
        <v>1167</v>
      </c>
    </row>
    <row r="4691" spans="1:4" x14ac:dyDescent="0.3">
      <c r="A4691" s="141" t="s">
        <v>7870</v>
      </c>
      <c r="B4691" s="141">
        <v>538565</v>
      </c>
      <c r="C4691" s="141" t="s">
        <v>1129</v>
      </c>
      <c r="D4691" s="141" t="s">
        <v>1146</v>
      </c>
    </row>
    <row r="4692" spans="1:4" x14ac:dyDescent="0.3">
      <c r="A4692" s="141" t="s">
        <v>7871</v>
      </c>
      <c r="B4692" s="141">
        <v>540823</v>
      </c>
      <c r="C4692" s="141" t="s">
        <v>1129</v>
      </c>
      <c r="D4692" s="141" t="s">
        <v>1151</v>
      </c>
    </row>
    <row r="4693" spans="1:4" x14ac:dyDescent="0.3">
      <c r="A4693" s="141" t="s">
        <v>7872</v>
      </c>
      <c r="B4693" s="141">
        <v>541735</v>
      </c>
      <c r="C4693" s="141" t="s">
        <v>1129</v>
      </c>
      <c r="D4693" s="141" t="s">
        <v>1527</v>
      </c>
    </row>
    <row r="4694" spans="1:4" x14ac:dyDescent="0.3">
      <c r="A4694" s="141" t="s">
        <v>7873</v>
      </c>
      <c r="B4694" s="141">
        <v>530057</v>
      </c>
      <c r="C4694" s="141" t="s">
        <v>1129</v>
      </c>
      <c r="D4694" s="141" t="s">
        <v>1167</v>
      </c>
    </row>
    <row r="4695" spans="1:4" x14ac:dyDescent="0.3">
      <c r="A4695" s="141" t="s">
        <v>7874</v>
      </c>
      <c r="B4695" s="141">
        <v>524576</v>
      </c>
      <c r="C4695" s="141" t="s">
        <v>1129</v>
      </c>
      <c r="D4695" s="141" t="s">
        <v>1177</v>
      </c>
    </row>
    <row r="4696" spans="1:4" x14ac:dyDescent="0.3">
      <c r="A4696" s="141" t="s">
        <v>7875</v>
      </c>
      <c r="B4696" s="141">
        <v>532660</v>
      </c>
      <c r="C4696" s="141" t="s">
        <v>7876</v>
      </c>
      <c r="D4696" s="141" t="s">
        <v>1167</v>
      </c>
    </row>
    <row r="4697" spans="1:4" x14ac:dyDescent="0.3">
      <c r="A4697" s="141" t="s">
        <v>7877</v>
      </c>
      <c r="B4697" s="141">
        <v>511509</v>
      </c>
      <c r="C4697" s="141" t="s">
        <v>1129</v>
      </c>
      <c r="D4697" s="141" t="s">
        <v>1467</v>
      </c>
    </row>
    <row r="4698" spans="1:4" x14ac:dyDescent="0.3">
      <c r="A4698" s="141" t="s">
        <v>7878</v>
      </c>
      <c r="B4698" s="141">
        <v>509026</v>
      </c>
      <c r="C4698" s="141" t="s">
        <v>1129</v>
      </c>
      <c r="D4698" s="141" t="s">
        <v>1234</v>
      </c>
    </row>
    <row r="4699" spans="1:4" x14ac:dyDescent="0.3">
      <c r="A4699" s="141" t="s">
        <v>7879</v>
      </c>
      <c r="B4699" s="141">
        <v>536128</v>
      </c>
      <c r="C4699" s="141" t="s">
        <v>1129</v>
      </c>
      <c r="D4699" s="141" t="s">
        <v>1527</v>
      </c>
    </row>
    <row r="4700" spans="1:4" x14ac:dyDescent="0.3">
      <c r="A4700" s="141" t="s">
        <v>7880</v>
      </c>
      <c r="B4700" s="141">
        <v>511333</v>
      </c>
      <c r="C4700" s="141" t="s">
        <v>7881</v>
      </c>
      <c r="D4700" s="141" t="s">
        <v>1112</v>
      </c>
    </row>
    <row r="4701" spans="1:4" x14ac:dyDescent="0.3">
      <c r="A4701" s="141" t="s">
        <v>7882</v>
      </c>
      <c r="B4701" s="141">
        <v>534976</v>
      </c>
      <c r="C4701" s="141" t="s">
        <v>7883</v>
      </c>
      <c r="D4701" s="141" t="s">
        <v>1298</v>
      </c>
    </row>
    <row r="4702" spans="1:4" x14ac:dyDescent="0.3">
      <c r="A4702" s="141" t="s">
        <v>7884</v>
      </c>
      <c r="B4702" s="141">
        <v>533427</v>
      </c>
      <c r="C4702" s="141" t="s">
        <v>1129</v>
      </c>
      <c r="D4702" s="141" t="s">
        <v>1265</v>
      </c>
    </row>
    <row r="4703" spans="1:4" x14ac:dyDescent="0.3">
      <c r="A4703" s="141" t="s">
        <v>7885</v>
      </c>
      <c r="B4703" s="141">
        <v>539222</v>
      </c>
      <c r="C4703" s="141" t="s">
        <v>1129</v>
      </c>
      <c r="D4703" s="141" t="s">
        <v>2132</v>
      </c>
    </row>
    <row r="4704" spans="1:4" x14ac:dyDescent="0.3">
      <c r="A4704" s="141" t="s">
        <v>7886</v>
      </c>
      <c r="B4704" s="141">
        <v>532822</v>
      </c>
      <c r="C4704" s="141" t="s">
        <v>7887</v>
      </c>
      <c r="D4704" s="141" t="s">
        <v>2073</v>
      </c>
    </row>
    <row r="4705" spans="1:4" x14ac:dyDescent="0.3">
      <c r="A4705" s="141" t="s">
        <v>7888</v>
      </c>
      <c r="B4705" s="141">
        <v>522122</v>
      </c>
      <c r="C4705" s="141" t="s">
        <v>1129</v>
      </c>
      <c r="D4705" s="141" t="s">
        <v>1144</v>
      </c>
    </row>
    <row r="4706" spans="1:4" x14ac:dyDescent="0.3">
      <c r="A4706" s="141" t="s">
        <v>7889</v>
      </c>
      <c r="B4706" s="141">
        <v>522122</v>
      </c>
      <c r="C4706" s="141" t="s">
        <v>1129</v>
      </c>
      <c r="D4706" s="141" t="s">
        <v>1144</v>
      </c>
    </row>
    <row r="4707" spans="1:4" x14ac:dyDescent="0.3">
      <c r="A4707" s="141" t="s">
        <v>7890</v>
      </c>
      <c r="B4707" s="141">
        <v>509038</v>
      </c>
      <c r="C4707" s="141" t="s">
        <v>1129</v>
      </c>
      <c r="D4707" s="141" t="s">
        <v>1146</v>
      </c>
    </row>
    <row r="4708" spans="1:4" x14ac:dyDescent="0.3">
      <c r="A4708" s="141" t="s">
        <v>7891</v>
      </c>
      <c r="B4708" s="141">
        <v>532757</v>
      </c>
      <c r="C4708" s="141" t="s">
        <v>7892</v>
      </c>
      <c r="D4708" s="141" t="s">
        <v>1172</v>
      </c>
    </row>
    <row r="4709" spans="1:4" x14ac:dyDescent="0.3">
      <c r="A4709" s="141" t="s">
        <v>7893</v>
      </c>
      <c r="B4709" s="141">
        <v>500575</v>
      </c>
      <c r="C4709" s="141" t="s">
        <v>7894</v>
      </c>
      <c r="D4709" s="141" t="s">
        <v>1498</v>
      </c>
    </row>
    <row r="4710" spans="1:4" x14ac:dyDescent="0.3">
      <c r="A4710" s="141" t="s">
        <v>7895</v>
      </c>
      <c r="B4710" s="141">
        <v>512215</v>
      </c>
      <c r="C4710" s="141" t="s">
        <v>1129</v>
      </c>
      <c r="D4710" s="141" t="s">
        <v>1112</v>
      </c>
    </row>
    <row r="4711" spans="1:4" x14ac:dyDescent="0.3">
      <c r="A4711" s="141" t="s">
        <v>7896</v>
      </c>
      <c r="B4711" s="141">
        <v>539118</v>
      </c>
      <c r="C4711" s="141" t="s">
        <v>7897</v>
      </c>
      <c r="D4711" s="141" t="s">
        <v>1450</v>
      </c>
    </row>
    <row r="4712" spans="1:4" x14ac:dyDescent="0.3">
      <c r="A4712" s="141" t="s">
        <v>7898</v>
      </c>
      <c r="B4712" s="141">
        <v>519331</v>
      </c>
      <c r="C4712" s="141" t="s">
        <v>1129</v>
      </c>
      <c r="D4712" s="141" t="s">
        <v>1527</v>
      </c>
    </row>
    <row r="4713" spans="1:4" x14ac:dyDescent="0.3">
      <c r="A4713" s="141" t="s">
        <v>7899</v>
      </c>
      <c r="B4713" s="141">
        <v>509966</v>
      </c>
      <c r="C4713" s="141" t="s">
        <v>7900</v>
      </c>
      <c r="D4713" s="141" t="s">
        <v>3300</v>
      </c>
    </row>
    <row r="4714" spans="1:4" x14ac:dyDescent="0.3">
      <c r="A4714" s="141" t="s">
        <v>7901</v>
      </c>
      <c r="B4714" s="141">
        <v>532893</v>
      </c>
      <c r="C4714" s="141" t="s">
        <v>1129</v>
      </c>
      <c r="D4714" s="141" t="s">
        <v>1144</v>
      </c>
    </row>
    <row r="4715" spans="1:4" x14ac:dyDescent="0.3">
      <c r="A4715" s="141" t="s">
        <v>7902</v>
      </c>
      <c r="B4715" s="141">
        <v>517399</v>
      </c>
      <c r="C4715" s="141" t="s">
        <v>7903</v>
      </c>
      <c r="D4715" s="141" t="s">
        <v>1498</v>
      </c>
    </row>
    <row r="4716" spans="1:4" x14ac:dyDescent="0.3">
      <c r="A4716" s="141" t="s">
        <v>7904</v>
      </c>
      <c r="B4716" s="141">
        <v>506142</v>
      </c>
      <c r="C4716" s="141" t="s">
        <v>1129</v>
      </c>
      <c r="D4716" s="141" t="s">
        <v>1112</v>
      </c>
    </row>
    <row r="4717" spans="1:4" x14ac:dyDescent="0.3">
      <c r="A4717" s="141" t="s">
        <v>7905</v>
      </c>
      <c r="B4717" s="141">
        <v>501391</v>
      </c>
      <c r="C4717" s="141" t="s">
        <v>1129</v>
      </c>
      <c r="D4717" s="141" t="s">
        <v>1151</v>
      </c>
    </row>
    <row r="4718" spans="1:4" x14ac:dyDescent="0.3">
      <c r="A4718" s="141" t="s">
        <v>7906</v>
      </c>
      <c r="B4718" s="141">
        <v>504220</v>
      </c>
      <c r="C4718" s="141" t="s">
        <v>1129</v>
      </c>
      <c r="D4718" s="141" t="s">
        <v>1137</v>
      </c>
    </row>
    <row r="4719" spans="1:4" x14ac:dyDescent="0.3">
      <c r="A4719" s="141" t="s">
        <v>7907</v>
      </c>
      <c r="B4719" s="141" t="s">
        <v>1129</v>
      </c>
      <c r="C4719" s="141" t="s">
        <v>7908</v>
      </c>
      <c r="D4719" s="141" t="s">
        <v>1220</v>
      </c>
    </row>
    <row r="4720" spans="1:4" x14ac:dyDescent="0.3">
      <c r="A4720" s="141" t="s">
        <v>7909</v>
      </c>
      <c r="B4720" s="141">
        <v>504220</v>
      </c>
      <c r="C4720" s="141" t="s">
        <v>1129</v>
      </c>
      <c r="D4720" s="141" t="s">
        <v>1137</v>
      </c>
    </row>
    <row r="4721" spans="1:4" x14ac:dyDescent="0.3">
      <c r="A4721" s="141" t="s">
        <v>7910</v>
      </c>
      <c r="B4721" s="141">
        <v>505583</v>
      </c>
      <c r="C4721" s="141" t="s">
        <v>1129</v>
      </c>
      <c r="D4721" s="141" t="s">
        <v>1215</v>
      </c>
    </row>
    <row r="4722" spans="1:4" x14ac:dyDescent="0.3">
      <c r="A4722" s="141" t="s">
        <v>7911</v>
      </c>
      <c r="B4722" s="141">
        <v>541445</v>
      </c>
      <c r="C4722" s="141" t="s">
        <v>1129</v>
      </c>
      <c r="D4722" s="141" t="s">
        <v>1427</v>
      </c>
    </row>
    <row r="4723" spans="1:4" x14ac:dyDescent="0.3">
      <c r="A4723" s="141" t="s">
        <v>7912</v>
      </c>
      <c r="B4723" s="141">
        <v>533023</v>
      </c>
      <c r="C4723" s="141" t="s">
        <v>7913</v>
      </c>
      <c r="D4723" s="141" t="s">
        <v>1484</v>
      </c>
    </row>
    <row r="4724" spans="1:4" x14ac:dyDescent="0.3">
      <c r="A4724" s="141" t="s">
        <v>7914</v>
      </c>
      <c r="B4724" s="141">
        <v>533023</v>
      </c>
      <c r="C4724" s="141" t="s">
        <v>7915</v>
      </c>
      <c r="D4724" s="141" t="s">
        <v>1484</v>
      </c>
    </row>
    <row r="4725" spans="1:4" x14ac:dyDescent="0.3">
      <c r="A4725" s="141" t="s">
        <v>7916</v>
      </c>
      <c r="B4725" s="141">
        <v>503675</v>
      </c>
      <c r="C4725" s="141" t="s">
        <v>1129</v>
      </c>
      <c r="D4725" s="141" t="s">
        <v>1550</v>
      </c>
    </row>
    <row r="4726" spans="1:4" x14ac:dyDescent="0.3">
      <c r="A4726" s="141" t="s">
        <v>7917</v>
      </c>
      <c r="B4726" s="141">
        <v>501370</v>
      </c>
      <c r="C4726" s="141" t="s">
        <v>1129</v>
      </c>
      <c r="D4726" s="141" t="s">
        <v>1213</v>
      </c>
    </row>
    <row r="4727" spans="1:4" x14ac:dyDescent="0.3">
      <c r="A4727" s="141" t="s">
        <v>7918</v>
      </c>
      <c r="B4727" s="141">
        <v>507410</v>
      </c>
      <c r="C4727" s="141" t="s">
        <v>7919</v>
      </c>
      <c r="D4727" s="141" t="s">
        <v>1118</v>
      </c>
    </row>
    <row r="4728" spans="1:4" x14ac:dyDescent="0.3">
      <c r="A4728" s="141" t="s">
        <v>7920</v>
      </c>
      <c r="B4728" s="141">
        <v>511147</v>
      </c>
      <c r="C4728" s="141" t="s">
        <v>1129</v>
      </c>
      <c r="D4728" s="141" t="s">
        <v>1146</v>
      </c>
    </row>
    <row r="4729" spans="1:4" x14ac:dyDescent="0.3">
      <c r="A4729" s="141" t="s">
        <v>7921</v>
      </c>
      <c r="B4729" s="141">
        <v>532053</v>
      </c>
      <c r="C4729" s="141" t="s">
        <v>1129</v>
      </c>
      <c r="D4729" s="141" t="s">
        <v>1112</v>
      </c>
    </row>
    <row r="4730" spans="1:4" x14ac:dyDescent="0.3">
      <c r="A4730" s="141" t="s">
        <v>7922</v>
      </c>
      <c r="B4730" s="141">
        <v>524212</v>
      </c>
      <c r="C4730" s="141" t="s">
        <v>7923</v>
      </c>
      <c r="D4730" s="141" t="s">
        <v>1167</v>
      </c>
    </row>
    <row r="4731" spans="1:4" x14ac:dyDescent="0.3">
      <c r="A4731" s="141" t="s">
        <v>7924</v>
      </c>
      <c r="B4731" s="141">
        <v>511690</v>
      </c>
      <c r="C4731" s="141" t="s">
        <v>1129</v>
      </c>
      <c r="D4731" s="141" t="s">
        <v>1146</v>
      </c>
    </row>
    <row r="4732" spans="1:4" x14ac:dyDescent="0.3">
      <c r="A4732" s="141" t="s">
        <v>7925</v>
      </c>
      <c r="B4732" s="141">
        <v>508494</v>
      </c>
      <c r="C4732" s="141" t="s">
        <v>1129</v>
      </c>
      <c r="D4732" s="141" t="s">
        <v>1536</v>
      </c>
    </row>
    <row r="4733" spans="1:4" x14ac:dyDescent="0.3">
      <c r="A4733" s="141" t="s">
        <v>7926</v>
      </c>
      <c r="B4733" s="141">
        <v>523660</v>
      </c>
      <c r="C4733" s="141" t="s">
        <v>1129</v>
      </c>
      <c r="D4733" s="141" t="s">
        <v>1209</v>
      </c>
    </row>
    <row r="4734" spans="1:4" x14ac:dyDescent="0.3">
      <c r="A4734" s="141" t="s">
        <v>7927</v>
      </c>
      <c r="B4734" s="141" t="s">
        <v>1129</v>
      </c>
      <c r="C4734" s="141" t="s">
        <v>7928</v>
      </c>
      <c r="D4734" s="141" t="s">
        <v>1140</v>
      </c>
    </row>
    <row r="4735" spans="1:4" x14ac:dyDescent="0.3">
      <c r="A4735" s="141" t="s">
        <v>7929</v>
      </c>
      <c r="B4735" s="141">
        <v>780016</v>
      </c>
      <c r="C4735" s="141" t="s">
        <v>1129</v>
      </c>
      <c r="D4735" s="141" t="s">
        <v>1220</v>
      </c>
    </row>
    <row r="4736" spans="1:4" x14ac:dyDescent="0.3">
      <c r="A4736" s="141" t="s">
        <v>7930</v>
      </c>
      <c r="B4736" s="141">
        <v>517498</v>
      </c>
      <c r="C4736" s="141" t="s">
        <v>7931</v>
      </c>
      <c r="D4736" s="141" t="s">
        <v>1427</v>
      </c>
    </row>
    <row r="4737" spans="1:4" x14ac:dyDescent="0.3">
      <c r="A4737" s="141" t="s">
        <v>7932</v>
      </c>
      <c r="B4737" s="141">
        <v>511074</v>
      </c>
      <c r="C4737" s="141" t="s">
        <v>1129</v>
      </c>
      <c r="D4737" s="141" t="s">
        <v>1146</v>
      </c>
    </row>
    <row r="4738" spans="1:4" x14ac:dyDescent="0.3">
      <c r="A4738" s="141" t="s">
        <v>7933</v>
      </c>
      <c r="B4738" s="141">
        <v>533452</v>
      </c>
      <c r="C4738" s="141" t="s">
        <v>7934</v>
      </c>
      <c r="D4738" s="141" t="s">
        <v>1112</v>
      </c>
    </row>
    <row r="4739" spans="1:4" x14ac:dyDescent="0.3">
      <c r="A4739" s="141" t="s">
        <v>7935</v>
      </c>
      <c r="B4739" s="141">
        <v>523011</v>
      </c>
      <c r="C4739" s="141" t="s">
        <v>7936</v>
      </c>
      <c r="D4739" s="141" t="s">
        <v>1151</v>
      </c>
    </row>
    <row r="4740" spans="1:4" x14ac:dyDescent="0.3">
      <c r="A4740" s="141" t="s">
        <v>7937</v>
      </c>
      <c r="B4740" s="141">
        <v>504988</v>
      </c>
      <c r="C4740" s="141" t="s">
        <v>1129</v>
      </c>
      <c r="D4740" s="141" t="s">
        <v>2049</v>
      </c>
    </row>
    <row r="4741" spans="1:4" x14ac:dyDescent="0.3">
      <c r="A4741" s="141" t="s">
        <v>7938</v>
      </c>
      <c r="B4741" s="141">
        <v>524661</v>
      </c>
      <c r="C4741" s="141" t="s">
        <v>1129</v>
      </c>
      <c r="D4741" s="141" t="s">
        <v>1167</v>
      </c>
    </row>
    <row r="4742" spans="1:4" x14ac:dyDescent="0.3">
      <c r="A4742" s="141" t="s">
        <v>7939</v>
      </c>
      <c r="B4742" s="141">
        <v>532016</v>
      </c>
      <c r="C4742" s="141" t="s">
        <v>1129</v>
      </c>
      <c r="D4742" s="141" t="s">
        <v>1215</v>
      </c>
    </row>
    <row r="4743" spans="1:4" x14ac:dyDescent="0.3">
      <c r="A4743" s="141" t="s">
        <v>7940</v>
      </c>
      <c r="B4743" s="141">
        <v>531211</v>
      </c>
      <c r="C4743" s="141" t="s">
        <v>1129</v>
      </c>
      <c r="D4743" s="141" t="s">
        <v>1112</v>
      </c>
    </row>
    <row r="4744" spans="1:4" x14ac:dyDescent="0.3">
      <c r="A4744" s="141" t="s">
        <v>7941</v>
      </c>
      <c r="B4744" s="141">
        <v>514162</v>
      </c>
      <c r="C4744" s="141" t="s">
        <v>7942</v>
      </c>
      <c r="D4744" s="141" t="s">
        <v>1144</v>
      </c>
    </row>
    <row r="4745" spans="1:4" x14ac:dyDescent="0.3">
      <c r="A4745" s="141" t="s">
        <v>7943</v>
      </c>
      <c r="B4745" s="141">
        <v>532144</v>
      </c>
      <c r="C4745" s="141" t="s">
        <v>7944</v>
      </c>
      <c r="D4745" s="141" t="s">
        <v>1527</v>
      </c>
    </row>
    <row r="4746" spans="1:4" x14ac:dyDescent="0.3">
      <c r="A4746" s="141" t="s">
        <v>7945</v>
      </c>
      <c r="B4746" s="141">
        <v>532553</v>
      </c>
      <c r="C4746" s="141" t="s">
        <v>7946</v>
      </c>
      <c r="D4746" s="141" t="s">
        <v>1527</v>
      </c>
    </row>
    <row r="4747" spans="1:4" x14ac:dyDescent="0.3">
      <c r="A4747" s="141" t="s">
        <v>7947</v>
      </c>
      <c r="B4747" s="141">
        <v>514162</v>
      </c>
      <c r="C4747" s="141" t="s">
        <v>7942</v>
      </c>
      <c r="D4747" s="141" t="s">
        <v>1144</v>
      </c>
    </row>
    <row r="4748" spans="1:4" x14ac:dyDescent="0.3">
      <c r="A4748" s="141" t="s">
        <v>7948</v>
      </c>
      <c r="B4748" s="141">
        <v>533252</v>
      </c>
      <c r="C4748" s="141" t="s">
        <v>7949</v>
      </c>
      <c r="D4748" s="141" t="s">
        <v>1112</v>
      </c>
    </row>
    <row r="4749" spans="1:4" x14ac:dyDescent="0.3">
      <c r="A4749" s="141" t="s">
        <v>7950</v>
      </c>
      <c r="B4749" s="141">
        <v>526431</v>
      </c>
      <c r="C4749" s="141" t="s">
        <v>1129</v>
      </c>
      <c r="D4749" s="141" t="s">
        <v>1555</v>
      </c>
    </row>
    <row r="4750" spans="1:4" x14ac:dyDescent="0.3">
      <c r="A4750" s="141" t="s">
        <v>7951</v>
      </c>
      <c r="B4750" s="141">
        <v>505412</v>
      </c>
      <c r="C4750" s="141" t="s">
        <v>7952</v>
      </c>
      <c r="D4750" s="141" t="s">
        <v>1137</v>
      </c>
    </row>
    <row r="4751" spans="1:4" x14ac:dyDescent="0.3">
      <c r="A4751" s="141" t="s">
        <v>7953</v>
      </c>
      <c r="B4751" s="141">
        <v>505412</v>
      </c>
      <c r="C4751" s="141" t="s">
        <v>7952</v>
      </c>
      <c r="D4751" s="141" t="s">
        <v>1137</v>
      </c>
    </row>
    <row r="4752" spans="1:4" x14ac:dyDescent="0.3">
      <c r="A4752" s="141" t="s">
        <v>7954</v>
      </c>
      <c r="B4752" s="141">
        <v>532373</v>
      </c>
      <c r="C4752" s="141" t="s">
        <v>1129</v>
      </c>
      <c r="D4752" s="141" t="s">
        <v>1151</v>
      </c>
    </row>
    <row r="4753" spans="1:4" x14ac:dyDescent="0.3">
      <c r="A4753" s="141" t="s">
        <v>7955</v>
      </c>
      <c r="B4753" s="141">
        <v>500444</v>
      </c>
      <c r="C4753" s="141" t="s">
        <v>7956</v>
      </c>
      <c r="D4753" s="141" t="s">
        <v>1123</v>
      </c>
    </row>
    <row r="4754" spans="1:4" x14ac:dyDescent="0.3">
      <c r="A4754" s="141" t="s">
        <v>7957</v>
      </c>
      <c r="B4754" s="141">
        <v>538382</v>
      </c>
      <c r="C4754" s="141" t="s">
        <v>1129</v>
      </c>
      <c r="D4754" s="141" t="s">
        <v>1151</v>
      </c>
    </row>
    <row r="4755" spans="1:4" x14ac:dyDescent="0.3">
      <c r="A4755" s="141" t="s">
        <v>7958</v>
      </c>
      <c r="B4755" s="141">
        <v>504998</v>
      </c>
      <c r="C4755" s="141" t="s">
        <v>1129</v>
      </c>
      <c r="D4755" s="141" t="s">
        <v>1161</v>
      </c>
    </row>
    <row r="4756" spans="1:4" x14ac:dyDescent="0.3">
      <c r="A4756" s="141" t="s">
        <v>7959</v>
      </c>
      <c r="B4756" s="141">
        <v>505533</v>
      </c>
      <c r="C4756" s="141" t="s">
        <v>1129</v>
      </c>
      <c r="D4756" s="141" t="s">
        <v>1618</v>
      </c>
    </row>
    <row r="4757" spans="1:4" x14ac:dyDescent="0.3">
      <c r="A4757" s="141" t="s">
        <v>7960</v>
      </c>
      <c r="B4757" s="141">
        <v>590073</v>
      </c>
      <c r="C4757" s="141" t="s">
        <v>7961</v>
      </c>
      <c r="D4757" s="141" t="s">
        <v>1484</v>
      </c>
    </row>
    <row r="4758" spans="1:4" x14ac:dyDescent="0.3">
      <c r="A4758" s="141" t="s">
        <v>7962</v>
      </c>
      <c r="B4758" s="141">
        <v>590073</v>
      </c>
      <c r="C4758" s="141" t="s">
        <v>7961</v>
      </c>
      <c r="D4758" s="141" t="s">
        <v>1484</v>
      </c>
    </row>
    <row r="4759" spans="1:4" x14ac:dyDescent="0.3">
      <c r="A4759" s="141" t="s">
        <v>7963</v>
      </c>
      <c r="B4759" s="141">
        <v>500238</v>
      </c>
      <c r="C4759" s="141" t="s">
        <v>7964</v>
      </c>
      <c r="D4759" s="141" t="s">
        <v>1498</v>
      </c>
    </row>
    <row r="4760" spans="1:4" x14ac:dyDescent="0.3">
      <c r="A4760" s="141" t="s">
        <v>7965</v>
      </c>
      <c r="B4760" s="141">
        <v>500238</v>
      </c>
      <c r="C4760" s="141" t="s">
        <v>7964</v>
      </c>
      <c r="D4760" s="141" t="s">
        <v>1498</v>
      </c>
    </row>
    <row r="4761" spans="1:4" x14ac:dyDescent="0.3">
      <c r="A4761" s="141" t="s">
        <v>7966</v>
      </c>
      <c r="B4761" s="141">
        <v>513713</v>
      </c>
      <c r="C4761" s="141" t="s">
        <v>1129</v>
      </c>
      <c r="D4761" s="141" t="s">
        <v>1243</v>
      </c>
    </row>
    <row r="4762" spans="1:4" x14ac:dyDescent="0.3">
      <c r="A4762" s="141" t="s">
        <v>7967</v>
      </c>
      <c r="B4762" s="141">
        <v>542667</v>
      </c>
      <c r="C4762" s="141" t="s">
        <v>7968</v>
      </c>
      <c r="D4762" s="141" t="s">
        <v>1495</v>
      </c>
    </row>
    <row r="4763" spans="1:4" x14ac:dyDescent="0.3">
      <c r="A4763" s="141" t="s">
        <v>7969</v>
      </c>
      <c r="B4763" s="141">
        <v>519214</v>
      </c>
      <c r="C4763" s="141" t="s">
        <v>1129</v>
      </c>
      <c r="D4763" s="141" t="s">
        <v>1146</v>
      </c>
    </row>
    <row r="4764" spans="1:4" x14ac:dyDescent="0.3">
      <c r="A4764" s="141" t="s">
        <v>7970</v>
      </c>
      <c r="B4764" s="141">
        <v>519224</v>
      </c>
      <c r="C4764" s="141" t="s">
        <v>7971</v>
      </c>
      <c r="D4764" s="141" t="s">
        <v>1151</v>
      </c>
    </row>
    <row r="4765" spans="1:4" x14ac:dyDescent="0.3">
      <c r="A4765" s="141" t="s">
        <v>7972</v>
      </c>
      <c r="B4765" s="141">
        <v>526586</v>
      </c>
      <c r="C4765" s="141" t="s">
        <v>1129</v>
      </c>
      <c r="D4765" s="141" t="s">
        <v>1249</v>
      </c>
    </row>
    <row r="4766" spans="1:4" x14ac:dyDescent="0.3">
      <c r="A4766" s="141" t="s">
        <v>7973</v>
      </c>
      <c r="B4766" s="141">
        <v>522029</v>
      </c>
      <c r="C4766" s="141" t="s">
        <v>7974</v>
      </c>
      <c r="D4766" s="141" t="s">
        <v>1137</v>
      </c>
    </row>
    <row r="4767" spans="1:4" x14ac:dyDescent="0.3">
      <c r="A4767" s="141" t="s">
        <v>7975</v>
      </c>
      <c r="B4767" s="141">
        <v>512022</v>
      </c>
      <c r="C4767" s="141" t="s">
        <v>1129</v>
      </c>
      <c r="D4767" s="141" t="s">
        <v>1112</v>
      </c>
    </row>
    <row r="4768" spans="1:4" x14ac:dyDescent="0.3">
      <c r="A4768" s="141" t="s">
        <v>7976</v>
      </c>
      <c r="B4768" s="141">
        <v>512022</v>
      </c>
      <c r="C4768" s="141" t="s">
        <v>1129</v>
      </c>
      <c r="D4768" s="141" t="s">
        <v>1112</v>
      </c>
    </row>
    <row r="4769" spans="1:4" x14ac:dyDescent="0.3">
      <c r="A4769" s="141" t="s">
        <v>7977</v>
      </c>
      <c r="B4769" s="141">
        <v>526471</v>
      </c>
      <c r="C4769" s="141" t="s">
        <v>1129</v>
      </c>
      <c r="D4769" s="141" t="s">
        <v>1761</v>
      </c>
    </row>
    <row r="4770" spans="1:4" x14ac:dyDescent="0.3">
      <c r="A4770" s="141" t="s">
        <v>7978</v>
      </c>
      <c r="B4770" s="141">
        <v>514470</v>
      </c>
      <c r="C4770" s="141" t="s">
        <v>1129</v>
      </c>
      <c r="D4770" s="141" t="s">
        <v>1144</v>
      </c>
    </row>
    <row r="4771" spans="1:4" x14ac:dyDescent="0.3">
      <c r="A4771" s="141" t="s">
        <v>7979</v>
      </c>
      <c r="B4771" s="141">
        <v>514348</v>
      </c>
      <c r="C4771" s="141" t="s">
        <v>7980</v>
      </c>
      <c r="D4771" s="141" t="s">
        <v>1144</v>
      </c>
    </row>
    <row r="4772" spans="1:4" x14ac:dyDescent="0.3">
      <c r="A4772" s="141" t="s">
        <v>7981</v>
      </c>
      <c r="B4772" s="141">
        <v>524758</v>
      </c>
      <c r="C4772" s="141" t="s">
        <v>1129</v>
      </c>
      <c r="D4772" s="141" t="s">
        <v>1167</v>
      </c>
    </row>
    <row r="4773" spans="1:4" x14ac:dyDescent="0.3">
      <c r="A4773" s="141" t="s">
        <v>7982</v>
      </c>
      <c r="B4773" s="141">
        <v>538873</v>
      </c>
      <c r="C4773" s="141" t="s">
        <v>1129</v>
      </c>
      <c r="D4773" s="141" t="s">
        <v>1146</v>
      </c>
    </row>
    <row r="4774" spans="1:4" x14ac:dyDescent="0.3">
      <c r="A4774" s="141" t="s">
        <v>7983</v>
      </c>
      <c r="B4774" s="141">
        <v>507685</v>
      </c>
      <c r="C4774" s="141" t="s">
        <v>7984</v>
      </c>
      <c r="D4774" s="141" t="s">
        <v>1115</v>
      </c>
    </row>
    <row r="4775" spans="1:4" x14ac:dyDescent="0.3">
      <c r="A4775" s="141" t="s">
        <v>7985</v>
      </c>
      <c r="B4775" s="141">
        <v>507817</v>
      </c>
      <c r="C4775" s="141" t="s">
        <v>1129</v>
      </c>
      <c r="D4775" s="141" t="s">
        <v>1144</v>
      </c>
    </row>
    <row r="4776" spans="1:4" x14ac:dyDescent="0.3">
      <c r="A4776" s="141" t="s">
        <v>7986</v>
      </c>
      <c r="B4776" s="141">
        <v>511642</v>
      </c>
      <c r="C4776" s="141" t="s">
        <v>1129</v>
      </c>
      <c r="D4776" s="141" t="s">
        <v>1146</v>
      </c>
    </row>
    <row r="4777" spans="1:4" x14ac:dyDescent="0.3">
      <c r="A4777" s="141" t="s">
        <v>7987</v>
      </c>
      <c r="B4777" s="141">
        <v>532300</v>
      </c>
      <c r="C4777" s="141" t="s">
        <v>7988</v>
      </c>
      <c r="D4777" s="141" t="s">
        <v>1167</v>
      </c>
    </row>
    <row r="4778" spans="1:4" x14ac:dyDescent="0.3">
      <c r="A4778" s="141" t="s">
        <v>7989</v>
      </c>
      <c r="B4778" s="141">
        <v>531396</v>
      </c>
      <c r="C4778" s="141" t="s">
        <v>1129</v>
      </c>
      <c r="D4778" s="141" t="s">
        <v>1222</v>
      </c>
    </row>
    <row r="4779" spans="1:4" x14ac:dyDescent="0.3">
      <c r="A4779" s="141" t="s">
        <v>7990</v>
      </c>
      <c r="B4779" s="141">
        <v>538128</v>
      </c>
      <c r="C4779" s="141" t="s">
        <v>1129</v>
      </c>
      <c r="D4779" s="141" t="s">
        <v>1243</v>
      </c>
    </row>
    <row r="4780" spans="1:4" x14ac:dyDescent="0.3">
      <c r="A4780" s="141" t="s">
        <v>7991</v>
      </c>
      <c r="B4780" s="141">
        <v>538268</v>
      </c>
      <c r="C4780" s="141" t="s">
        <v>7992</v>
      </c>
      <c r="D4780" s="141" t="s">
        <v>1307</v>
      </c>
    </row>
    <row r="4781" spans="1:4" x14ac:dyDescent="0.3">
      <c r="A4781" s="141" t="s">
        <v>7993</v>
      </c>
      <c r="B4781" s="141">
        <v>526959</v>
      </c>
      <c r="C4781" s="141" t="s">
        <v>1129</v>
      </c>
      <c r="D4781" s="141" t="s">
        <v>1330</v>
      </c>
    </row>
    <row r="4782" spans="1:4" x14ac:dyDescent="0.3">
      <c r="A4782" s="141" t="s">
        <v>7994</v>
      </c>
      <c r="B4782" s="141">
        <v>526525</v>
      </c>
      <c r="C4782" s="141" t="s">
        <v>1129</v>
      </c>
      <c r="D4782" s="141" t="s">
        <v>1243</v>
      </c>
    </row>
    <row r="4783" spans="1:4" x14ac:dyDescent="0.3">
      <c r="A4783" s="141" t="s">
        <v>7995</v>
      </c>
      <c r="B4783" s="141">
        <v>538451</v>
      </c>
      <c r="C4783" s="141" t="s">
        <v>1129</v>
      </c>
      <c r="D4783" s="141" t="s">
        <v>1149</v>
      </c>
    </row>
    <row r="4784" spans="1:4" x14ac:dyDescent="0.3">
      <c r="A4784" s="141" t="s">
        <v>7996</v>
      </c>
      <c r="B4784" s="141" t="s">
        <v>1129</v>
      </c>
      <c r="C4784" s="141" t="s">
        <v>7997</v>
      </c>
      <c r="D4784" s="141" t="s">
        <v>1140</v>
      </c>
    </row>
    <row r="4785" spans="1:4" x14ac:dyDescent="0.3">
      <c r="A4785" s="141" t="s">
        <v>7998</v>
      </c>
      <c r="B4785" s="141">
        <v>505872</v>
      </c>
      <c r="C4785" s="141" t="s">
        <v>1129</v>
      </c>
      <c r="D4785" s="141" t="s">
        <v>1137</v>
      </c>
    </row>
    <row r="4786" spans="1:4" x14ac:dyDescent="0.3">
      <c r="A4786" s="141" t="s">
        <v>7999</v>
      </c>
      <c r="B4786" s="141">
        <v>532616</v>
      </c>
      <c r="C4786" s="141" t="s">
        <v>8000</v>
      </c>
      <c r="D4786" s="141" t="s">
        <v>1459</v>
      </c>
    </row>
    <row r="4787" spans="1:4" x14ac:dyDescent="0.3">
      <c r="A4787" s="141" t="s">
        <v>8001</v>
      </c>
      <c r="B4787" s="141">
        <v>542367</v>
      </c>
      <c r="C4787" s="141" t="s">
        <v>8002</v>
      </c>
      <c r="D4787" s="141" t="s">
        <v>6253</v>
      </c>
    </row>
    <row r="4788" spans="1:4" x14ac:dyDescent="0.3">
      <c r="A4788" s="141" t="s">
        <v>8003</v>
      </c>
      <c r="B4788" s="141">
        <v>532788</v>
      </c>
      <c r="C4788" s="141" t="s">
        <v>8004</v>
      </c>
      <c r="D4788" s="141" t="s">
        <v>1275</v>
      </c>
    </row>
    <row r="4789" spans="1:4" x14ac:dyDescent="0.3">
      <c r="A4789" s="141" t="s">
        <v>8005</v>
      </c>
      <c r="B4789" s="141">
        <v>590013</v>
      </c>
      <c r="C4789" s="141" t="s">
        <v>8006</v>
      </c>
      <c r="D4789" s="141" t="s">
        <v>1177</v>
      </c>
    </row>
    <row r="4790" spans="1:4" x14ac:dyDescent="0.3">
      <c r="A4790" s="141" t="s">
        <v>8007</v>
      </c>
      <c r="B4790" s="141">
        <v>590013</v>
      </c>
      <c r="C4790" s="141" t="s">
        <v>8008</v>
      </c>
      <c r="D4790" s="141" t="s">
        <v>1177</v>
      </c>
    </row>
    <row r="4791" spans="1:4" x14ac:dyDescent="0.3">
      <c r="A4791" s="141" t="s">
        <v>8009</v>
      </c>
      <c r="B4791" s="141">
        <v>511012</v>
      </c>
      <c r="C4791" s="141" t="s">
        <v>1129</v>
      </c>
      <c r="D4791" s="141" t="s">
        <v>1149</v>
      </c>
    </row>
    <row r="4792" spans="1:4" x14ac:dyDescent="0.3">
      <c r="A4792" s="141" t="s">
        <v>8010</v>
      </c>
      <c r="B4792" s="141">
        <v>514378</v>
      </c>
      <c r="C4792" s="141" t="s">
        <v>1129</v>
      </c>
      <c r="D4792" s="141" t="s">
        <v>1151</v>
      </c>
    </row>
    <row r="4793" spans="1:4" x14ac:dyDescent="0.3">
      <c r="A4793" s="141" t="s">
        <v>8011</v>
      </c>
      <c r="B4793" s="141">
        <v>539939</v>
      </c>
      <c r="C4793" s="141" t="s">
        <v>1129</v>
      </c>
      <c r="D4793" s="141" t="s">
        <v>1289</v>
      </c>
    </row>
    <row r="4794" spans="1:4" x14ac:dyDescent="0.3">
      <c r="A4794" s="141" t="s">
        <v>8012</v>
      </c>
      <c r="B4794" s="141">
        <v>511601</v>
      </c>
      <c r="C4794" s="141" t="s">
        <v>1129</v>
      </c>
      <c r="D4794" s="141" t="s">
        <v>1151</v>
      </c>
    </row>
    <row r="4795" spans="1:4" x14ac:dyDescent="0.3">
      <c r="A4795" s="141" t="s">
        <v>8013</v>
      </c>
      <c r="B4795" s="141">
        <v>516030</v>
      </c>
      <c r="C4795" s="141" t="s">
        <v>1129</v>
      </c>
      <c r="D4795" s="141" t="s">
        <v>1123</v>
      </c>
    </row>
    <row r="4796" spans="1:4" x14ac:dyDescent="0.3">
      <c r="A4796" s="141" t="s">
        <v>8014</v>
      </c>
      <c r="B4796" s="141">
        <v>541167</v>
      </c>
      <c r="C4796" s="141" t="s">
        <v>1129</v>
      </c>
      <c r="D4796" s="141" t="s">
        <v>1289</v>
      </c>
    </row>
    <row r="4797" spans="1:4" x14ac:dyDescent="0.3">
      <c r="A4797" s="141" t="s">
        <v>8015</v>
      </c>
      <c r="B4797" s="141">
        <v>530063</v>
      </c>
      <c r="C4797" s="141" t="s">
        <v>1129</v>
      </c>
      <c r="D4797" s="141" t="s">
        <v>1324</v>
      </c>
    </row>
    <row r="4798" spans="1:4" x14ac:dyDescent="0.3">
      <c r="A4798" s="141" t="s">
        <v>8016</v>
      </c>
      <c r="B4798" s="141">
        <v>532648</v>
      </c>
      <c r="C4798" s="141" t="s">
        <v>8017</v>
      </c>
      <c r="D4798" s="141" t="s">
        <v>1447</v>
      </c>
    </row>
    <row r="4799" spans="1:4" x14ac:dyDescent="0.3">
      <c r="A4799" s="141" t="s">
        <v>8018</v>
      </c>
      <c r="B4799" s="141">
        <v>531260</v>
      </c>
      <c r="C4799" s="141" t="s">
        <v>1129</v>
      </c>
      <c r="D4799" s="141" t="s">
        <v>1189</v>
      </c>
    </row>
    <row r="4800" spans="1:4" x14ac:dyDescent="0.3">
      <c r="A4800" s="141" t="s">
        <v>8019</v>
      </c>
      <c r="B4800" s="141">
        <v>522209</v>
      </c>
      <c r="C4800" s="141" t="s">
        <v>1129</v>
      </c>
      <c r="D4800" s="141" t="s">
        <v>1112</v>
      </c>
    </row>
    <row r="4801" spans="1:4" x14ac:dyDescent="0.3">
      <c r="A4801" s="141" t="s">
        <v>8020</v>
      </c>
      <c r="B4801" s="141">
        <v>522209</v>
      </c>
      <c r="C4801" s="141" t="s">
        <v>1129</v>
      </c>
      <c r="D4801" s="141" t="s">
        <v>1112</v>
      </c>
    </row>
    <row r="4802" spans="1:4" x14ac:dyDescent="0.3">
      <c r="A4802" s="141" t="s">
        <v>8021</v>
      </c>
      <c r="B4802" s="141">
        <v>539097</v>
      </c>
      <c r="C4802" s="141" t="s">
        <v>1129</v>
      </c>
      <c r="D4802" s="141" t="s">
        <v>1151</v>
      </c>
    </row>
    <row r="4803" spans="1:4" x14ac:dyDescent="0.3">
      <c r="A4803" s="141" t="s">
        <v>8022</v>
      </c>
      <c r="B4803" s="141">
        <v>530675</v>
      </c>
      <c r="C4803" s="141" t="s">
        <v>1129</v>
      </c>
      <c r="D4803" s="141" t="s">
        <v>1243</v>
      </c>
    </row>
    <row r="4804" spans="1:4" x14ac:dyDescent="0.3">
      <c r="A4804" s="141" t="s">
        <v>8023</v>
      </c>
      <c r="B4804" s="141">
        <v>540550</v>
      </c>
      <c r="C4804" s="141" t="s">
        <v>1129</v>
      </c>
      <c r="D4804" s="141" t="s">
        <v>1289</v>
      </c>
    </row>
    <row r="4805" spans="1:4" x14ac:dyDescent="0.3">
      <c r="A4805" s="141" t="s">
        <v>8024</v>
      </c>
      <c r="B4805" s="141">
        <v>522108</v>
      </c>
      <c r="C4805" s="141" t="s">
        <v>1129</v>
      </c>
      <c r="D4805" s="141" t="s">
        <v>1484</v>
      </c>
    </row>
    <row r="4806" spans="1:4" x14ac:dyDescent="0.3">
      <c r="A4806" s="141" t="s">
        <v>8025</v>
      </c>
      <c r="B4806" s="141">
        <v>522108</v>
      </c>
      <c r="C4806" s="141" t="s">
        <v>1129</v>
      </c>
      <c r="D4806" s="141" t="s">
        <v>1484</v>
      </c>
    </row>
    <row r="4807" spans="1:4" x14ac:dyDescent="0.3">
      <c r="A4807" s="141" t="s">
        <v>8026</v>
      </c>
      <c r="B4807" s="141">
        <v>536846</v>
      </c>
      <c r="C4807" s="141" t="s">
        <v>1129</v>
      </c>
      <c r="D4807" s="141" t="s">
        <v>1527</v>
      </c>
    </row>
    <row r="4808" spans="1:4" x14ac:dyDescent="0.3">
      <c r="A4808" s="141" t="s">
        <v>8027</v>
      </c>
      <c r="B4808" s="141">
        <v>531663</v>
      </c>
      <c r="C4808" s="141" t="s">
        <v>8028</v>
      </c>
      <c r="D4808" s="141" t="s">
        <v>2948</v>
      </c>
    </row>
    <row r="4809" spans="1:4" x14ac:dyDescent="0.3">
      <c r="A4809" s="141" t="s">
        <v>8029</v>
      </c>
      <c r="B4809" s="141">
        <v>505163</v>
      </c>
      <c r="C4809" s="141" t="s">
        <v>1129</v>
      </c>
      <c r="D4809" s="141" t="s">
        <v>1484</v>
      </c>
    </row>
    <row r="4810" spans="1:4" x14ac:dyDescent="0.3">
      <c r="A4810" s="141" t="s">
        <v>8030</v>
      </c>
      <c r="B4810" s="141">
        <v>505163</v>
      </c>
      <c r="C4810" s="141" t="s">
        <v>1129</v>
      </c>
      <c r="D4810" s="141" t="s">
        <v>1484</v>
      </c>
    </row>
    <row r="4811" spans="1:4" x14ac:dyDescent="0.3">
      <c r="A4811" s="141" t="s">
        <v>8031</v>
      </c>
      <c r="B4811" s="141">
        <v>539963</v>
      </c>
      <c r="C4811" s="141" t="s">
        <v>1129</v>
      </c>
      <c r="D4811" s="141" t="s">
        <v>1209</v>
      </c>
    </row>
    <row r="4812" spans="1:4" x14ac:dyDescent="0.3">
      <c r="A4812" s="141" t="s">
        <v>8032</v>
      </c>
      <c r="B4812" s="141">
        <v>505537</v>
      </c>
      <c r="C4812" s="141" t="s">
        <v>8033</v>
      </c>
      <c r="D4812" s="141" t="s">
        <v>1868</v>
      </c>
    </row>
    <row r="4813" spans="1:4" x14ac:dyDescent="0.3">
      <c r="A4813" s="141" t="s">
        <v>8034</v>
      </c>
      <c r="B4813" s="141">
        <v>533287</v>
      </c>
      <c r="C4813" s="141" t="s">
        <v>8035</v>
      </c>
      <c r="D4813" s="141" t="s">
        <v>1234</v>
      </c>
    </row>
    <row r="4814" spans="1:4" x14ac:dyDescent="0.3">
      <c r="A4814" s="141" t="s">
        <v>8036</v>
      </c>
      <c r="B4814" s="141">
        <v>532794</v>
      </c>
      <c r="C4814" s="141" t="s">
        <v>8037</v>
      </c>
      <c r="D4814" s="141" t="s">
        <v>1868</v>
      </c>
    </row>
    <row r="4815" spans="1:4" x14ac:dyDescent="0.3">
      <c r="A4815" s="141" t="s">
        <v>8038</v>
      </c>
      <c r="B4815" s="141">
        <v>533339</v>
      </c>
      <c r="C4815" s="141" t="s">
        <v>8039</v>
      </c>
      <c r="D4815" s="141" t="s">
        <v>1222</v>
      </c>
    </row>
    <row r="4816" spans="1:4" x14ac:dyDescent="0.3">
      <c r="A4816" s="141" t="s">
        <v>8040</v>
      </c>
      <c r="B4816" s="141">
        <v>531845</v>
      </c>
      <c r="C4816" s="141" t="s">
        <v>8041</v>
      </c>
      <c r="D4816" s="141" t="s">
        <v>1527</v>
      </c>
    </row>
    <row r="4817" spans="1:4" x14ac:dyDescent="0.3">
      <c r="A4817" s="141" t="s">
        <v>8042</v>
      </c>
      <c r="B4817" s="141">
        <v>531845</v>
      </c>
      <c r="C4817" s="141" t="s">
        <v>8041</v>
      </c>
      <c r="D4817" s="141" t="s">
        <v>1527</v>
      </c>
    </row>
    <row r="4818" spans="1:4" x14ac:dyDescent="0.3">
      <c r="A4818" s="141" t="s">
        <v>8043</v>
      </c>
      <c r="B4818" s="141">
        <v>512553</v>
      </c>
      <c r="C4818" s="141" t="s">
        <v>8044</v>
      </c>
      <c r="D4818" s="141" t="s">
        <v>1144</v>
      </c>
    </row>
    <row r="4819" spans="1:4" x14ac:dyDescent="0.3">
      <c r="A4819" s="141" t="s">
        <v>8045</v>
      </c>
      <c r="B4819" s="141">
        <v>514266</v>
      </c>
      <c r="C4819" s="141" t="s">
        <v>1129</v>
      </c>
      <c r="D4819" s="141" t="s">
        <v>1144</v>
      </c>
    </row>
    <row r="4820" spans="1:4" x14ac:dyDescent="0.3">
      <c r="A4820" s="141" t="s">
        <v>8046</v>
      </c>
      <c r="B4820" s="141">
        <v>530665</v>
      </c>
      <c r="C4820" s="141" t="s">
        <v>1129</v>
      </c>
      <c r="D4820" s="141" t="s">
        <v>1167</v>
      </c>
    </row>
    <row r="4821" spans="1:4" x14ac:dyDescent="0.3">
      <c r="A4821" s="141" t="s">
        <v>8047</v>
      </c>
      <c r="B4821" s="141">
        <v>530697</v>
      </c>
      <c r="C4821" s="141" t="s">
        <v>1129</v>
      </c>
      <c r="D4821" s="141" t="s">
        <v>1550</v>
      </c>
    </row>
    <row r="4822" spans="1:4" x14ac:dyDescent="0.3">
      <c r="A4822" s="141" t="s">
        <v>8048</v>
      </c>
      <c r="B4822" s="141">
        <v>532039</v>
      </c>
      <c r="C4822" s="141" t="s">
        <v>1129</v>
      </c>
      <c r="D4822" s="141" t="s">
        <v>1167</v>
      </c>
    </row>
    <row r="4823" spans="1:4" x14ac:dyDescent="0.3">
      <c r="A4823" s="141" t="s">
        <v>8049</v>
      </c>
      <c r="B4823" s="141">
        <v>504067</v>
      </c>
      <c r="C4823" s="141" t="s">
        <v>8050</v>
      </c>
      <c r="D4823" s="141" t="s">
        <v>1115</v>
      </c>
    </row>
    <row r="4824" spans="1:4" x14ac:dyDescent="0.3">
      <c r="A4824" s="141" t="s">
        <v>8051</v>
      </c>
      <c r="B4824" s="141">
        <v>531404</v>
      </c>
      <c r="C4824" s="141" t="s">
        <v>8052</v>
      </c>
      <c r="D4824" s="141" t="s">
        <v>1671</v>
      </c>
    </row>
    <row r="4825" spans="1:4" x14ac:dyDescent="0.3">
      <c r="A4825" s="141" t="s">
        <v>8053</v>
      </c>
      <c r="B4825" s="141">
        <v>541400</v>
      </c>
      <c r="C4825" s="141" t="s">
        <v>1129</v>
      </c>
      <c r="D4825" s="141" t="s">
        <v>1167</v>
      </c>
    </row>
    <row r="4826" spans="1:4" x14ac:dyDescent="0.3">
      <c r="A4826" s="141" t="s">
        <v>8054</v>
      </c>
      <c r="B4826" s="141">
        <v>521163</v>
      </c>
      <c r="C4826" s="141" t="s">
        <v>8055</v>
      </c>
      <c r="D4826" s="141" t="s">
        <v>1243</v>
      </c>
    </row>
    <row r="4827" spans="1:4" x14ac:dyDescent="0.3">
      <c r="A4827" s="141" t="s">
        <v>8056</v>
      </c>
      <c r="B4827" s="141" t="s">
        <v>1129</v>
      </c>
      <c r="C4827" s="141" t="s">
        <v>8057</v>
      </c>
      <c r="D4827" s="141" t="s">
        <v>1140</v>
      </c>
    </row>
    <row r="4828" spans="1:4" x14ac:dyDescent="0.3">
      <c r="A4828" s="141" t="s">
        <v>8058</v>
      </c>
      <c r="B4828" s="141">
        <v>512587</v>
      </c>
      <c r="C4828" s="141" t="s">
        <v>8059</v>
      </c>
      <c r="D4828" s="141" t="s">
        <v>1243</v>
      </c>
    </row>
    <row r="4829" spans="1:4" x14ac:dyDescent="0.3">
      <c r="A4829" s="141" t="s">
        <v>8060</v>
      </c>
      <c r="B4829" s="141">
        <v>503641</v>
      </c>
      <c r="C4829" s="141" t="s">
        <v>8061</v>
      </c>
      <c r="D4829" s="141" t="s">
        <v>1213</v>
      </c>
    </row>
    <row r="4830" spans="1:4" x14ac:dyDescent="0.3">
      <c r="A4830" s="141" t="s">
        <v>8062</v>
      </c>
      <c r="B4830" s="141" t="s">
        <v>1129</v>
      </c>
      <c r="C4830" s="141" t="s">
        <v>8063</v>
      </c>
      <c r="D4830" s="141" t="s">
        <v>1140</v>
      </c>
    </row>
    <row r="4831" spans="1:4" x14ac:dyDescent="0.3">
      <c r="A4831" s="141" t="s">
        <v>8064</v>
      </c>
      <c r="B4831" s="141">
        <v>534742</v>
      </c>
      <c r="C4831" s="141" t="s">
        <v>8065</v>
      </c>
      <c r="D4831" s="141" t="s">
        <v>1637</v>
      </c>
    </row>
    <row r="4832" spans="1:4" x14ac:dyDescent="0.3">
      <c r="A4832" s="141" t="s">
        <v>8066</v>
      </c>
      <c r="B4832" s="141">
        <v>500780</v>
      </c>
      <c r="C4832" s="141" t="s">
        <v>8067</v>
      </c>
      <c r="D4832" s="141" t="s">
        <v>1637</v>
      </c>
    </row>
    <row r="4833" spans="1:4" x14ac:dyDescent="0.3">
      <c r="A4833" s="141" t="s">
        <v>8068</v>
      </c>
      <c r="B4833" s="141">
        <v>531335</v>
      </c>
      <c r="C4833" s="141" t="s">
        <v>8069</v>
      </c>
      <c r="D4833" s="141" t="s">
        <v>1189</v>
      </c>
    </row>
    <row r="4834" spans="1:4" x14ac:dyDescent="0.3">
      <c r="A4834" s="141" t="s">
        <v>8070</v>
      </c>
      <c r="B4834" s="141">
        <v>532883</v>
      </c>
      <c r="C4834" s="141" t="s">
        <v>8071</v>
      </c>
      <c r="D4834" s="141" t="s">
        <v>1222</v>
      </c>
    </row>
    <row r="4835" spans="1:4" x14ac:dyDescent="0.3">
      <c r="A4835" s="141" t="s">
        <v>8072</v>
      </c>
      <c r="B4835" s="141">
        <v>500202</v>
      </c>
      <c r="C4835" s="141" t="s">
        <v>8073</v>
      </c>
      <c r="D4835" s="141" t="s">
        <v>1146</v>
      </c>
    </row>
    <row r="4836" spans="1:4" x14ac:dyDescent="0.3">
      <c r="A4836" s="141" t="s">
        <v>8074</v>
      </c>
      <c r="B4836" s="141">
        <v>500458</v>
      </c>
      <c r="C4836" s="141" t="s">
        <v>8075</v>
      </c>
      <c r="D4836" s="141" t="s">
        <v>1209</v>
      </c>
    </row>
    <row r="4837" spans="1:4" x14ac:dyDescent="0.3">
      <c r="A4837" s="141" t="s">
        <v>8076</v>
      </c>
      <c r="B4837" s="141">
        <v>501111</v>
      </c>
      <c r="C4837" s="141" t="s">
        <v>8077</v>
      </c>
      <c r="D4837" s="141" t="s">
        <v>1151</v>
      </c>
    </row>
    <row r="4838" spans="1:4" x14ac:dyDescent="0.3">
      <c r="A4838" s="141" t="s">
        <v>8078</v>
      </c>
      <c r="B4838" s="141">
        <v>501151</v>
      </c>
      <c r="C4838" s="141" t="s">
        <v>8079</v>
      </c>
      <c r="D4838" s="141" t="s">
        <v>1112</v>
      </c>
    </row>
    <row r="4839" spans="1:4" x14ac:dyDescent="0.3">
      <c r="A4839" s="141" t="s">
        <v>8080</v>
      </c>
      <c r="B4839" s="141">
        <v>501311</v>
      </c>
      <c r="C4839" s="141" t="s">
        <v>8081</v>
      </c>
      <c r="D4839" s="141" t="s">
        <v>1146</v>
      </c>
    </row>
    <row r="4840" spans="1:4" x14ac:dyDescent="0.3">
      <c r="A4840" s="141" t="s">
        <v>8082</v>
      </c>
      <c r="B4840" s="141">
        <v>501622</v>
      </c>
      <c r="C4840" s="141" t="s">
        <v>8083</v>
      </c>
      <c r="D4840" s="141" t="s">
        <v>8084</v>
      </c>
    </row>
    <row r="4841" spans="1:4" x14ac:dyDescent="0.3">
      <c r="A4841" s="141" t="s">
        <v>8085</v>
      </c>
      <c r="B4841" s="141">
        <v>502850</v>
      </c>
      <c r="C4841" s="141" t="s">
        <v>8086</v>
      </c>
      <c r="D4841" s="141" t="s">
        <v>1144</v>
      </c>
    </row>
    <row r="4842" spans="1:4" x14ac:dyDescent="0.3">
      <c r="A4842" s="141" t="s">
        <v>8087</v>
      </c>
      <c r="B4842" s="141">
        <v>503669</v>
      </c>
      <c r="C4842" s="141" t="s">
        <v>8088</v>
      </c>
      <c r="D4842" s="141" t="s">
        <v>8084</v>
      </c>
    </row>
    <row r="4843" spans="1:4" x14ac:dyDescent="0.3">
      <c r="A4843" s="141" t="s">
        <v>8089</v>
      </c>
      <c r="B4843" s="141">
        <v>506975</v>
      </c>
      <c r="C4843" s="141" t="s">
        <v>8090</v>
      </c>
      <c r="D4843" s="141" t="s">
        <v>1144</v>
      </c>
    </row>
    <row r="4844" spans="1:4" x14ac:dyDescent="0.3">
      <c r="A4844" s="141" t="s">
        <v>8091</v>
      </c>
      <c r="B4844" s="141">
        <v>508924</v>
      </c>
      <c r="C4844" s="141" t="s">
        <v>8092</v>
      </c>
      <c r="D4844" s="141" t="s">
        <v>8084</v>
      </c>
    </row>
    <row r="4845" spans="1:4" x14ac:dyDescent="0.3">
      <c r="A4845" s="141" t="s">
        <v>8093</v>
      </c>
      <c r="B4845" s="141">
        <v>511260</v>
      </c>
      <c r="C4845" s="141" t="s">
        <v>8094</v>
      </c>
      <c r="D4845" s="141" t="s">
        <v>1112</v>
      </c>
    </row>
    <row r="4846" spans="1:4" x14ac:dyDescent="0.3">
      <c r="A4846" s="141" t="s">
        <v>8095</v>
      </c>
      <c r="B4846" s="141">
        <v>511730</v>
      </c>
      <c r="C4846" s="141" t="s">
        <v>8096</v>
      </c>
      <c r="D4846" s="141" t="s">
        <v>1146</v>
      </c>
    </row>
    <row r="4847" spans="1:4" x14ac:dyDescent="0.3">
      <c r="A4847" s="141" t="s">
        <v>8097</v>
      </c>
      <c r="B4847" s="141">
        <v>512221</v>
      </c>
      <c r="C4847" s="141" t="s">
        <v>8098</v>
      </c>
      <c r="D4847" s="141" t="s">
        <v>1146</v>
      </c>
    </row>
    <row r="4848" spans="1:4" x14ac:dyDescent="0.3">
      <c r="A4848" s="141" t="s">
        <v>8099</v>
      </c>
      <c r="B4848" s="141">
        <v>512344</v>
      </c>
      <c r="C4848" s="141" t="s">
        <v>8100</v>
      </c>
      <c r="D4848" s="141" t="s">
        <v>1151</v>
      </c>
    </row>
    <row r="4849" spans="1:4" x14ac:dyDescent="0.3">
      <c r="A4849" s="141" t="s">
        <v>8101</v>
      </c>
      <c r="B4849" s="141">
        <v>512345</v>
      </c>
      <c r="C4849" s="141" t="s">
        <v>8102</v>
      </c>
      <c r="D4849" s="141" t="s">
        <v>1112</v>
      </c>
    </row>
    <row r="4850" spans="1:4" x14ac:dyDescent="0.3">
      <c r="A4850" s="141" t="s">
        <v>8103</v>
      </c>
      <c r="B4850" s="141">
        <v>512479</v>
      </c>
      <c r="C4850" s="141" t="s">
        <v>8104</v>
      </c>
      <c r="D4850" s="141" t="s">
        <v>1215</v>
      </c>
    </row>
    <row r="4851" spans="1:4" x14ac:dyDescent="0.3">
      <c r="A4851" s="141" t="s">
        <v>8105</v>
      </c>
      <c r="B4851" s="141">
        <v>513343</v>
      </c>
      <c r="C4851" s="141" t="s">
        <v>8106</v>
      </c>
      <c r="D4851" s="141" t="s">
        <v>1452</v>
      </c>
    </row>
    <row r="4852" spans="1:4" x14ac:dyDescent="0.3">
      <c r="A4852" s="141" t="s">
        <v>8107</v>
      </c>
      <c r="B4852" s="141">
        <v>513418</v>
      </c>
      <c r="C4852" s="141" t="s">
        <v>8108</v>
      </c>
      <c r="D4852" s="141" t="s">
        <v>2049</v>
      </c>
    </row>
    <row r="4853" spans="1:4" x14ac:dyDescent="0.3">
      <c r="A4853" s="141" t="s">
        <v>8109</v>
      </c>
      <c r="B4853" s="141">
        <v>515008</v>
      </c>
      <c r="C4853" s="141" t="s">
        <v>8110</v>
      </c>
      <c r="D4853" s="141" t="s">
        <v>1427</v>
      </c>
    </row>
    <row r="4854" spans="1:4" x14ac:dyDescent="0.3">
      <c r="A4854" s="141" t="s">
        <v>8111</v>
      </c>
      <c r="B4854" s="141">
        <v>517273</v>
      </c>
      <c r="C4854" s="141" t="s">
        <v>8112</v>
      </c>
      <c r="D4854" s="141" t="s">
        <v>1427</v>
      </c>
    </row>
    <row r="4855" spans="1:4" x14ac:dyDescent="0.3">
      <c r="A4855" s="141" t="s">
        <v>8113</v>
      </c>
      <c r="B4855" s="141">
        <v>517360</v>
      </c>
      <c r="C4855" s="141" t="s">
        <v>8114</v>
      </c>
      <c r="D4855" s="141" t="s">
        <v>1151</v>
      </c>
    </row>
    <row r="4856" spans="1:4" x14ac:dyDescent="0.3">
      <c r="A4856" s="141" t="s">
        <v>8115</v>
      </c>
      <c r="B4856" s="141">
        <v>517393</v>
      </c>
      <c r="C4856" s="141" t="s">
        <v>8116</v>
      </c>
      <c r="D4856" s="141" t="s">
        <v>1454</v>
      </c>
    </row>
    <row r="4857" spans="1:4" x14ac:dyDescent="0.3">
      <c r="A4857" s="141" t="s">
        <v>8117</v>
      </c>
      <c r="B4857" s="141">
        <v>519397</v>
      </c>
      <c r="C4857" s="141" t="s">
        <v>8118</v>
      </c>
      <c r="D4857" s="141" t="s">
        <v>1189</v>
      </c>
    </row>
    <row r="4858" spans="1:4" x14ac:dyDescent="0.3">
      <c r="A4858" s="141" t="s">
        <v>8119</v>
      </c>
      <c r="B4858" s="141">
        <v>519500</v>
      </c>
      <c r="C4858" s="141" t="s">
        <v>8120</v>
      </c>
      <c r="D4858" s="141" t="s">
        <v>1189</v>
      </c>
    </row>
    <row r="4859" spans="1:4" x14ac:dyDescent="0.3">
      <c r="A4859" s="141" t="s">
        <v>8121</v>
      </c>
      <c r="B4859" s="141">
        <v>522171</v>
      </c>
      <c r="C4859" s="141" t="s">
        <v>8122</v>
      </c>
      <c r="D4859" s="141" t="s">
        <v>1137</v>
      </c>
    </row>
    <row r="4860" spans="1:4" x14ac:dyDescent="0.3">
      <c r="A4860" s="141" t="s">
        <v>8123</v>
      </c>
      <c r="B4860" s="141">
        <v>524572</v>
      </c>
      <c r="C4860" s="141" t="s">
        <v>8124</v>
      </c>
      <c r="D4860" s="141" t="s">
        <v>1167</v>
      </c>
    </row>
    <row r="4861" spans="1:4" x14ac:dyDescent="0.3">
      <c r="A4861" s="141" t="s">
        <v>8125</v>
      </c>
      <c r="B4861" s="141">
        <v>526211</v>
      </c>
      <c r="C4861" s="141" t="s">
        <v>8126</v>
      </c>
      <c r="D4861" s="141" t="s">
        <v>1378</v>
      </c>
    </row>
    <row r="4862" spans="1:4" x14ac:dyDescent="0.3">
      <c r="A4862" s="141" t="s">
        <v>8127</v>
      </c>
      <c r="B4862" s="141">
        <v>526638</v>
      </c>
      <c r="C4862" s="141" t="s">
        <v>8128</v>
      </c>
      <c r="D4862" s="141" t="s">
        <v>1249</v>
      </c>
    </row>
    <row r="4863" spans="1:4" x14ac:dyDescent="0.3">
      <c r="A4863" s="141" t="s">
        <v>8129</v>
      </c>
      <c r="B4863" s="141">
        <v>530291</v>
      </c>
      <c r="C4863" s="141" t="s">
        <v>8130</v>
      </c>
      <c r="D4863" s="141" t="s">
        <v>1378</v>
      </c>
    </row>
    <row r="4864" spans="1:4" x14ac:dyDescent="0.3">
      <c r="A4864" s="141" t="s">
        <v>8131</v>
      </c>
      <c r="B4864" s="141">
        <v>530439</v>
      </c>
      <c r="C4864" s="141" t="s">
        <v>8132</v>
      </c>
      <c r="D4864" s="141" t="s">
        <v>1146</v>
      </c>
    </row>
    <row r="4865" spans="1:4" x14ac:dyDescent="0.3">
      <c r="A4865" s="141" t="s">
        <v>8133</v>
      </c>
      <c r="B4865" s="141">
        <v>530443</v>
      </c>
      <c r="C4865" s="141" t="s">
        <v>8134</v>
      </c>
      <c r="D4865" s="141" t="s">
        <v>1144</v>
      </c>
    </row>
    <row r="4866" spans="1:4" x14ac:dyDescent="0.3">
      <c r="A4866" s="141" t="s">
        <v>8135</v>
      </c>
      <c r="B4866" s="141">
        <v>531205</v>
      </c>
      <c r="C4866" s="141" t="s">
        <v>8136</v>
      </c>
      <c r="D4866" s="141" t="s">
        <v>1151</v>
      </c>
    </row>
    <row r="4867" spans="1:4" x14ac:dyDescent="0.3">
      <c r="A4867" s="141" t="s">
        <v>8137</v>
      </c>
      <c r="B4867" s="141">
        <v>531225</v>
      </c>
      <c r="C4867" s="141" t="s">
        <v>8138</v>
      </c>
      <c r="D4867" s="141" t="s">
        <v>1222</v>
      </c>
    </row>
    <row r="4868" spans="1:4" x14ac:dyDescent="0.3">
      <c r="A4868" s="141" t="s">
        <v>8139</v>
      </c>
      <c r="B4868" s="141">
        <v>531436</v>
      </c>
      <c r="C4868" s="141" t="s">
        <v>8140</v>
      </c>
      <c r="D4868" s="141" t="s">
        <v>1123</v>
      </c>
    </row>
    <row r="4869" spans="1:4" x14ac:dyDescent="0.3">
      <c r="A4869" s="141" t="s">
        <v>8141</v>
      </c>
      <c r="B4869" s="141">
        <v>531621</v>
      </c>
      <c r="C4869" s="141" t="s">
        <v>8142</v>
      </c>
      <c r="D4869" s="141" t="s">
        <v>1135</v>
      </c>
    </row>
    <row r="4870" spans="1:4" x14ac:dyDescent="0.3">
      <c r="A4870" s="141" t="s">
        <v>8143</v>
      </c>
      <c r="B4870" s="141">
        <v>531944</v>
      </c>
      <c r="C4870" s="141" t="s">
        <v>8144</v>
      </c>
      <c r="D4870" s="141" t="s">
        <v>1137</v>
      </c>
    </row>
    <row r="4871" spans="1:4" x14ac:dyDescent="0.3">
      <c r="A4871" s="141" t="s">
        <v>8145</v>
      </c>
      <c r="B4871" s="141">
        <v>532138</v>
      </c>
      <c r="C4871" s="141" t="s">
        <v>8146</v>
      </c>
      <c r="D4871" s="141" t="s">
        <v>1146</v>
      </c>
    </row>
    <row r="4872" spans="1:4" x14ac:dyDescent="0.3">
      <c r="A4872" s="141" t="s">
        <v>8147</v>
      </c>
      <c r="B4872" s="141">
        <v>533093</v>
      </c>
      <c r="C4872" s="141" t="s">
        <v>8148</v>
      </c>
      <c r="D4872" s="141" t="s">
        <v>1378</v>
      </c>
    </row>
    <row r="4873" spans="1:4" x14ac:dyDescent="0.3">
      <c r="A4873" s="141" t="s">
        <v>8149</v>
      </c>
      <c r="B4873" s="141">
        <v>533570</v>
      </c>
      <c r="C4873" s="141" t="s">
        <v>8150</v>
      </c>
      <c r="D4873" s="141" t="s">
        <v>1081</v>
      </c>
    </row>
    <row r="4874" spans="1:4" x14ac:dyDescent="0.3">
      <c r="A4874" s="141" t="s">
        <v>8151</v>
      </c>
      <c r="B4874" s="141">
        <v>533719</v>
      </c>
      <c r="C4874" s="141" t="s">
        <v>8152</v>
      </c>
      <c r="D4874" s="141" t="s">
        <v>1081</v>
      </c>
    </row>
    <row r="4875" spans="1:4" x14ac:dyDescent="0.3">
      <c r="A4875" s="141" t="s">
        <v>8153</v>
      </c>
      <c r="B4875" s="141">
        <v>535276</v>
      </c>
      <c r="C4875" s="141" t="s">
        <v>8154</v>
      </c>
      <c r="D4875" s="141" t="s">
        <v>1081</v>
      </c>
    </row>
    <row r="4876" spans="1:4" x14ac:dyDescent="0.3">
      <c r="A4876" s="141" t="s">
        <v>8155</v>
      </c>
      <c r="B4876" s="141">
        <v>536960</v>
      </c>
      <c r="C4876" s="141" t="s">
        <v>8156</v>
      </c>
      <c r="D4876" s="141" t="s">
        <v>1081</v>
      </c>
    </row>
    <row r="4877" spans="1:4" x14ac:dyDescent="0.3">
      <c r="A4877" s="141" t="s">
        <v>8157</v>
      </c>
      <c r="B4877" s="141">
        <v>537007</v>
      </c>
      <c r="C4877" s="141" t="s">
        <v>8158</v>
      </c>
      <c r="D4877" s="141" t="s">
        <v>1081</v>
      </c>
    </row>
    <row r="4878" spans="1:4" x14ac:dyDescent="0.3">
      <c r="A4878" s="141" t="s">
        <v>8159</v>
      </c>
      <c r="B4878" s="141">
        <v>537008</v>
      </c>
      <c r="C4878" s="141" t="s">
        <v>8160</v>
      </c>
      <c r="D4878" s="141" t="s">
        <v>1081</v>
      </c>
    </row>
    <row r="4879" spans="1:4" x14ac:dyDescent="0.3">
      <c r="A4879" s="141" t="s">
        <v>8161</v>
      </c>
      <c r="B4879" s="141">
        <v>537483</v>
      </c>
      <c r="C4879" s="141" t="s">
        <v>8162</v>
      </c>
      <c r="D4879" s="141" t="s">
        <v>1081</v>
      </c>
    </row>
    <row r="4880" spans="1:4" x14ac:dyDescent="0.3">
      <c r="A4880" s="141" t="s">
        <v>8163</v>
      </c>
      <c r="B4880" s="141">
        <v>537708</v>
      </c>
      <c r="C4880" s="141" t="s">
        <v>8164</v>
      </c>
      <c r="D4880" s="141" t="s">
        <v>1081</v>
      </c>
    </row>
    <row r="4881" spans="1:4" x14ac:dyDescent="0.3">
      <c r="A4881" s="141" t="s">
        <v>8165</v>
      </c>
      <c r="B4881" s="141">
        <v>538057</v>
      </c>
      <c r="C4881" s="141" t="s">
        <v>8166</v>
      </c>
      <c r="D4881" s="141" t="s">
        <v>1081</v>
      </c>
    </row>
    <row r="4882" spans="1:4" x14ac:dyDescent="0.3">
      <c r="A4882" s="141" t="s">
        <v>8167</v>
      </c>
      <c r="B4882" s="141">
        <v>538273</v>
      </c>
      <c r="C4882" s="141" t="s">
        <v>8168</v>
      </c>
      <c r="D4882" s="141" t="s">
        <v>1222</v>
      </c>
    </row>
    <row r="4883" spans="1:4" x14ac:dyDescent="0.3">
      <c r="A4883" s="141" t="s">
        <v>8169</v>
      </c>
      <c r="B4883" s="141">
        <v>538452</v>
      </c>
      <c r="C4883" s="141" t="s">
        <v>8170</v>
      </c>
      <c r="D4883" s="141" t="s">
        <v>1151</v>
      </c>
    </row>
    <row r="4884" spans="1:4" x14ac:dyDescent="0.3">
      <c r="A4884" s="141" t="s">
        <v>8171</v>
      </c>
      <c r="B4884" s="141">
        <v>538501</v>
      </c>
      <c r="C4884" s="141" t="s">
        <v>8172</v>
      </c>
      <c r="D4884" s="141" t="s">
        <v>1081</v>
      </c>
    </row>
    <row r="4885" spans="1:4" x14ac:dyDescent="0.3">
      <c r="A4885" s="141" t="s">
        <v>8173</v>
      </c>
      <c r="B4885" s="141">
        <v>538502</v>
      </c>
      <c r="C4885" s="141" t="s">
        <v>8174</v>
      </c>
      <c r="D4885" s="141" t="s">
        <v>1081</v>
      </c>
    </row>
    <row r="4886" spans="1:4" x14ac:dyDescent="0.3">
      <c r="A4886" s="141" t="s">
        <v>8175</v>
      </c>
      <c r="B4886" s="141">
        <v>538577</v>
      </c>
      <c r="C4886" s="141" t="s">
        <v>8176</v>
      </c>
      <c r="D4886" s="141" t="s">
        <v>1081</v>
      </c>
    </row>
    <row r="4887" spans="1:4" x14ac:dyDescent="0.3">
      <c r="A4887" s="141" t="s">
        <v>8177</v>
      </c>
      <c r="B4887" s="141">
        <v>538578</v>
      </c>
      <c r="C4887" s="141" t="s">
        <v>8178</v>
      </c>
      <c r="D4887" s="141" t="s">
        <v>1081</v>
      </c>
    </row>
    <row r="4888" spans="1:4" x14ac:dyDescent="0.3">
      <c r="A4888" s="141" t="s">
        <v>8179</v>
      </c>
      <c r="B4888" s="141">
        <v>538646</v>
      </c>
      <c r="C4888" s="141" t="s">
        <v>8180</v>
      </c>
      <c r="D4888" s="141" t="s">
        <v>1146</v>
      </c>
    </row>
    <row r="4889" spans="1:4" x14ac:dyDescent="0.3">
      <c r="A4889" s="141" t="s">
        <v>8181</v>
      </c>
      <c r="B4889" s="141">
        <v>538683</v>
      </c>
      <c r="C4889" s="141" t="s">
        <v>8182</v>
      </c>
      <c r="D4889" s="141" t="s">
        <v>1081</v>
      </c>
    </row>
    <row r="4890" spans="1:4" x14ac:dyDescent="0.3">
      <c r="A4890" s="141" t="s">
        <v>8183</v>
      </c>
      <c r="B4890" s="141">
        <v>538728</v>
      </c>
      <c r="C4890" s="141" t="s">
        <v>8184</v>
      </c>
      <c r="D4890" s="141" t="s">
        <v>1081</v>
      </c>
    </row>
    <row r="4891" spans="1:4" x14ac:dyDescent="0.3">
      <c r="A4891" s="141" t="s">
        <v>8185</v>
      </c>
      <c r="B4891" s="141">
        <v>538729</v>
      </c>
      <c r="C4891" s="141" t="s">
        <v>8186</v>
      </c>
      <c r="D4891" s="141" t="s">
        <v>1081</v>
      </c>
    </row>
    <row r="4892" spans="1:4" x14ac:dyDescent="0.3">
      <c r="A4892" s="141" t="s">
        <v>8187</v>
      </c>
      <c r="B4892" s="141">
        <v>538808</v>
      </c>
      <c r="C4892" s="141" t="s">
        <v>8188</v>
      </c>
      <c r="D4892" s="141" t="s">
        <v>1081</v>
      </c>
    </row>
    <row r="4893" spans="1:4" x14ac:dyDescent="0.3">
      <c r="A4893" s="141" t="s">
        <v>8189</v>
      </c>
      <c r="B4893" s="141">
        <v>538809</v>
      </c>
      <c r="C4893" s="141" t="s">
        <v>8190</v>
      </c>
      <c r="D4893" s="141" t="s">
        <v>1081</v>
      </c>
    </row>
    <row r="4894" spans="1:4" x14ac:dyDescent="0.3">
      <c r="A4894" s="141" t="s">
        <v>8191</v>
      </c>
      <c r="B4894" s="141">
        <v>538810</v>
      </c>
      <c r="C4894" s="141" t="s">
        <v>8192</v>
      </c>
      <c r="D4894" s="141" t="s">
        <v>1081</v>
      </c>
    </row>
    <row r="4895" spans="1:4" x14ac:dyDescent="0.3">
      <c r="A4895" s="141" t="s">
        <v>8193</v>
      </c>
      <c r="B4895" s="141">
        <v>538811</v>
      </c>
      <c r="C4895" s="141" t="s">
        <v>8194</v>
      </c>
      <c r="D4895" s="141" t="s">
        <v>1081</v>
      </c>
    </row>
    <row r="4896" spans="1:4" x14ac:dyDescent="0.3">
      <c r="A4896" s="141" t="s">
        <v>8195</v>
      </c>
      <c r="B4896" s="141">
        <v>539031</v>
      </c>
      <c r="C4896" s="141" t="s">
        <v>8196</v>
      </c>
      <c r="D4896" s="141" t="s">
        <v>1081</v>
      </c>
    </row>
    <row r="4897" spans="1:4" x14ac:dyDescent="0.3">
      <c r="A4897" s="141" t="s">
        <v>8197</v>
      </c>
      <c r="B4897" s="141">
        <v>539090</v>
      </c>
      <c r="C4897" s="141" t="s">
        <v>8198</v>
      </c>
      <c r="D4897" s="141" t="s">
        <v>1146</v>
      </c>
    </row>
    <row r="4898" spans="1:4" x14ac:dyDescent="0.3">
      <c r="A4898" s="141" t="s">
        <v>8199</v>
      </c>
      <c r="B4898" s="141">
        <v>539142</v>
      </c>
      <c r="C4898" s="141" t="s">
        <v>8200</v>
      </c>
      <c r="D4898" s="141" t="s">
        <v>1081</v>
      </c>
    </row>
    <row r="4899" spans="1:4" x14ac:dyDescent="0.3">
      <c r="A4899" s="141" t="s">
        <v>8201</v>
      </c>
      <c r="B4899" s="141">
        <v>539274</v>
      </c>
      <c r="C4899" s="141" t="s">
        <v>8202</v>
      </c>
      <c r="D4899" s="141" t="s">
        <v>1146</v>
      </c>
    </row>
    <row r="4900" spans="1:4" x14ac:dyDescent="0.3">
      <c r="A4900" s="141" t="s">
        <v>8203</v>
      </c>
      <c r="B4900" s="141">
        <v>539312</v>
      </c>
      <c r="C4900" s="141" t="s">
        <v>8204</v>
      </c>
      <c r="D4900" s="141" t="s">
        <v>1081</v>
      </c>
    </row>
    <row r="4901" spans="1:4" x14ac:dyDescent="0.3">
      <c r="A4901" s="141" t="s">
        <v>8205</v>
      </c>
      <c r="B4901" s="141">
        <v>539313</v>
      </c>
      <c r="C4901" s="141" t="s">
        <v>8206</v>
      </c>
      <c r="D4901" s="141" t="s">
        <v>1081</v>
      </c>
    </row>
    <row r="4902" spans="1:4" x14ac:dyDescent="0.3">
      <c r="A4902" s="141" t="s">
        <v>8207</v>
      </c>
      <c r="B4902" s="141">
        <v>539480</v>
      </c>
      <c r="C4902" s="141" t="s">
        <v>8208</v>
      </c>
      <c r="D4902" s="141" t="s">
        <v>1081</v>
      </c>
    </row>
    <row r="4903" spans="1:4" x14ac:dyDescent="0.3">
      <c r="A4903" s="141" t="s">
        <v>8209</v>
      </c>
      <c r="B4903" s="141">
        <v>539487</v>
      </c>
      <c r="C4903" s="141" t="s">
        <v>8210</v>
      </c>
      <c r="D4903" s="141" t="s">
        <v>1081</v>
      </c>
    </row>
    <row r="4904" spans="1:4" x14ac:dyDescent="0.3">
      <c r="A4904" s="141" t="s">
        <v>8211</v>
      </c>
      <c r="B4904" s="141">
        <v>539516</v>
      </c>
      <c r="C4904" s="141" t="s">
        <v>8212</v>
      </c>
      <c r="D4904" s="141" t="s">
        <v>1081</v>
      </c>
    </row>
    <row r="4905" spans="1:4" x14ac:dyDescent="0.3">
      <c r="A4905" s="141" t="s">
        <v>8213</v>
      </c>
      <c r="B4905" s="141">
        <v>539517</v>
      </c>
      <c r="C4905" s="141" t="s">
        <v>8214</v>
      </c>
      <c r="D4905" s="141" t="s">
        <v>1081</v>
      </c>
    </row>
    <row r="4906" spans="1:4" x14ac:dyDescent="0.3">
      <c r="A4906" s="141" t="s">
        <v>8215</v>
      </c>
      <c r="B4906" s="141">
        <v>539561</v>
      </c>
      <c r="C4906" s="141" t="s">
        <v>8216</v>
      </c>
      <c r="D4906" s="141" t="s">
        <v>1151</v>
      </c>
    </row>
    <row r="4907" spans="1:4" x14ac:dyDescent="0.3">
      <c r="A4907" s="141" t="s">
        <v>8217</v>
      </c>
      <c r="B4907" s="141">
        <v>539784</v>
      </c>
      <c r="C4907" s="141" t="s">
        <v>8218</v>
      </c>
      <c r="D4907" s="141" t="s">
        <v>1081</v>
      </c>
    </row>
    <row r="4908" spans="1:4" x14ac:dyDescent="0.3">
      <c r="A4908" s="141" t="s">
        <v>8219</v>
      </c>
      <c r="B4908" s="141">
        <v>539945</v>
      </c>
      <c r="C4908" s="141" t="s">
        <v>8220</v>
      </c>
      <c r="D4908" s="141" t="s">
        <v>1081</v>
      </c>
    </row>
    <row r="4909" spans="1:4" x14ac:dyDescent="0.3">
      <c r="A4909" s="141" t="s">
        <v>8221</v>
      </c>
      <c r="B4909" s="141">
        <v>539980</v>
      </c>
      <c r="C4909" s="141" t="s">
        <v>8222</v>
      </c>
      <c r="D4909" s="141" t="s">
        <v>1081</v>
      </c>
    </row>
    <row r="4910" spans="1:4" x14ac:dyDescent="0.3">
      <c r="A4910" s="141" t="s">
        <v>8223</v>
      </c>
      <c r="B4910" s="141">
        <v>540008</v>
      </c>
      <c r="C4910" s="141" t="s">
        <v>8224</v>
      </c>
      <c r="D4910" s="141" t="s">
        <v>1081</v>
      </c>
    </row>
    <row r="4911" spans="1:4" x14ac:dyDescent="0.3">
      <c r="A4911" s="141" t="s">
        <v>8225</v>
      </c>
      <c r="B4911" s="141">
        <v>540154</v>
      </c>
      <c r="C4911" s="141" t="s">
        <v>8226</v>
      </c>
      <c r="D4911" s="141" t="s">
        <v>1081</v>
      </c>
    </row>
    <row r="4912" spans="1:4" x14ac:dyDescent="0.3">
      <c r="A4912" s="141" t="s">
        <v>8227</v>
      </c>
      <c r="B4912" s="141">
        <v>540333</v>
      </c>
      <c r="C4912" s="141" t="s">
        <v>8228</v>
      </c>
      <c r="D4912" s="141" t="s">
        <v>1081</v>
      </c>
    </row>
    <row r="4913" spans="1:4" x14ac:dyDescent="0.3">
      <c r="A4913" s="141" t="s">
        <v>8229</v>
      </c>
      <c r="B4913" s="141">
        <v>540334</v>
      </c>
      <c r="C4913" s="141" t="s">
        <v>8230</v>
      </c>
      <c r="D4913" s="141" t="s">
        <v>1081</v>
      </c>
    </row>
    <row r="4914" spans="1:4" x14ac:dyDescent="0.3">
      <c r="A4914" s="141" t="s">
        <v>8231</v>
      </c>
      <c r="B4914" s="141">
        <v>540335</v>
      </c>
      <c r="C4914" s="141" t="s">
        <v>8232</v>
      </c>
      <c r="D4914" s="141" t="s">
        <v>1081</v>
      </c>
    </row>
    <row r="4915" spans="1:4" x14ac:dyDescent="0.3">
      <c r="A4915" s="141" t="s">
        <v>8233</v>
      </c>
      <c r="B4915" s="141">
        <v>540336</v>
      </c>
      <c r="C4915" s="141" t="s">
        <v>8234</v>
      </c>
      <c r="D4915" s="141" t="s">
        <v>1081</v>
      </c>
    </row>
    <row r="4916" spans="1:4" x14ac:dyDescent="0.3">
      <c r="A4916" s="141" t="s">
        <v>8235</v>
      </c>
      <c r="B4916" s="141">
        <v>540469</v>
      </c>
      <c r="C4916" s="141" t="s">
        <v>8236</v>
      </c>
      <c r="D4916" s="141" t="s">
        <v>1081</v>
      </c>
    </row>
    <row r="4917" spans="1:4" x14ac:dyDescent="0.3">
      <c r="A4917" s="141" t="s">
        <v>8237</v>
      </c>
      <c r="B4917" s="141">
        <v>540470</v>
      </c>
      <c r="C4917" s="141" t="s">
        <v>8238</v>
      </c>
      <c r="D4917" s="141" t="s">
        <v>1081</v>
      </c>
    </row>
    <row r="4918" spans="1:4" x14ac:dyDescent="0.3">
      <c r="A4918" s="141" t="s">
        <v>8239</v>
      </c>
      <c r="B4918" s="141">
        <v>540538</v>
      </c>
      <c r="C4918" s="141" t="s">
        <v>8240</v>
      </c>
      <c r="D4918" s="141" t="s">
        <v>1081</v>
      </c>
    </row>
    <row r="4919" spans="1:4" x14ac:dyDescent="0.3">
      <c r="A4919" s="141" t="s">
        <v>8241</v>
      </c>
      <c r="B4919" s="141">
        <v>540539</v>
      </c>
      <c r="C4919" s="141" t="s">
        <v>8242</v>
      </c>
      <c r="D4919" s="141" t="s">
        <v>1081</v>
      </c>
    </row>
    <row r="4920" spans="1:4" x14ac:dyDescent="0.3">
      <c r="A4920" s="141" t="s">
        <v>8243</v>
      </c>
      <c r="B4920" s="141">
        <v>540551</v>
      </c>
      <c r="C4920" s="141" t="s">
        <v>8244</v>
      </c>
      <c r="D4920" s="141" t="s">
        <v>1081</v>
      </c>
    </row>
    <row r="4921" spans="1:4" x14ac:dyDescent="0.3">
      <c r="A4921" s="141" t="s">
        <v>8245</v>
      </c>
      <c r="B4921" s="141">
        <v>540552</v>
      </c>
      <c r="C4921" s="141" t="s">
        <v>8246</v>
      </c>
      <c r="D4921" s="141" t="s">
        <v>1081</v>
      </c>
    </row>
    <row r="4922" spans="1:4" x14ac:dyDescent="0.3">
      <c r="A4922" s="141" t="s">
        <v>8247</v>
      </c>
      <c r="B4922" s="141">
        <v>540586</v>
      </c>
      <c r="C4922" s="141" t="s">
        <v>8248</v>
      </c>
      <c r="D4922" s="141" t="s">
        <v>1081</v>
      </c>
    </row>
    <row r="4923" spans="1:4" x14ac:dyDescent="0.3">
      <c r="A4923" s="141" t="s">
        <v>8249</v>
      </c>
      <c r="B4923" s="141">
        <v>540587</v>
      </c>
      <c r="C4923" s="141" t="s">
        <v>8250</v>
      </c>
      <c r="D4923" s="141" t="s">
        <v>1081</v>
      </c>
    </row>
    <row r="4924" spans="1:4" x14ac:dyDescent="0.3">
      <c r="A4924" s="141" t="s">
        <v>8251</v>
      </c>
      <c r="B4924" s="141">
        <v>540588</v>
      </c>
      <c r="C4924" s="141" t="s">
        <v>8252</v>
      </c>
      <c r="D4924" s="141" t="s">
        <v>1081</v>
      </c>
    </row>
    <row r="4925" spans="1:4" x14ac:dyDescent="0.3">
      <c r="A4925" s="141" t="s">
        <v>8253</v>
      </c>
      <c r="B4925" s="141">
        <v>540589</v>
      </c>
      <c r="C4925" s="141" t="s">
        <v>8254</v>
      </c>
      <c r="D4925" s="141" t="s">
        <v>1081</v>
      </c>
    </row>
    <row r="4926" spans="1:4" x14ac:dyDescent="0.3">
      <c r="A4926" s="141" t="s">
        <v>8255</v>
      </c>
      <c r="B4926" s="141">
        <v>540591</v>
      </c>
      <c r="C4926" s="141" t="s">
        <v>8256</v>
      </c>
      <c r="D4926" s="141" t="s">
        <v>1081</v>
      </c>
    </row>
    <row r="4927" spans="1:4" x14ac:dyDescent="0.3">
      <c r="A4927" s="141" t="s">
        <v>8257</v>
      </c>
      <c r="B4927" s="141">
        <v>540592</v>
      </c>
      <c r="C4927" s="141" t="s">
        <v>8258</v>
      </c>
      <c r="D4927" s="141" t="s">
        <v>1081</v>
      </c>
    </row>
    <row r="4928" spans="1:4" x14ac:dyDescent="0.3">
      <c r="A4928" s="141" t="s">
        <v>8259</v>
      </c>
      <c r="B4928" s="141">
        <v>540593</v>
      </c>
      <c r="C4928" s="141" t="s">
        <v>8260</v>
      </c>
      <c r="D4928" s="141" t="s">
        <v>1081</v>
      </c>
    </row>
    <row r="4929" spans="1:4" x14ac:dyDescent="0.3">
      <c r="A4929" s="141" t="s">
        <v>8261</v>
      </c>
      <c r="B4929" s="141">
        <v>540594</v>
      </c>
      <c r="C4929" s="141" t="s">
        <v>8262</v>
      </c>
      <c r="D4929" s="141" t="s">
        <v>1081</v>
      </c>
    </row>
    <row r="4930" spans="1:4" x14ac:dyDescent="0.3">
      <c r="A4930" s="141" t="s">
        <v>8263</v>
      </c>
      <c r="B4930" s="141">
        <v>540612</v>
      </c>
      <c r="C4930" s="141" t="s">
        <v>8264</v>
      </c>
      <c r="D4930" s="141" t="s">
        <v>1081</v>
      </c>
    </row>
    <row r="4931" spans="1:4" x14ac:dyDescent="0.3">
      <c r="A4931" s="141" t="s">
        <v>8265</v>
      </c>
      <c r="B4931" s="141">
        <v>540617</v>
      </c>
      <c r="C4931" s="141" t="s">
        <v>8266</v>
      </c>
      <c r="D4931" s="141" t="s">
        <v>1081</v>
      </c>
    </row>
    <row r="4932" spans="1:4" x14ac:dyDescent="0.3">
      <c r="A4932" s="141" t="s">
        <v>8267</v>
      </c>
      <c r="B4932" s="141">
        <v>540618</v>
      </c>
      <c r="C4932" s="141" t="s">
        <v>8268</v>
      </c>
      <c r="D4932" s="141" t="s">
        <v>1081</v>
      </c>
    </row>
    <row r="4933" spans="1:4" x14ac:dyDescent="0.3">
      <c r="A4933" s="141" t="s">
        <v>8269</v>
      </c>
      <c r="B4933" s="141">
        <v>540619</v>
      </c>
      <c r="C4933" s="141" t="s">
        <v>8270</v>
      </c>
      <c r="D4933" s="141" t="s">
        <v>1081</v>
      </c>
    </row>
    <row r="4934" spans="1:4" x14ac:dyDescent="0.3">
      <c r="A4934" s="141" t="s">
        <v>8271</v>
      </c>
      <c r="B4934" s="141">
        <v>540620</v>
      </c>
      <c r="C4934" s="141" t="s">
        <v>8272</v>
      </c>
      <c r="D4934" s="141" t="s">
        <v>1081</v>
      </c>
    </row>
    <row r="4935" spans="1:4" x14ac:dyDescent="0.3">
      <c r="A4935" s="141" t="s">
        <v>8273</v>
      </c>
      <c r="B4935" s="141">
        <v>540626</v>
      </c>
      <c r="C4935" s="141" t="s">
        <v>8274</v>
      </c>
      <c r="D4935" s="141" t="s">
        <v>1081</v>
      </c>
    </row>
    <row r="4936" spans="1:4" x14ac:dyDescent="0.3">
      <c r="A4936" s="141" t="s">
        <v>8275</v>
      </c>
      <c r="B4936" s="141">
        <v>540627</v>
      </c>
      <c r="C4936" s="141" t="s">
        <v>8276</v>
      </c>
      <c r="D4936" s="141" t="s">
        <v>1081</v>
      </c>
    </row>
    <row r="4937" spans="1:4" x14ac:dyDescent="0.3">
      <c r="A4937" s="141" t="s">
        <v>8277</v>
      </c>
      <c r="B4937" s="141">
        <v>540629</v>
      </c>
      <c r="C4937" s="141" t="s">
        <v>8278</v>
      </c>
      <c r="D4937" s="141" t="s">
        <v>1081</v>
      </c>
    </row>
    <row r="4938" spans="1:4" x14ac:dyDescent="0.3">
      <c r="A4938" s="141" t="s">
        <v>8279</v>
      </c>
      <c r="B4938" s="141">
        <v>540631</v>
      </c>
      <c r="C4938" s="141" t="s">
        <v>8280</v>
      </c>
      <c r="D4938" s="141" t="s">
        <v>1081</v>
      </c>
    </row>
    <row r="4939" spans="1:4" x14ac:dyDescent="0.3">
      <c r="A4939" s="141" t="s">
        <v>8281</v>
      </c>
      <c r="B4939" s="141">
        <v>540634</v>
      </c>
      <c r="C4939" s="141" t="s">
        <v>8282</v>
      </c>
      <c r="D4939" s="141" t="s">
        <v>1081</v>
      </c>
    </row>
    <row r="4940" spans="1:4" x14ac:dyDescent="0.3">
      <c r="A4940" s="141" t="s">
        <v>8283</v>
      </c>
      <c r="B4940" s="141">
        <v>540635</v>
      </c>
      <c r="C4940" s="141" t="s">
        <v>8284</v>
      </c>
      <c r="D4940" s="141" t="s">
        <v>1081</v>
      </c>
    </row>
    <row r="4941" spans="1:4" x14ac:dyDescent="0.3">
      <c r="A4941" s="141" t="s">
        <v>8285</v>
      </c>
      <c r="B4941" s="141">
        <v>540636</v>
      </c>
      <c r="C4941" s="141" t="s">
        <v>8286</v>
      </c>
      <c r="D4941" s="141" t="s">
        <v>1081</v>
      </c>
    </row>
    <row r="4942" spans="1:4" x14ac:dyDescent="0.3">
      <c r="A4942" s="141" t="s">
        <v>8287</v>
      </c>
      <c r="B4942" s="141">
        <v>540637</v>
      </c>
      <c r="C4942" s="141" t="s">
        <v>8288</v>
      </c>
      <c r="D4942" s="141" t="s">
        <v>1081</v>
      </c>
    </row>
    <row r="4943" spans="1:4" x14ac:dyDescent="0.3">
      <c r="A4943" s="141" t="s">
        <v>8289</v>
      </c>
      <c r="B4943" s="141">
        <v>540669</v>
      </c>
      <c r="C4943" s="141" t="s">
        <v>8290</v>
      </c>
      <c r="D4943" s="141" t="s">
        <v>1081</v>
      </c>
    </row>
    <row r="4944" spans="1:4" x14ac:dyDescent="0.3">
      <c r="A4944" s="141" t="s">
        <v>8291</v>
      </c>
      <c r="B4944" s="141">
        <v>540671</v>
      </c>
      <c r="C4944" s="141" t="s">
        <v>8292</v>
      </c>
      <c r="D4944" s="141" t="s">
        <v>1081</v>
      </c>
    </row>
    <row r="4945" spans="1:4" x14ac:dyDescent="0.3">
      <c r="A4945" s="141" t="s">
        <v>8293</v>
      </c>
      <c r="B4945" s="141">
        <v>540672</v>
      </c>
      <c r="C4945" s="141" t="s">
        <v>8294</v>
      </c>
      <c r="D4945" s="141" t="s">
        <v>1081</v>
      </c>
    </row>
    <row r="4946" spans="1:4" x14ac:dyDescent="0.3">
      <c r="A4946" s="141" t="s">
        <v>8295</v>
      </c>
      <c r="B4946" s="141">
        <v>540682</v>
      </c>
      <c r="C4946" s="141" t="s">
        <v>8296</v>
      </c>
      <c r="D4946" s="141" t="s">
        <v>1081</v>
      </c>
    </row>
    <row r="4947" spans="1:4" x14ac:dyDescent="0.3">
      <c r="A4947" s="141" t="s">
        <v>8297</v>
      </c>
      <c r="B4947" s="141">
        <v>540683</v>
      </c>
      <c r="C4947" s="141" t="s">
        <v>8298</v>
      </c>
      <c r="D4947" s="141" t="s">
        <v>1081</v>
      </c>
    </row>
    <row r="4948" spans="1:4" x14ac:dyDescent="0.3">
      <c r="A4948" s="141" t="s">
        <v>8299</v>
      </c>
      <c r="B4948" s="141">
        <v>540684</v>
      </c>
      <c r="C4948" s="141" t="s">
        <v>8300</v>
      </c>
      <c r="D4948" s="141" t="s">
        <v>1081</v>
      </c>
    </row>
    <row r="4949" spans="1:4" x14ac:dyDescent="0.3">
      <c r="A4949" s="141" t="s">
        <v>8301</v>
      </c>
      <c r="B4949" s="141">
        <v>540685</v>
      </c>
      <c r="C4949" s="141" t="s">
        <v>8302</v>
      </c>
      <c r="D4949" s="141" t="s">
        <v>1081</v>
      </c>
    </row>
    <row r="4950" spans="1:4" x14ac:dyDescent="0.3">
      <c r="A4950" s="141" t="s">
        <v>8303</v>
      </c>
      <c r="B4950" s="141">
        <v>540711</v>
      </c>
      <c r="C4950" s="141" t="s">
        <v>8304</v>
      </c>
      <c r="D4950" s="141" t="s">
        <v>1081</v>
      </c>
    </row>
    <row r="4951" spans="1:4" x14ac:dyDescent="0.3">
      <c r="A4951" s="141" t="s">
        <v>8305</v>
      </c>
      <c r="B4951" s="141">
        <v>540712</v>
      </c>
      <c r="C4951" s="141" t="s">
        <v>8306</v>
      </c>
      <c r="D4951" s="141" t="s">
        <v>1081</v>
      </c>
    </row>
    <row r="4952" spans="1:4" x14ac:dyDescent="0.3">
      <c r="A4952" s="141" t="s">
        <v>8307</v>
      </c>
      <c r="B4952" s="141">
        <v>540713</v>
      </c>
      <c r="C4952" s="141" t="s">
        <v>8308</v>
      </c>
      <c r="D4952" s="141" t="s">
        <v>1081</v>
      </c>
    </row>
    <row r="4953" spans="1:4" x14ac:dyDescent="0.3">
      <c r="A4953" s="141" t="s">
        <v>8309</v>
      </c>
      <c r="B4953" s="141">
        <v>540714</v>
      </c>
      <c r="C4953" s="141" t="s">
        <v>8310</v>
      </c>
      <c r="D4953" s="141" t="s">
        <v>1081</v>
      </c>
    </row>
    <row r="4954" spans="1:4" x14ac:dyDescent="0.3">
      <c r="A4954" s="141" t="s">
        <v>8311</v>
      </c>
      <c r="B4954" s="141">
        <v>540739</v>
      </c>
      <c r="C4954" s="141" t="s">
        <v>8312</v>
      </c>
      <c r="D4954" s="141" t="s">
        <v>1081</v>
      </c>
    </row>
    <row r="4955" spans="1:4" x14ac:dyDescent="0.3">
      <c r="A4955" s="141" t="s">
        <v>8313</v>
      </c>
      <c r="B4955" s="141">
        <v>540740</v>
      </c>
      <c r="C4955" s="141" t="s">
        <v>8314</v>
      </c>
      <c r="D4955" s="141" t="s">
        <v>1081</v>
      </c>
    </row>
    <row r="4956" spans="1:4" x14ac:dyDescent="0.3">
      <c r="A4956" s="141" t="s">
        <v>8315</v>
      </c>
      <c r="B4956" s="141">
        <v>540741</v>
      </c>
      <c r="C4956" s="141" t="s">
        <v>8316</v>
      </c>
      <c r="D4956" s="141" t="s">
        <v>1081</v>
      </c>
    </row>
    <row r="4957" spans="1:4" x14ac:dyDescent="0.3">
      <c r="A4957" s="141" t="s">
        <v>8317</v>
      </c>
      <c r="B4957" s="141">
        <v>540742</v>
      </c>
      <c r="C4957" s="141" t="s">
        <v>8318</v>
      </c>
      <c r="D4957" s="141" t="s">
        <v>1081</v>
      </c>
    </row>
    <row r="4958" spans="1:4" x14ac:dyDescent="0.3">
      <c r="A4958" s="141" t="s">
        <v>8319</v>
      </c>
      <c r="B4958" s="141">
        <v>540763</v>
      </c>
      <c r="C4958" s="141" t="s">
        <v>8320</v>
      </c>
      <c r="D4958" s="141" t="s">
        <v>1081</v>
      </c>
    </row>
    <row r="4959" spans="1:4" x14ac:dyDescent="0.3">
      <c r="A4959" s="141" t="s">
        <v>8321</v>
      </c>
      <c r="B4959" s="141">
        <v>540764</v>
      </c>
      <c r="C4959" s="141" t="s">
        <v>8322</v>
      </c>
      <c r="D4959" s="141" t="s">
        <v>1081</v>
      </c>
    </row>
    <row r="4960" spans="1:4" x14ac:dyDescent="0.3">
      <c r="A4960" s="141" t="s">
        <v>8323</v>
      </c>
      <c r="B4960" s="141">
        <v>540765</v>
      </c>
      <c r="C4960" s="141" t="s">
        <v>8324</v>
      </c>
      <c r="D4960" s="141" t="s">
        <v>1081</v>
      </c>
    </row>
    <row r="4961" spans="1:4" x14ac:dyDescent="0.3">
      <c r="A4961" s="141" t="s">
        <v>8325</v>
      </c>
      <c r="B4961" s="141">
        <v>540766</v>
      </c>
      <c r="C4961" s="141" t="s">
        <v>8326</v>
      </c>
      <c r="D4961" s="141" t="s">
        <v>1081</v>
      </c>
    </row>
    <row r="4962" spans="1:4" x14ac:dyDescent="0.3">
      <c r="A4962" s="141" t="s">
        <v>8327</v>
      </c>
      <c r="B4962" s="141">
        <v>540778</v>
      </c>
      <c r="C4962" s="141" t="s">
        <v>8328</v>
      </c>
      <c r="D4962" s="141" t="s">
        <v>1081</v>
      </c>
    </row>
    <row r="4963" spans="1:4" x14ac:dyDescent="0.3">
      <c r="A4963" s="141" t="s">
        <v>8329</v>
      </c>
      <c r="B4963" s="141">
        <v>540779</v>
      </c>
      <c r="C4963" s="141" t="s">
        <v>8330</v>
      </c>
      <c r="D4963" s="141" t="s">
        <v>1081</v>
      </c>
    </row>
    <row r="4964" spans="1:4" x14ac:dyDescent="0.3">
      <c r="A4964" s="141" t="s">
        <v>8331</v>
      </c>
      <c r="B4964" s="141">
        <v>540780</v>
      </c>
      <c r="C4964" s="141" t="s">
        <v>8332</v>
      </c>
      <c r="D4964" s="141" t="s">
        <v>1081</v>
      </c>
    </row>
    <row r="4965" spans="1:4" x14ac:dyDescent="0.3">
      <c r="A4965" s="141" t="s">
        <v>8333</v>
      </c>
      <c r="B4965" s="141">
        <v>540781</v>
      </c>
      <c r="C4965" s="141" t="s">
        <v>8334</v>
      </c>
      <c r="D4965" s="141" t="s">
        <v>1081</v>
      </c>
    </row>
    <row r="4966" spans="1:4" x14ac:dyDescent="0.3">
      <c r="A4966" s="141" t="s">
        <v>8335</v>
      </c>
      <c r="B4966" s="141">
        <v>540787</v>
      </c>
      <c r="C4966" s="141" t="s">
        <v>8336</v>
      </c>
      <c r="D4966" s="141" t="s">
        <v>1081</v>
      </c>
    </row>
    <row r="4967" spans="1:4" x14ac:dyDescent="0.3">
      <c r="A4967" s="141" t="s">
        <v>8337</v>
      </c>
      <c r="B4967" s="141">
        <v>540791</v>
      </c>
      <c r="C4967" s="141" t="s">
        <v>8338</v>
      </c>
      <c r="D4967" s="141" t="s">
        <v>1081</v>
      </c>
    </row>
    <row r="4968" spans="1:4" x14ac:dyDescent="0.3">
      <c r="A4968" s="141" t="s">
        <v>8339</v>
      </c>
      <c r="B4968" s="141">
        <v>540792</v>
      </c>
      <c r="C4968" s="141" t="s">
        <v>8340</v>
      </c>
      <c r="D4968" s="141" t="s">
        <v>1081</v>
      </c>
    </row>
    <row r="4969" spans="1:4" x14ac:dyDescent="0.3">
      <c r="A4969" s="141" t="s">
        <v>8341</v>
      </c>
      <c r="B4969" s="141">
        <v>540793</v>
      </c>
      <c r="C4969" s="141" t="s">
        <v>8342</v>
      </c>
      <c r="D4969" s="141" t="s">
        <v>1081</v>
      </c>
    </row>
    <row r="4970" spans="1:4" x14ac:dyDescent="0.3">
      <c r="A4970" s="141" t="s">
        <v>8343</v>
      </c>
      <c r="B4970" s="141">
        <v>540794</v>
      </c>
      <c r="C4970" s="141" t="s">
        <v>8344</v>
      </c>
      <c r="D4970" s="141" t="s">
        <v>1081</v>
      </c>
    </row>
    <row r="4971" spans="1:4" x14ac:dyDescent="0.3">
      <c r="A4971" s="141" t="s">
        <v>8345</v>
      </c>
      <c r="B4971" s="141">
        <v>540799</v>
      </c>
      <c r="C4971" s="141" t="s">
        <v>8346</v>
      </c>
      <c r="D4971" s="141" t="s">
        <v>1081</v>
      </c>
    </row>
    <row r="4972" spans="1:4" x14ac:dyDescent="0.3">
      <c r="A4972" s="141" t="s">
        <v>8347</v>
      </c>
      <c r="B4972" s="141">
        <v>540800</v>
      </c>
      <c r="C4972" s="141" t="s">
        <v>8348</v>
      </c>
      <c r="D4972" s="141" t="s">
        <v>1081</v>
      </c>
    </row>
    <row r="4973" spans="1:4" x14ac:dyDescent="0.3">
      <c r="A4973" s="141" t="s">
        <v>8349</v>
      </c>
      <c r="B4973" s="141">
        <v>540801</v>
      </c>
      <c r="C4973" s="141" t="s">
        <v>8350</v>
      </c>
      <c r="D4973" s="141" t="s">
        <v>1081</v>
      </c>
    </row>
    <row r="4974" spans="1:4" x14ac:dyDescent="0.3">
      <c r="A4974" s="141" t="s">
        <v>8351</v>
      </c>
      <c r="B4974" s="141">
        <v>540802</v>
      </c>
      <c r="C4974" s="141" t="s">
        <v>8352</v>
      </c>
      <c r="D4974" s="141" t="s">
        <v>1081</v>
      </c>
    </row>
    <row r="4975" spans="1:4" x14ac:dyDescent="0.3">
      <c r="A4975" s="141" t="s">
        <v>8353</v>
      </c>
      <c r="B4975" s="141">
        <v>540825</v>
      </c>
      <c r="C4975" s="141" t="s">
        <v>8354</v>
      </c>
      <c r="D4975" s="141" t="s">
        <v>1081</v>
      </c>
    </row>
    <row r="4976" spans="1:4" x14ac:dyDescent="0.3">
      <c r="A4976" s="141" t="s">
        <v>8355</v>
      </c>
      <c r="B4976" s="141">
        <v>540826</v>
      </c>
      <c r="C4976" s="141" t="s">
        <v>8356</v>
      </c>
      <c r="D4976" s="141" t="s">
        <v>1081</v>
      </c>
    </row>
    <row r="4977" spans="1:4" x14ac:dyDescent="0.3">
      <c r="A4977" s="141" t="s">
        <v>8357</v>
      </c>
      <c r="B4977" s="141">
        <v>540827</v>
      </c>
      <c r="C4977" s="141" t="s">
        <v>8358</v>
      </c>
      <c r="D4977" s="141" t="s">
        <v>1081</v>
      </c>
    </row>
    <row r="4978" spans="1:4" x14ac:dyDescent="0.3">
      <c r="A4978" s="141" t="s">
        <v>8359</v>
      </c>
      <c r="B4978" s="141">
        <v>540828</v>
      </c>
      <c r="C4978" s="141" t="s">
        <v>8360</v>
      </c>
      <c r="D4978" s="141" t="s">
        <v>1081</v>
      </c>
    </row>
    <row r="4979" spans="1:4" x14ac:dyDescent="0.3">
      <c r="A4979" s="141" t="s">
        <v>8361</v>
      </c>
      <c r="B4979" s="141">
        <v>540861</v>
      </c>
      <c r="C4979" s="141" t="s">
        <v>8362</v>
      </c>
      <c r="D4979" s="141" t="s">
        <v>1081</v>
      </c>
    </row>
    <row r="4980" spans="1:4" x14ac:dyDescent="0.3">
      <c r="A4980" s="141" t="s">
        <v>8363</v>
      </c>
      <c r="B4980" s="141">
        <v>540862</v>
      </c>
      <c r="C4980" s="141" t="s">
        <v>8364</v>
      </c>
      <c r="D4980" s="141" t="s">
        <v>1081</v>
      </c>
    </row>
    <row r="4981" spans="1:4" x14ac:dyDescent="0.3">
      <c r="A4981" s="141" t="s">
        <v>8365</v>
      </c>
      <c r="B4981" s="141">
        <v>540863</v>
      </c>
      <c r="C4981" s="141" t="s">
        <v>8366</v>
      </c>
      <c r="D4981" s="141" t="s">
        <v>1081</v>
      </c>
    </row>
    <row r="4982" spans="1:4" x14ac:dyDescent="0.3">
      <c r="A4982" s="141" t="s">
        <v>8367</v>
      </c>
      <c r="B4982" s="141">
        <v>540864</v>
      </c>
      <c r="C4982" s="141" t="s">
        <v>8368</v>
      </c>
      <c r="D4982" s="141" t="s">
        <v>1081</v>
      </c>
    </row>
    <row r="4983" spans="1:4" x14ac:dyDescent="0.3">
      <c r="A4983" s="141" t="s">
        <v>8369</v>
      </c>
      <c r="B4983" s="141">
        <v>540896</v>
      </c>
      <c r="C4983" s="141" t="s">
        <v>8370</v>
      </c>
      <c r="D4983" s="141" t="s">
        <v>1081</v>
      </c>
    </row>
    <row r="4984" spans="1:4" x14ac:dyDescent="0.3">
      <c r="A4984" s="141" t="s">
        <v>8371</v>
      </c>
      <c r="B4984" s="141">
        <v>540897</v>
      </c>
      <c r="C4984" s="141" t="s">
        <v>8372</v>
      </c>
      <c r="D4984" s="141" t="s">
        <v>1081</v>
      </c>
    </row>
    <row r="4985" spans="1:4" x14ac:dyDescent="0.3">
      <c r="A4985" s="141" t="s">
        <v>8373</v>
      </c>
      <c r="B4985" s="141">
        <v>540898</v>
      </c>
      <c r="C4985" s="141" t="s">
        <v>8374</v>
      </c>
      <c r="D4985" s="141" t="s">
        <v>1081</v>
      </c>
    </row>
    <row r="4986" spans="1:4" x14ac:dyDescent="0.3">
      <c r="A4986" s="141" t="s">
        <v>8375</v>
      </c>
      <c r="B4986" s="141">
        <v>540899</v>
      </c>
      <c r="C4986" s="141" t="s">
        <v>8376</v>
      </c>
      <c r="D4986" s="141" t="s">
        <v>1081</v>
      </c>
    </row>
    <row r="4987" spans="1:4" x14ac:dyDescent="0.3">
      <c r="A4987" s="141" t="s">
        <v>8377</v>
      </c>
      <c r="B4987" s="141">
        <v>540947</v>
      </c>
      <c r="C4987" s="141" t="s">
        <v>8378</v>
      </c>
      <c r="D4987" s="141" t="s">
        <v>1081</v>
      </c>
    </row>
    <row r="4988" spans="1:4" x14ac:dyDescent="0.3">
      <c r="A4988" s="141" t="s">
        <v>8379</v>
      </c>
      <c r="B4988" s="141">
        <v>540949</v>
      </c>
      <c r="C4988" s="141" t="s">
        <v>8380</v>
      </c>
      <c r="D4988" s="141" t="s">
        <v>1081</v>
      </c>
    </row>
    <row r="4989" spans="1:4" x14ac:dyDescent="0.3">
      <c r="A4989" s="141" t="s">
        <v>8381</v>
      </c>
      <c r="B4989" s="141">
        <v>540950</v>
      </c>
      <c r="C4989" s="141" t="s">
        <v>8382</v>
      </c>
      <c r="D4989" s="141" t="s">
        <v>1081</v>
      </c>
    </row>
    <row r="4990" spans="1:4" x14ac:dyDescent="0.3">
      <c r="A4990" s="141" t="s">
        <v>8383</v>
      </c>
      <c r="B4990" s="141">
        <v>540951</v>
      </c>
      <c r="C4990" s="141" t="s">
        <v>8384</v>
      </c>
      <c r="D4990" s="141" t="s">
        <v>1081</v>
      </c>
    </row>
    <row r="4991" spans="1:4" x14ac:dyDescent="0.3">
      <c r="A4991" s="141" t="s">
        <v>8385</v>
      </c>
      <c r="B4991" s="141">
        <v>540981</v>
      </c>
      <c r="C4991" s="141" t="s">
        <v>8386</v>
      </c>
      <c r="D4991" s="141" t="s">
        <v>1081</v>
      </c>
    </row>
    <row r="4992" spans="1:4" x14ac:dyDescent="0.3">
      <c r="A4992" s="141" t="s">
        <v>8387</v>
      </c>
      <c r="B4992" s="141">
        <v>540982</v>
      </c>
      <c r="C4992" s="141" t="s">
        <v>8388</v>
      </c>
      <c r="D4992" s="141" t="s">
        <v>1081</v>
      </c>
    </row>
    <row r="4993" spans="1:4" x14ac:dyDescent="0.3">
      <c r="A4993" s="141" t="s">
        <v>8389</v>
      </c>
      <c r="B4993" s="141">
        <v>540983</v>
      </c>
      <c r="C4993" s="141" t="s">
        <v>8390</v>
      </c>
      <c r="D4993" s="141" t="s">
        <v>1081</v>
      </c>
    </row>
    <row r="4994" spans="1:4" x14ac:dyDescent="0.3">
      <c r="A4994" s="141" t="s">
        <v>8391</v>
      </c>
      <c r="B4994" s="141">
        <v>540984</v>
      </c>
      <c r="C4994" s="141" t="s">
        <v>8392</v>
      </c>
      <c r="D4994" s="141" t="s">
        <v>1081</v>
      </c>
    </row>
    <row r="4995" spans="1:4" x14ac:dyDescent="0.3">
      <c r="A4995" s="141" t="s">
        <v>8393</v>
      </c>
      <c r="B4995" s="141">
        <v>541068</v>
      </c>
      <c r="C4995" s="141" t="s">
        <v>8394</v>
      </c>
      <c r="D4995" s="141" t="s">
        <v>1081</v>
      </c>
    </row>
    <row r="4996" spans="1:4" x14ac:dyDescent="0.3">
      <c r="A4996" s="141" t="s">
        <v>8395</v>
      </c>
      <c r="B4996" s="141">
        <v>541069</v>
      </c>
      <c r="C4996" s="141" t="s">
        <v>8396</v>
      </c>
      <c r="D4996" s="141" t="s">
        <v>1081</v>
      </c>
    </row>
    <row r="4997" spans="1:4" x14ac:dyDescent="0.3">
      <c r="A4997" s="141" t="s">
        <v>8397</v>
      </c>
      <c r="B4997" s="141">
        <v>541070</v>
      </c>
      <c r="C4997" s="141" t="s">
        <v>8398</v>
      </c>
      <c r="D4997" s="141" t="s">
        <v>1081</v>
      </c>
    </row>
    <row r="4998" spans="1:4" x14ac:dyDescent="0.3">
      <c r="A4998" s="141" t="s">
        <v>8399</v>
      </c>
      <c r="B4998" s="141">
        <v>541071</v>
      </c>
      <c r="C4998" s="141" t="s">
        <v>8400</v>
      </c>
      <c r="D4998" s="141" t="s">
        <v>1081</v>
      </c>
    </row>
    <row r="4999" spans="1:4" x14ac:dyDescent="0.3">
      <c r="A4999" s="141" t="s">
        <v>8401</v>
      </c>
      <c r="B4999" s="141">
        <v>541084</v>
      </c>
      <c r="C4999" s="141" t="s">
        <v>8402</v>
      </c>
      <c r="D4999" s="141" t="s">
        <v>1081</v>
      </c>
    </row>
    <row r="5000" spans="1:4" x14ac:dyDescent="0.3">
      <c r="A5000" s="141" t="s">
        <v>8403</v>
      </c>
      <c r="B5000" s="141">
        <v>541085</v>
      </c>
      <c r="C5000" s="141" t="s">
        <v>8404</v>
      </c>
      <c r="D5000" s="141" t="s">
        <v>1081</v>
      </c>
    </row>
    <row r="5001" spans="1:4" x14ac:dyDescent="0.3">
      <c r="A5001" s="141" t="s">
        <v>8405</v>
      </c>
      <c r="B5001" s="141">
        <v>541086</v>
      </c>
      <c r="C5001" s="141" t="s">
        <v>8406</v>
      </c>
      <c r="D5001" s="141" t="s">
        <v>1081</v>
      </c>
    </row>
    <row r="5002" spans="1:4" x14ac:dyDescent="0.3">
      <c r="A5002" s="141" t="s">
        <v>8407</v>
      </c>
      <c r="B5002" s="141">
        <v>541087</v>
      </c>
      <c r="C5002" s="141" t="s">
        <v>8408</v>
      </c>
      <c r="D5002" s="141" t="s">
        <v>1081</v>
      </c>
    </row>
    <row r="5003" spans="1:4" x14ac:dyDescent="0.3">
      <c r="A5003" s="141" t="s">
        <v>8409</v>
      </c>
      <c r="B5003" s="141">
        <v>541092</v>
      </c>
      <c r="C5003" s="141" t="s">
        <v>8410</v>
      </c>
      <c r="D5003" s="141" t="s">
        <v>1081</v>
      </c>
    </row>
    <row r="5004" spans="1:4" x14ac:dyDescent="0.3">
      <c r="A5004" s="141" t="s">
        <v>8411</v>
      </c>
      <c r="B5004" s="141">
        <v>541093</v>
      </c>
      <c r="C5004" s="141" t="s">
        <v>8412</v>
      </c>
      <c r="D5004" s="141" t="s">
        <v>1081</v>
      </c>
    </row>
    <row r="5005" spans="1:4" x14ac:dyDescent="0.3">
      <c r="A5005" s="141" t="s">
        <v>8413</v>
      </c>
      <c r="B5005" s="141">
        <v>541094</v>
      </c>
      <c r="C5005" s="141" t="s">
        <v>8414</v>
      </c>
      <c r="D5005" s="141" t="s">
        <v>1081</v>
      </c>
    </row>
    <row r="5006" spans="1:4" x14ac:dyDescent="0.3">
      <c r="A5006" s="141" t="s">
        <v>8415</v>
      </c>
      <c r="B5006" s="141">
        <v>541095</v>
      </c>
      <c r="C5006" s="141" t="s">
        <v>8416</v>
      </c>
      <c r="D5006" s="141" t="s">
        <v>1081</v>
      </c>
    </row>
    <row r="5007" spans="1:4" x14ac:dyDescent="0.3">
      <c r="A5007" s="141" t="s">
        <v>8417</v>
      </c>
      <c r="B5007" s="141">
        <v>541252</v>
      </c>
      <c r="C5007" s="141" t="s">
        <v>8418</v>
      </c>
      <c r="D5007" s="141" t="s">
        <v>1081</v>
      </c>
    </row>
    <row r="5008" spans="1:4" x14ac:dyDescent="0.3">
      <c r="A5008" s="141" t="s">
        <v>8419</v>
      </c>
      <c r="B5008" s="141">
        <v>541253</v>
      </c>
      <c r="C5008" s="141" t="s">
        <v>8420</v>
      </c>
      <c r="D5008" s="141" t="s">
        <v>1081</v>
      </c>
    </row>
    <row r="5009" spans="1:4" x14ac:dyDescent="0.3">
      <c r="A5009" s="141" t="s">
        <v>8421</v>
      </c>
      <c r="B5009" s="141">
        <v>541254</v>
      </c>
      <c r="C5009" s="141" t="s">
        <v>8422</v>
      </c>
      <c r="D5009" s="141" t="s">
        <v>1081</v>
      </c>
    </row>
    <row r="5010" spans="1:4" x14ac:dyDescent="0.3">
      <c r="A5010" s="141" t="s">
        <v>8423</v>
      </c>
      <c r="B5010" s="141">
        <v>541255</v>
      </c>
      <c r="C5010" s="141" t="s">
        <v>8424</v>
      </c>
      <c r="D5010" s="141" t="s">
        <v>1081</v>
      </c>
    </row>
    <row r="5011" spans="1:4" x14ac:dyDescent="0.3">
      <c r="A5011" s="141" t="s">
        <v>8425</v>
      </c>
      <c r="B5011" s="141">
        <v>541300</v>
      </c>
      <c r="C5011" s="141" t="s">
        <v>8426</v>
      </c>
      <c r="D5011" s="141" t="s">
        <v>1081</v>
      </c>
    </row>
    <row r="5012" spans="1:4" x14ac:dyDescent="0.3">
      <c r="A5012" s="141" t="s">
        <v>8427</v>
      </c>
      <c r="B5012" s="141">
        <v>541309</v>
      </c>
      <c r="C5012" s="141" t="s">
        <v>8428</v>
      </c>
      <c r="D5012" s="141" t="s">
        <v>1081</v>
      </c>
    </row>
    <row r="5013" spans="1:4" x14ac:dyDescent="0.3">
      <c r="A5013" s="141" t="s">
        <v>8429</v>
      </c>
      <c r="B5013" s="141">
        <v>541310</v>
      </c>
      <c r="C5013" s="141" t="s">
        <v>8430</v>
      </c>
      <c r="D5013" s="141" t="s">
        <v>1081</v>
      </c>
    </row>
    <row r="5014" spans="1:4" x14ac:dyDescent="0.3">
      <c r="A5014" s="141" t="s">
        <v>8431</v>
      </c>
      <c r="B5014" s="141">
        <v>541311</v>
      </c>
      <c r="C5014" s="141" t="s">
        <v>8432</v>
      </c>
      <c r="D5014" s="141" t="s">
        <v>1081</v>
      </c>
    </row>
    <row r="5015" spans="1:4" x14ac:dyDescent="0.3">
      <c r="A5015" s="141" t="s">
        <v>8433</v>
      </c>
      <c r="B5015" s="141">
        <v>541312</v>
      </c>
      <c r="C5015" s="141" t="s">
        <v>8434</v>
      </c>
      <c r="D5015" s="141" t="s">
        <v>1081</v>
      </c>
    </row>
    <row r="5016" spans="1:4" x14ac:dyDescent="0.3">
      <c r="A5016" s="141" t="s">
        <v>8435</v>
      </c>
      <c r="B5016" s="141">
        <v>541313</v>
      </c>
      <c r="C5016" s="141" t="s">
        <v>8436</v>
      </c>
      <c r="D5016" s="141" t="s">
        <v>1081</v>
      </c>
    </row>
    <row r="5017" spans="1:4" x14ac:dyDescent="0.3">
      <c r="A5017" s="141" t="s">
        <v>8437</v>
      </c>
      <c r="B5017" s="141">
        <v>541341</v>
      </c>
      <c r="C5017" s="141" t="s">
        <v>8438</v>
      </c>
      <c r="D5017" s="141" t="s">
        <v>1081</v>
      </c>
    </row>
    <row r="5018" spans="1:4" x14ac:dyDescent="0.3">
      <c r="A5018" s="141" t="s">
        <v>8439</v>
      </c>
      <c r="B5018" s="141">
        <v>541343</v>
      </c>
      <c r="C5018" s="141" t="s">
        <v>8440</v>
      </c>
      <c r="D5018" s="141" t="s">
        <v>1081</v>
      </c>
    </row>
    <row r="5019" spans="1:4" x14ac:dyDescent="0.3">
      <c r="A5019" s="141" t="s">
        <v>8441</v>
      </c>
      <c r="B5019" s="141">
        <v>541345</v>
      </c>
      <c r="C5019" s="141" t="s">
        <v>8442</v>
      </c>
      <c r="D5019" s="141" t="s">
        <v>1081</v>
      </c>
    </row>
    <row r="5020" spans="1:4" x14ac:dyDescent="0.3">
      <c r="A5020" s="141" t="s">
        <v>8443</v>
      </c>
      <c r="B5020" s="141">
        <v>541346</v>
      </c>
      <c r="C5020" s="141" t="s">
        <v>8444</v>
      </c>
      <c r="D5020" s="141" t="s">
        <v>1081</v>
      </c>
    </row>
    <row r="5021" spans="1:4" x14ac:dyDescent="0.3">
      <c r="A5021" s="141" t="s">
        <v>8445</v>
      </c>
      <c r="B5021" s="141">
        <v>541672</v>
      </c>
      <c r="C5021" s="141" t="s">
        <v>8446</v>
      </c>
      <c r="D5021" s="141" t="s">
        <v>1081</v>
      </c>
    </row>
    <row r="5022" spans="1:4" x14ac:dyDescent="0.3">
      <c r="A5022" s="141" t="s">
        <v>8447</v>
      </c>
      <c r="B5022" s="141">
        <v>541673</v>
      </c>
      <c r="C5022" s="141" t="s">
        <v>8448</v>
      </c>
      <c r="D5022" s="141" t="s">
        <v>1081</v>
      </c>
    </row>
    <row r="5023" spans="1:4" x14ac:dyDescent="0.3">
      <c r="A5023" s="141" t="s">
        <v>8449</v>
      </c>
      <c r="B5023" s="141">
        <v>541674</v>
      </c>
      <c r="C5023" s="141" t="s">
        <v>8450</v>
      </c>
      <c r="D5023" s="141" t="s">
        <v>1081</v>
      </c>
    </row>
    <row r="5024" spans="1:4" x14ac:dyDescent="0.3">
      <c r="A5024" s="141" t="s">
        <v>8451</v>
      </c>
      <c r="B5024" s="141">
        <v>541675</v>
      </c>
      <c r="C5024" s="141" t="s">
        <v>8452</v>
      </c>
      <c r="D5024" s="141" t="s">
        <v>1081</v>
      </c>
    </row>
    <row r="5025" spans="1:4" x14ac:dyDescent="0.3">
      <c r="A5025" s="141" t="s">
        <v>8453</v>
      </c>
      <c r="B5025" s="141">
        <v>541676</v>
      </c>
      <c r="C5025" s="141" t="s">
        <v>8454</v>
      </c>
      <c r="D5025" s="141" t="s">
        <v>1081</v>
      </c>
    </row>
    <row r="5026" spans="1:4" x14ac:dyDescent="0.3">
      <c r="A5026" s="141" t="s">
        <v>8455</v>
      </c>
      <c r="B5026" s="141">
        <v>541677</v>
      </c>
      <c r="C5026" s="141" t="s">
        <v>8456</v>
      </c>
      <c r="D5026" s="141" t="s">
        <v>1081</v>
      </c>
    </row>
    <row r="5027" spans="1:4" x14ac:dyDescent="0.3">
      <c r="A5027" s="141" t="s">
        <v>8457</v>
      </c>
      <c r="B5027" s="141">
        <v>541678</v>
      </c>
      <c r="C5027" s="141" t="s">
        <v>8458</v>
      </c>
      <c r="D5027" s="141" t="s">
        <v>1081</v>
      </c>
    </row>
    <row r="5028" spans="1:4" x14ac:dyDescent="0.3">
      <c r="A5028" s="141" t="s">
        <v>8459</v>
      </c>
      <c r="B5028" s="141">
        <v>541679</v>
      </c>
      <c r="C5028" s="141" t="s">
        <v>8460</v>
      </c>
      <c r="D5028" s="141" t="s">
        <v>1081</v>
      </c>
    </row>
    <row r="5029" spans="1:4" x14ac:dyDescent="0.3">
      <c r="A5029" s="141" t="s">
        <v>8461</v>
      </c>
      <c r="B5029" s="141">
        <v>541725</v>
      </c>
      <c r="C5029" s="141" t="s">
        <v>8462</v>
      </c>
      <c r="D5029" s="141" t="s">
        <v>1081</v>
      </c>
    </row>
    <row r="5030" spans="1:4" x14ac:dyDescent="0.3">
      <c r="A5030" s="141" t="s">
        <v>8463</v>
      </c>
      <c r="B5030" s="141">
        <v>541726</v>
      </c>
      <c r="C5030" s="141" t="s">
        <v>8464</v>
      </c>
      <c r="D5030" s="141" t="s">
        <v>1081</v>
      </c>
    </row>
    <row r="5031" spans="1:4" x14ac:dyDescent="0.3">
      <c r="A5031" s="141" t="s">
        <v>8465</v>
      </c>
      <c r="B5031" s="141">
        <v>541727</v>
      </c>
      <c r="C5031" s="141" t="s">
        <v>8466</v>
      </c>
      <c r="D5031" s="141" t="s">
        <v>1081</v>
      </c>
    </row>
    <row r="5032" spans="1:4" x14ac:dyDescent="0.3">
      <c r="A5032" s="141" t="s">
        <v>8467</v>
      </c>
      <c r="B5032" s="141">
        <v>541728</v>
      </c>
      <c r="C5032" s="141" t="s">
        <v>8468</v>
      </c>
      <c r="D5032" s="141" t="s">
        <v>1081</v>
      </c>
    </row>
    <row r="5033" spans="1:4" x14ac:dyDescent="0.3">
      <c r="A5033" s="141" t="s">
        <v>8469</v>
      </c>
      <c r="B5033" s="141">
        <v>541742</v>
      </c>
      <c r="C5033" s="141" t="s">
        <v>8470</v>
      </c>
      <c r="D5033" s="141" t="s">
        <v>1081</v>
      </c>
    </row>
    <row r="5034" spans="1:4" x14ac:dyDescent="0.3">
      <c r="A5034" s="141" t="s">
        <v>8471</v>
      </c>
      <c r="B5034" s="141">
        <v>541743</v>
      </c>
      <c r="C5034" s="141" t="s">
        <v>8472</v>
      </c>
      <c r="D5034" s="141" t="s">
        <v>1081</v>
      </c>
    </row>
    <row r="5035" spans="1:4" x14ac:dyDescent="0.3">
      <c r="A5035" s="141" t="s">
        <v>8473</v>
      </c>
      <c r="B5035" s="141">
        <v>541744</v>
      </c>
      <c r="C5035" s="141" t="s">
        <v>8474</v>
      </c>
      <c r="D5035" s="141" t="s">
        <v>1081</v>
      </c>
    </row>
    <row r="5036" spans="1:4" x14ac:dyDescent="0.3">
      <c r="A5036" s="141" t="s">
        <v>8475</v>
      </c>
      <c r="B5036" s="141">
        <v>541745</v>
      </c>
      <c r="C5036" s="141" t="s">
        <v>8476</v>
      </c>
      <c r="D5036" s="141" t="s">
        <v>1081</v>
      </c>
    </row>
    <row r="5037" spans="1:4" x14ac:dyDescent="0.3">
      <c r="A5037" s="141" t="s">
        <v>8477</v>
      </c>
      <c r="B5037" s="141">
        <v>541804</v>
      </c>
      <c r="C5037" s="141" t="s">
        <v>8478</v>
      </c>
      <c r="D5037" s="141" t="s">
        <v>1081</v>
      </c>
    </row>
    <row r="5038" spans="1:4" x14ac:dyDescent="0.3">
      <c r="A5038" s="141" t="s">
        <v>8479</v>
      </c>
      <c r="B5038" s="141">
        <v>541805</v>
      </c>
      <c r="C5038" s="141" t="s">
        <v>8480</v>
      </c>
      <c r="D5038" s="141" t="s">
        <v>1081</v>
      </c>
    </row>
    <row r="5039" spans="1:4" x14ac:dyDescent="0.3">
      <c r="A5039" s="141" t="s">
        <v>8481</v>
      </c>
      <c r="B5039" s="141">
        <v>541806</v>
      </c>
      <c r="C5039" s="141" t="s">
        <v>8482</v>
      </c>
      <c r="D5039" s="141" t="s">
        <v>1081</v>
      </c>
    </row>
    <row r="5040" spans="1:4" x14ac:dyDescent="0.3">
      <c r="A5040" s="141" t="s">
        <v>8483</v>
      </c>
      <c r="B5040" s="141">
        <v>541807</v>
      </c>
      <c r="C5040" s="141" t="s">
        <v>8484</v>
      </c>
      <c r="D5040" s="141" t="s">
        <v>1081</v>
      </c>
    </row>
    <row r="5041" spans="1:4" x14ac:dyDescent="0.3">
      <c r="A5041" s="141" t="s">
        <v>8485</v>
      </c>
      <c r="B5041" s="141">
        <v>541809</v>
      </c>
      <c r="C5041" s="141" t="s">
        <v>8486</v>
      </c>
      <c r="D5041" s="141" t="s">
        <v>1081</v>
      </c>
    </row>
    <row r="5042" spans="1:4" x14ac:dyDescent="0.3">
      <c r="A5042" s="141" t="s">
        <v>8487</v>
      </c>
      <c r="B5042" s="141">
        <v>541879</v>
      </c>
      <c r="C5042" s="141" t="s">
        <v>8488</v>
      </c>
      <c r="D5042" s="141" t="s">
        <v>1081</v>
      </c>
    </row>
    <row r="5043" spans="1:4" x14ac:dyDescent="0.3">
      <c r="A5043" s="141" t="s">
        <v>8489</v>
      </c>
      <c r="B5043" s="141">
        <v>541881</v>
      </c>
      <c r="C5043" s="141" t="s">
        <v>8490</v>
      </c>
      <c r="D5043" s="141" t="s">
        <v>1081</v>
      </c>
    </row>
    <row r="5044" spans="1:4" x14ac:dyDescent="0.3">
      <c r="A5044" s="141" t="s">
        <v>8491</v>
      </c>
      <c r="B5044" s="141">
        <v>541882</v>
      </c>
      <c r="C5044" s="141" t="s">
        <v>8492</v>
      </c>
      <c r="D5044" s="141" t="s">
        <v>1081</v>
      </c>
    </row>
    <row r="5045" spans="1:4" x14ac:dyDescent="0.3">
      <c r="A5045" s="141" t="s">
        <v>8493</v>
      </c>
      <c r="B5045" s="141">
        <v>541884</v>
      </c>
      <c r="C5045" s="141" t="s">
        <v>8494</v>
      </c>
      <c r="D5045" s="141" t="s">
        <v>1081</v>
      </c>
    </row>
    <row r="5046" spans="1:4" x14ac:dyDescent="0.3">
      <c r="A5046" s="141" t="s">
        <v>8495</v>
      </c>
      <c r="B5046" s="141">
        <v>541972</v>
      </c>
      <c r="C5046" s="141" t="s">
        <v>8496</v>
      </c>
      <c r="D5046" s="141" t="s">
        <v>1081</v>
      </c>
    </row>
    <row r="5047" spans="1:4" x14ac:dyDescent="0.3">
      <c r="A5047" s="141" t="s">
        <v>8497</v>
      </c>
      <c r="B5047" s="141">
        <v>541984</v>
      </c>
      <c r="C5047" s="141" t="s">
        <v>8498</v>
      </c>
      <c r="D5047" s="141" t="s">
        <v>1081</v>
      </c>
    </row>
    <row r="5048" spans="1:4" x14ac:dyDescent="0.3">
      <c r="A5048" s="141" t="s">
        <v>8499</v>
      </c>
      <c r="B5048" s="141">
        <v>541985</v>
      </c>
      <c r="C5048" s="141" t="s">
        <v>8500</v>
      </c>
      <c r="D5048" s="141" t="s">
        <v>1081</v>
      </c>
    </row>
    <row r="5049" spans="1:4" x14ac:dyDescent="0.3">
      <c r="A5049" s="141" t="s">
        <v>8501</v>
      </c>
      <c r="B5049" s="141">
        <v>541986</v>
      </c>
      <c r="C5049" s="141" t="s">
        <v>8502</v>
      </c>
      <c r="D5049" s="141" t="s">
        <v>1081</v>
      </c>
    </row>
    <row r="5050" spans="1:4" x14ac:dyDescent="0.3">
      <c r="A5050" s="141" t="s">
        <v>8503</v>
      </c>
      <c r="B5050" s="141">
        <v>541987</v>
      </c>
      <c r="C5050" s="141" t="s">
        <v>8504</v>
      </c>
      <c r="D5050" s="141" t="s">
        <v>1081</v>
      </c>
    </row>
    <row r="5051" spans="1:4" x14ac:dyDescent="0.3">
      <c r="A5051" s="141" t="s">
        <v>8505</v>
      </c>
      <c r="B5051" s="141">
        <v>542131</v>
      </c>
      <c r="C5051" s="141" t="s">
        <v>8506</v>
      </c>
      <c r="D5051" s="141" t="s">
        <v>1081</v>
      </c>
    </row>
    <row r="5052" spans="1:4" x14ac:dyDescent="0.3">
      <c r="A5052" s="141" t="s">
        <v>8507</v>
      </c>
      <c r="B5052" s="141">
        <v>542156</v>
      </c>
      <c r="C5052" s="141" t="s">
        <v>8508</v>
      </c>
      <c r="D5052" s="141" t="s">
        <v>1081</v>
      </c>
    </row>
    <row r="5053" spans="1:4" x14ac:dyDescent="0.3">
      <c r="A5053" s="141" t="s">
        <v>8509</v>
      </c>
      <c r="B5053" s="141">
        <v>542158</v>
      </c>
      <c r="C5053" s="141" t="s">
        <v>8510</v>
      </c>
      <c r="D5053" s="141" t="s">
        <v>1081</v>
      </c>
    </row>
    <row r="5054" spans="1:4" x14ac:dyDescent="0.3">
      <c r="A5054" s="141" t="s">
        <v>8511</v>
      </c>
      <c r="B5054" s="141">
        <v>542160</v>
      </c>
      <c r="C5054" s="141" t="s">
        <v>8512</v>
      </c>
      <c r="D5054" s="141" t="s">
        <v>1081</v>
      </c>
    </row>
    <row r="5055" spans="1:4" x14ac:dyDescent="0.3">
      <c r="A5055" s="141" t="s">
        <v>8513</v>
      </c>
      <c r="B5055" s="141">
        <v>542163</v>
      </c>
      <c r="C5055" s="141" t="s">
        <v>8514</v>
      </c>
      <c r="D5055" s="141" t="s">
        <v>1081</v>
      </c>
    </row>
    <row r="5056" spans="1:4" x14ac:dyDescent="0.3">
      <c r="A5056" s="141" t="s">
        <v>8515</v>
      </c>
      <c r="B5056" s="141">
        <v>542230</v>
      </c>
      <c r="C5056" s="141" t="s">
        <v>8516</v>
      </c>
      <c r="D5056" s="141" t="s">
        <v>1081</v>
      </c>
    </row>
    <row r="5057" spans="1:4" x14ac:dyDescent="0.3">
      <c r="A5057" s="141" t="s">
        <v>8517</v>
      </c>
      <c r="B5057" s="141">
        <v>542244</v>
      </c>
      <c r="C5057" s="141" t="s">
        <v>8518</v>
      </c>
      <c r="D5057" s="141" t="s">
        <v>1081</v>
      </c>
    </row>
    <row r="5058" spans="1:4" x14ac:dyDescent="0.3">
      <c r="A5058" s="141" t="s">
        <v>8519</v>
      </c>
      <c r="B5058" s="141">
        <v>542245</v>
      </c>
      <c r="C5058" s="141" t="s">
        <v>8520</v>
      </c>
      <c r="D5058" s="141" t="s">
        <v>1081</v>
      </c>
    </row>
    <row r="5059" spans="1:4" x14ac:dyDescent="0.3">
      <c r="A5059" s="141" t="s">
        <v>8521</v>
      </c>
      <c r="B5059" s="141">
        <v>542246</v>
      </c>
      <c r="C5059" s="141" t="s">
        <v>8522</v>
      </c>
      <c r="D5059" s="141" t="s">
        <v>1081</v>
      </c>
    </row>
    <row r="5060" spans="1:4" x14ac:dyDescent="0.3">
      <c r="A5060" s="141" t="s">
        <v>8523</v>
      </c>
      <c r="B5060" s="141">
        <v>542247</v>
      </c>
      <c r="C5060" s="141" t="s">
        <v>8524</v>
      </c>
      <c r="D5060" s="141" t="s">
        <v>1081</v>
      </c>
    </row>
    <row r="5061" spans="1:4" x14ac:dyDescent="0.3">
      <c r="A5061" s="141" t="s">
        <v>8525</v>
      </c>
      <c r="B5061" s="141">
        <v>542513</v>
      </c>
      <c r="C5061" s="141" t="s">
        <v>8526</v>
      </c>
      <c r="D5061" s="141" t="s">
        <v>1081</v>
      </c>
    </row>
    <row r="5062" spans="1:4" x14ac:dyDescent="0.3">
      <c r="A5062" s="141" t="s">
        <v>8527</v>
      </c>
      <c r="B5062" s="141">
        <v>542543</v>
      </c>
      <c r="C5062" s="141" t="s">
        <v>8528</v>
      </c>
      <c r="D5062" s="141" t="s">
        <v>1081</v>
      </c>
    </row>
    <row r="5063" spans="1:4" x14ac:dyDescent="0.3">
      <c r="A5063" s="141" t="s">
        <v>8529</v>
      </c>
      <c r="B5063" s="141">
        <v>542694</v>
      </c>
      <c r="C5063" s="141" t="s">
        <v>8530</v>
      </c>
      <c r="D5063" s="141" t="s">
        <v>1151</v>
      </c>
    </row>
    <row r="5064" spans="1:4" x14ac:dyDescent="0.3">
      <c r="A5064" s="141" t="s">
        <v>8531</v>
      </c>
      <c r="B5064" s="141">
        <v>542721</v>
      </c>
      <c r="C5064" s="141" t="s">
        <v>8532</v>
      </c>
      <c r="D5064" s="141" t="s">
        <v>1151</v>
      </c>
    </row>
    <row r="5065" spans="1:4" x14ac:dyDescent="0.3">
      <c r="A5065" s="141" t="s">
        <v>8533</v>
      </c>
      <c r="B5065" s="141">
        <v>542724</v>
      </c>
      <c r="C5065" s="141" t="s">
        <v>8534</v>
      </c>
      <c r="D5065" s="141" t="s">
        <v>1167</v>
      </c>
    </row>
    <row r="5066" spans="1:4" x14ac:dyDescent="0.3">
      <c r="A5066" s="141" t="s">
        <v>8535</v>
      </c>
      <c r="B5066" s="141">
        <v>542725</v>
      </c>
      <c r="C5066" s="141" t="s">
        <v>8536</v>
      </c>
      <c r="D5066" s="141" t="s">
        <v>1243</v>
      </c>
    </row>
    <row r="5067" spans="1:4" x14ac:dyDescent="0.3">
      <c r="A5067" s="141" t="s">
        <v>8537</v>
      </c>
      <c r="B5067" s="141">
        <v>542726</v>
      </c>
      <c r="C5067" s="141" t="s">
        <v>8538</v>
      </c>
      <c r="D5067" s="141" t="s">
        <v>1135</v>
      </c>
    </row>
    <row r="5068" spans="1:4" x14ac:dyDescent="0.3">
      <c r="A5068" s="141" t="s">
        <v>8539</v>
      </c>
      <c r="B5068" s="141">
        <v>542727</v>
      </c>
      <c r="C5068" s="141" t="s">
        <v>8540</v>
      </c>
      <c r="D5068" s="141" t="s">
        <v>1130</v>
      </c>
    </row>
    <row r="5069" spans="1:4" x14ac:dyDescent="0.3">
      <c r="A5069" s="141" t="s">
        <v>8541</v>
      </c>
      <c r="B5069" s="141">
        <v>542728</v>
      </c>
      <c r="C5069" s="141" t="s">
        <v>8542</v>
      </c>
      <c r="D5069" s="141" t="s">
        <v>1243</v>
      </c>
    </row>
    <row r="5070" spans="1:4" x14ac:dyDescent="0.3">
      <c r="A5070" s="141" t="s">
        <v>8543</v>
      </c>
      <c r="B5070" s="141">
        <v>542729</v>
      </c>
      <c r="C5070" s="141" t="s">
        <v>8544</v>
      </c>
      <c r="D5070" s="141" t="s">
        <v>1144</v>
      </c>
    </row>
    <row r="5071" spans="1:4" x14ac:dyDescent="0.3">
      <c r="A5071" s="141" t="s">
        <v>8545</v>
      </c>
      <c r="B5071" s="141">
        <v>542730</v>
      </c>
      <c r="C5071" s="141" t="s">
        <v>8546</v>
      </c>
      <c r="D5071" s="141" t="s">
        <v>1081</v>
      </c>
    </row>
    <row r="5072" spans="1:4" x14ac:dyDescent="0.3">
      <c r="A5072" s="141" t="s">
        <v>8547</v>
      </c>
      <c r="B5072" s="141">
        <v>542747</v>
      </c>
      <c r="C5072" s="141" t="s">
        <v>8548</v>
      </c>
      <c r="D5072" s="141" t="s">
        <v>1081</v>
      </c>
    </row>
    <row r="5073" spans="1:4" x14ac:dyDescent="0.3">
      <c r="A5073" s="141" t="s">
        <v>8549</v>
      </c>
      <c r="B5073" s="141">
        <v>542752</v>
      </c>
      <c r="C5073" s="141" t="s">
        <v>8550</v>
      </c>
      <c r="D5073" s="141" t="s">
        <v>2732</v>
      </c>
    </row>
    <row r="5074" spans="1:4" x14ac:dyDescent="0.3">
      <c r="A5074" s="141" t="s">
        <v>8551</v>
      </c>
      <c r="B5074" s="141">
        <v>542753</v>
      </c>
      <c r="C5074" s="141" t="s">
        <v>8552</v>
      </c>
      <c r="D5074" s="141" t="s">
        <v>1163</v>
      </c>
    </row>
    <row r="5075" spans="1:4" x14ac:dyDescent="0.3">
      <c r="A5075" s="141" t="s">
        <v>8553</v>
      </c>
      <c r="B5075" s="141">
        <v>542758</v>
      </c>
      <c r="C5075" s="141" t="s">
        <v>8554</v>
      </c>
      <c r="D5075" s="141" t="s">
        <v>1081</v>
      </c>
    </row>
    <row r="5076" spans="1:4" x14ac:dyDescent="0.3">
      <c r="A5076" s="141" t="s">
        <v>8555</v>
      </c>
      <c r="B5076" s="141">
        <v>542759</v>
      </c>
      <c r="C5076" s="141" t="s">
        <v>8556</v>
      </c>
      <c r="D5076" s="141" t="s">
        <v>1146</v>
      </c>
    </row>
    <row r="5077" spans="1:4" x14ac:dyDescent="0.3">
      <c r="A5077" s="141" t="s">
        <v>8557</v>
      </c>
      <c r="B5077" s="141">
        <v>542760</v>
      </c>
      <c r="C5077" s="141" t="s">
        <v>8558</v>
      </c>
      <c r="D5077" s="141" t="s">
        <v>1172</v>
      </c>
    </row>
    <row r="5078" spans="1:4" x14ac:dyDescent="0.3">
      <c r="A5078" s="141" t="s">
        <v>8559</v>
      </c>
      <c r="B5078" s="141">
        <v>542765</v>
      </c>
      <c r="C5078" s="141" t="s">
        <v>8560</v>
      </c>
      <c r="D5078" s="141" t="s">
        <v>2296</v>
      </c>
    </row>
    <row r="5079" spans="1:4" x14ac:dyDescent="0.3">
      <c r="A5079" s="141" t="s">
        <v>8561</v>
      </c>
      <c r="B5079" s="141">
        <v>542770</v>
      </c>
      <c r="C5079" s="141" t="s">
        <v>8562</v>
      </c>
      <c r="D5079" s="141" t="s">
        <v>1115</v>
      </c>
    </row>
    <row r="5080" spans="1:4" x14ac:dyDescent="0.3">
      <c r="A5080" s="141" t="s">
        <v>8563</v>
      </c>
      <c r="B5080" s="141">
        <v>542771</v>
      </c>
      <c r="C5080" s="141" t="s">
        <v>8564</v>
      </c>
      <c r="D5080" s="141" t="s">
        <v>1311</v>
      </c>
    </row>
    <row r="5081" spans="1:4" x14ac:dyDescent="0.3">
      <c r="A5081" s="141" t="s">
        <v>8565</v>
      </c>
      <c r="B5081" s="141">
        <v>542772</v>
      </c>
      <c r="C5081" s="141" t="s">
        <v>8566</v>
      </c>
      <c r="D5081" s="141" t="s">
        <v>1112</v>
      </c>
    </row>
    <row r="5082" spans="1:4" x14ac:dyDescent="0.3">
      <c r="A5082" s="141" t="s">
        <v>8567</v>
      </c>
      <c r="B5082" s="141">
        <v>542773</v>
      </c>
      <c r="C5082" s="141" t="s">
        <v>8568</v>
      </c>
      <c r="D5082" s="141" t="s">
        <v>1112</v>
      </c>
    </row>
    <row r="5083" spans="1:4" x14ac:dyDescent="0.3">
      <c r="A5083" s="141" t="s">
        <v>8569</v>
      </c>
      <c r="B5083" s="141">
        <v>542774</v>
      </c>
      <c r="C5083" s="141" t="s">
        <v>8570</v>
      </c>
      <c r="D5083" s="141" t="s">
        <v>1146</v>
      </c>
    </row>
    <row r="5084" spans="1:4" x14ac:dyDescent="0.3">
      <c r="A5084" s="141" t="s">
        <v>8571</v>
      </c>
      <c r="B5084" s="141">
        <v>542801</v>
      </c>
      <c r="C5084" s="141" t="s">
        <v>8572</v>
      </c>
      <c r="D5084" s="141" t="s">
        <v>1137</v>
      </c>
    </row>
    <row r="5085" spans="1:4" x14ac:dyDescent="0.3">
      <c r="A5085" s="141" t="s">
        <v>8573</v>
      </c>
      <c r="B5085" s="141">
        <v>542802</v>
      </c>
      <c r="C5085" s="141" t="s">
        <v>8574</v>
      </c>
      <c r="D5085" s="141" t="s">
        <v>1112</v>
      </c>
    </row>
    <row r="5086" spans="1:4" x14ac:dyDescent="0.3">
      <c r="A5086" s="141" t="s">
        <v>8575</v>
      </c>
      <c r="B5086" s="141">
        <v>542803</v>
      </c>
      <c r="C5086" s="141" t="s">
        <v>8576</v>
      </c>
      <c r="D5086" s="141" t="s">
        <v>1151</v>
      </c>
    </row>
    <row r="5087" spans="1:4" x14ac:dyDescent="0.3">
      <c r="A5087" s="141" t="s">
        <v>8577</v>
      </c>
      <c r="B5087" s="141">
        <v>542804</v>
      </c>
      <c r="C5087" s="141" t="s">
        <v>8578</v>
      </c>
      <c r="D5087" s="141" t="s">
        <v>1081</v>
      </c>
    </row>
    <row r="5088" spans="1:4" x14ac:dyDescent="0.3">
      <c r="A5088" s="141" t="s">
        <v>8579</v>
      </c>
      <c r="B5088" s="141">
        <v>542805</v>
      </c>
      <c r="C5088" s="141" t="s">
        <v>8580</v>
      </c>
      <c r="D5088" s="141" t="s">
        <v>1081</v>
      </c>
    </row>
    <row r="5089" spans="1:4" x14ac:dyDescent="0.3">
      <c r="A5089" s="141" t="s">
        <v>8581</v>
      </c>
      <c r="B5089" s="141">
        <v>542806</v>
      </c>
      <c r="C5089" s="141" t="s">
        <v>8582</v>
      </c>
      <c r="D5089" s="141" t="s">
        <v>1081</v>
      </c>
    </row>
    <row r="5090" spans="1:4" x14ac:dyDescent="0.3">
      <c r="A5090" s="141" t="s">
        <v>8583</v>
      </c>
      <c r="B5090" s="141">
        <v>542807</v>
      </c>
      <c r="C5090" s="141" t="s">
        <v>8584</v>
      </c>
      <c r="D5090" s="141" t="s">
        <v>1081</v>
      </c>
    </row>
    <row r="5091" spans="1:4" x14ac:dyDescent="0.3">
      <c r="A5091" s="141" t="s">
        <v>8585</v>
      </c>
      <c r="B5091" s="141">
        <v>542808</v>
      </c>
      <c r="C5091" s="141" t="s">
        <v>8586</v>
      </c>
      <c r="D5091" s="141" t="s">
        <v>1081</v>
      </c>
    </row>
    <row r="5092" spans="1:4" x14ac:dyDescent="0.3">
      <c r="A5092" s="141" t="s">
        <v>8587</v>
      </c>
      <c r="B5092" s="141">
        <v>542809</v>
      </c>
      <c r="C5092" s="141" t="s">
        <v>8588</v>
      </c>
      <c r="D5092" s="141" t="s">
        <v>1081</v>
      </c>
    </row>
    <row r="5093" spans="1:4" x14ac:dyDescent="0.3">
      <c r="A5093" s="141" t="s">
        <v>8589</v>
      </c>
      <c r="B5093" s="141">
        <v>542810</v>
      </c>
      <c r="C5093" s="141" t="s">
        <v>8590</v>
      </c>
      <c r="D5093" s="141" t="s">
        <v>1081</v>
      </c>
    </row>
    <row r="5094" spans="1:4" x14ac:dyDescent="0.3">
      <c r="A5094" s="141" t="s">
        <v>8591</v>
      </c>
      <c r="B5094" s="141">
        <v>542811</v>
      </c>
      <c r="C5094" s="141" t="s">
        <v>8592</v>
      </c>
      <c r="D5094" s="141" t="s">
        <v>1081</v>
      </c>
    </row>
    <row r="5095" spans="1:4" x14ac:dyDescent="0.3">
      <c r="A5095" s="141" t="s">
        <v>8593</v>
      </c>
      <c r="B5095" s="141">
        <v>542812</v>
      </c>
      <c r="C5095" s="141" t="s">
        <v>8594</v>
      </c>
      <c r="D5095" s="141" t="s">
        <v>1289</v>
      </c>
    </row>
    <row r="5096" spans="1:4" x14ac:dyDescent="0.3">
      <c r="A5096" s="141" t="s">
        <v>8595</v>
      </c>
      <c r="B5096" s="141">
        <v>542813</v>
      </c>
      <c r="C5096" s="141" t="s">
        <v>8596</v>
      </c>
      <c r="D5096" s="141" t="s">
        <v>1081</v>
      </c>
    </row>
    <row r="5097" spans="1:4" x14ac:dyDescent="0.3">
      <c r="A5097" s="141" t="s">
        <v>8597</v>
      </c>
      <c r="B5097" s="141">
        <v>542814</v>
      </c>
      <c r="C5097" s="141" t="s">
        <v>8598</v>
      </c>
      <c r="D5097" s="141" t="s">
        <v>1081</v>
      </c>
    </row>
    <row r="5098" spans="1:4" x14ac:dyDescent="0.3">
      <c r="A5098" s="141" t="s">
        <v>8599</v>
      </c>
      <c r="B5098" s="141">
        <v>542815</v>
      </c>
      <c r="C5098" s="141" t="s">
        <v>8600</v>
      </c>
      <c r="D5098" s="141" t="s">
        <v>1081</v>
      </c>
    </row>
    <row r="5099" spans="1:4" x14ac:dyDescent="0.3">
      <c r="A5099" s="141" t="s">
        <v>8601</v>
      </c>
      <c r="B5099" s="141">
        <v>542816</v>
      </c>
      <c r="C5099" s="141" t="s">
        <v>8602</v>
      </c>
      <c r="D5099" s="141" t="s">
        <v>1081</v>
      </c>
    </row>
    <row r="5100" spans="1:4" x14ac:dyDescent="0.3">
      <c r="A5100" s="141" t="s">
        <v>8603</v>
      </c>
      <c r="B5100" s="141">
        <v>542817</v>
      </c>
      <c r="C5100" s="141" t="s">
        <v>8604</v>
      </c>
      <c r="D5100" s="141" t="s">
        <v>1081</v>
      </c>
    </row>
    <row r="5101" spans="1:4" x14ac:dyDescent="0.3">
      <c r="A5101" s="141" t="s">
        <v>8605</v>
      </c>
      <c r="B5101" s="141">
        <v>542818</v>
      </c>
      <c r="C5101" s="141" t="s">
        <v>8606</v>
      </c>
      <c r="D5101" s="141" t="s">
        <v>1081</v>
      </c>
    </row>
    <row r="5102" spans="1:4" x14ac:dyDescent="0.3">
      <c r="A5102" s="141" t="s">
        <v>8607</v>
      </c>
      <c r="B5102" s="141">
        <v>542819</v>
      </c>
      <c r="C5102" s="141" t="s">
        <v>8608</v>
      </c>
      <c r="D5102" s="141" t="s">
        <v>1081</v>
      </c>
    </row>
    <row r="5103" spans="1:4" x14ac:dyDescent="0.3">
      <c r="A5103" s="141" t="s">
        <v>8609</v>
      </c>
      <c r="B5103" s="141">
        <v>542820</v>
      </c>
      <c r="C5103" s="141" t="s">
        <v>8610</v>
      </c>
      <c r="D5103" s="141" t="s">
        <v>1081</v>
      </c>
    </row>
    <row r="5104" spans="1:4" x14ac:dyDescent="0.3">
      <c r="A5104" s="141" t="s">
        <v>8611</v>
      </c>
      <c r="B5104" s="141">
        <v>542830</v>
      </c>
      <c r="C5104" s="141" t="s">
        <v>8612</v>
      </c>
      <c r="D5104" s="141" t="s">
        <v>2132</v>
      </c>
    </row>
    <row r="5105" spans="1:4" x14ac:dyDescent="0.3">
      <c r="A5105" s="141" t="s">
        <v>8613</v>
      </c>
      <c r="B5105" s="141">
        <v>542836</v>
      </c>
      <c r="C5105" s="141" t="s">
        <v>8614</v>
      </c>
      <c r="D5105" s="141" t="s">
        <v>1081</v>
      </c>
    </row>
    <row r="5106" spans="1:4" x14ac:dyDescent="0.3">
      <c r="A5106" s="141" t="s">
        <v>8615</v>
      </c>
      <c r="B5106" s="141">
        <v>542837</v>
      </c>
      <c r="C5106" s="141" t="s">
        <v>8616</v>
      </c>
      <c r="D5106" s="141" t="s">
        <v>1081</v>
      </c>
    </row>
    <row r="5107" spans="1:4" x14ac:dyDescent="0.3">
      <c r="A5107" s="141" t="s">
        <v>8617</v>
      </c>
      <c r="B5107" s="141">
        <v>542838</v>
      </c>
      <c r="C5107" s="141" t="s">
        <v>8618</v>
      </c>
      <c r="D5107" s="141" t="s">
        <v>1081</v>
      </c>
    </row>
    <row r="5108" spans="1:4" x14ac:dyDescent="0.3">
      <c r="A5108" s="141" t="s">
        <v>8619</v>
      </c>
      <c r="B5108" s="141">
        <v>542839</v>
      </c>
      <c r="C5108" s="141" t="s">
        <v>8620</v>
      </c>
      <c r="D5108" s="141" t="s">
        <v>1081</v>
      </c>
    </row>
    <row r="5109" spans="1:4" x14ac:dyDescent="0.3">
      <c r="A5109" s="141" t="s">
        <v>8621</v>
      </c>
      <c r="B5109" s="141">
        <v>542840</v>
      </c>
      <c r="C5109" s="141" t="s">
        <v>8622</v>
      </c>
      <c r="D5109" s="141" t="s">
        <v>1081</v>
      </c>
    </row>
    <row r="5110" spans="1:4" x14ac:dyDescent="0.3">
      <c r="A5110" s="141" t="s">
        <v>8623</v>
      </c>
      <c r="B5110" s="141">
        <v>542841</v>
      </c>
      <c r="C5110" s="141" t="s">
        <v>8624</v>
      </c>
      <c r="D5110" s="141" t="s">
        <v>1081</v>
      </c>
    </row>
    <row r="5111" spans="1:4" x14ac:dyDescent="0.3">
      <c r="A5111" s="141" t="s">
        <v>8625</v>
      </c>
      <c r="B5111" s="141">
        <v>542842</v>
      </c>
      <c r="C5111" s="141" t="s">
        <v>8626</v>
      </c>
      <c r="D5111" s="141" t="s">
        <v>1081</v>
      </c>
    </row>
    <row r="5112" spans="1:4" x14ac:dyDescent="0.3">
      <c r="A5112" s="141" t="s">
        <v>8627</v>
      </c>
      <c r="B5112" s="141">
        <v>542843</v>
      </c>
      <c r="C5112" s="141" t="s">
        <v>8628</v>
      </c>
      <c r="D5112" s="141" t="s">
        <v>1081</v>
      </c>
    </row>
    <row r="5113" spans="1:4" x14ac:dyDescent="0.3">
      <c r="A5113" s="141" t="s">
        <v>8629</v>
      </c>
      <c r="B5113" s="141">
        <v>542844</v>
      </c>
      <c r="C5113" s="141" t="s">
        <v>8630</v>
      </c>
      <c r="D5113" s="141" t="s">
        <v>1081</v>
      </c>
    </row>
    <row r="5114" spans="1:4" x14ac:dyDescent="0.3">
      <c r="A5114" s="141" t="s">
        <v>8631</v>
      </c>
      <c r="B5114" s="141">
        <v>542845</v>
      </c>
      <c r="C5114" s="141" t="s">
        <v>8632</v>
      </c>
      <c r="D5114" s="141" t="s">
        <v>1081</v>
      </c>
    </row>
    <row r="5115" spans="1:4" x14ac:dyDescent="0.3">
      <c r="A5115" s="141" t="s">
        <v>8633</v>
      </c>
      <c r="B5115" s="141">
        <v>542846</v>
      </c>
      <c r="C5115" s="141" t="s">
        <v>8634</v>
      </c>
      <c r="D5115" s="141" t="s">
        <v>1081</v>
      </c>
    </row>
    <row r="5116" spans="1:4" x14ac:dyDescent="0.3">
      <c r="A5116" s="141" t="s">
        <v>8635</v>
      </c>
      <c r="B5116" s="141">
        <v>542847</v>
      </c>
      <c r="C5116" s="141" t="s">
        <v>8636</v>
      </c>
      <c r="D5116" s="141" t="s">
        <v>1081</v>
      </c>
    </row>
    <row r="5117" spans="1:4" x14ac:dyDescent="0.3">
      <c r="A5117" s="141" t="s">
        <v>8637</v>
      </c>
      <c r="B5117" s="141">
        <v>542848</v>
      </c>
      <c r="C5117" s="141" t="s">
        <v>8638</v>
      </c>
      <c r="D5117" s="141" t="s">
        <v>1081</v>
      </c>
    </row>
    <row r="5118" spans="1:4" x14ac:dyDescent="0.3">
      <c r="A5118" s="141" t="s">
        <v>8639</v>
      </c>
      <c r="B5118" s="141">
        <v>542849</v>
      </c>
      <c r="C5118" s="141" t="s">
        <v>8640</v>
      </c>
      <c r="D5118" s="141" t="s">
        <v>1081</v>
      </c>
    </row>
    <row r="5119" spans="1:4" x14ac:dyDescent="0.3">
      <c r="A5119" s="141" t="s">
        <v>8641</v>
      </c>
      <c r="B5119" s="141">
        <v>542850</v>
      </c>
      <c r="C5119" s="141" t="s">
        <v>8642</v>
      </c>
      <c r="D5119" s="141" t="s">
        <v>1243</v>
      </c>
    </row>
    <row r="5120" spans="1:4" x14ac:dyDescent="0.3">
      <c r="A5120" s="141" t="s">
        <v>8643</v>
      </c>
      <c r="B5120" s="141">
        <v>542851</v>
      </c>
      <c r="C5120" s="141" t="s">
        <v>8644</v>
      </c>
      <c r="D5120" s="141" t="s">
        <v>1213</v>
      </c>
    </row>
    <row r="5121" spans="1:4" x14ac:dyDescent="0.3">
      <c r="A5121" s="141" t="s">
        <v>8645</v>
      </c>
      <c r="B5121" s="141">
        <v>542852</v>
      </c>
      <c r="C5121" s="141" t="s">
        <v>8646</v>
      </c>
      <c r="D5121" s="141" t="s">
        <v>1828</v>
      </c>
    </row>
    <row r="5122" spans="1:4" x14ac:dyDescent="0.3">
      <c r="A5122" s="141" t="s">
        <v>8647</v>
      </c>
      <c r="B5122" s="141">
        <v>542857</v>
      </c>
      <c r="C5122" s="141" t="s">
        <v>8648</v>
      </c>
      <c r="D5122" s="141" t="s">
        <v>1624</v>
      </c>
    </row>
    <row r="5123" spans="1:4" x14ac:dyDescent="0.3">
      <c r="A5123" s="141" t="s">
        <v>8649</v>
      </c>
      <c r="B5123" s="141">
        <v>542862</v>
      </c>
      <c r="C5123" s="141" t="s">
        <v>8650</v>
      </c>
      <c r="D5123" s="141" t="s">
        <v>1144</v>
      </c>
    </row>
    <row r="5124" spans="1:4" x14ac:dyDescent="0.3">
      <c r="A5124" s="141" t="s">
        <v>8651</v>
      </c>
      <c r="B5124" s="141">
        <v>542863</v>
      </c>
      <c r="C5124" s="141" t="s">
        <v>8652</v>
      </c>
      <c r="D5124" s="141" t="s">
        <v>1081</v>
      </c>
    </row>
    <row r="5125" spans="1:4" x14ac:dyDescent="0.3">
      <c r="A5125" s="141" t="s">
        <v>8653</v>
      </c>
      <c r="B5125" s="141">
        <v>542864</v>
      </c>
      <c r="C5125" s="141" t="s">
        <v>8654</v>
      </c>
      <c r="D5125" s="141" t="s">
        <v>1215</v>
      </c>
    </row>
    <row r="5126" spans="1:4" x14ac:dyDescent="0.3">
      <c r="A5126" s="141" t="s">
        <v>8655</v>
      </c>
      <c r="B5126" s="141">
        <v>542865</v>
      </c>
      <c r="C5126" s="141" t="s">
        <v>8656</v>
      </c>
      <c r="D5126" s="141" t="s">
        <v>1324</v>
      </c>
    </row>
    <row r="5127" spans="1:4" x14ac:dyDescent="0.3">
      <c r="A5127" s="141" t="s">
        <v>8657</v>
      </c>
      <c r="B5127" s="141">
        <v>542866</v>
      </c>
      <c r="C5127" s="141" t="s">
        <v>8658</v>
      </c>
      <c r="D5127" s="141" t="s">
        <v>1112</v>
      </c>
    </row>
    <row r="5128" spans="1:4" x14ac:dyDescent="0.3">
      <c r="A5128" s="141" t="s">
        <v>8659</v>
      </c>
      <c r="B5128" s="141">
        <v>542867</v>
      </c>
      <c r="C5128" s="141" t="s">
        <v>8660</v>
      </c>
      <c r="D5128" s="141" t="s">
        <v>1447</v>
      </c>
    </row>
    <row r="5129" spans="1:4" x14ac:dyDescent="0.3">
      <c r="A5129" s="141" t="s">
        <v>8661</v>
      </c>
      <c r="B5129" s="141">
        <v>542904</v>
      </c>
      <c r="C5129" s="141" t="s">
        <v>8662</v>
      </c>
      <c r="D5129" s="141" t="s">
        <v>1447</v>
      </c>
    </row>
    <row r="5130" spans="1:4" x14ac:dyDescent="0.3">
      <c r="A5130" s="141" t="s">
        <v>8663</v>
      </c>
      <c r="B5130" s="141">
        <v>542905</v>
      </c>
      <c r="C5130" s="141" t="s">
        <v>8664</v>
      </c>
      <c r="D5130" s="141" t="s">
        <v>1427</v>
      </c>
    </row>
    <row r="5131" spans="1:4" x14ac:dyDescent="0.3">
      <c r="A5131" s="141" t="s">
        <v>8665</v>
      </c>
      <c r="B5131" s="141">
        <v>542906</v>
      </c>
      <c r="C5131" s="141" t="s">
        <v>8666</v>
      </c>
      <c r="D5131" s="141" t="s">
        <v>1146</v>
      </c>
    </row>
    <row r="5132" spans="1:4" x14ac:dyDescent="0.3">
      <c r="A5132" s="141" t="s">
        <v>8667</v>
      </c>
      <c r="B5132" s="141">
        <v>542907</v>
      </c>
      <c r="C5132" s="141" t="s">
        <v>8668</v>
      </c>
      <c r="D5132" s="141" t="s">
        <v>1249</v>
      </c>
    </row>
    <row r="5133" spans="1:4" x14ac:dyDescent="0.3">
      <c r="A5133" s="141" t="s">
        <v>8669</v>
      </c>
      <c r="B5133" s="141">
        <v>542910</v>
      </c>
      <c r="C5133" s="141" t="s">
        <v>8670</v>
      </c>
      <c r="D5133" s="141" t="s">
        <v>1564</v>
      </c>
    </row>
    <row r="5134" spans="1:4" x14ac:dyDescent="0.3">
      <c r="A5134" s="141" t="s">
        <v>8671</v>
      </c>
      <c r="B5134" s="141">
        <v>542911</v>
      </c>
      <c r="C5134" s="141" t="s">
        <v>8672</v>
      </c>
      <c r="D5134" s="141" t="s">
        <v>1146</v>
      </c>
    </row>
    <row r="5135" spans="1:4" x14ac:dyDescent="0.3">
      <c r="A5135" s="141" t="s">
        <v>8673</v>
      </c>
      <c r="B5135" s="141">
        <v>542918</v>
      </c>
      <c r="C5135" s="141" t="s">
        <v>8674</v>
      </c>
      <c r="D5135" s="141" t="s">
        <v>1318</v>
      </c>
    </row>
    <row r="5136" spans="1:4" x14ac:dyDescent="0.3">
      <c r="A5136" s="141" t="s">
        <v>8675</v>
      </c>
      <c r="B5136" s="141">
        <v>542919</v>
      </c>
      <c r="C5136" s="141" t="s">
        <v>8676</v>
      </c>
      <c r="D5136" s="141" t="s">
        <v>1318</v>
      </c>
    </row>
    <row r="5137" spans="1:4" x14ac:dyDescent="0.3">
      <c r="A5137" s="141" t="s">
        <v>8677</v>
      </c>
      <c r="B5137" s="141">
        <v>542920</v>
      </c>
      <c r="C5137" s="141" t="s">
        <v>8678</v>
      </c>
      <c r="D5137" s="141" t="s">
        <v>1273</v>
      </c>
    </row>
    <row r="5138" spans="1:4" x14ac:dyDescent="0.3">
      <c r="A5138" s="141" t="s">
        <v>8679</v>
      </c>
      <c r="B5138" s="141">
        <v>542921</v>
      </c>
      <c r="C5138" s="141" t="s">
        <v>8680</v>
      </c>
      <c r="D5138" s="141" t="s">
        <v>1081</v>
      </c>
    </row>
    <row r="5139" spans="1:4" x14ac:dyDescent="0.3">
      <c r="A5139" s="141" t="s">
        <v>8681</v>
      </c>
      <c r="B5139" s="141">
        <v>542922</v>
      </c>
      <c r="C5139" s="141" t="s">
        <v>8682</v>
      </c>
      <c r="D5139" s="141" t="s">
        <v>1081</v>
      </c>
    </row>
    <row r="5140" spans="1:4" x14ac:dyDescent="0.3">
      <c r="A5140" s="141" t="s">
        <v>8683</v>
      </c>
      <c r="B5140" s="141">
        <v>542923</v>
      </c>
      <c r="C5140" s="141" t="s">
        <v>8684</v>
      </c>
      <c r="D5140" s="141" t="s">
        <v>1115</v>
      </c>
    </row>
    <row r="5141" spans="1:4" x14ac:dyDescent="0.3">
      <c r="A5141" s="141" t="s">
        <v>8685</v>
      </c>
      <c r="B5141" s="141">
        <v>542924</v>
      </c>
      <c r="C5141" s="141" t="s">
        <v>8686</v>
      </c>
      <c r="D5141" s="141" t="s">
        <v>1118</v>
      </c>
    </row>
    <row r="5142" spans="1:4" x14ac:dyDescent="0.3">
      <c r="A5142" s="141" t="s">
        <v>8687</v>
      </c>
      <c r="B5142" s="141">
        <v>542931</v>
      </c>
      <c r="C5142" s="141" t="s">
        <v>8688</v>
      </c>
      <c r="D5142" s="141" t="s">
        <v>1146</v>
      </c>
    </row>
    <row r="5143" spans="1:4" x14ac:dyDescent="0.3">
      <c r="A5143" s="141" t="s">
        <v>8689</v>
      </c>
      <c r="B5143" s="141">
        <v>542932</v>
      </c>
      <c r="C5143" s="141" t="s">
        <v>8690</v>
      </c>
      <c r="D5143" s="141" t="s">
        <v>1609</v>
      </c>
    </row>
    <row r="5144" spans="1:4" x14ac:dyDescent="0.3">
      <c r="A5144" s="141" t="s">
        <v>8691</v>
      </c>
      <c r="B5144" s="141">
        <v>542933</v>
      </c>
      <c r="C5144" s="141" t="s">
        <v>8692</v>
      </c>
      <c r="D5144" s="141" t="s">
        <v>2368</v>
      </c>
    </row>
    <row r="5145" spans="1:4" x14ac:dyDescent="0.3">
      <c r="A5145" s="141" t="s">
        <v>8693</v>
      </c>
      <c r="B5145" s="141">
        <v>542934</v>
      </c>
      <c r="C5145" s="141" t="s">
        <v>8694</v>
      </c>
      <c r="D5145" s="141" t="s">
        <v>1167</v>
      </c>
    </row>
    <row r="5146" spans="1:4" x14ac:dyDescent="0.3">
      <c r="A5146" s="141" t="s">
        <v>8695</v>
      </c>
      <c r="B5146" s="141">
        <v>542935</v>
      </c>
      <c r="C5146" s="141" t="s">
        <v>8696</v>
      </c>
      <c r="D5146" s="141" t="s">
        <v>1189</v>
      </c>
    </row>
    <row r="5147" spans="1:4" x14ac:dyDescent="0.3">
      <c r="A5147" s="141" t="s">
        <v>8697</v>
      </c>
      <c r="B5147" s="141">
        <v>542938</v>
      </c>
      <c r="C5147" s="141" t="s">
        <v>8698</v>
      </c>
      <c r="D5147" s="141" t="s">
        <v>1536</v>
      </c>
    </row>
    <row r="5148" spans="1:4" x14ac:dyDescent="0.3">
      <c r="A5148" s="141" t="s">
        <v>8699</v>
      </c>
      <c r="B5148" s="141">
        <v>543064</v>
      </c>
      <c r="C5148" s="141" t="s">
        <v>8700</v>
      </c>
      <c r="D5148" s="141" t="s">
        <v>1167</v>
      </c>
    </row>
    <row r="5149" spans="1:4" x14ac:dyDescent="0.3">
      <c r="A5149" s="141" t="s">
        <v>8701</v>
      </c>
      <c r="B5149" s="141">
        <v>543065</v>
      </c>
      <c r="C5149" s="141" t="s">
        <v>8702</v>
      </c>
      <c r="D5149" s="141" t="s">
        <v>1314</v>
      </c>
    </row>
    <row r="5150" spans="1:4" x14ac:dyDescent="0.3">
      <c r="A5150" s="141" t="s">
        <v>8703</v>
      </c>
      <c r="B5150" s="141">
        <v>543066</v>
      </c>
      <c r="C5150" s="141" t="s">
        <v>8704</v>
      </c>
      <c r="D5150" s="141" t="s">
        <v>1146</v>
      </c>
    </row>
    <row r="5151" spans="1:4" x14ac:dyDescent="0.3">
      <c r="A5151" s="141" t="s">
        <v>8705</v>
      </c>
      <c r="B5151" s="141">
        <v>543144</v>
      </c>
      <c r="C5151" s="141" t="s">
        <v>8706</v>
      </c>
      <c r="D5151" s="141" t="s">
        <v>1081</v>
      </c>
    </row>
    <row r="5152" spans="1:4" x14ac:dyDescent="0.3">
      <c r="A5152" s="141" t="s">
        <v>8707</v>
      </c>
      <c r="B5152" s="141">
        <v>543145</v>
      </c>
      <c r="C5152" s="141" t="s">
        <v>8708</v>
      </c>
      <c r="D5152" s="141" t="s">
        <v>1081</v>
      </c>
    </row>
    <row r="5153" spans="1:4" x14ac:dyDescent="0.3">
      <c r="A5153" s="141" t="s">
        <v>8705</v>
      </c>
      <c r="B5153" s="141">
        <v>543146</v>
      </c>
      <c r="C5153" s="141" t="s">
        <v>8709</v>
      </c>
      <c r="D5153" s="141" t="s">
        <v>1081</v>
      </c>
    </row>
    <row r="5154" spans="1:4" x14ac:dyDescent="0.3">
      <c r="A5154" s="141" t="s">
        <v>8710</v>
      </c>
      <c r="B5154" s="141">
        <v>543147</v>
      </c>
      <c r="C5154" s="141" t="s">
        <v>8711</v>
      </c>
      <c r="D5154" s="141" t="s">
        <v>1081</v>
      </c>
    </row>
    <row r="5155" spans="1:4" x14ac:dyDescent="0.3">
      <c r="A5155" s="141" t="s">
        <v>8710</v>
      </c>
      <c r="B5155" s="141">
        <v>543148</v>
      </c>
      <c r="C5155" s="141" t="s">
        <v>8712</v>
      </c>
      <c r="D5155" s="141" t="s">
        <v>1081</v>
      </c>
    </row>
    <row r="5156" spans="1:4" x14ac:dyDescent="0.3">
      <c r="A5156" s="141" t="s">
        <v>8713</v>
      </c>
      <c r="B5156" s="141">
        <v>543149</v>
      </c>
      <c r="C5156" s="141" t="s">
        <v>8714</v>
      </c>
      <c r="D5156" s="141" t="s">
        <v>1081</v>
      </c>
    </row>
    <row r="5157" spans="1:4" x14ac:dyDescent="0.3">
      <c r="A5157" s="141" t="s">
        <v>8715</v>
      </c>
      <c r="B5157" s="141">
        <v>543150</v>
      </c>
      <c r="C5157" s="141" t="s">
        <v>8716</v>
      </c>
      <c r="D5157" s="141" t="s">
        <v>1081</v>
      </c>
    </row>
    <row r="5158" spans="1:4" x14ac:dyDescent="0.3">
      <c r="A5158" s="141" t="s">
        <v>8717</v>
      </c>
      <c r="B5158" s="141">
        <v>543151</v>
      </c>
      <c r="C5158" s="141" t="s">
        <v>8718</v>
      </c>
      <c r="D5158" s="141" t="s">
        <v>1081</v>
      </c>
    </row>
    <row r="5159" spans="1:4" x14ac:dyDescent="0.3">
      <c r="A5159" s="141" t="s">
        <v>8719</v>
      </c>
      <c r="B5159" s="141">
        <v>543152</v>
      </c>
      <c r="C5159" s="141" t="s">
        <v>8720</v>
      </c>
      <c r="D5159" s="141" t="s">
        <v>1081</v>
      </c>
    </row>
    <row r="5160" spans="1:4" x14ac:dyDescent="0.3">
      <c r="A5160" s="141" t="s">
        <v>8721</v>
      </c>
      <c r="B5160" s="141">
        <v>543153</v>
      </c>
      <c r="C5160" s="141" t="s">
        <v>8722</v>
      </c>
      <c r="D5160" s="141" t="s">
        <v>1081</v>
      </c>
    </row>
    <row r="5161" spans="1:4" x14ac:dyDescent="0.3">
      <c r="A5161" s="141" t="s">
        <v>8719</v>
      </c>
      <c r="B5161" s="141">
        <v>543154</v>
      </c>
      <c r="C5161" s="141" t="s">
        <v>8723</v>
      </c>
      <c r="D5161" s="141" t="s">
        <v>1081</v>
      </c>
    </row>
    <row r="5162" spans="1:4" x14ac:dyDescent="0.3">
      <c r="A5162" s="141" t="s">
        <v>8724</v>
      </c>
      <c r="B5162" s="141">
        <v>543155</v>
      </c>
      <c r="C5162" s="141" t="s">
        <v>8725</v>
      </c>
      <c r="D5162" s="141" t="s">
        <v>1081</v>
      </c>
    </row>
    <row r="5163" spans="1:4" x14ac:dyDescent="0.3">
      <c r="A5163" s="141" t="s">
        <v>8726</v>
      </c>
      <c r="B5163" s="141">
        <v>543156</v>
      </c>
      <c r="C5163" s="141" t="s">
        <v>8727</v>
      </c>
      <c r="D5163" s="141" t="s">
        <v>1081</v>
      </c>
    </row>
    <row r="5164" spans="1:4" x14ac:dyDescent="0.3">
      <c r="A5164" s="141" t="s">
        <v>8724</v>
      </c>
      <c r="B5164" s="141">
        <v>543168</v>
      </c>
      <c r="C5164" s="141" t="s">
        <v>8728</v>
      </c>
      <c r="D5164" s="141" t="s">
        <v>1081</v>
      </c>
    </row>
    <row r="5165" spans="1:4" x14ac:dyDescent="0.3">
      <c r="A5165" s="141" t="s">
        <v>8726</v>
      </c>
      <c r="B5165" s="141">
        <v>543169</v>
      </c>
      <c r="C5165" s="141" t="s">
        <v>8729</v>
      </c>
      <c r="D5165" s="141" t="s">
        <v>1081</v>
      </c>
    </row>
    <row r="5166" spans="1:4" x14ac:dyDescent="0.3">
      <c r="A5166" s="141" t="s">
        <v>8707</v>
      </c>
      <c r="B5166" s="141">
        <v>543170</v>
      </c>
      <c r="C5166" s="141" t="s">
        <v>8730</v>
      </c>
      <c r="D5166" s="141" t="s">
        <v>1081</v>
      </c>
    </row>
    <row r="5167" spans="1:4" x14ac:dyDescent="0.3">
      <c r="A5167" s="141" t="s">
        <v>8731</v>
      </c>
      <c r="B5167" s="141">
        <v>543171</v>
      </c>
      <c r="C5167" s="141" t="s">
        <v>8732</v>
      </c>
      <c r="D5167" s="141" t="s">
        <v>1243</v>
      </c>
    </row>
    <row r="5168" spans="1:4" x14ac:dyDescent="0.3">
      <c r="A5168" s="141" t="s">
        <v>8733</v>
      </c>
      <c r="B5168" s="141">
        <v>543172</v>
      </c>
      <c r="C5168" s="141" t="s">
        <v>8734</v>
      </c>
      <c r="D5168" s="141" t="s">
        <v>1137</v>
      </c>
    </row>
    <row r="5169" spans="1:4" x14ac:dyDescent="0.3">
      <c r="A5169" s="141" t="s">
        <v>8735</v>
      </c>
      <c r="B5169" s="141">
        <v>543173</v>
      </c>
      <c r="C5169" s="141" t="s">
        <v>8736</v>
      </c>
      <c r="D5169" s="141" t="s">
        <v>1081</v>
      </c>
    </row>
    <row r="5170" spans="1:4" x14ac:dyDescent="0.3">
      <c r="A5170" s="141" t="s">
        <v>8737</v>
      </c>
      <c r="B5170" s="141">
        <v>543174</v>
      </c>
      <c r="C5170" s="141" t="s">
        <v>8738</v>
      </c>
      <c r="D5170" s="141" t="s">
        <v>1081</v>
      </c>
    </row>
    <row r="5171" spans="1:4" x14ac:dyDescent="0.3">
      <c r="A5171" s="141" t="s">
        <v>8739</v>
      </c>
      <c r="B5171" s="141">
        <v>543175</v>
      </c>
      <c r="C5171" s="141" t="s">
        <v>8740</v>
      </c>
      <c r="D5171" s="141" t="s">
        <v>1081</v>
      </c>
    </row>
    <row r="5172" spans="1:4" x14ac:dyDescent="0.3">
      <c r="A5172" s="141" t="s">
        <v>8741</v>
      </c>
      <c r="B5172" s="141">
        <v>543176</v>
      </c>
      <c r="C5172" s="141" t="s">
        <v>8742</v>
      </c>
      <c r="D5172" s="141" t="s">
        <v>1081</v>
      </c>
    </row>
    <row r="5173" spans="1:4" x14ac:dyDescent="0.3">
      <c r="A5173" s="141" t="s">
        <v>8743</v>
      </c>
      <c r="B5173" s="141">
        <v>543177</v>
      </c>
      <c r="C5173" s="141" t="s">
        <v>8744</v>
      </c>
      <c r="D5173" s="141" t="s">
        <v>1081</v>
      </c>
    </row>
    <row r="5174" spans="1:4" x14ac:dyDescent="0.3">
      <c r="A5174" s="141" t="s">
        <v>8745</v>
      </c>
      <c r="B5174" s="141">
        <v>543178</v>
      </c>
      <c r="C5174" s="141" t="s">
        <v>8746</v>
      </c>
      <c r="D5174" s="141" t="s">
        <v>1081</v>
      </c>
    </row>
    <row r="5175" spans="1:4" x14ac:dyDescent="0.3">
      <c r="A5175" s="141" t="s">
        <v>8747</v>
      </c>
      <c r="B5175" s="141">
        <v>543179</v>
      </c>
      <c r="C5175" s="141" t="s">
        <v>8748</v>
      </c>
      <c r="D5175" s="141" t="s">
        <v>1081</v>
      </c>
    </row>
    <row r="5176" spans="1:4" x14ac:dyDescent="0.3">
      <c r="A5176" s="141" t="s">
        <v>8749</v>
      </c>
      <c r="B5176" s="141">
        <v>543180</v>
      </c>
      <c r="C5176" s="141" t="s">
        <v>8750</v>
      </c>
      <c r="D5176" s="141" t="s">
        <v>1081</v>
      </c>
    </row>
    <row r="5177" spans="1:4" x14ac:dyDescent="0.3">
      <c r="A5177" s="141" t="s">
        <v>8751</v>
      </c>
      <c r="B5177" s="141">
        <v>543181</v>
      </c>
      <c r="C5177" s="141" t="s">
        <v>8752</v>
      </c>
      <c r="D5177" s="141" t="s">
        <v>1081</v>
      </c>
    </row>
    <row r="5178" spans="1:4" x14ac:dyDescent="0.3">
      <c r="A5178" s="141" t="s">
        <v>8753</v>
      </c>
      <c r="B5178" s="141">
        <v>543182</v>
      </c>
      <c r="C5178" s="141" t="s">
        <v>8754</v>
      </c>
      <c r="D5178" s="141" t="s">
        <v>1081</v>
      </c>
    </row>
    <row r="5179" spans="1:4" x14ac:dyDescent="0.3">
      <c r="A5179" s="141" t="s">
        <v>8755</v>
      </c>
      <c r="B5179" s="141">
        <v>543183</v>
      </c>
      <c r="C5179" s="141" t="s">
        <v>8756</v>
      </c>
      <c r="D5179" s="141" t="s">
        <v>1081</v>
      </c>
    </row>
    <row r="5180" spans="1:4" x14ac:dyDescent="0.3">
      <c r="A5180" s="141" t="s">
        <v>8757</v>
      </c>
      <c r="B5180" s="141">
        <v>543184</v>
      </c>
      <c r="C5180" s="141" t="s">
        <v>8758</v>
      </c>
      <c r="D5180" s="141" t="s">
        <v>1081</v>
      </c>
    </row>
    <row r="5181" spans="1:4" x14ac:dyDescent="0.3">
      <c r="A5181" s="141" t="s">
        <v>8759</v>
      </c>
      <c r="B5181" s="141">
        <v>543185</v>
      </c>
      <c r="C5181" s="141" t="s">
        <v>8760</v>
      </c>
      <c r="D5181" s="141" t="s">
        <v>1081</v>
      </c>
    </row>
    <row r="5182" spans="1:4" x14ac:dyDescent="0.3">
      <c r="A5182" s="141" t="s">
        <v>8761</v>
      </c>
      <c r="B5182" s="141">
        <v>543186</v>
      </c>
      <c r="C5182" s="141" t="s">
        <v>8762</v>
      </c>
      <c r="D5182" s="141" t="s">
        <v>1081</v>
      </c>
    </row>
    <row r="5183" spans="1:4" x14ac:dyDescent="0.3">
      <c r="A5183" s="141" t="s">
        <v>8763</v>
      </c>
      <c r="B5183" s="141">
        <v>543187</v>
      </c>
      <c r="C5183" s="141" t="s">
        <v>8764</v>
      </c>
      <c r="D5183" s="141" t="s">
        <v>1172</v>
      </c>
    </row>
    <row r="5184" spans="1:4" x14ac:dyDescent="0.3">
      <c r="A5184" s="141" t="s">
        <v>8765</v>
      </c>
      <c r="B5184" s="141">
        <v>543193</v>
      </c>
      <c r="C5184" s="141" t="s">
        <v>8766</v>
      </c>
      <c r="D5184" s="141" t="s">
        <v>1450</v>
      </c>
    </row>
    <row r="5185" spans="1:4" x14ac:dyDescent="0.3">
      <c r="A5185" s="141" t="s">
        <v>8767</v>
      </c>
      <c r="B5185" s="141">
        <v>543194</v>
      </c>
      <c r="C5185" s="141" t="s">
        <v>8768</v>
      </c>
      <c r="D5185" s="141" t="s">
        <v>8084</v>
      </c>
    </row>
    <row r="5186" spans="1:4" x14ac:dyDescent="0.3">
      <c r="A5186" s="141" t="s">
        <v>8769</v>
      </c>
      <c r="B5186" s="141">
        <v>543207</v>
      </c>
      <c r="C5186" s="141" t="s">
        <v>8770</v>
      </c>
      <c r="D5186" s="141" t="s">
        <v>1273</v>
      </c>
    </row>
    <row r="5187" spans="1:4" x14ac:dyDescent="0.3">
      <c r="A5187" s="141" t="s">
        <v>8771</v>
      </c>
      <c r="B5187" s="141">
        <v>543208</v>
      </c>
      <c r="C5187" s="141" t="s">
        <v>8772</v>
      </c>
      <c r="D5187" s="141" t="s">
        <v>1146</v>
      </c>
    </row>
    <row r="5188" spans="1:4" x14ac:dyDescent="0.3">
      <c r="A5188" s="141" t="s">
        <v>8773</v>
      </c>
      <c r="B5188" s="141">
        <v>543209</v>
      </c>
      <c r="C5188" s="141" t="s">
        <v>8774</v>
      </c>
      <c r="D5188" s="141" t="s">
        <v>1118</v>
      </c>
    </row>
    <row r="5189" spans="1:4" x14ac:dyDescent="0.3">
      <c r="A5189" s="141" t="s">
        <v>8775</v>
      </c>
      <c r="B5189" s="141">
        <v>543210</v>
      </c>
      <c r="C5189" s="141" t="s">
        <v>8776</v>
      </c>
      <c r="D5189" s="141" t="s">
        <v>1289</v>
      </c>
    </row>
    <row r="5190" spans="1:4" x14ac:dyDescent="0.3">
      <c r="A5190" s="141" t="s">
        <v>8777</v>
      </c>
      <c r="B5190" s="141">
        <v>543211</v>
      </c>
      <c r="C5190" s="141" t="s">
        <v>8778</v>
      </c>
      <c r="D5190" s="141" t="s">
        <v>2049</v>
      </c>
    </row>
    <row r="5191" spans="1:4" x14ac:dyDescent="0.3">
      <c r="A5191" s="141" t="s">
        <v>8779</v>
      </c>
      <c r="B5191" s="141">
        <v>543212</v>
      </c>
      <c r="C5191" s="141" t="s">
        <v>8780</v>
      </c>
      <c r="D5191" s="141" t="s">
        <v>2175</v>
      </c>
    </row>
    <row r="5192" spans="1:4" x14ac:dyDescent="0.3">
      <c r="A5192" s="141" t="s">
        <v>8781</v>
      </c>
      <c r="B5192" s="141">
        <v>543213</v>
      </c>
      <c r="C5192" s="141" t="s">
        <v>8782</v>
      </c>
      <c r="D5192" s="141" t="s">
        <v>1289</v>
      </c>
    </row>
    <row r="5193" spans="1:4" x14ac:dyDescent="0.3">
      <c r="A5193" s="141" t="s">
        <v>8783</v>
      </c>
      <c r="B5193" s="141">
        <v>543214</v>
      </c>
      <c r="C5193" s="141" t="s">
        <v>8784</v>
      </c>
      <c r="D5193" s="141" t="s">
        <v>1484</v>
      </c>
    </row>
    <row r="5194" spans="1:4" x14ac:dyDescent="0.3">
      <c r="A5194" s="141" t="s">
        <v>8785</v>
      </c>
      <c r="B5194" s="141">
        <v>543217</v>
      </c>
      <c r="C5194" s="141" t="s">
        <v>8786</v>
      </c>
      <c r="D5194" s="141" t="s">
        <v>1081</v>
      </c>
    </row>
    <row r="5195" spans="1:4" x14ac:dyDescent="0.3">
      <c r="A5195" s="141" t="s">
        <v>8787</v>
      </c>
      <c r="B5195" s="141">
        <v>543218</v>
      </c>
      <c r="C5195" s="141" t="s">
        <v>8788</v>
      </c>
      <c r="D5195" s="141" t="s">
        <v>1215</v>
      </c>
    </row>
    <row r="5196" spans="1:4" x14ac:dyDescent="0.3">
      <c r="A5196" s="141" t="s">
        <v>8789</v>
      </c>
      <c r="B5196" s="141">
        <v>543219</v>
      </c>
      <c r="C5196" s="141" t="s">
        <v>8790</v>
      </c>
      <c r="D5196" s="141" t="s">
        <v>1081</v>
      </c>
    </row>
    <row r="5197" spans="1:4" x14ac:dyDescent="0.3">
      <c r="A5197" s="141" t="s">
        <v>8791</v>
      </c>
      <c r="B5197" s="141">
        <v>543220</v>
      </c>
      <c r="C5197" s="141" t="s">
        <v>8792</v>
      </c>
      <c r="D5197" s="141" t="s">
        <v>1599</v>
      </c>
    </row>
    <row r="5198" spans="1:4" x14ac:dyDescent="0.3">
      <c r="A5198" s="141" t="s">
        <v>8793</v>
      </c>
      <c r="B5198" s="141">
        <v>543221</v>
      </c>
      <c r="C5198" s="141" t="s">
        <v>8794</v>
      </c>
      <c r="D5198" s="141" t="s">
        <v>1081</v>
      </c>
    </row>
    <row r="5199" spans="1:4" x14ac:dyDescent="0.3">
      <c r="A5199" s="141" t="s">
        <v>8795</v>
      </c>
      <c r="B5199" s="141">
        <v>543222</v>
      </c>
      <c r="C5199" s="141" t="s">
        <v>8796</v>
      </c>
      <c r="D5199" s="141" t="s">
        <v>1252</v>
      </c>
    </row>
    <row r="5200" spans="1:4" x14ac:dyDescent="0.3">
      <c r="A5200" s="141" t="s">
        <v>8797</v>
      </c>
      <c r="B5200" s="141">
        <v>543223</v>
      </c>
      <c r="C5200" s="141" t="s">
        <v>4849</v>
      </c>
      <c r="D5200" s="141" t="s">
        <v>1295</v>
      </c>
    </row>
    <row r="5201" spans="1:4" x14ac:dyDescent="0.3">
      <c r="A5201" s="141" t="s">
        <v>8798</v>
      </c>
      <c r="B5201" s="141">
        <v>543224</v>
      </c>
      <c r="C5201" s="141" t="s">
        <v>8799</v>
      </c>
      <c r="D5201" s="141" t="s">
        <v>1081</v>
      </c>
    </row>
    <row r="5202" spans="1:4" x14ac:dyDescent="0.3">
      <c r="A5202" s="141" t="s">
        <v>8800</v>
      </c>
      <c r="B5202" s="141">
        <v>543225</v>
      </c>
      <c r="C5202" s="141" t="s">
        <v>8801</v>
      </c>
      <c r="D5202" s="141" t="s">
        <v>1081</v>
      </c>
    </row>
    <row r="5203" spans="1:4" x14ac:dyDescent="0.3">
      <c r="A5203" s="141" t="s">
        <v>8802</v>
      </c>
      <c r="B5203" s="141">
        <v>543226</v>
      </c>
      <c r="C5203" s="141" t="s">
        <v>8803</v>
      </c>
      <c r="D5203" s="141" t="s">
        <v>1081</v>
      </c>
    </row>
    <row r="5204" spans="1:4" x14ac:dyDescent="0.3">
      <c r="A5204" s="141" t="s">
        <v>8804</v>
      </c>
      <c r="B5204" s="141">
        <v>543227</v>
      </c>
      <c r="C5204" s="141" t="s">
        <v>8805</v>
      </c>
      <c r="D5204" s="141" t="s">
        <v>1115</v>
      </c>
    </row>
    <row r="5205" spans="1:4" x14ac:dyDescent="0.3">
      <c r="A5205" s="141" t="s">
        <v>8806</v>
      </c>
      <c r="B5205" s="141">
        <v>543228</v>
      </c>
      <c r="C5205" s="141" t="s">
        <v>8807</v>
      </c>
      <c r="D5205" s="141" t="s">
        <v>1135</v>
      </c>
    </row>
    <row r="5206" spans="1:4" x14ac:dyDescent="0.3">
      <c r="A5206" s="141" t="s">
        <v>8808</v>
      </c>
      <c r="B5206" s="141">
        <v>543230</v>
      </c>
      <c r="C5206" s="141" t="s">
        <v>8809</v>
      </c>
      <c r="D5206" s="141" t="s">
        <v>1427</v>
      </c>
    </row>
    <row r="5207" spans="1:4" x14ac:dyDescent="0.3">
      <c r="A5207" s="141" t="s">
        <v>8810</v>
      </c>
      <c r="B5207" s="141">
        <v>543231</v>
      </c>
      <c r="C5207" s="141" t="s">
        <v>8811</v>
      </c>
      <c r="D5207" s="141" t="s">
        <v>1624</v>
      </c>
    </row>
    <row r="5208" spans="1:4" x14ac:dyDescent="0.3">
      <c r="A5208" s="141" t="s">
        <v>8812</v>
      </c>
      <c r="B5208" s="141">
        <v>543232</v>
      </c>
      <c r="C5208" s="141" t="s">
        <v>8813</v>
      </c>
      <c r="D5208" s="141" t="s">
        <v>1112</v>
      </c>
    </row>
    <row r="5209" spans="1:4" x14ac:dyDescent="0.3">
      <c r="A5209" s="141" t="s">
        <v>8814</v>
      </c>
      <c r="B5209" s="141">
        <v>543233</v>
      </c>
      <c r="C5209" s="141" t="s">
        <v>8815</v>
      </c>
      <c r="D5209" s="141" t="s">
        <v>1289</v>
      </c>
    </row>
    <row r="5210" spans="1:4" x14ac:dyDescent="0.3">
      <c r="A5210" s="141" t="s">
        <v>8816</v>
      </c>
      <c r="B5210" s="141">
        <v>543234</v>
      </c>
      <c r="C5210" s="141" t="s">
        <v>8817</v>
      </c>
      <c r="D5210" s="141" t="s">
        <v>1115</v>
      </c>
    </row>
    <row r="5211" spans="1:4" x14ac:dyDescent="0.3">
      <c r="A5211" s="141" t="s">
        <v>8818</v>
      </c>
      <c r="B5211" s="141">
        <v>543235</v>
      </c>
      <c r="C5211" s="141" t="s">
        <v>8819</v>
      </c>
      <c r="D5211" s="141" t="s">
        <v>1112</v>
      </c>
    </row>
    <row r="5212" spans="1:4" x14ac:dyDescent="0.3">
      <c r="A5212" s="141" t="s">
        <v>8820</v>
      </c>
      <c r="B5212" s="141">
        <v>543236</v>
      </c>
      <c r="C5212" s="141" t="s">
        <v>8821</v>
      </c>
      <c r="D5212" s="141" t="s">
        <v>1137</v>
      </c>
    </row>
    <row r="5213" spans="1:4" x14ac:dyDescent="0.3">
      <c r="A5213" s="141" t="s">
        <v>8822</v>
      </c>
      <c r="B5213" s="141">
        <v>543237</v>
      </c>
      <c r="C5213" s="141" t="s">
        <v>8823</v>
      </c>
      <c r="D5213" s="141" t="s">
        <v>1602</v>
      </c>
    </row>
    <row r="5214" spans="1:4" x14ac:dyDescent="0.3">
      <c r="A5214" s="141" t="s">
        <v>8824</v>
      </c>
      <c r="B5214" s="141">
        <v>543238</v>
      </c>
      <c r="C5214" s="141" t="s">
        <v>8825</v>
      </c>
      <c r="D5214" s="141" t="s">
        <v>3534</v>
      </c>
    </row>
    <row r="5215" spans="1:4" x14ac:dyDescent="0.3">
      <c r="A5215" s="141" t="s">
        <v>8826</v>
      </c>
      <c r="B5215" s="141">
        <v>543239</v>
      </c>
      <c r="C5215" s="141" t="s">
        <v>8827</v>
      </c>
      <c r="D5215" s="141" t="s">
        <v>1249</v>
      </c>
    </row>
    <row r="5216" spans="1:4" x14ac:dyDescent="0.3">
      <c r="A5216" s="141" t="s">
        <v>8828</v>
      </c>
      <c r="B5216" s="141">
        <v>543240</v>
      </c>
      <c r="C5216" s="141" t="s">
        <v>8829</v>
      </c>
      <c r="D5216" s="141" t="s">
        <v>1527</v>
      </c>
    </row>
    <row r="5217" spans="1:4" x14ac:dyDescent="0.3">
      <c r="A5217" s="141" t="s">
        <v>8830</v>
      </c>
      <c r="B5217" s="141">
        <v>543241</v>
      </c>
      <c r="C5217" s="141" t="s">
        <v>8831</v>
      </c>
      <c r="D5217" s="141" t="s">
        <v>1215</v>
      </c>
    </row>
    <row r="5218" spans="1:4" x14ac:dyDescent="0.3">
      <c r="A5218" s="141" t="s">
        <v>8832</v>
      </c>
      <c r="B5218" s="141">
        <v>543242</v>
      </c>
      <c r="C5218" s="141" t="s">
        <v>8833</v>
      </c>
      <c r="D5218" s="141" t="s">
        <v>1215</v>
      </c>
    </row>
    <row r="5219" spans="1:4" x14ac:dyDescent="0.3">
      <c r="A5219" s="141" t="s">
        <v>8834</v>
      </c>
      <c r="B5219" s="141">
        <v>543243</v>
      </c>
      <c r="C5219" s="141" t="s">
        <v>8835</v>
      </c>
      <c r="D5219" s="141" t="s">
        <v>1447</v>
      </c>
    </row>
    <row r="5220" spans="1:4" x14ac:dyDescent="0.3">
      <c r="A5220" s="141" t="s">
        <v>8836</v>
      </c>
      <c r="B5220" s="141">
        <v>543244</v>
      </c>
      <c r="C5220" s="141" t="s">
        <v>8837</v>
      </c>
      <c r="D5220" s="141" t="s">
        <v>1144</v>
      </c>
    </row>
    <row r="5221" spans="1:4" x14ac:dyDescent="0.3">
      <c r="A5221" s="141" t="s">
        <v>8838</v>
      </c>
      <c r="B5221" s="141">
        <v>500270</v>
      </c>
      <c r="C5221" s="141" t="s">
        <v>8839</v>
      </c>
      <c r="D5221" s="141" t="s">
        <v>8840</v>
      </c>
    </row>
    <row r="5222" spans="1:4" x14ac:dyDescent="0.3">
      <c r="A5222" s="141" t="s">
        <v>8841</v>
      </c>
      <c r="B5222" s="141">
        <v>503685</v>
      </c>
      <c r="C5222" s="141" t="s">
        <v>8842</v>
      </c>
      <c r="D5222" s="141" t="s">
        <v>8843</v>
      </c>
    </row>
    <row r="5223" spans="1:4" x14ac:dyDescent="0.3">
      <c r="A5223" s="141" t="s">
        <v>8844</v>
      </c>
      <c r="B5223" s="141">
        <v>505100</v>
      </c>
      <c r="C5223" s="141" t="s">
        <v>8845</v>
      </c>
      <c r="D5223" s="141" t="s">
        <v>8846</v>
      </c>
    </row>
    <row r="5224" spans="1:4" x14ac:dyDescent="0.3">
      <c r="A5224" s="141" t="s">
        <v>8847</v>
      </c>
      <c r="B5224" s="141">
        <v>506580</v>
      </c>
      <c r="C5224" s="141" t="s">
        <v>8848</v>
      </c>
      <c r="D5224" s="141" t="s">
        <v>8849</v>
      </c>
    </row>
    <row r="5225" spans="1:4" x14ac:dyDescent="0.3">
      <c r="A5225" s="141" t="s">
        <v>8850</v>
      </c>
      <c r="B5225" s="141">
        <v>509069</v>
      </c>
      <c r="C5225" s="141" t="s">
        <v>8851</v>
      </c>
      <c r="D5225" s="141" t="s">
        <v>8852</v>
      </c>
    </row>
    <row r="5226" spans="1:4" x14ac:dyDescent="0.3">
      <c r="A5226" s="141" t="s">
        <v>8853</v>
      </c>
      <c r="B5226" s="141">
        <v>509960</v>
      </c>
      <c r="C5226" s="141" t="s">
        <v>8854</v>
      </c>
      <c r="D5226" s="141" t="s">
        <v>8855</v>
      </c>
    </row>
    <row r="5227" spans="1:4" x14ac:dyDescent="0.3">
      <c r="A5227" s="141" t="s">
        <v>8856</v>
      </c>
      <c r="B5227" s="141">
        <v>511016</v>
      </c>
      <c r="C5227" s="141" t="s">
        <v>8857</v>
      </c>
      <c r="D5227" s="141" t="s">
        <v>8858</v>
      </c>
    </row>
    <row r="5228" spans="1:4" x14ac:dyDescent="0.3">
      <c r="A5228" s="141" t="s">
        <v>8859</v>
      </c>
      <c r="B5228" s="141">
        <v>511194</v>
      </c>
      <c r="C5228" s="141" t="s">
        <v>8860</v>
      </c>
      <c r="D5228" s="141" t="s">
        <v>8084</v>
      </c>
    </row>
    <row r="5229" spans="1:4" x14ac:dyDescent="0.3">
      <c r="A5229" s="141" t="s">
        <v>8861</v>
      </c>
      <c r="B5229" s="141">
        <v>512097</v>
      </c>
      <c r="C5229" s="141" t="s">
        <v>8862</v>
      </c>
      <c r="D5229" s="141" t="s">
        <v>8863</v>
      </c>
    </row>
    <row r="5230" spans="1:4" x14ac:dyDescent="0.3">
      <c r="A5230" s="141" t="s">
        <v>8864</v>
      </c>
      <c r="B5230" s="141">
        <v>512115</v>
      </c>
      <c r="C5230" s="141" t="s">
        <v>8865</v>
      </c>
      <c r="D5230" s="141" t="s">
        <v>8863</v>
      </c>
    </row>
    <row r="5231" spans="1:4" x14ac:dyDescent="0.3">
      <c r="A5231" s="141" t="s">
        <v>8866</v>
      </c>
      <c r="B5231" s="141">
        <v>514260</v>
      </c>
      <c r="C5231" s="141" t="s">
        <v>8867</v>
      </c>
      <c r="D5231" s="141" t="s">
        <v>8840</v>
      </c>
    </row>
    <row r="5232" spans="1:4" x14ac:dyDescent="0.3">
      <c r="A5232" s="141" t="s">
        <v>8868</v>
      </c>
      <c r="B5232" s="141">
        <v>523309</v>
      </c>
      <c r="C5232" s="141" t="s">
        <v>8869</v>
      </c>
      <c r="D5232" s="141" t="s">
        <v>8870</v>
      </c>
    </row>
    <row r="5233" spans="1:4" x14ac:dyDescent="0.3">
      <c r="A5233" s="141" t="s">
        <v>8871</v>
      </c>
      <c r="B5233" s="141">
        <v>523868</v>
      </c>
      <c r="C5233" s="141" t="s">
        <v>8872</v>
      </c>
      <c r="D5233" s="141" t="s">
        <v>1137</v>
      </c>
    </row>
    <row r="5234" spans="1:4" x14ac:dyDescent="0.3">
      <c r="A5234" s="141" t="s">
        <v>8873</v>
      </c>
      <c r="B5234" s="141">
        <v>524046</v>
      </c>
      <c r="C5234" s="141" t="s">
        <v>8874</v>
      </c>
      <c r="D5234" s="141" t="s">
        <v>8875</v>
      </c>
    </row>
    <row r="5235" spans="1:4" x14ac:dyDescent="0.3">
      <c r="A5235" s="141" t="s">
        <v>8876</v>
      </c>
      <c r="B5235" s="141">
        <v>526345</v>
      </c>
      <c r="C5235" s="141" t="s">
        <v>8877</v>
      </c>
      <c r="D5235" s="141" t="s">
        <v>1189</v>
      </c>
    </row>
    <row r="5236" spans="1:4" x14ac:dyDescent="0.3">
      <c r="A5236" s="141" t="s">
        <v>8878</v>
      </c>
      <c r="B5236" s="141">
        <v>526468</v>
      </c>
      <c r="C5236" s="141" t="s">
        <v>8879</v>
      </c>
      <c r="D5236" s="141" t="s">
        <v>8880</v>
      </c>
    </row>
    <row r="5237" spans="1:4" x14ac:dyDescent="0.3">
      <c r="A5237" s="141" t="s">
        <v>8881</v>
      </c>
      <c r="B5237" s="141">
        <v>526677</v>
      </c>
      <c r="C5237" s="141" t="s">
        <v>8882</v>
      </c>
      <c r="D5237" s="141" t="s">
        <v>1234</v>
      </c>
    </row>
    <row r="5238" spans="1:4" x14ac:dyDescent="0.3">
      <c r="A5238" s="141" t="s">
        <v>8883</v>
      </c>
      <c r="B5238" s="141">
        <v>526877</v>
      </c>
      <c r="C5238" s="141" t="s">
        <v>8884</v>
      </c>
      <c r="D5238" s="141" t="s">
        <v>8863</v>
      </c>
    </row>
    <row r="5239" spans="1:4" x14ac:dyDescent="0.3">
      <c r="A5239" s="141" t="s">
        <v>8885</v>
      </c>
      <c r="B5239" s="141">
        <v>530027</v>
      </c>
      <c r="C5239" s="141" t="s">
        <v>8886</v>
      </c>
      <c r="D5239" s="141" t="s">
        <v>1343</v>
      </c>
    </row>
    <row r="5240" spans="1:4" x14ac:dyDescent="0.3">
      <c r="A5240" s="141" t="s">
        <v>8887</v>
      </c>
      <c r="B5240" s="141">
        <v>531240</v>
      </c>
      <c r="C5240" s="141" t="s">
        <v>8888</v>
      </c>
      <c r="D5240" s="141" t="s">
        <v>8863</v>
      </c>
    </row>
    <row r="5241" spans="1:4" x14ac:dyDescent="0.3">
      <c r="A5241" s="141" t="s">
        <v>8889</v>
      </c>
      <c r="B5241" s="141">
        <v>531399</v>
      </c>
      <c r="C5241" s="141" t="s">
        <v>8890</v>
      </c>
      <c r="D5241" s="141" t="s">
        <v>8846</v>
      </c>
    </row>
    <row r="5242" spans="1:4" x14ac:dyDescent="0.3">
      <c r="A5242" s="141" t="s">
        <v>8891</v>
      </c>
      <c r="B5242" s="141">
        <v>531812</v>
      </c>
      <c r="C5242" s="141" t="s">
        <v>8892</v>
      </c>
      <c r="D5242" s="141" t="s">
        <v>8858</v>
      </c>
    </row>
    <row r="5243" spans="1:4" x14ac:dyDescent="0.3">
      <c r="A5243" s="141" t="s">
        <v>8893</v>
      </c>
      <c r="B5243" s="141">
        <v>532019</v>
      </c>
      <c r="C5243" s="141" t="s">
        <v>8894</v>
      </c>
      <c r="D5243" s="141" t="s">
        <v>8895</v>
      </c>
    </row>
    <row r="5244" spans="1:4" x14ac:dyDescent="0.3">
      <c r="A5244" s="141" t="s">
        <v>8896</v>
      </c>
      <c r="B5244" s="141">
        <v>532335</v>
      </c>
      <c r="C5244" s="141" t="s">
        <v>8897</v>
      </c>
      <c r="D5244" s="141" t="s">
        <v>2948</v>
      </c>
    </row>
    <row r="5245" spans="1:4" x14ac:dyDescent="0.3">
      <c r="A5245" s="141" t="s">
        <v>8898</v>
      </c>
      <c r="B5245" s="141">
        <v>537709</v>
      </c>
      <c r="C5245" s="141" t="s">
        <v>8899</v>
      </c>
      <c r="D5245" s="141" t="s">
        <v>1828</v>
      </c>
    </row>
    <row r="5246" spans="1:4" x14ac:dyDescent="0.3">
      <c r="A5246" s="141" t="s">
        <v>8900</v>
      </c>
      <c r="B5246" s="141">
        <v>543229</v>
      </c>
      <c r="C5246" s="141" t="s">
        <v>8901</v>
      </c>
      <c r="D5246" s="141" t="s">
        <v>8902</v>
      </c>
    </row>
    <row r="5247" spans="1:4" x14ac:dyDescent="0.3">
      <c r="A5247" s="141" t="s">
        <v>8903</v>
      </c>
      <c r="B5247" s="141">
        <v>543245</v>
      </c>
      <c r="C5247" s="141" t="s">
        <v>8904</v>
      </c>
      <c r="D5247" s="141" t="s">
        <v>1167</v>
      </c>
    </row>
    <row r="5248" spans="1:4" x14ac:dyDescent="0.3">
      <c r="A5248" s="141" t="s">
        <v>8905</v>
      </c>
      <c r="B5248" s="141">
        <v>543246</v>
      </c>
      <c r="C5248" s="141" t="s">
        <v>8906</v>
      </c>
      <c r="D5248" s="141" t="s">
        <v>1081</v>
      </c>
    </row>
    <row r="5249" spans="1:4" x14ac:dyDescent="0.3">
      <c r="A5249" s="141" t="s">
        <v>8907</v>
      </c>
      <c r="B5249" s="141">
        <v>543247</v>
      </c>
      <c r="C5249" s="141" t="s">
        <v>8908</v>
      </c>
      <c r="D5249" s="141" t="s">
        <v>8843</v>
      </c>
    </row>
    <row r="5250" spans="1:4" x14ac:dyDescent="0.3">
      <c r="A5250" s="141" t="s">
        <v>8909</v>
      </c>
      <c r="B5250" s="141">
        <v>543248</v>
      </c>
      <c r="C5250" s="141" t="s">
        <v>8910</v>
      </c>
      <c r="D5250" s="141" t="s">
        <v>1618</v>
      </c>
    </row>
    <row r="5251" spans="1:4" x14ac:dyDescent="0.3">
      <c r="A5251" s="141" t="s">
        <v>8911</v>
      </c>
      <c r="B5251" s="141">
        <v>543249</v>
      </c>
      <c r="C5251" s="141" t="s">
        <v>8912</v>
      </c>
      <c r="D5251" s="141" t="s">
        <v>8913</v>
      </c>
    </row>
    <row r="5252" spans="1:4" x14ac:dyDescent="0.3">
      <c r="A5252" s="141" t="s">
        <v>8914</v>
      </c>
      <c r="B5252" s="141">
        <v>543251</v>
      </c>
      <c r="C5252" s="141" t="s">
        <v>8915</v>
      </c>
      <c r="D5252" s="141" t="s">
        <v>8913</v>
      </c>
    </row>
    <row r="5253" spans="1:4" x14ac:dyDescent="0.3">
      <c r="A5253" s="141" t="s">
        <v>8916</v>
      </c>
      <c r="B5253" s="141">
        <v>543252</v>
      </c>
      <c r="C5253" s="141" t="s">
        <v>8917</v>
      </c>
      <c r="D5253" s="141" t="s">
        <v>1289</v>
      </c>
    </row>
    <row r="5254" spans="1:4" x14ac:dyDescent="0.3">
      <c r="A5254" s="141" t="s">
        <v>8918</v>
      </c>
      <c r="B5254" s="141">
        <v>543253</v>
      </c>
      <c r="C5254" s="141" t="s">
        <v>8919</v>
      </c>
      <c r="D5254" s="141" t="s">
        <v>1189</v>
      </c>
    </row>
    <row r="5255" spans="1:4" x14ac:dyDescent="0.3">
      <c r="A5255" s="141" t="s">
        <v>8920</v>
      </c>
      <c r="B5255" s="141">
        <v>543254</v>
      </c>
      <c r="C5255" s="141" t="s">
        <v>8921</v>
      </c>
      <c r="D5255" s="141" t="s">
        <v>8922</v>
      </c>
    </row>
    <row r="5256" spans="1:4" x14ac:dyDescent="0.3">
      <c r="A5256" s="141" t="s">
        <v>8923</v>
      </c>
      <c r="B5256" s="141">
        <v>543255</v>
      </c>
      <c r="C5256" s="141" t="s">
        <v>8924</v>
      </c>
      <c r="D5256" s="141" t="s">
        <v>1081</v>
      </c>
    </row>
    <row r="5257" spans="1:4" x14ac:dyDescent="0.3">
      <c r="A5257" s="141" t="s">
        <v>8925</v>
      </c>
      <c r="B5257" s="141">
        <v>543256</v>
      </c>
      <c r="C5257" s="141" t="s">
        <v>8926</v>
      </c>
      <c r="D5257" s="141" t="s">
        <v>8927</v>
      </c>
    </row>
    <row r="5258" spans="1:4" x14ac:dyDescent="0.3">
      <c r="A5258" s="141" t="s">
        <v>8928</v>
      </c>
      <c r="B5258" s="141">
        <v>543257</v>
      </c>
      <c r="C5258" s="141" t="s">
        <v>8929</v>
      </c>
      <c r="D5258" s="141" t="s">
        <v>8930</v>
      </c>
    </row>
    <row r="5259" spans="1:4" x14ac:dyDescent="0.3">
      <c r="A5259" s="141" t="s">
        <v>8931</v>
      </c>
      <c r="B5259" s="141">
        <v>543258</v>
      </c>
      <c r="C5259" s="141" t="s">
        <v>8932</v>
      </c>
      <c r="D5259" s="141" t="s">
        <v>8933</v>
      </c>
    </row>
    <row r="5260" spans="1:4" x14ac:dyDescent="0.3">
      <c r="A5260" s="141" t="s">
        <v>8934</v>
      </c>
      <c r="B5260" s="141">
        <v>543259</v>
      </c>
      <c r="C5260" s="141" t="s">
        <v>8935</v>
      </c>
      <c r="D5260" s="141" t="s">
        <v>8936</v>
      </c>
    </row>
    <row r="5261" spans="1:4" x14ac:dyDescent="0.3">
      <c r="A5261" s="141" t="s">
        <v>8937</v>
      </c>
      <c r="B5261" s="141">
        <v>543260</v>
      </c>
      <c r="C5261" s="141" t="s">
        <v>8938</v>
      </c>
      <c r="D5261" s="141" t="s">
        <v>1894</v>
      </c>
    </row>
    <row r="5262" spans="1:4" x14ac:dyDescent="0.3">
      <c r="A5262" s="141" t="s">
        <v>8939</v>
      </c>
      <c r="B5262" s="141">
        <v>543261</v>
      </c>
      <c r="C5262" s="141" t="s">
        <v>8940</v>
      </c>
      <c r="D5262" s="141" t="s">
        <v>8941</v>
      </c>
    </row>
    <row r="5263" spans="1:4" x14ac:dyDescent="0.3">
      <c r="A5263" s="141" t="s">
        <v>8942</v>
      </c>
      <c r="B5263" s="141">
        <v>543262</v>
      </c>
      <c r="C5263" s="141" t="s">
        <v>8943</v>
      </c>
      <c r="D5263" s="141" t="s">
        <v>1163</v>
      </c>
    </row>
    <row r="5264" spans="1:4" x14ac:dyDescent="0.3">
      <c r="A5264" s="141" t="s">
        <v>8944</v>
      </c>
      <c r="B5264" s="141">
        <v>543263</v>
      </c>
      <c r="C5264" s="141" t="s">
        <v>8945</v>
      </c>
      <c r="D5264" s="141" t="s">
        <v>8946</v>
      </c>
    </row>
    <row r="5265" spans="1:4" x14ac:dyDescent="0.3">
      <c r="A5265" s="141" t="s">
        <v>8947</v>
      </c>
      <c r="B5265" s="141">
        <v>543264</v>
      </c>
      <c r="C5265" s="141" t="s">
        <v>8948</v>
      </c>
      <c r="D5265" s="141" t="s">
        <v>8949</v>
      </c>
    </row>
    <row r="5266" spans="1:4" x14ac:dyDescent="0.3">
      <c r="A5266" s="141" t="s">
        <v>8950</v>
      </c>
      <c r="B5266" s="141">
        <v>543265</v>
      </c>
      <c r="C5266" s="141" t="s">
        <v>8951</v>
      </c>
      <c r="D5266" s="141" t="s">
        <v>2076</v>
      </c>
    </row>
    <row r="5267" spans="1:4" x14ac:dyDescent="0.3">
      <c r="A5267" s="141" t="s">
        <v>8952</v>
      </c>
      <c r="B5267" s="141">
        <v>543266</v>
      </c>
      <c r="C5267" s="141" t="s">
        <v>8953</v>
      </c>
      <c r="D5267" s="141" t="s">
        <v>8849</v>
      </c>
    </row>
    <row r="5268" spans="1:4" x14ac:dyDescent="0.3">
      <c r="A5268" s="141" t="s">
        <v>8954</v>
      </c>
      <c r="B5268" s="141">
        <v>543267</v>
      </c>
      <c r="C5268" s="141" t="s">
        <v>8955</v>
      </c>
      <c r="D5268" s="141" t="s">
        <v>1828</v>
      </c>
    </row>
    <row r="5269" spans="1:4" x14ac:dyDescent="0.3">
      <c r="A5269" s="141" t="s">
        <v>8956</v>
      </c>
      <c r="B5269" s="141">
        <v>543269</v>
      </c>
      <c r="C5269" s="141" t="s">
        <v>8957</v>
      </c>
      <c r="D5269" s="141" t="s">
        <v>8958</v>
      </c>
    </row>
    <row r="5270" spans="1:4" x14ac:dyDescent="0.3">
      <c r="A5270" s="141" t="s">
        <v>8959</v>
      </c>
      <c r="B5270" s="141">
        <v>543270</v>
      </c>
      <c r="C5270" s="141" t="s">
        <v>8960</v>
      </c>
      <c r="D5270" s="141" t="s">
        <v>8961</v>
      </c>
    </row>
    <row r="5271" spans="1:4" x14ac:dyDescent="0.3">
      <c r="A5271" s="141" t="s">
        <v>8962</v>
      </c>
      <c r="B5271" s="141">
        <v>543271</v>
      </c>
      <c r="C5271" s="141" t="s">
        <v>8963</v>
      </c>
      <c r="D5271" s="141" t="s">
        <v>1289</v>
      </c>
    </row>
    <row r="5272" spans="1:4" x14ac:dyDescent="0.3">
      <c r="A5272" s="141" t="s">
        <v>8964</v>
      </c>
      <c r="B5272" s="141">
        <v>543272</v>
      </c>
      <c r="C5272" s="141" t="s">
        <v>8965</v>
      </c>
      <c r="D5272" s="141" t="s">
        <v>8966</v>
      </c>
    </row>
    <row r="5273" spans="1:4" x14ac:dyDescent="0.3">
      <c r="A5273" s="141" t="s">
        <v>8967</v>
      </c>
      <c r="B5273" s="141">
        <v>543273</v>
      </c>
      <c r="C5273" s="141" t="s">
        <v>8968</v>
      </c>
      <c r="D5273" s="141" t="s">
        <v>2377</v>
      </c>
    </row>
    <row r="5274" spans="1:4" x14ac:dyDescent="0.3">
      <c r="A5274" s="141" t="s">
        <v>8969</v>
      </c>
      <c r="B5274" s="141">
        <v>543274</v>
      </c>
      <c r="C5274" s="141" t="s">
        <v>8970</v>
      </c>
      <c r="D5274" s="141" t="s">
        <v>8840</v>
      </c>
    </row>
    <row r="5275" spans="1:4" x14ac:dyDescent="0.3">
      <c r="A5275" s="141" t="s">
        <v>8971</v>
      </c>
      <c r="B5275" s="141">
        <v>543275</v>
      </c>
      <c r="C5275" s="141" t="s">
        <v>8972</v>
      </c>
      <c r="D5275" s="141" t="s">
        <v>1289</v>
      </c>
    </row>
    <row r="5276" spans="1:4" x14ac:dyDescent="0.3">
      <c r="A5276" s="141" t="s">
        <v>8973</v>
      </c>
      <c r="B5276" s="141">
        <v>543276</v>
      </c>
      <c r="C5276" s="141" t="s">
        <v>8974</v>
      </c>
      <c r="D5276" s="141" t="s">
        <v>8846</v>
      </c>
    </row>
    <row r="5277" spans="1:4" x14ac:dyDescent="0.3">
      <c r="A5277" s="141" t="s">
        <v>8975</v>
      </c>
      <c r="B5277" s="141">
        <v>543277</v>
      </c>
      <c r="C5277" s="141" t="s">
        <v>8976</v>
      </c>
      <c r="D5277" s="141" t="s">
        <v>1289</v>
      </c>
    </row>
    <row r="5278" spans="1:4" x14ac:dyDescent="0.3">
      <c r="A5278" s="141" t="s">
        <v>8977</v>
      </c>
      <c r="B5278" s="141">
        <v>543278</v>
      </c>
      <c r="C5278" s="141" t="s">
        <v>8978</v>
      </c>
      <c r="D5278" s="141" t="s">
        <v>8880</v>
      </c>
    </row>
    <row r="5279" spans="1:4" x14ac:dyDescent="0.3">
      <c r="A5279" s="141" t="s">
        <v>8979</v>
      </c>
      <c r="B5279" s="141">
        <v>543279</v>
      </c>
      <c r="C5279" s="141" t="s">
        <v>8980</v>
      </c>
      <c r="D5279" s="141" t="s">
        <v>8981</v>
      </c>
    </row>
    <row r="5280" spans="1:4" x14ac:dyDescent="0.3">
      <c r="A5280" s="141" t="s">
        <v>8982</v>
      </c>
      <c r="B5280" s="141">
        <v>543280</v>
      </c>
      <c r="C5280" s="141" t="s">
        <v>8983</v>
      </c>
      <c r="D5280" s="141" t="s">
        <v>8984</v>
      </c>
    </row>
    <row r="5281" spans="1:4" x14ac:dyDescent="0.3">
      <c r="A5281" s="141" t="s">
        <v>8985</v>
      </c>
      <c r="B5281" s="141">
        <v>543281</v>
      </c>
      <c r="C5281" s="141" t="s">
        <v>8986</v>
      </c>
      <c r="D5281" s="141" t="s">
        <v>8987</v>
      </c>
    </row>
    <row r="5282" spans="1:4" x14ac:dyDescent="0.3">
      <c r="A5282" s="141" t="s">
        <v>8988</v>
      </c>
      <c r="B5282" s="141">
        <v>543282</v>
      </c>
      <c r="C5282" s="141" t="s">
        <v>8989</v>
      </c>
      <c r="D5282" s="141" t="s">
        <v>8958</v>
      </c>
    </row>
    <row r="5283" spans="1:4" x14ac:dyDescent="0.3">
      <c r="A5283" s="141" t="s">
        <v>8990</v>
      </c>
      <c r="B5283" s="141">
        <v>543283</v>
      </c>
      <c r="C5283" s="141" t="s">
        <v>8991</v>
      </c>
      <c r="D5283" s="141" t="s">
        <v>1618</v>
      </c>
    </row>
    <row r="5284" spans="1:4" x14ac:dyDescent="0.3">
      <c r="A5284" s="141" t="s">
        <v>8992</v>
      </c>
      <c r="B5284" s="141">
        <v>543284</v>
      </c>
      <c r="C5284" s="141" t="s">
        <v>8993</v>
      </c>
      <c r="D5284" s="141" t="s">
        <v>1213</v>
      </c>
    </row>
    <row r="5285" spans="1:4" x14ac:dyDescent="0.3">
      <c r="A5285" s="141" t="s">
        <v>8994</v>
      </c>
      <c r="B5285" s="141">
        <v>543285</v>
      </c>
      <c r="C5285" s="141" t="s">
        <v>8995</v>
      </c>
      <c r="D5285" s="141" t="s">
        <v>8996</v>
      </c>
    </row>
    <row r="5286" spans="1:4" x14ac:dyDescent="0.3">
      <c r="A5286" s="141" t="s">
        <v>8997</v>
      </c>
      <c r="B5286" s="141">
        <v>543286</v>
      </c>
      <c r="C5286" s="141" t="s">
        <v>8998</v>
      </c>
      <c r="D5286" s="141" t="s">
        <v>1209</v>
      </c>
    </row>
    <row r="5287" spans="1:4" x14ac:dyDescent="0.3">
      <c r="A5287" s="141" t="s">
        <v>8999</v>
      </c>
      <c r="B5287" s="141">
        <v>543287</v>
      </c>
      <c r="C5287" s="141" t="s">
        <v>9000</v>
      </c>
      <c r="D5287" s="141" t="s">
        <v>8913</v>
      </c>
    </row>
    <row r="5288" spans="1:4" x14ac:dyDescent="0.3">
      <c r="A5288" s="141" t="s">
        <v>9001</v>
      </c>
      <c r="B5288" s="141">
        <v>543288</v>
      </c>
      <c r="C5288" s="141" t="s">
        <v>2638</v>
      </c>
      <c r="D5288" s="141" t="s">
        <v>9002</v>
      </c>
    </row>
    <row r="5289" spans="1:4" x14ac:dyDescent="0.3">
      <c r="A5289" s="141" t="s">
        <v>9003</v>
      </c>
      <c r="B5289" s="141">
        <v>543289</v>
      </c>
      <c r="C5289" s="141" t="s">
        <v>9004</v>
      </c>
      <c r="D5289" s="141" t="s">
        <v>1234</v>
      </c>
    </row>
    <row r="5290" spans="1:4" x14ac:dyDescent="0.3">
      <c r="A5290" s="141" t="s">
        <v>9005</v>
      </c>
      <c r="B5290" s="141">
        <v>543290</v>
      </c>
      <c r="C5290" s="141" t="s">
        <v>9006</v>
      </c>
      <c r="D5290" s="141" t="s">
        <v>9007</v>
      </c>
    </row>
    <row r="5291" spans="1:4" x14ac:dyDescent="0.3">
      <c r="A5291" s="141" t="s">
        <v>9008</v>
      </c>
      <c r="B5291" s="141">
        <v>543291</v>
      </c>
      <c r="C5291" s="141" t="s">
        <v>9009</v>
      </c>
      <c r="D5291" s="141" t="s">
        <v>1081</v>
      </c>
    </row>
    <row r="5292" spans="1:4" x14ac:dyDescent="0.3">
      <c r="A5292" s="141" t="s">
        <v>9010</v>
      </c>
      <c r="B5292" s="141">
        <v>543292</v>
      </c>
      <c r="C5292" s="141" t="s">
        <v>9011</v>
      </c>
      <c r="D5292" s="141" t="s">
        <v>1081</v>
      </c>
    </row>
    <row r="5293" spans="1:4" x14ac:dyDescent="0.3">
      <c r="A5293" s="141" t="s">
        <v>9012</v>
      </c>
      <c r="B5293" s="141">
        <v>543297</v>
      </c>
      <c r="C5293" s="141" t="s">
        <v>9013</v>
      </c>
      <c r="D5293" s="141" t="s">
        <v>1172</v>
      </c>
    </row>
    <row r="5294" spans="1:4" x14ac:dyDescent="0.3">
      <c r="A5294" s="141" t="s">
        <v>9014</v>
      </c>
      <c r="B5294" s="141">
        <v>543298</v>
      </c>
      <c r="C5294" s="141" t="s">
        <v>9015</v>
      </c>
      <c r="D5294" s="141" t="s">
        <v>1167</v>
      </c>
    </row>
    <row r="5295" spans="1:4" x14ac:dyDescent="0.3">
      <c r="A5295" s="141" t="s">
        <v>9016</v>
      </c>
      <c r="B5295" s="141">
        <v>543299</v>
      </c>
      <c r="C5295" s="141" t="s">
        <v>9017</v>
      </c>
      <c r="D5295" s="141" t="s">
        <v>9018</v>
      </c>
    </row>
    <row r="5296" spans="1:4" x14ac:dyDescent="0.3">
      <c r="A5296" s="141" t="s">
        <v>9019</v>
      </c>
      <c r="B5296" s="141">
        <v>543300</v>
      </c>
      <c r="C5296" s="141" t="s">
        <v>9020</v>
      </c>
      <c r="D5296" s="141" t="s">
        <v>8846</v>
      </c>
    </row>
    <row r="5297" spans="1:4" x14ac:dyDescent="0.3">
      <c r="A5297" s="141" t="s">
        <v>9021</v>
      </c>
      <c r="B5297" s="141">
        <v>543305</v>
      </c>
      <c r="C5297" s="141" t="s">
        <v>9022</v>
      </c>
      <c r="D5297" s="141" t="s">
        <v>1213</v>
      </c>
    </row>
    <row r="5298" spans="1:4" x14ac:dyDescent="0.3">
      <c r="A5298" s="141" t="s">
        <v>9023</v>
      </c>
      <c r="B5298" s="141">
        <v>543306</v>
      </c>
      <c r="C5298" s="141" t="s">
        <v>9024</v>
      </c>
      <c r="D5298" s="141" t="s">
        <v>9025</v>
      </c>
    </row>
    <row r="5299" spans="1:4" x14ac:dyDescent="0.3">
      <c r="A5299" s="141" t="s">
        <v>9026</v>
      </c>
      <c r="B5299" s="141">
        <v>543308</v>
      </c>
      <c r="C5299" s="141" t="s">
        <v>9027</v>
      </c>
      <c r="D5299" s="141" t="s">
        <v>9028</v>
      </c>
    </row>
    <row r="5300" spans="1:4" x14ac:dyDescent="0.3">
      <c r="A5300" s="141" t="s">
        <v>9029</v>
      </c>
      <c r="B5300" s="141">
        <v>543309</v>
      </c>
      <c r="C5300" s="141" t="s">
        <v>9030</v>
      </c>
      <c r="D5300" s="141" t="s">
        <v>9031</v>
      </c>
    </row>
    <row r="5301" spans="1:4" x14ac:dyDescent="0.3">
      <c r="A5301" s="141" t="s">
        <v>9032</v>
      </c>
      <c r="B5301" s="141">
        <v>543310</v>
      </c>
      <c r="C5301" s="141" t="s">
        <v>9033</v>
      </c>
      <c r="D5301" s="141" t="s">
        <v>1327</v>
      </c>
    </row>
    <row r="5302" spans="1:4" x14ac:dyDescent="0.3">
      <c r="A5302" s="141" t="s">
        <v>9034</v>
      </c>
      <c r="B5302" s="141">
        <v>543311</v>
      </c>
      <c r="C5302" s="141" t="s">
        <v>9035</v>
      </c>
      <c r="D5302" s="141" t="s">
        <v>8849</v>
      </c>
    </row>
    <row r="5303" spans="1:4" x14ac:dyDescent="0.3">
      <c r="A5303" s="141" t="s">
        <v>9036</v>
      </c>
      <c r="B5303" s="141">
        <v>543312</v>
      </c>
      <c r="C5303" s="141" t="s">
        <v>3053</v>
      </c>
      <c r="D5303" s="141" t="s">
        <v>8958</v>
      </c>
    </row>
    <row r="5304" spans="1:4" x14ac:dyDescent="0.3">
      <c r="A5304" s="141" t="s">
        <v>9037</v>
      </c>
      <c r="B5304" s="141">
        <v>543317</v>
      </c>
      <c r="C5304" s="141" t="s">
        <v>9038</v>
      </c>
      <c r="D5304" s="141" t="s">
        <v>9039</v>
      </c>
    </row>
    <row r="5305" spans="1:4" x14ac:dyDescent="0.3">
      <c r="A5305" s="141" t="s">
        <v>9040</v>
      </c>
      <c r="B5305" s="141">
        <v>543318</v>
      </c>
      <c r="C5305" s="141" t="s">
        <v>9041</v>
      </c>
      <c r="D5305" s="141" t="s">
        <v>1177</v>
      </c>
    </row>
    <row r="5306" spans="1:4" x14ac:dyDescent="0.3">
      <c r="A5306" s="141" t="s">
        <v>9042</v>
      </c>
      <c r="B5306" s="141">
        <v>543319</v>
      </c>
      <c r="C5306" s="141" t="s">
        <v>9043</v>
      </c>
      <c r="D5306" s="141" t="s">
        <v>8863</v>
      </c>
    </row>
    <row r="5307" spans="1:4" x14ac:dyDescent="0.3">
      <c r="A5307" s="141" t="s">
        <v>9044</v>
      </c>
      <c r="B5307" s="141">
        <v>543320</v>
      </c>
      <c r="C5307" s="141" t="s">
        <v>9045</v>
      </c>
      <c r="D5307" s="141" t="s">
        <v>9046</v>
      </c>
    </row>
    <row r="5308" spans="1:4" x14ac:dyDescent="0.3">
      <c r="A5308" s="141" t="s">
        <v>9047</v>
      </c>
      <c r="B5308" s="141">
        <v>543321</v>
      </c>
      <c r="C5308" s="141" t="s">
        <v>9048</v>
      </c>
      <c r="D5308" s="141" t="s">
        <v>1289</v>
      </c>
    </row>
    <row r="5309" spans="1:4" x14ac:dyDescent="0.3">
      <c r="A5309" s="141" t="s">
        <v>9049</v>
      </c>
      <c r="B5309" s="141">
        <v>543322</v>
      </c>
      <c r="C5309" s="141" t="s">
        <v>9050</v>
      </c>
      <c r="D5309" s="141" t="s">
        <v>1167</v>
      </c>
    </row>
    <row r="5310" spans="1:4" x14ac:dyDescent="0.3">
      <c r="A5310" s="141" t="s">
        <v>9051</v>
      </c>
      <c r="B5310" s="141">
        <v>543323</v>
      </c>
      <c r="C5310" s="141" t="s">
        <v>9052</v>
      </c>
      <c r="D5310" s="141" t="s">
        <v>1081</v>
      </c>
    </row>
    <row r="5311" spans="1:4" x14ac:dyDescent="0.3">
      <c r="A5311" s="141" t="s">
        <v>9053</v>
      </c>
      <c r="B5311" s="141">
        <v>543324</v>
      </c>
      <c r="C5311" s="141" t="s">
        <v>9054</v>
      </c>
      <c r="D5311" s="141" t="s">
        <v>9055</v>
      </c>
    </row>
    <row r="5312" spans="1:4" x14ac:dyDescent="0.3">
      <c r="A5312" s="141" t="s">
        <v>9056</v>
      </c>
      <c r="B5312" s="141">
        <v>543325</v>
      </c>
      <c r="C5312" s="141" t="s">
        <v>9057</v>
      </c>
      <c r="D5312" s="141" t="s">
        <v>8846</v>
      </c>
    </row>
    <row r="5313" spans="1:4" x14ac:dyDescent="0.3">
      <c r="A5313" s="141" t="s">
        <v>9058</v>
      </c>
      <c r="B5313" s="141">
        <v>543326</v>
      </c>
      <c r="C5313" s="141" t="s">
        <v>9059</v>
      </c>
      <c r="D5313" s="141" t="s">
        <v>1081</v>
      </c>
    </row>
    <row r="5314" spans="1:4" x14ac:dyDescent="0.3">
      <c r="A5314" s="141" t="s">
        <v>9060</v>
      </c>
      <c r="B5314" s="141">
        <v>543327</v>
      </c>
      <c r="C5314" s="141" t="s">
        <v>9061</v>
      </c>
      <c r="D5314" s="141" t="s">
        <v>9062</v>
      </c>
    </row>
    <row r="5315" spans="1:4" x14ac:dyDescent="0.3">
      <c r="A5315" s="141" t="s">
        <v>9063</v>
      </c>
      <c r="B5315" s="141">
        <v>543328</v>
      </c>
      <c r="C5315" s="141" t="s">
        <v>9064</v>
      </c>
      <c r="D5315" s="141" t="s">
        <v>9065</v>
      </c>
    </row>
    <row r="5316" spans="1:4" x14ac:dyDescent="0.3">
      <c r="A5316" s="141" t="s">
        <v>9066</v>
      </c>
      <c r="B5316" s="141">
        <v>543329</v>
      </c>
      <c r="C5316" s="141" t="s">
        <v>9067</v>
      </c>
      <c r="D5316" s="141" t="s">
        <v>1167</v>
      </c>
    </row>
    <row r="5317" spans="1:4" x14ac:dyDescent="0.3">
      <c r="A5317" s="141" t="s">
        <v>9068</v>
      </c>
      <c r="B5317" s="141">
        <v>543330</v>
      </c>
      <c r="C5317" s="141" t="s">
        <v>9069</v>
      </c>
      <c r="D5317" s="141" t="s">
        <v>1618</v>
      </c>
    </row>
    <row r="5318" spans="1:4" x14ac:dyDescent="0.3">
      <c r="A5318" s="141" t="s">
        <v>9070</v>
      </c>
      <c r="B5318" s="141">
        <v>543331</v>
      </c>
      <c r="C5318" s="141" t="s">
        <v>9071</v>
      </c>
      <c r="D5318" s="141" t="s">
        <v>8849</v>
      </c>
    </row>
    <row r="5319" spans="1:4" x14ac:dyDescent="0.3">
      <c r="A5319" s="141" t="s">
        <v>9072</v>
      </c>
      <c r="B5319" s="141">
        <v>543332</v>
      </c>
      <c r="C5319" s="141" t="s">
        <v>9073</v>
      </c>
      <c r="D5319" s="141" t="s">
        <v>1289</v>
      </c>
    </row>
    <row r="5320" spans="1:4" x14ac:dyDescent="0.3">
      <c r="A5320" s="141" t="s">
        <v>9074</v>
      </c>
      <c r="B5320" s="141">
        <v>543333</v>
      </c>
      <c r="C5320" s="141" t="s">
        <v>9075</v>
      </c>
      <c r="D5320" s="141" t="s">
        <v>9046</v>
      </c>
    </row>
    <row r="5321" spans="1:4" x14ac:dyDescent="0.3">
      <c r="A5321" s="141" t="s">
        <v>9076</v>
      </c>
      <c r="B5321" s="141">
        <v>543334</v>
      </c>
      <c r="C5321" s="141" t="s">
        <v>9077</v>
      </c>
      <c r="D5321" s="141" t="s">
        <v>1142</v>
      </c>
    </row>
    <row r="5322" spans="1:4" x14ac:dyDescent="0.3">
      <c r="A5322" s="141" t="s">
        <v>9078</v>
      </c>
      <c r="B5322" s="141">
        <v>543335</v>
      </c>
      <c r="C5322" s="141" t="s">
        <v>9079</v>
      </c>
      <c r="D5322" s="141" t="s">
        <v>8936</v>
      </c>
    </row>
    <row r="5323" spans="1:4" x14ac:dyDescent="0.3">
      <c r="A5323" s="141" t="s">
        <v>9080</v>
      </c>
      <c r="B5323" s="141">
        <v>543336</v>
      </c>
      <c r="C5323" s="141" t="s">
        <v>9081</v>
      </c>
      <c r="D5323" s="141" t="s">
        <v>1177</v>
      </c>
    </row>
    <row r="5324" spans="1:4" x14ac:dyDescent="0.3">
      <c r="A5324" s="141" t="s">
        <v>9082</v>
      </c>
      <c r="B5324" s="141">
        <v>543341</v>
      </c>
      <c r="C5324" s="141" t="s">
        <v>9083</v>
      </c>
      <c r="D5324" s="141" t="s">
        <v>9084</v>
      </c>
    </row>
    <row r="5325" spans="1:4" x14ac:dyDescent="0.3">
      <c r="A5325" s="141" t="s">
        <v>9085</v>
      </c>
      <c r="B5325" s="141">
        <v>543346</v>
      </c>
      <c r="C5325" s="141" t="s">
        <v>9086</v>
      </c>
      <c r="D5325" s="141" t="s">
        <v>9028</v>
      </c>
    </row>
    <row r="5326" spans="1:4" x14ac:dyDescent="0.3">
      <c r="A5326" s="141" t="s">
        <v>9087</v>
      </c>
      <c r="B5326" s="141">
        <v>543347</v>
      </c>
      <c r="C5326" s="141" t="s">
        <v>9088</v>
      </c>
      <c r="D5326" s="141" t="s">
        <v>1081</v>
      </c>
    </row>
    <row r="5327" spans="1:4" x14ac:dyDescent="0.3">
      <c r="A5327" s="141" t="s">
        <v>9089</v>
      </c>
      <c r="B5327" s="141">
        <v>543348</v>
      </c>
      <c r="C5327" s="141" t="s">
        <v>9090</v>
      </c>
      <c r="D5327" s="141" t="s">
        <v>1081</v>
      </c>
    </row>
    <row r="5328" spans="1:4" x14ac:dyDescent="0.3">
      <c r="A5328" s="141" t="s">
        <v>9091</v>
      </c>
      <c r="B5328" s="141">
        <v>543349</v>
      </c>
      <c r="C5328" s="141" t="s">
        <v>9092</v>
      </c>
      <c r="D5328" s="141" t="s">
        <v>1167</v>
      </c>
    </row>
    <row r="5329" spans="1:4" x14ac:dyDescent="0.3">
      <c r="A5329" s="141" t="s">
        <v>9093</v>
      </c>
      <c r="B5329" s="141">
        <v>543350</v>
      </c>
      <c r="C5329" s="141" t="s">
        <v>9094</v>
      </c>
      <c r="D5329" s="141" t="s">
        <v>9065</v>
      </c>
    </row>
    <row r="5330" spans="1:4" x14ac:dyDescent="0.3">
      <c r="A5330" s="141" t="s">
        <v>9095</v>
      </c>
      <c r="B5330" s="141">
        <v>543351</v>
      </c>
      <c r="C5330" s="141" t="s">
        <v>9096</v>
      </c>
      <c r="D5330" s="141" t="s">
        <v>8958</v>
      </c>
    </row>
    <row r="5331" spans="1:4" x14ac:dyDescent="0.3">
      <c r="A5331" s="141" t="s">
        <v>9097</v>
      </c>
      <c r="B5331" s="141">
        <v>543352</v>
      </c>
      <c r="C5331" s="141" t="s">
        <v>9098</v>
      </c>
      <c r="D5331" s="141" t="s">
        <v>9099</v>
      </c>
    </row>
    <row r="5332" spans="1:4" x14ac:dyDescent="0.3">
      <c r="A5332" s="141" t="s">
        <v>9100</v>
      </c>
      <c r="B5332" s="141">
        <v>543357</v>
      </c>
      <c r="C5332" s="141" t="s">
        <v>9101</v>
      </c>
      <c r="D5332" s="141" t="s">
        <v>1081</v>
      </c>
    </row>
    <row r="5333" spans="1:4" x14ac:dyDescent="0.3">
      <c r="A5333" s="141" t="s">
        <v>9102</v>
      </c>
      <c r="B5333" s="141">
        <v>543358</v>
      </c>
      <c r="C5333" s="141" t="s">
        <v>9103</v>
      </c>
      <c r="D5333" s="141" t="s">
        <v>8846</v>
      </c>
    </row>
    <row r="5334" spans="1:4" x14ac:dyDescent="0.3">
      <c r="A5334" s="141" t="s">
        <v>9104</v>
      </c>
      <c r="B5334" s="141">
        <v>543363</v>
      </c>
      <c r="C5334" s="141" t="s">
        <v>9105</v>
      </c>
      <c r="D5334" s="141" t="s">
        <v>8949</v>
      </c>
    </row>
    <row r="5335" spans="1:4" x14ac:dyDescent="0.3">
      <c r="A5335" s="141" t="s">
        <v>9106</v>
      </c>
      <c r="B5335" s="141">
        <v>543364</v>
      </c>
      <c r="C5335" s="141" t="s">
        <v>9107</v>
      </c>
      <c r="D5335" s="141" t="s">
        <v>9039</v>
      </c>
    </row>
    <row r="5336" spans="1:4" x14ac:dyDescent="0.3">
      <c r="A5336" s="141" t="s">
        <v>9108</v>
      </c>
      <c r="B5336" s="141">
        <v>543365</v>
      </c>
      <c r="C5336" s="141" t="s">
        <v>9109</v>
      </c>
      <c r="D5336" s="141" t="s">
        <v>1081</v>
      </c>
    </row>
    <row r="5337" spans="1:4" x14ac:dyDescent="0.3">
      <c r="A5337" s="141" t="s">
        <v>9110</v>
      </c>
      <c r="B5337" s="141">
        <v>543366</v>
      </c>
      <c r="C5337" s="141" t="s">
        <v>9111</v>
      </c>
      <c r="D5337" s="141" t="s">
        <v>8913</v>
      </c>
    </row>
    <row r="5338" spans="1:4" x14ac:dyDescent="0.3">
      <c r="A5338" s="141" t="s">
        <v>9112</v>
      </c>
      <c r="B5338" s="141">
        <v>543367</v>
      </c>
      <c r="C5338" s="141" t="s">
        <v>9113</v>
      </c>
      <c r="D5338" s="141" t="s">
        <v>8961</v>
      </c>
    </row>
    <row r="5339" spans="1:4" x14ac:dyDescent="0.3">
      <c r="A5339" s="141" t="s">
        <v>9114</v>
      </c>
      <c r="B5339" s="141">
        <v>543372</v>
      </c>
      <c r="C5339" s="141" t="s">
        <v>9115</v>
      </c>
      <c r="D5339" s="141" t="s">
        <v>9116</v>
      </c>
    </row>
    <row r="5340" spans="1:4" x14ac:dyDescent="0.3">
      <c r="A5340" s="141" t="s">
        <v>9117</v>
      </c>
      <c r="B5340" s="141">
        <v>543373</v>
      </c>
      <c r="C5340" s="141" t="s">
        <v>9118</v>
      </c>
      <c r="D5340" s="141" t="s">
        <v>8870</v>
      </c>
    </row>
    <row r="5341" spans="1:4" x14ac:dyDescent="0.3">
      <c r="A5341" s="141" t="s">
        <v>9119</v>
      </c>
      <c r="B5341" s="141">
        <v>543374</v>
      </c>
      <c r="C5341" s="141" t="s">
        <v>9120</v>
      </c>
      <c r="D5341" s="141" t="s">
        <v>9121</v>
      </c>
    </row>
    <row r="5342" spans="1:4" x14ac:dyDescent="0.3">
      <c r="A5342" s="141" t="s">
        <v>9122</v>
      </c>
      <c r="B5342" s="141">
        <v>543375</v>
      </c>
      <c r="C5342" s="141" t="s">
        <v>9123</v>
      </c>
      <c r="D5342" s="141" t="s">
        <v>9124</v>
      </c>
    </row>
    <row r="5343" spans="1:4" x14ac:dyDescent="0.3">
      <c r="A5343" s="141" t="s">
        <v>9125</v>
      </c>
      <c r="B5343" s="141">
        <v>543376</v>
      </c>
      <c r="C5343" s="141" t="s">
        <v>9126</v>
      </c>
      <c r="D5343" s="141" t="s">
        <v>8913</v>
      </c>
    </row>
    <row r="5344" spans="1:4" x14ac:dyDescent="0.3">
      <c r="A5344" s="141" t="s">
        <v>9127</v>
      </c>
      <c r="B5344" s="141">
        <v>543377</v>
      </c>
      <c r="C5344" s="141" t="s">
        <v>9128</v>
      </c>
      <c r="D5344" s="141" t="s">
        <v>1452</v>
      </c>
    </row>
    <row r="5345" spans="1:4" x14ac:dyDescent="0.3">
      <c r="A5345" s="141" t="s">
        <v>9129</v>
      </c>
      <c r="B5345" s="141">
        <v>543378</v>
      </c>
      <c r="C5345" s="141" t="s">
        <v>9130</v>
      </c>
      <c r="D5345" s="141" t="s">
        <v>1498</v>
      </c>
    </row>
    <row r="5346" spans="1:4" x14ac:dyDescent="0.3">
      <c r="A5346" s="141" t="s">
        <v>9131</v>
      </c>
      <c r="B5346" s="141">
        <v>543383</v>
      </c>
      <c r="C5346" s="141" t="s">
        <v>9132</v>
      </c>
      <c r="D5346" s="141" t="s">
        <v>1081</v>
      </c>
    </row>
    <row r="5347" spans="1:4" x14ac:dyDescent="0.3">
      <c r="A5347" s="141" t="s">
        <v>9133</v>
      </c>
      <c r="B5347" s="141">
        <v>543384</v>
      </c>
      <c r="C5347" s="141" t="s">
        <v>9134</v>
      </c>
      <c r="D5347" s="141" t="s">
        <v>9046</v>
      </c>
    </row>
    <row r="5348" spans="1:4" x14ac:dyDescent="0.3">
      <c r="A5348" s="141" t="s">
        <v>9135</v>
      </c>
      <c r="B5348" s="141">
        <v>543385</v>
      </c>
      <c r="C5348" s="141" t="s">
        <v>9136</v>
      </c>
      <c r="D5348" s="141" t="s">
        <v>9039</v>
      </c>
    </row>
    <row r="5349" spans="1:4" x14ac:dyDescent="0.3">
      <c r="A5349" s="141" t="s">
        <v>9137</v>
      </c>
      <c r="B5349" s="141">
        <v>543386</v>
      </c>
      <c r="C5349" s="141" t="s">
        <v>9138</v>
      </c>
      <c r="D5349" s="141" t="s">
        <v>8981</v>
      </c>
    </row>
    <row r="5350" spans="1:4" x14ac:dyDescent="0.3">
      <c r="A5350" s="141" t="s">
        <v>9139</v>
      </c>
      <c r="B5350" s="141">
        <v>543387</v>
      </c>
      <c r="C5350" s="141" t="s">
        <v>9140</v>
      </c>
      <c r="D5350" s="141" t="s">
        <v>8846</v>
      </c>
    </row>
    <row r="5351" spans="1:4" x14ac:dyDescent="0.3">
      <c r="A5351" s="141" t="s">
        <v>9141</v>
      </c>
      <c r="B5351" s="141">
        <v>543388</v>
      </c>
      <c r="C5351" s="141" t="s">
        <v>9142</v>
      </c>
      <c r="D5351" s="141" t="s">
        <v>1081</v>
      </c>
    </row>
    <row r="5352" spans="1:4" x14ac:dyDescent="0.3">
      <c r="A5352" s="141" t="s">
        <v>9143</v>
      </c>
      <c r="B5352" s="141">
        <v>543389</v>
      </c>
      <c r="C5352" s="141" t="s">
        <v>9144</v>
      </c>
      <c r="D5352" s="141" t="s">
        <v>1167</v>
      </c>
    </row>
    <row r="5353" spans="1:4" x14ac:dyDescent="0.3">
      <c r="A5353" s="141" t="s">
        <v>9145</v>
      </c>
      <c r="B5353" s="141">
        <v>543390</v>
      </c>
      <c r="C5353" s="141" t="s">
        <v>9146</v>
      </c>
      <c r="D5353" s="141" t="s">
        <v>8987</v>
      </c>
    </row>
    <row r="5354" spans="1:4" x14ac:dyDescent="0.3">
      <c r="A5354" s="141" t="s">
        <v>9147</v>
      </c>
      <c r="B5354" s="141">
        <v>543391</v>
      </c>
      <c r="C5354" s="141" t="s">
        <v>9148</v>
      </c>
      <c r="D5354" s="141" t="s">
        <v>9039</v>
      </c>
    </row>
    <row r="5355" spans="1:4" x14ac:dyDescent="0.3">
      <c r="A5355" s="141" t="s">
        <v>9149</v>
      </c>
      <c r="B5355" s="141">
        <v>543396</v>
      </c>
      <c r="C5355" s="141" t="s">
        <v>9150</v>
      </c>
      <c r="D5355" s="141" t="s">
        <v>8987</v>
      </c>
    </row>
    <row r="5356" spans="1:4" x14ac:dyDescent="0.3">
      <c r="A5356" s="141" t="s">
        <v>9151</v>
      </c>
      <c r="B5356" s="141">
        <v>543397</v>
      </c>
      <c r="C5356" s="141" t="s">
        <v>9152</v>
      </c>
      <c r="D5356" s="141" t="s">
        <v>1618</v>
      </c>
    </row>
    <row r="5357" spans="1:4" x14ac:dyDescent="0.3">
      <c r="A5357" s="141" t="s">
        <v>9153</v>
      </c>
      <c r="B5357" s="141">
        <v>543398</v>
      </c>
      <c r="C5357" s="141" t="s">
        <v>9154</v>
      </c>
      <c r="D5357" s="141" t="s">
        <v>8958</v>
      </c>
    </row>
    <row r="5358" spans="1:4" x14ac:dyDescent="0.3">
      <c r="A5358" s="141" t="s">
        <v>9155</v>
      </c>
      <c r="B5358" s="141">
        <v>543399</v>
      </c>
      <c r="C5358" s="141" t="s">
        <v>9156</v>
      </c>
      <c r="D5358" s="141" t="s">
        <v>8949</v>
      </c>
    </row>
    <row r="5359" spans="1:4" x14ac:dyDescent="0.3">
      <c r="A5359" s="141" t="s">
        <v>9157</v>
      </c>
      <c r="B5359" s="141">
        <v>543400</v>
      </c>
      <c r="C5359" s="141" t="s">
        <v>9158</v>
      </c>
      <c r="D5359" s="141" t="s">
        <v>9159</v>
      </c>
    </row>
    <row r="5360" spans="1:4" x14ac:dyDescent="0.3">
      <c r="A5360" s="141" t="s">
        <v>9160</v>
      </c>
      <c r="B5360" s="141">
        <v>543401</v>
      </c>
      <c r="C5360" s="141" t="s">
        <v>9161</v>
      </c>
      <c r="D5360" s="141" t="s">
        <v>9162</v>
      </c>
    </row>
    <row r="5361" spans="1:4" x14ac:dyDescent="0.3">
      <c r="A5361" s="141" t="s">
        <v>9163</v>
      </c>
      <c r="B5361" s="141">
        <v>543410</v>
      </c>
      <c r="C5361" s="141" t="s">
        <v>9164</v>
      </c>
      <c r="D5361" s="141" t="s">
        <v>1213</v>
      </c>
    </row>
    <row r="5362" spans="1:4" x14ac:dyDescent="0.3">
      <c r="A5362" s="141" t="s">
        <v>9165</v>
      </c>
      <c r="B5362" s="141">
        <v>543411</v>
      </c>
      <c r="C5362" s="141" t="s">
        <v>3658</v>
      </c>
      <c r="D5362" s="141" t="s">
        <v>1452</v>
      </c>
    </row>
    <row r="5363" spans="1:4" x14ac:dyDescent="0.3">
      <c r="A5363" s="141" t="s">
        <v>9166</v>
      </c>
      <c r="B5363" s="141">
        <v>543412</v>
      </c>
      <c r="C5363" s="141" t="s">
        <v>9167</v>
      </c>
      <c r="D5363" s="141" t="s">
        <v>3212</v>
      </c>
    </row>
    <row r="5364" spans="1:4" x14ac:dyDescent="0.3">
      <c r="A5364" s="141" t="s">
        <v>9168</v>
      </c>
      <c r="B5364" s="141">
        <v>543413</v>
      </c>
      <c r="C5364" s="141" t="s">
        <v>9169</v>
      </c>
      <c r="D5364" s="141" t="s">
        <v>9170</v>
      </c>
    </row>
    <row r="5365" spans="1:4" x14ac:dyDescent="0.3">
      <c r="A5365" s="141" t="s">
        <v>9171</v>
      </c>
      <c r="B5365" s="141">
        <v>543414</v>
      </c>
      <c r="C5365" s="141" t="s">
        <v>9172</v>
      </c>
      <c r="D5365" s="141" t="s">
        <v>1081</v>
      </c>
    </row>
    <row r="5366" spans="1:4" x14ac:dyDescent="0.3">
      <c r="A5366" s="141" t="s">
        <v>9173</v>
      </c>
      <c r="B5366" s="141">
        <v>543415</v>
      </c>
      <c r="C5366" s="141" t="s">
        <v>9174</v>
      </c>
      <c r="D5366" s="141" t="s">
        <v>9175</v>
      </c>
    </row>
    <row r="5367" spans="1:4" x14ac:dyDescent="0.3">
      <c r="A5367" s="141" t="s">
        <v>9176</v>
      </c>
      <c r="B5367" s="141">
        <v>543416</v>
      </c>
      <c r="C5367" s="141" t="s">
        <v>8057</v>
      </c>
      <c r="D5367" s="141" t="s">
        <v>9124</v>
      </c>
    </row>
    <row r="5368" spans="1:4" x14ac:dyDescent="0.3">
      <c r="A5368" s="141" t="s">
        <v>9177</v>
      </c>
      <c r="B5368" s="141">
        <v>543417</v>
      </c>
      <c r="C5368" s="141" t="s">
        <v>9178</v>
      </c>
      <c r="D5368" s="141" t="s">
        <v>8958</v>
      </c>
    </row>
    <row r="5369" spans="1:4" x14ac:dyDescent="0.3">
      <c r="A5369" s="141" t="s">
        <v>9179</v>
      </c>
      <c r="B5369" s="141">
        <v>543419</v>
      </c>
      <c r="C5369" s="141" t="s">
        <v>9180</v>
      </c>
      <c r="D5369" s="141" t="s">
        <v>8913</v>
      </c>
    </row>
    <row r="5370" spans="1:4" x14ac:dyDescent="0.3">
      <c r="A5370" s="141" t="s">
        <v>9181</v>
      </c>
      <c r="B5370" s="141">
        <v>543420</v>
      </c>
      <c r="C5370" s="141" t="s">
        <v>4103</v>
      </c>
      <c r="D5370" s="141" t="s">
        <v>9182</v>
      </c>
    </row>
    <row r="5371" spans="1:4" x14ac:dyDescent="0.3">
      <c r="A5371" s="141" t="s">
        <v>9183</v>
      </c>
      <c r="B5371" s="141">
        <v>543425</v>
      </c>
      <c r="C5371" s="141" t="s">
        <v>9184</v>
      </c>
      <c r="D5371" s="141" t="s">
        <v>9185</v>
      </c>
    </row>
    <row r="5372" spans="1:4" x14ac:dyDescent="0.3">
      <c r="A5372" s="141" t="s">
        <v>9186</v>
      </c>
      <c r="B5372" s="141">
        <v>543426</v>
      </c>
      <c r="C5372" s="141" t="s">
        <v>9187</v>
      </c>
      <c r="D5372" s="141" t="s">
        <v>1555</v>
      </c>
    </row>
    <row r="5373" spans="1:4" x14ac:dyDescent="0.3">
      <c r="A5373" s="141" t="s">
        <v>9188</v>
      </c>
      <c r="B5373" s="141">
        <v>543427</v>
      </c>
      <c r="C5373" s="141" t="s">
        <v>9189</v>
      </c>
      <c r="D5373" s="141" t="s">
        <v>9190</v>
      </c>
    </row>
    <row r="5374" spans="1:4" x14ac:dyDescent="0.3">
      <c r="A5374" s="141" t="s">
        <v>9191</v>
      </c>
      <c r="B5374" s="141">
        <v>543428</v>
      </c>
      <c r="C5374" s="141" t="s">
        <v>9192</v>
      </c>
      <c r="D5374" s="141" t="s">
        <v>8961</v>
      </c>
    </row>
    <row r="5375" spans="1:4" x14ac:dyDescent="0.3">
      <c r="A5375" s="141" t="s">
        <v>9193</v>
      </c>
      <c r="B5375" s="141">
        <v>543433</v>
      </c>
      <c r="C5375" s="141" t="s">
        <v>9194</v>
      </c>
      <c r="D5375" s="141" t="s">
        <v>1289</v>
      </c>
    </row>
    <row r="5376" spans="1:4" x14ac:dyDescent="0.3">
      <c r="A5376" s="141" t="s">
        <v>9195</v>
      </c>
      <c r="B5376" s="141">
        <v>543434</v>
      </c>
      <c r="C5376" s="141" t="s">
        <v>9196</v>
      </c>
      <c r="D5376" s="141" t="s">
        <v>1167</v>
      </c>
    </row>
    <row r="5377" spans="1:4" x14ac:dyDescent="0.3">
      <c r="A5377" s="141" t="s">
        <v>9197</v>
      </c>
      <c r="B5377" s="141">
        <v>543435</v>
      </c>
      <c r="C5377" s="141" t="s">
        <v>9198</v>
      </c>
      <c r="D5377" s="141" t="s">
        <v>8996</v>
      </c>
    </row>
    <row r="5378" spans="1:4" x14ac:dyDescent="0.3">
      <c r="A5378" s="141" t="s">
        <v>9199</v>
      </c>
      <c r="B5378" s="141">
        <v>543436</v>
      </c>
      <c r="C5378" s="141" t="s">
        <v>9200</v>
      </c>
      <c r="D5378" s="141" t="s">
        <v>8958</v>
      </c>
    </row>
    <row r="5379" spans="1:4" x14ac:dyDescent="0.3">
      <c r="A5379" s="141" t="s">
        <v>9201</v>
      </c>
      <c r="B5379" s="141">
        <v>543437</v>
      </c>
      <c r="C5379" s="141" t="s">
        <v>9202</v>
      </c>
      <c r="D5379" s="141" t="s">
        <v>1081</v>
      </c>
    </row>
    <row r="5380" spans="1:4" x14ac:dyDescent="0.3">
      <c r="A5380" s="141" t="s">
        <v>9203</v>
      </c>
      <c r="B5380" s="141">
        <v>543438</v>
      </c>
      <c r="C5380" s="141" t="s">
        <v>9204</v>
      </c>
      <c r="D5380" s="141" t="s">
        <v>1081</v>
      </c>
    </row>
    <row r="5381" spans="1:4" x14ac:dyDescent="0.3">
      <c r="A5381" s="141" t="s">
        <v>9205</v>
      </c>
      <c r="B5381" s="141">
        <v>543439</v>
      </c>
      <c r="C5381" s="141" t="s">
        <v>9206</v>
      </c>
      <c r="D5381" s="141" t="s">
        <v>9084</v>
      </c>
    </row>
    <row r="5382" spans="1:4" x14ac:dyDescent="0.3">
      <c r="A5382" s="141" t="s">
        <v>9207</v>
      </c>
      <c r="B5382" s="141">
        <v>543440</v>
      </c>
      <c r="C5382" s="141" t="s">
        <v>9208</v>
      </c>
      <c r="D5382" s="141" t="s">
        <v>1081</v>
      </c>
    </row>
    <row r="5383" spans="1:4" x14ac:dyDescent="0.3">
      <c r="A5383" s="141" t="s">
        <v>9209</v>
      </c>
      <c r="B5383" s="141">
        <v>543441</v>
      </c>
      <c r="C5383" s="141" t="s">
        <v>9210</v>
      </c>
      <c r="D5383" s="141" t="s">
        <v>8084</v>
      </c>
    </row>
    <row r="5384" spans="1:4" x14ac:dyDescent="0.3">
      <c r="A5384" s="141" t="s">
        <v>9211</v>
      </c>
      <c r="B5384" s="141">
        <v>543442</v>
      </c>
      <c r="C5384" s="141" t="s">
        <v>2186</v>
      </c>
      <c r="D5384" s="141" t="s">
        <v>9162</v>
      </c>
    </row>
    <row r="5385" spans="1:4" x14ac:dyDescent="0.3">
      <c r="A5385" s="141" t="s">
        <v>9212</v>
      </c>
      <c r="B5385" s="141">
        <v>543443</v>
      </c>
      <c r="C5385" s="141" t="s">
        <v>9213</v>
      </c>
      <c r="D5385" s="141" t="s">
        <v>1234</v>
      </c>
    </row>
    <row r="5386" spans="1:4" x14ac:dyDescent="0.3">
      <c r="A5386" s="141" t="s">
        <v>9214</v>
      </c>
      <c r="B5386" s="141">
        <v>543444</v>
      </c>
      <c r="C5386" s="141" t="s">
        <v>9215</v>
      </c>
      <c r="D5386" s="141" t="s">
        <v>1167</v>
      </c>
    </row>
    <row r="5387" spans="1:4" x14ac:dyDescent="0.3">
      <c r="A5387" s="141" t="s">
        <v>9216</v>
      </c>
      <c r="B5387" s="141">
        <v>543449</v>
      </c>
      <c r="C5387" s="141" t="s">
        <v>9217</v>
      </c>
      <c r="D5387" s="141" t="s">
        <v>1894</v>
      </c>
    </row>
    <row r="5388" spans="1:4" x14ac:dyDescent="0.3">
      <c r="A5388" s="141" t="s">
        <v>9218</v>
      </c>
      <c r="B5388" s="141">
        <v>543450</v>
      </c>
      <c r="C5388" s="141" t="s">
        <v>9219</v>
      </c>
      <c r="D5388" s="141" t="s">
        <v>1081</v>
      </c>
    </row>
    <row r="5389" spans="1:4" x14ac:dyDescent="0.3">
      <c r="A5389" s="141" t="s">
        <v>9220</v>
      </c>
      <c r="B5389" s="141">
        <v>543451</v>
      </c>
      <c r="C5389" s="141" t="s">
        <v>9221</v>
      </c>
      <c r="D5389" s="141" t="s">
        <v>8084</v>
      </c>
    </row>
    <row r="5390" spans="1:4" x14ac:dyDescent="0.3">
      <c r="A5390" s="141" t="s">
        <v>9222</v>
      </c>
      <c r="B5390" s="141">
        <v>543452</v>
      </c>
      <c r="C5390" s="141" t="s">
        <v>9223</v>
      </c>
      <c r="D5390" s="141" t="s">
        <v>1081</v>
      </c>
    </row>
    <row r="5391" spans="1:4" x14ac:dyDescent="0.3">
      <c r="A5391" s="141" t="s">
        <v>9224</v>
      </c>
      <c r="B5391" s="141">
        <v>543453</v>
      </c>
      <c r="C5391" s="141" t="s">
        <v>9225</v>
      </c>
      <c r="D5391" s="141" t="s">
        <v>9226</v>
      </c>
    </row>
    <row r="5392" spans="1:4" x14ac:dyDescent="0.3">
      <c r="A5392" s="141" t="s">
        <v>9227</v>
      </c>
      <c r="B5392" s="141">
        <v>543454</v>
      </c>
      <c r="C5392" s="141" t="s">
        <v>9228</v>
      </c>
      <c r="D5392" s="141" t="s">
        <v>1081</v>
      </c>
    </row>
    <row r="5393" spans="1:4" x14ac:dyDescent="0.3">
      <c r="A5393" s="141" t="s">
        <v>9229</v>
      </c>
      <c r="B5393" s="141">
        <v>543458</v>
      </c>
      <c r="C5393" s="141" t="s">
        <v>9230</v>
      </c>
      <c r="D5393" s="141" t="s">
        <v>8870</v>
      </c>
    </row>
    <row r="5394" spans="1:4" x14ac:dyDescent="0.3">
      <c r="A5394" s="141" t="s">
        <v>9231</v>
      </c>
      <c r="B5394" s="141">
        <v>543460</v>
      </c>
      <c r="C5394" s="141" t="s">
        <v>9232</v>
      </c>
      <c r="D5394" s="141" t="s">
        <v>1137</v>
      </c>
    </row>
    <row r="5395" spans="1:4" x14ac:dyDescent="0.3">
      <c r="A5395" s="141" t="s">
        <v>9233</v>
      </c>
      <c r="B5395" s="141">
        <v>543461</v>
      </c>
      <c r="C5395" s="141" t="s">
        <v>9234</v>
      </c>
      <c r="D5395" s="141" t="s">
        <v>8863</v>
      </c>
    </row>
    <row r="5396" spans="1:4" x14ac:dyDescent="0.3">
      <c r="A5396" s="141" t="s">
        <v>9235</v>
      </c>
      <c r="B5396" s="141">
        <v>543462</v>
      </c>
      <c r="C5396" s="141" t="s">
        <v>2661</v>
      </c>
      <c r="D5396" s="141" t="s">
        <v>9236</v>
      </c>
    </row>
    <row r="5397" spans="1:4" x14ac:dyDescent="0.3">
      <c r="A5397" s="141" t="s">
        <v>9237</v>
      </c>
      <c r="B5397" s="141">
        <v>543463</v>
      </c>
      <c r="C5397" s="141" t="s">
        <v>9238</v>
      </c>
      <c r="D5397" s="141" t="s">
        <v>9162</v>
      </c>
    </row>
    <row r="5398" spans="1:4" x14ac:dyDescent="0.3">
      <c r="A5398" s="141" t="s">
        <v>9239</v>
      </c>
      <c r="B5398" s="141">
        <v>543464</v>
      </c>
      <c r="C5398" s="141" t="s">
        <v>9240</v>
      </c>
      <c r="D5398" s="141" t="s">
        <v>2175</v>
      </c>
    </row>
    <row r="5399" spans="1:4" x14ac:dyDescent="0.3">
      <c r="A5399" s="141" t="s">
        <v>9241</v>
      </c>
      <c r="B5399" s="141">
        <v>543465</v>
      </c>
      <c r="C5399" s="141" t="s">
        <v>9242</v>
      </c>
      <c r="D5399" s="141" t="s">
        <v>1081</v>
      </c>
    </row>
    <row r="5400" spans="1:4" x14ac:dyDescent="0.3">
      <c r="A5400" s="141" t="s">
        <v>9243</v>
      </c>
      <c r="B5400" s="141">
        <v>543470</v>
      </c>
      <c r="C5400" s="141" t="s">
        <v>6785</v>
      </c>
      <c r="D5400" s="141" t="s">
        <v>8958</v>
      </c>
    </row>
    <row r="5401" spans="1:4" x14ac:dyDescent="0.3">
      <c r="A5401" s="141" t="s">
        <v>9244</v>
      </c>
      <c r="B5401" s="141">
        <v>543471</v>
      </c>
      <c r="C5401" s="141" t="s">
        <v>9245</v>
      </c>
      <c r="D5401" s="141" t="s">
        <v>1081</v>
      </c>
    </row>
    <row r="5402" spans="1:4" x14ac:dyDescent="0.3">
      <c r="A5402" s="141" t="s">
        <v>9246</v>
      </c>
      <c r="B5402" s="141">
        <v>543472</v>
      </c>
      <c r="C5402" s="141" t="s">
        <v>9247</v>
      </c>
      <c r="D5402" s="141" t="s">
        <v>1081</v>
      </c>
    </row>
    <row r="5403" spans="1:4" x14ac:dyDescent="0.3">
      <c r="A5403" s="141" t="s">
        <v>9248</v>
      </c>
      <c r="B5403" s="141">
        <v>543473</v>
      </c>
      <c r="C5403" s="141" t="s">
        <v>9249</v>
      </c>
      <c r="D5403" s="141" t="s">
        <v>1081</v>
      </c>
    </row>
    <row r="5404" spans="1:4" x14ac:dyDescent="0.3">
      <c r="A5404" s="141" t="s">
        <v>9250</v>
      </c>
      <c r="B5404" s="141">
        <v>543474</v>
      </c>
      <c r="C5404" s="141" t="s">
        <v>9251</v>
      </c>
      <c r="D5404" s="141" t="s">
        <v>1081</v>
      </c>
    </row>
    <row r="5405" spans="1:4" x14ac:dyDescent="0.3">
      <c r="A5405" s="141" t="s">
        <v>9252</v>
      </c>
      <c r="B5405" s="141">
        <v>543475</v>
      </c>
      <c r="C5405" s="141" t="s">
        <v>9253</v>
      </c>
      <c r="D5405" s="141" t="s">
        <v>9236</v>
      </c>
    </row>
    <row r="5406" spans="1:4" x14ac:dyDescent="0.3">
      <c r="A5406" s="141" t="s">
        <v>9254</v>
      </c>
      <c r="B5406" s="141">
        <v>543481</v>
      </c>
      <c r="C5406" s="141" t="s">
        <v>9255</v>
      </c>
      <c r="D5406" s="141" t="s">
        <v>1081</v>
      </c>
    </row>
    <row r="5407" spans="1:4" x14ac:dyDescent="0.3">
      <c r="A5407" s="141" t="s">
        <v>9256</v>
      </c>
      <c r="B5407" s="141">
        <v>543482</v>
      </c>
      <c r="C5407" s="141" t="s">
        <v>9257</v>
      </c>
      <c r="D5407" s="141" t="s">
        <v>1894</v>
      </c>
    </row>
    <row r="5408" spans="1:4" x14ac:dyDescent="0.3">
      <c r="A5408" s="141" t="s">
        <v>9258</v>
      </c>
      <c r="B5408" s="141">
        <v>543489</v>
      </c>
      <c r="C5408" s="141" t="s">
        <v>9259</v>
      </c>
      <c r="D5408" s="141" t="s">
        <v>9182</v>
      </c>
    </row>
    <row r="5409" spans="1:4" x14ac:dyDescent="0.3">
      <c r="A5409" s="141" t="s">
        <v>9260</v>
      </c>
      <c r="B5409" s="141">
        <v>543490</v>
      </c>
      <c r="C5409" s="141" t="s">
        <v>9261</v>
      </c>
      <c r="D5409" s="141" t="s">
        <v>9124</v>
      </c>
    </row>
    <row r="5410" spans="1:4" x14ac:dyDescent="0.3">
      <c r="A5410" s="141" t="s">
        <v>9262</v>
      </c>
      <c r="B5410" s="141">
        <v>543497</v>
      </c>
      <c r="C5410" s="141" t="s">
        <v>9263</v>
      </c>
      <c r="D5410" s="141" t="s">
        <v>1289</v>
      </c>
    </row>
    <row r="5411" spans="1:4" x14ac:dyDescent="0.3">
      <c r="A5411" s="141" t="s">
        <v>9264</v>
      </c>
      <c r="B5411" s="141">
        <v>543498</v>
      </c>
      <c r="C5411" s="141" t="s">
        <v>9265</v>
      </c>
      <c r="D5411" s="141" t="s">
        <v>8846</v>
      </c>
    </row>
    <row r="5412" spans="1:4" x14ac:dyDescent="0.3">
      <c r="A5412" s="141" t="s">
        <v>9266</v>
      </c>
      <c r="B5412" s="141">
        <v>543499</v>
      </c>
      <c r="C5412" s="141" t="s">
        <v>9267</v>
      </c>
      <c r="D5412" s="141" t="s">
        <v>1167</v>
      </c>
    </row>
    <row r="5413" spans="1:4" x14ac:dyDescent="0.3">
      <c r="A5413" s="141" t="s">
        <v>9268</v>
      </c>
      <c r="B5413" s="141">
        <v>543500</v>
      </c>
      <c r="C5413" s="141" t="s">
        <v>9269</v>
      </c>
      <c r="D5413" s="141" t="s">
        <v>8863</v>
      </c>
    </row>
    <row r="5414" spans="1:4" x14ac:dyDescent="0.3">
      <c r="A5414" s="141" t="s">
        <v>9270</v>
      </c>
      <c r="B5414" s="141">
        <v>543501</v>
      </c>
      <c r="C5414" s="141" t="s">
        <v>9271</v>
      </c>
      <c r="D5414" s="141" t="s">
        <v>1081</v>
      </c>
    </row>
    <row r="5415" spans="1:4" x14ac:dyDescent="0.3">
      <c r="A5415" s="141" t="s">
        <v>9272</v>
      </c>
      <c r="B5415" s="141">
        <v>543512</v>
      </c>
      <c r="C5415" s="141" t="s">
        <v>9273</v>
      </c>
      <c r="D5415" s="141" t="s">
        <v>9274</v>
      </c>
    </row>
    <row r="5416" spans="1:4" x14ac:dyDescent="0.3">
      <c r="A5416" s="141" t="s">
        <v>9275</v>
      </c>
      <c r="B5416" s="141">
        <v>543513</v>
      </c>
      <c r="C5416" s="141" t="s">
        <v>9276</v>
      </c>
      <c r="D5416" s="141" t="s">
        <v>8863</v>
      </c>
    </row>
    <row r="5417" spans="1:4" x14ac:dyDescent="0.3">
      <c r="A5417" s="141" t="s">
        <v>9277</v>
      </c>
      <c r="B5417" s="141">
        <v>543514</v>
      </c>
      <c r="C5417" s="141" t="s">
        <v>9278</v>
      </c>
      <c r="D5417" s="141" t="s">
        <v>8895</v>
      </c>
    </row>
    <row r="5418" spans="1:4" x14ac:dyDescent="0.3">
      <c r="A5418" s="141" t="s">
        <v>9279</v>
      </c>
      <c r="B5418" s="141">
        <v>543515</v>
      </c>
      <c r="C5418" s="141" t="s">
        <v>9280</v>
      </c>
      <c r="D5418" s="141" t="s">
        <v>8863</v>
      </c>
    </row>
    <row r="5419" spans="1:4" x14ac:dyDescent="0.3">
      <c r="A5419" s="141" t="s">
        <v>9281</v>
      </c>
      <c r="B5419" s="141">
        <v>543516</v>
      </c>
      <c r="C5419" s="141" t="s">
        <v>9282</v>
      </c>
      <c r="D5419" s="141" t="s">
        <v>8863</v>
      </c>
    </row>
    <row r="5420" spans="1:4" x14ac:dyDescent="0.3">
      <c r="A5420" s="141" t="s">
        <v>9283</v>
      </c>
      <c r="B5420" s="141">
        <v>543517</v>
      </c>
      <c r="C5420" s="141" t="s">
        <v>9284</v>
      </c>
      <c r="D5420" s="141" t="s">
        <v>1452</v>
      </c>
    </row>
    <row r="5421" spans="1:4" x14ac:dyDescent="0.3">
      <c r="A5421" s="141" t="s">
        <v>9285</v>
      </c>
      <c r="B5421" s="141">
        <v>543518</v>
      </c>
      <c r="C5421" s="141" t="s">
        <v>9286</v>
      </c>
      <c r="D5421" s="141" t="s">
        <v>8880</v>
      </c>
    </row>
    <row r="5422" spans="1:4" x14ac:dyDescent="0.3">
      <c r="A5422" s="141" t="s">
        <v>9287</v>
      </c>
      <c r="B5422" s="141">
        <v>543519</v>
      </c>
      <c r="C5422" s="141" t="s">
        <v>9288</v>
      </c>
      <c r="D5422" s="141" t="s">
        <v>9062</v>
      </c>
    </row>
    <row r="5423" spans="1:4" x14ac:dyDescent="0.3">
      <c r="A5423" s="141" t="s">
        <v>9289</v>
      </c>
      <c r="B5423" s="141">
        <v>543520</v>
      </c>
      <c r="C5423" s="141" t="s">
        <v>9290</v>
      </c>
      <c r="D5423" s="141" t="s">
        <v>9028</v>
      </c>
    </row>
    <row r="5424" spans="1:4" x14ac:dyDescent="0.3">
      <c r="A5424" s="141" t="s">
        <v>9291</v>
      </c>
      <c r="B5424" s="141">
        <v>543521</v>
      </c>
      <c r="C5424" s="141" t="s">
        <v>9292</v>
      </c>
      <c r="D5424" s="141" t="s">
        <v>9046</v>
      </c>
    </row>
    <row r="5425" spans="1:4" x14ac:dyDescent="0.3">
      <c r="A5425" s="141" t="s">
        <v>9293</v>
      </c>
      <c r="B5425" s="141">
        <v>543522</v>
      </c>
      <c r="C5425" s="141" t="s">
        <v>9294</v>
      </c>
      <c r="D5425" s="141" t="s">
        <v>9295</v>
      </c>
    </row>
    <row r="5426" spans="1:4" x14ac:dyDescent="0.3">
      <c r="A5426" s="141" t="s">
        <v>9296</v>
      </c>
      <c r="B5426" s="141">
        <v>543523</v>
      </c>
      <c r="C5426" s="141" t="s">
        <v>9297</v>
      </c>
      <c r="D5426" s="141" t="s">
        <v>1555</v>
      </c>
    </row>
    <row r="5427" spans="1:4" x14ac:dyDescent="0.3">
      <c r="A5427" s="141" t="s">
        <v>9298</v>
      </c>
      <c r="B5427" s="141">
        <v>543524</v>
      </c>
      <c r="C5427" s="141" t="s">
        <v>9299</v>
      </c>
      <c r="D5427" s="141" t="s">
        <v>9028</v>
      </c>
    </row>
    <row r="5428" spans="1:4" x14ac:dyDescent="0.3">
      <c r="A5428" s="141" t="s">
        <v>9300</v>
      </c>
      <c r="B5428" s="141">
        <v>543525</v>
      </c>
      <c r="C5428" s="141" t="s">
        <v>6698</v>
      </c>
      <c r="D5428" s="141" t="s">
        <v>9236</v>
      </c>
    </row>
    <row r="5429" spans="1:4" x14ac:dyDescent="0.3">
      <c r="A5429" s="141" t="s">
        <v>9301</v>
      </c>
      <c r="B5429" s="141">
        <v>543526</v>
      </c>
      <c r="C5429" s="141" t="s">
        <v>9302</v>
      </c>
      <c r="D5429" s="141" t="s">
        <v>3541</v>
      </c>
    </row>
    <row r="5430" spans="1:4" x14ac:dyDescent="0.3">
      <c r="A5430" s="141" t="s">
        <v>9303</v>
      </c>
      <c r="B5430" s="141">
        <v>543527</v>
      </c>
      <c r="C5430" s="141" t="s">
        <v>9304</v>
      </c>
      <c r="D5430" s="141" t="s">
        <v>9175</v>
      </c>
    </row>
    <row r="5431" spans="1:4" x14ac:dyDescent="0.3">
      <c r="A5431" s="141" t="s">
        <v>9305</v>
      </c>
      <c r="B5431" s="141">
        <v>543528</v>
      </c>
      <c r="C5431" s="141" t="s">
        <v>9306</v>
      </c>
      <c r="D5431" s="141" t="s">
        <v>1452</v>
      </c>
    </row>
    <row r="5432" spans="1:4" x14ac:dyDescent="0.3">
      <c r="A5432" s="141" t="s">
        <v>9307</v>
      </c>
      <c r="B5432" s="141">
        <v>543529</v>
      </c>
      <c r="C5432" s="141" t="s">
        <v>9308</v>
      </c>
      <c r="D5432" s="141" t="s">
        <v>9182</v>
      </c>
    </row>
    <row r="5433" spans="1:4" x14ac:dyDescent="0.3">
      <c r="A5433" s="141" t="s">
        <v>9309</v>
      </c>
      <c r="B5433" s="141">
        <v>543530</v>
      </c>
      <c r="C5433" s="141" t="s">
        <v>9310</v>
      </c>
      <c r="D5433" s="141" t="s">
        <v>1637</v>
      </c>
    </row>
    <row r="5434" spans="1:4" x14ac:dyDescent="0.3">
      <c r="A5434" s="141" t="s">
        <v>9311</v>
      </c>
      <c r="B5434" s="141">
        <v>543531</v>
      </c>
      <c r="C5434" s="141" t="s">
        <v>9312</v>
      </c>
      <c r="D5434" s="141" t="s">
        <v>1327</v>
      </c>
    </row>
    <row r="5435" spans="1:4" x14ac:dyDescent="0.3">
      <c r="A5435" s="141" t="s">
        <v>9313</v>
      </c>
      <c r="B5435" s="141">
        <v>543532</v>
      </c>
      <c r="C5435" s="141" t="s">
        <v>9314</v>
      </c>
      <c r="D5435" s="141" t="s">
        <v>8880</v>
      </c>
    </row>
    <row r="5436" spans="1:4" x14ac:dyDescent="0.3">
      <c r="A5436" s="141" t="s">
        <v>9315</v>
      </c>
      <c r="B5436" s="141">
        <v>543533</v>
      </c>
      <c r="C5436" s="141" t="s">
        <v>9316</v>
      </c>
      <c r="D5436" s="141" t="s">
        <v>9236</v>
      </c>
    </row>
    <row r="5437" spans="1:4" x14ac:dyDescent="0.3">
      <c r="A5437" s="141" t="s">
        <v>9317</v>
      </c>
      <c r="B5437" s="141">
        <v>543534</v>
      </c>
      <c r="C5437" s="141" t="s">
        <v>9318</v>
      </c>
      <c r="D5437" s="141" t="s">
        <v>1289</v>
      </c>
    </row>
    <row r="5438" spans="1:4" x14ac:dyDescent="0.3">
      <c r="A5438" s="141" t="s">
        <v>9319</v>
      </c>
      <c r="B5438" s="141">
        <v>543535</v>
      </c>
      <c r="C5438" s="141" t="s">
        <v>9320</v>
      </c>
      <c r="D5438" s="141" t="s">
        <v>9099</v>
      </c>
    </row>
    <row r="5439" spans="1:4" x14ac:dyDescent="0.3">
      <c r="A5439" s="141" t="s">
        <v>9321</v>
      </c>
      <c r="B5439" s="141">
        <v>543536</v>
      </c>
      <c r="C5439" s="141" t="s">
        <v>9322</v>
      </c>
      <c r="D5439" s="141" t="s">
        <v>8855</v>
      </c>
    </row>
    <row r="5440" spans="1:4" x14ac:dyDescent="0.3">
      <c r="A5440" s="141" t="s">
        <v>9323</v>
      </c>
      <c r="B5440" s="141">
        <v>590136</v>
      </c>
      <c r="C5440" s="141" t="s">
        <v>9324</v>
      </c>
      <c r="D5440" s="141" t="s">
        <v>1081</v>
      </c>
    </row>
    <row r="5441" spans="1:4" x14ac:dyDescent="0.3">
      <c r="A5441" s="141" t="s">
        <v>9325</v>
      </c>
      <c r="B5441" s="141">
        <v>590137</v>
      </c>
      <c r="C5441" s="141" t="s">
        <v>9326</v>
      </c>
      <c r="D5441" s="141" t="s">
        <v>1081</v>
      </c>
    </row>
    <row r="5442" spans="1:4" x14ac:dyDescent="0.3">
      <c r="A5442" s="141" t="s">
        <v>9327</v>
      </c>
      <c r="B5442" s="141">
        <v>590138</v>
      </c>
      <c r="C5442" s="141" t="s">
        <v>9328</v>
      </c>
      <c r="D5442" s="141" t="s">
        <v>1081</v>
      </c>
    </row>
  </sheetData>
  <autoFilter ref="A2:D5049" xr:uid="{00000000-0009-0000-0000-000011000000}">
    <sortState xmlns:xlrd2="http://schemas.microsoft.com/office/spreadsheetml/2017/richdata2" ref="A3:D5049">
      <sortCondition ref="A2:A5049"/>
    </sortState>
  </autoFilter>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60D63-36DB-4587-BD79-CE29426B3F58}">
  <dimension ref="B2:M20"/>
  <sheetViews>
    <sheetView showGridLines="0" workbookViewId="0">
      <selection activeCell="L4" sqref="L4"/>
    </sheetView>
  </sheetViews>
  <sheetFormatPr defaultRowHeight="14.4" x14ac:dyDescent="0.3"/>
  <cols>
    <col min="1" max="1" width="1.88671875" customWidth="1"/>
    <col min="3" max="3" width="16.77734375" bestFit="1" customWidth="1"/>
    <col min="4" max="4" width="9" bestFit="1" customWidth="1"/>
    <col min="5" max="5" width="15.77734375" bestFit="1" customWidth="1"/>
    <col min="6" max="6" width="15.77734375" customWidth="1"/>
    <col min="7" max="7" width="10.21875" bestFit="1" customWidth="1"/>
    <col min="8" max="8" width="13.77734375" bestFit="1" customWidth="1"/>
    <col min="9" max="9" width="13.77734375" customWidth="1"/>
    <col min="10" max="10" width="10.44140625" bestFit="1" customWidth="1"/>
    <col min="11" max="11" width="10.44140625" customWidth="1"/>
    <col min="12" max="12" width="12.77734375" bestFit="1" customWidth="1"/>
    <col min="13" max="13" width="10.88671875" bestFit="1" customWidth="1"/>
  </cols>
  <sheetData>
    <row r="2" spans="2:13" x14ac:dyDescent="0.3">
      <c r="B2" t="s">
        <v>244</v>
      </c>
      <c r="C2" t="s">
        <v>210</v>
      </c>
      <c r="D2" s="78" t="s">
        <v>245</v>
      </c>
      <c r="E2" s="78" t="s">
        <v>9355</v>
      </c>
      <c r="F2" s="78" t="s">
        <v>9346</v>
      </c>
      <c r="G2" s="78" t="s">
        <v>247</v>
      </c>
      <c r="H2" s="78" t="s">
        <v>9356</v>
      </c>
      <c r="I2" s="78" t="s">
        <v>9366</v>
      </c>
      <c r="J2" s="78" t="s">
        <v>9357</v>
      </c>
      <c r="K2" s="78" t="s">
        <v>28</v>
      </c>
      <c r="L2" s="78" t="s">
        <v>9359</v>
      </c>
      <c r="M2" s="78" t="s">
        <v>9358</v>
      </c>
    </row>
    <row r="3" spans="2:13" x14ac:dyDescent="0.3">
      <c r="B3">
        <v>1</v>
      </c>
      <c r="C3" t="s">
        <v>242</v>
      </c>
      <c r="D3" s="200">
        <v>1181.0999999999999</v>
      </c>
      <c r="E3" s="200">
        <v>102.3</v>
      </c>
      <c r="F3" s="200">
        <f>D3*E3</f>
        <v>120826.52999999998</v>
      </c>
      <c r="G3" s="200">
        <v>3828.47</v>
      </c>
      <c r="H3" s="200">
        <v>546.94000000000005</v>
      </c>
      <c r="I3" s="200">
        <f>F3+G3-H3</f>
        <v>124108.05999999998</v>
      </c>
      <c r="J3" s="200">
        <v>14043.16</v>
      </c>
      <c r="K3" s="200">
        <f>I3/M3</f>
        <v>3371.5854387394725</v>
      </c>
      <c r="L3" s="200">
        <v>-370.15</v>
      </c>
      <c r="M3" s="200">
        <v>36.81</v>
      </c>
    </row>
    <row r="4" spans="2:13" x14ac:dyDescent="0.3">
      <c r="B4">
        <v>2</v>
      </c>
      <c r="C4" t="s">
        <v>243</v>
      </c>
      <c r="D4" s="200">
        <v>521.15</v>
      </c>
      <c r="E4" s="200">
        <v>177.23</v>
      </c>
      <c r="F4" s="200">
        <f t="shared" ref="F4:F20" si="0">D4*E4</f>
        <v>92363.414499999984</v>
      </c>
      <c r="G4" s="200">
        <v>1751.62</v>
      </c>
      <c r="H4" s="200">
        <v>666.36</v>
      </c>
      <c r="I4" s="200">
        <f t="shared" ref="I4:I20" si="1">F4+G4-H4</f>
        <v>93448.674499999979</v>
      </c>
      <c r="J4" s="200">
        <v>12447.4</v>
      </c>
      <c r="K4" s="200">
        <f>I4/M4</f>
        <v>2878.8870764017247</v>
      </c>
      <c r="L4" s="200">
        <v>1759.53</v>
      </c>
      <c r="M4" s="200">
        <v>32.46</v>
      </c>
    </row>
    <row r="5" spans="2:13" x14ac:dyDescent="0.3">
      <c r="B5">
        <v>3</v>
      </c>
      <c r="C5" t="s">
        <v>254</v>
      </c>
      <c r="D5" s="200">
        <v>595.75</v>
      </c>
      <c r="E5" s="200">
        <v>43.65</v>
      </c>
      <c r="F5" s="200">
        <f t="shared" si="0"/>
        <v>26004.487499999999</v>
      </c>
      <c r="G5" s="200">
        <v>74.39</v>
      </c>
      <c r="H5" s="200">
        <v>201.38</v>
      </c>
      <c r="I5" s="200">
        <f t="shared" si="1"/>
        <v>25877.497499999998</v>
      </c>
      <c r="J5" s="200">
        <v>3684.22</v>
      </c>
      <c r="K5" s="200">
        <f>I5/M5</f>
        <v>1045.1331785137318</v>
      </c>
      <c r="L5" s="200">
        <v>768.99</v>
      </c>
      <c r="M5" s="200">
        <v>24.76</v>
      </c>
    </row>
    <row r="6" spans="2:13" x14ac:dyDescent="0.3">
      <c r="B6">
        <v>4</v>
      </c>
      <c r="C6" t="s">
        <v>255</v>
      </c>
      <c r="D6" s="200">
        <v>408.1</v>
      </c>
      <c r="E6" s="200">
        <v>36.72</v>
      </c>
      <c r="F6" s="200">
        <f t="shared" si="0"/>
        <v>14985.432000000001</v>
      </c>
      <c r="G6" s="200">
        <v>55.87</v>
      </c>
      <c r="H6" s="200">
        <v>166.05</v>
      </c>
      <c r="I6" s="200">
        <f t="shared" si="1"/>
        <v>14875.252000000002</v>
      </c>
      <c r="J6" s="200">
        <v>2813.06</v>
      </c>
      <c r="K6" s="200">
        <f>I6/M6</f>
        <v>547.48811188811192</v>
      </c>
      <c r="L6" s="200">
        <v>375.78</v>
      </c>
      <c r="M6" s="200">
        <v>27.17</v>
      </c>
    </row>
    <row r="7" spans="2:13" x14ac:dyDescent="0.3">
      <c r="B7">
        <v>5</v>
      </c>
      <c r="C7" t="s">
        <v>256</v>
      </c>
      <c r="D7" s="200">
        <v>195.24</v>
      </c>
      <c r="E7" s="200">
        <v>14.28</v>
      </c>
      <c r="F7" s="200">
        <f t="shared" si="0"/>
        <v>2788.0272</v>
      </c>
      <c r="G7" s="200">
        <v>6.39</v>
      </c>
      <c r="H7" s="200">
        <v>44.35</v>
      </c>
      <c r="I7" s="200">
        <f t="shared" si="1"/>
        <v>2750.0672</v>
      </c>
      <c r="J7" s="200">
        <v>959.03</v>
      </c>
      <c r="K7" s="200">
        <f>I7/M7</f>
        <v>182.00312375909994</v>
      </c>
      <c r="L7" s="200">
        <v>140.9</v>
      </c>
      <c r="M7" s="200">
        <v>15.11</v>
      </c>
    </row>
    <row r="8" spans="2:13" x14ac:dyDescent="0.3">
      <c r="D8" s="200"/>
      <c r="E8" s="200"/>
      <c r="F8" s="200"/>
      <c r="G8" s="200"/>
      <c r="H8" s="200"/>
      <c r="I8" s="200"/>
      <c r="J8" s="200"/>
      <c r="K8" s="200"/>
      <c r="L8" s="200"/>
      <c r="M8" s="200"/>
    </row>
    <row r="9" spans="2:13" x14ac:dyDescent="0.3">
      <c r="D9" s="200"/>
      <c r="E9" s="200"/>
      <c r="F9" s="200"/>
      <c r="G9" s="200"/>
      <c r="H9" s="200"/>
      <c r="I9" s="200"/>
      <c r="J9" s="200"/>
      <c r="K9" s="200"/>
      <c r="L9" s="200"/>
      <c r="M9" s="200"/>
    </row>
    <row r="10" spans="2:13" x14ac:dyDescent="0.3">
      <c r="D10" s="200"/>
      <c r="E10" s="200"/>
      <c r="F10" s="200"/>
      <c r="G10" s="200"/>
      <c r="H10" s="200"/>
      <c r="I10" s="200"/>
      <c r="J10" s="200"/>
      <c r="K10" s="200"/>
      <c r="L10" s="200"/>
      <c r="M10" s="200"/>
    </row>
    <row r="11" spans="2:13" x14ac:dyDescent="0.3">
      <c r="D11" s="200"/>
      <c r="E11" s="200"/>
      <c r="F11" s="200"/>
      <c r="G11" s="200"/>
      <c r="H11" s="200"/>
      <c r="I11" s="200"/>
      <c r="J11" s="200"/>
      <c r="K11" s="200"/>
      <c r="L11" s="200"/>
      <c r="M11" s="200"/>
    </row>
    <row r="12" spans="2:13" x14ac:dyDescent="0.3">
      <c r="D12" s="200"/>
      <c r="E12" s="200"/>
      <c r="F12" s="200"/>
      <c r="G12" s="200"/>
      <c r="H12" s="200"/>
      <c r="I12" s="200"/>
      <c r="J12" s="200"/>
      <c r="K12" s="200"/>
      <c r="L12" s="200"/>
      <c r="M12" s="200"/>
    </row>
    <row r="13" spans="2:13" x14ac:dyDescent="0.3">
      <c r="D13" s="200"/>
      <c r="E13" s="200"/>
      <c r="F13" s="200"/>
      <c r="G13" s="200"/>
      <c r="H13" s="200"/>
      <c r="I13" s="200"/>
      <c r="J13" s="200"/>
      <c r="K13" s="200"/>
      <c r="L13" s="200"/>
      <c r="M13" s="200"/>
    </row>
    <row r="14" spans="2:13" x14ac:dyDescent="0.3">
      <c r="D14" s="200"/>
      <c r="E14" s="200"/>
      <c r="F14" s="200"/>
      <c r="G14" s="200"/>
      <c r="H14" s="200"/>
      <c r="I14" s="200"/>
      <c r="J14" s="200"/>
      <c r="K14" s="200"/>
      <c r="L14" s="200"/>
      <c r="M14" s="200"/>
    </row>
    <row r="15" spans="2:13" x14ac:dyDescent="0.3">
      <c r="B15">
        <v>6</v>
      </c>
      <c r="C15" t="s">
        <v>9360</v>
      </c>
      <c r="D15" s="200">
        <v>86</v>
      </c>
      <c r="E15" s="200">
        <v>2.48</v>
      </c>
      <c r="F15" s="200">
        <f t="shared" si="0"/>
        <v>213.28</v>
      </c>
      <c r="G15" s="200">
        <v>16.41</v>
      </c>
      <c r="H15" s="200">
        <v>0.85</v>
      </c>
      <c r="I15" s="200">
        <f t="shared" si="1"/>
        <v>228.84</v>
      </c>
      <c r="J15" s="200">
        <v>41.93</v>
      </c>
      <c r="K15" s="200">
        <f t="shared" ref="K15:K20" si="2">I15/M15</f>
        <v>17.603076923076923</v>
      </c>
      <c r="L15" s="200">
        <v>9.2799999999999994</v>
      </c>
      <c r="M15" s="200">
        <v>13</v>
      </c>
    </row>
    <row r="16" spans="2:13" x14ac:dyDescent="0.3">
      <c r="B16">
        <v>7</v>
      </c>
      <c r="C16" t="s">
        <v>9361</v>
      </c>
      <c r="D16" s="200">
        <v>20.5</v>
      </c>
      <c r="E16" s="200">
        <v>8.56</v>
      </c>
      <c r="F16" s="200">
        <f t="shared" si="0"/>
        <v>175.48000000000002</v>
      </c>
      <c r="G16" s="200">
        <v>4.29</v>
      </c>
      <c r="H16" s="200">
        <v>10.36</v>
      </c>
      <c r="I16" s="200">
        <f t="shared" si="1"/>
        <v>169.41000000000003</v>
      </c>
      <c r="J16" s="200">
        <v>80.12</v>
      </c>
      <c r="K16" s="200">
        <f t="shared" si="2"/>
        <v>6.5739231664726434</v>
      </c>
      <c r="L16" s="200">
        <v>-11.69</v>
      </c>
      <c r="M16" s="200">
        <v>25.77</v>
      </c>
    </row>
    <row r="17" spans="2:13" x14ac:dyDescent="0.3">
      <c r="B17">
        <v>8</v>
      </c>
      <c r="C17" t="s">
        <v>9362</v>
      </c>
      <c r="D17" s="200">
        <v>97.1</v>
      </c>
      <c r="E17" s="200">
        <v>0.5</v>
      </c>
      <c r="F17" s="200">
        <f t="shared" si="0"/>
        <v>48.55</v>
      </c>
      <c r="G17" s="200">
        <v>12.35</v>
      </c>
      <c r="H17" s="200">
        <v>17.84</v>
      </c>
      <c r="I17" s="200">
        <f t="shared" si="1"/>
        <v>43.06</v>
      </c>
      <c r="J17" s="200">
        <v>97.76</v>
      </c>
      <c r="K17" s="200">
        <f t="shared" si="2"/>
        <v>1.8062080536912752</v>
      </c>
      <c r="L17" s="200">
        <v>-3.37</v>
      </c>
      <c r="M17" s="200">
        <v>23.84</v>
      </c>
    </row>
    <row r="18" spans="2:13" x14ac:dyDescent="0.3">
      <c r="B18">
        <v>9</v>
      </c>
      <c r="C18" t="s">
        <v>9363</v>
      </c>
      <c r="D18" s="200">
        <v>47.8</v>
      </c>
      <c r="E18" s="200">
        <v>0.49</v>
      </c>
      <c r="F18" s="200">
        <f t="shared" si="0"/>
        <v>23.421999999999997</v>
      </c>
      <c r="G18" s="200">
        <v>12.13</v>
      </c>
      <c r="H18" s="200">
        <v>1.48</v>
      </c>
      <c r="I18" s="200">
        <f t="shared" si="1"/>
        <v>34.072000000000003</v>
      </c>
      <c r="J18" s="200">
        <v>20.23</v>
      </c>
      <c r="K18" s="200">
        <f t="shared" si="2"/>
        <v>2.192535392535393</v>
      </c>
      <c r="L18" s="200">
        <v>-0.16</v>
      </c>
      <c r="M18" s="200">
        <v>15.54</v>
      </c>
    </row>
    <row r="19" spans="2:13" x14ac:dyDescent="0.3">
      <c r="B19">
        <v>10</v>
      </c>
      <c r="C19" t="s">
        <v>9364</v>
      </c>
      <c r="D19" s="200">
        <v>42.85</v>
      </c>
      <c r="E19" s="200">
        <v>0.48</v>
      </c>
      <c r="F19" s="200">
        <f t="shared" si="0"/>
        <v>20.568000000000001</v>
      </c>
      <c r="G19" s="200">
        <v>0.73</v>
      </c>
      <c r="H19" s="200">
        <v>0.09</v>
      </c>
      <c r="I19" s="200">
        <f t="shared" si="1"/>
        <v>21.208000000000002</v>
      </c>
      <c r="J19" s="200">
        <v>1.64</v>
      </c>
      <c r="K19" s="200">
        <f t="shared" si="2"/>
        <v>0.21823420456884132</v>
      </c>
      <c r="L19" s="200">
        <v>0.05</v>
      </c>
      <c r="M19" s="200">
        <v>97.18</v>
      </c>
    </row>
    <row r="20" spans="2:13" x14ac:dyDescent="0.3">
      <c r="B20">
        <v>11</v>
      </c>
      <c r="C20" t="s">
        <v>9365</v>
      </c>
      <c r="D20" s="200">
        <v>30.57</v>
      </c>
      <c r="E20" s="200">
        <v>0.47</v>
      </c>
      <c r="F20" s="200">
        <f t="shared" si="0"/>
        <v>14.367899999999999</v>
      </c>
      <c r="G20" s="200">
        <v>0</v>
      </c>
      <c r="H20" s="200">
        <v>7.0000000000000007E-2</v>
      </c>
      <c r="I20" s="200">
        <f t="shared" si="1"/>
        <v>14.297899999999998</v>
      </c>
      <c r="J20" s="200">
        <v>2.87</v>
      </c>
      <c r="K20" s="200">
        <f t="shared" si="2"/>
        <v>-0.66041108545034644</v>
      </c>
      <c r="L20" s="200">
        <v>1.66</v>
      </c>
      <c r="M20" s="200">
        <v>-21.65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vt:i4>
      </vt:variant>
    </vt:vector>
  </HeadingPairs>
  <TitlesOfParts>
    <vt:vector size="24" baseType="lpstr">
      <vt:lpstr>Financials&gt;</vt:lpstr>
      <vt:lpstr>HistoricalFS</vt:lpstr>
      <vt:lpstr>Ratio Analysis</vt:lpstr>
      <vt:lpstr>Common Size Statement</vt:lpstr>
      <vt:lpstr>Forcasting</vt:lpstr>
      <vt:lpstr>Beta Regression</vt:lpstr>
      <vt:lpstr>WACC</vt:lpstr>
      <vt:lpstr>Intrinsic Growth</vt:lpstr>
      <vt:lpstr>DCF</vt:lpstr>
      <vt:lpstr>Comparable Pricing</vt:lpstr>
      <vt:lpstr>VAR</vt:lpstr>
      <vt:lpstr>Dupont Analysis</vt:lpstr>
      <vt:lpstr>Altman Z Score</vt:lpstr>
      <vt:lpstr>Data&gt;</vt:lpstr>
      <vt:lpstr>Data Sheet</vt:lpstr>
      <vt:lpstr>Sheet6</vt:lpstr>
      <vt:lpstr>Cash Flow Data</vt:lpstr>
      <vt:lpstr>Raw FS</vt:lpstr>
      <vt:lpstr>List of Stocks</vt:lpstr>
      <vt:lpstr>Relative Data</vt:lpstr>
      <vt:lpstr>'Altman Z Score'!Print_Area</vt:lpstr>
      <vt:lpstr>'Beta Regression'!Print_Area</vt:lpstr>
      <vt:lpstr>'Dupont Analysis'!Print_Area</vt:lpstr>
      <vt:lpstr>UPDATE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 Valuation School</dc:creator>
  <cp:lastModifiedBy>Abhay Singhal</cp:lastModifiedBy>
  <cp:lastPrinted>2025-01-09T18:05:29Z</cp:lastPrinted>
  <dcterms:created xsi:type="dcterms:W3CDTF">2023-01-14T08:22:33Z</dcterms:created>
  <dcterms:modified xsi:type="dcterms:W3CDTF">2025-08-27T03:40:29Z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{9CFBFC8B-C35F-4354-95CF-4607CE1DA376}</vt:lpwstr>
  </property>
</Properties>
</file>