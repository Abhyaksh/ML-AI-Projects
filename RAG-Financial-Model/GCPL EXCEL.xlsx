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4\Downloads\"/>
    </mc:Choice>
  </mc:AlternateContent>
  <xr:revisionPtr revIDLastSave="0" documentId="13_ncr:1_{5AF382B4-2932-41C6-BFA0-8F673619FDED}" xr6:coauthVersionLast="47" xr6:coauthVersionMax="47" xr10:uidLastSave="{00000000-0000-0000-0000-000000000000}"/>
  <bookViews>
    <workbookView xWindow="-108" yWindow="-108" windowWidth="23256" windowHeight="12456" tabRatio="669" firstSheet="4" activeTab="2" xr2:uid="{D4886810-D9CC-4231-AA87-2302A306BB27}"/>
  </bookViews>
  <sheets>
    <sheet name="Financials&gt;" sheetId="1" r:id="rId1"/>
    <sheet name="HistoricalFS" sheetId="3" r:id="rId2"/>
    <sheet name="Ratio Analysis" sheetId="6" r:id="rId3"/>
    <sheet name="ROIC" sheetId="13" r:id="rId4"/>
    <sheet name="Forcasting" sheetId="19" r:id="rId5"/>
    <sheet name="Beta Regression" sheetId="16" r:id="rId6"/>
    <sheet name="WACC" sheetId="15" r:id="rId7"/>
    <sheet name="DCF" sheetId="17" r:id="rId8"/>
    <sheet name="CCF" sheetId="20" r:id="rId9"/>
    <sheet name="ECF" sheetId="22" r:id="rId10"/>
    <sheet name="Dupont Analysis" sheetId="23" r:id="rId11"/>
    <sheet name="Data&gt;&gt;" sheetId="14" r:id="rId12"/>
    <sheet name="Data Sheet" sheetId="2" r:id="rId13"/>
    <sheet name="Raw FS" sheetId="12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5" hidden="1">'Beta Regression'!$B$11:$G$11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"04/29/2023 08:53:12"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">'Beta Regression'!$A$3:$J$81</definedName>
    <definedName name="_xlnm.Print_Area" localSheetId="10">'Dupont Analysis'!$A$1:$I$72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6" l="1"/>
  <c r="E40" i="6"/>
  <c r="F40" i="6"/>
  <c r="G40" i="6"/>
  <c r="H40" i="6"/>
  <c r="I40" i="6"/>
  <c r="J40" i="6"/>
  <c r="K40" i="6"/>
  <c r="L40" i="6"/>
  <c r="C40" i="6"/>
  <c r="J39" i="22"/>
  <c r="D35" i="23"/>
  <c r="E35" i="23"/>
  <c r="E41" i="23" s="1"/>
  <c r="F35" i="23"/>
  <c r="G35" i="23"/>
  <c r="H35" i="23"/>
  <c r="H41" i="23" s="1"/>
  <c r="I35" i="23"/>
  <c r="I41" i="23" s="1"/>
  <c r="C35" i="23"/>
  <c r="C41" i="23" s="1"/>
  <c r="D46" i="23"/>
  <c r="D58" i="23" s="1"/>
  <c r="D68" i="23" s="1"/>
  <c r="E46" i="23"/>
  <c r="E49" i="23" s="1"/>
  <c r="F46" i="23"/>
  <c r="G46" i="23"/>
  <c r="G49" i="23" s="1"/>
  <c r="H46" i="23"/>
  <c r="H49" i="23" s="1"/>
  <c r="I46" i="23"/>
  <c r="I58" i="23" s="1"/>
  <c r="I68" i="23" s="1"/>
  <c r="C46" i="23"/>
  <c r="C58" i="23" s="1"/>
  <c r="C68" i="23" s="1"/>
  <c r="D42" i="23"/>
  <c r="D45" i="23" s="1"/>
  <c r="E42" i="23"/>
  <c r="E45" i="23" s="1"/>
  <c r="E47" i="23" s="1"/>
  <c r="F42" i="23"/>
  <c r="F45" i="23" s="1"/>
  <c r="G42" i="23"/>
  <c r="G45" i="23" s="1"/>
  <c r="G64" i="23" s="1"/>
  <c r="G67" i="23" s="1"/>
  <c r="H42" i="23"/>
  <c r="H45" i="23" s="1"/>
  <c r="I42" i="23"/>
  <c r="I45" i="23" s="1"/>
  <c r="C42" i="23"/>
  <c r="C45" i="23" s="1"/>
  <c r="D36" i="23"/>
  <c r="D50" i="23" s="1"/>
  <c r="E36" i="23"/>
  <c r="E50" i="23" s="1"/>
  <c r="F36" i="23"/>
  <c r="F50" i="23" s="1"/>
  <c r="G36" i="23"/>
  <c r="G50" i="23" s="1"/>
  <c r="H36" i="23"/>
  <c r="H50" i="23" s="1"/>
  <c r="I36" i="23"/>
  <c r="C36" i="23"/>
  <c r="C50" i="23" s="1"/>
  <c r="F37" i="23"/>
  <c r="B63" i="23"/>
  <c r="B50" i="23"/>
  <c r="B49" i="23"/>
  <c r="B58" i="23" s="1"/>
  <c r="G58" i="23"/>
  <c r="G68" i="23" s="1"/>
  <c r="F58" i="23"/>
  <c r="F68" i="23" s="1"/>
  <c r="B41" i="23"/>
  <c r="I50" i="23"/>
  <c r="I34" i="23"/>
  <c r="I40" i="23" s="1"/>
  <c r="I56" i="23" s="1"/>
  <c r="I62" i="23" s="1"/>
  <c r="H34" i="23"/>
  <c r="H40" i="23" s="1"/>
  <c r="H56" i="23" s="1"/>
  <c r="H62" i="23" s="1"/>
  <c r="G34" i="23"/>
  <c r="G40" i="23" s="1"/>
  <c r="G56" i="23" s="1"/>
  <c r="G62" i="23" s="1"/>
  <c r="F34" i="23"/>
  <c r="F40" i="23" s="1"/>
  <c r="F56" i="23" s="1"/>
  <c r="F62" i="23" s="1"/>
  <c r="E34" i="23"/>
  <c r="E40" i="23" s="1"/>
  <c r="E56" i="23" s="1"/>
  <c r="E62" i="23" s="1"/>
  <c r="D34" i="23"/>
  <c r="D40" i="23" s="1"/>
  <c r="D56" i="23" s="1"/>
  <c r="D62" i="23" s="1"/>
  <c r="C34" i="23"/>
  <c r="C40" i="23" s="1"/>
  <c r="C56" i="23" s="1"/>
  <c r="C62" i="23" s="1"/>
  <c r="B3" i="23"/>
  <c r="B4" i="23" s="1"/>
  <c r="D49" i="23" l="1"/>
  <c r="D51" i="23" s="1"/>
  <c r="I37" i="23"/>
  <c r="C43" i="23"/>
  <c r="F47" i="23"/>
  <c r="D37" i="23"/>
  <c r="H58" i="23"/>
  <c r="H68" i="23" s="1"/>
  <c r="G69" i="23"/>
  <c r="H51" i="23"/>
  <c r="C49" i="23"/>
  <c r="C51" i="23" s="1"/>
  <c r="F64" i="23"/>
  <c r="F67" i="23" s="1"/>
  <c r="F69" i="23" s="1"/>
  <c r="G47" i="23"/>
  <c r="G37" i="23"/>
  <c r="G51" i="23"/>
  <c r="E57" i="23"/>
  <c r="E63" i="23" s="1"/>
  <c r="E43" i="23"/>
  <c r="E37" i="23"/>
  <c r="C57" i="23"/>
  <c r="C63" i="23" s="1"/>
  <c r="H57" i="23"/>
  <c r="H43" i="23"/>
  <c r="D64" i="23"/>
  <c r="D67" i="23" s="1"/>
  <c r="D69" i="23" s="1"/>
  <c r="D47" i="23"/>
  <c r="C64" i="23"/>
  <c r="C67" i="23" s="1"/>
  <c r="C69" i="23" s="1"/>
  <c r="C47" i="23"/>
  <c r="I57" i="23"/>
  <c r="I43" i="23"/>
  <c r="H64" i="23"/>
  <c r="H67" i="23" s="1"/>
  <c r="H47" i="23"/>
  <c r="E51" i="23"/>
  <c r="I64" i="23"/>
  <c r="I67" i="23" s="1"/>
  <c r="I69" i="23" s="1"/>
  <c r="I47" i="23"/>
  <c r="H37" i="23"/>
  <c r="F49" i="23"/>
  <c r="F51" i="23" s="1"/>
  <c r="E64" i="23"/>
  <c r="E67" i="23" s="1"/>
  <c r="C37" i="23"/>
  <c r="D41" i="23"/>
  <c r="I49" i="23"/>
  <c r="I51" i="23" s="1"/>
  <c r="E58" i="23"/>
  <c r="E68" i="23" s="1"/>
  <c r="F41" i="23"/>
  <c r="G41" i="23"/>
  <c r="C59" i="23" l="1"/>
  <c r="H69" i="23"/>
  <c r="E69" i="23"/>
  <c r="H53" i="23"/>
  <c r="E53" i="23"/>
  <c r="G57" i="23"/>
  <c r="G43" i="23"/>
  <c r="G53" i="23" s="1"/>
  <c r="H59" i="23"/>
  <c r="H63" i="23"/>
  <c r="H65" i="23" s="1"/>
  <c r="I59" i="23"/>
  <c r="I63" i="23"/>
  <c r="I65" i="23" s="1"/>
  <c r="I71" i="23" s="1"/>
  <c r="F57" i="23"/>
  <c r="F43" i="23"/>
  <c r="F53" i="23" s="1"/>
  <c r="I53" i="23"/>
  <c r="E59" i="23"/>
  <c r="D43" i="23"/>
  <c r="D53" i="23" s="1"/>
  <c r="D57" i="23"/>
  <c r="E65" i="23"/>
  <c r="C53" i="23"/>
  <c r="C65" i="23"/>
  <c r="C71" i="23" s="1"/>
  <c r="E71" i="23" l="1"/>
  <c r="H71" i="23"/>
  <c r="F59" i="23"/>
  <c r="F63" i="23"/>
  <c r="F65" i="23" s="1"/>
  <c r="F71" i="23" s="1"/>
  <c r="D59" i="23"/>
  <c r="D63" i="23"/>
  <c r="D65" i="23" s="1"/>
  <c r="D71" i="23" s="1"/>
  <c r="G59" i="23"/>
  <c r="G63" i="23"/>
  <c r="G65" i="23" s="1"/>
  <c r="G71" i="23" s="1"/>
  <c r="E44" i="22" l="1"/>
  <c r="H31" i="22" s="1"/>
  <c r="E45" i="22"/>
  <c r="E43" i="22"/>
  <c r="F31" i="22"/>
  <c r="F25" i="22"/>
  <c r="H11" i="22"/>
  <c r="I11" i="22"/>
  <c r="J11" i="22"/>
  <c r="K11" i="22"/>
  <c r="G11" i="22"/>
  <c r="D74" i="2"/>
  <c r="E74" i="2"/>
  <c r="F74" i="2"/>
  <c r="G74" i="2"/>
  <c r="H74" i="2"/>
  <c r="I74" i="2"/>
  <c r="J74" i="2"/>
  <c r="K74" i="2"/>
  <c r="C74" i="2"/>
  <c r="G31" i="22" l="1"/>
  <c r="K31" i="22"/>
  <c r="J31" i="22"/>
  <c r="I31" i="22"/>
  <c r="L17" i="22" l="1"/>
  <c r="E39" i="22"/>
  <c r="F11" i="22"/>
  <c r="M98" i="2"/>
  <c r="C98" i="2"/>
  <c r="D98" i="2"/>
  <c r="E98" i="2"/>
  <c r="F98" i="2"/>
  <c r="G98" i="2"/>
  <c r="H98" i="2"/>
  <c r="I98" i="2"/>
  <c r="J98" i="2"/>
  <c r="K98" i="2"/>
  <c r="B98" i="2"/>
  <c r="H25" i="22" l="1"/>
  <c r="J25" i="22"/>
  <c r="G25" i="22"/>
  <c r="G27" i="22" s="1"/>
  <c r="I25" i="22"/>
  <c r="K25" i="22"/>
  <c r="E58" i="22"/>
  <c r="E56" i="22"/>
  <c r="G45" i="22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E38" i="22"/>
  <c r="I21" i="22" s="1"/>
  <c r="J37" i="22"/>
  <c r="G19" i="22" s="1" a="1"/>
  <c r="G19" i="22" s="1"/>
  <c r="K23" i="22"/>
  <c r="J23" i="22"/>
  <c r="I23" i="22"/>
  <c r="H23" i="22"/>
  <c r="G23" i="22"/>
  <c r="F23" i="22"/>
  <c r="F19" i="22"/>
  <c r="G15" i="22"/>
  <c r="H15" i="22" s="1"/>
  <c r="I15" i="22" s="1"/>
  <c r="J15" i="22" s="1"/>
  <c r="K15" i="22" s="1"/>
  <c r="K9" i="22"/>
  <c r="K13" i="22" s="1"/>
  <c r="J9" i="22"/>
  <c r="I9" i="22"/>
  <c r="H9" i="22"/>
  <c r="G9" i="22"/>
  <c r="F9" i="22"/>
  <c r="F13" i="22" s="1"/>
  <c r="F17" i="22" s="1"/>
  <c r="F7" i="22"/>
  <c r="G7" i="22" s="1"/>
  <c r="H7" i="22" s="1"/>
  <c r="I7" i="22" s="1"/>
  <c r="J7" i="22" s="1"/>
  <c r="K7" i="22" s="1"/>
  <c r="B2" i="22"/>
  <c r="E42" i="20"/>
  <c r="E43" i="20"/>
  <c r="G43" i="20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E35" i="17"/>
  <c r="E36" i="17"/>
  <c r="G36" i="17"/>
  <c r="G37" i="17"/>
  <c r="G38" i="17"/>
  <c r="G39" i="17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N9" i="19" a="1"/>
  <c r="N9" i="19" s="1"/>
  <c r="F29" i="20"/>
  <c r="J29" i="17"/>
  <c r="G15" i="17" s="1" a="1"/>
  <c r="G15" i="17" s="1"/>
  <c r="J36" i="20"/>
  <c r="G15" i="20" s="1" a="1"/>
  <c r="G15" i="20" s="1"/>
  <c r="J35" i="20"/>
  <c r="G23" i="20" s="1" a="1"/>
  <c r="G23" i="20" s="1"/>
  <c r="G25" i="20" s="1"/>
  <c r="F23" i="20"/>
  <c r="F25" i="20" s="1"/>
  <c r="E57" i="20"/>
  <c r="E55" i="20"/>
  <c r="E54" i="20"/>
  <c r="E36" i="20"/>
  <c r="G17" i="20" s="1"/>
  <c r="K19" i="20"/>
  <c r="J19" i="20"/>
  <c r="I19" i="20"/>
  <c r="H19" i="20"/>
  <c r="G19" i="20"/>
  <c r="F19" i="20"/>
  <c r="F15" i="20"/>
  <c r="G11" i="20"/>
  <c r="H11" i="20" s="1"/>
  <c r="I11" i="20" s="1"/>
  <c r="J11" i="20" s="1"/>
  <c r="K11" i="20" s="1"/>
  <c r="K9" i="20"/>
  <c r="J9" i="20"/>
  <c r="I9" i="20"/>
  <c r="H9" i="20"/>
  <c r="G9" i="20"/>
  <c r="F9" i="20"/>
  <c r="F13" i="20" s="1"/>
  <c r="F7" i="20"/>
  <c r="G7" i="20" s="1"/>
  <c r="H7" i="20" s="1"/>
  <c r="I7" i="20" s="1"/>
  <c r="J7" i="20" s="1"/>
  <c r="K7" i="20" s="1"/>
  <c r="B2" i="20"/>
  <c r="K19" i="17"/>
  <c r="J19" i="17"/>
  <c r="I19" i="17"/>
  <c r="H19" i="17"/>
  <c r="G19" i="17"/>
  <c r="F19" i="17"/>
  <c r="E30" i="17"/>
  <c r="G17" i="17" s="1"/>
  <c r="E50" i="17"/>
  <c r="E48" i="17"/>
  <c r="E47" i="17"/>
  <c r="K27" i="22" l="1"/>
  <c r="I27" i="22"/>
  <c r="J27" i="22"/>
  <c r="H27" i="22"/>
  <c r="K17" i="22"/>
  <c r="J21" i="22"/>
  <c r="K21" i="22"/>
  <c r="F21" i="22"/>
  <c r="F29" i="22" s="1"/>
  <c r="F33" i="22" s="1"/>
  <c r="G21" i="22"/>
  <c r="H21" i="22"/>
  <c r="K17" i="17"/>
  <c r="H17" i="17"/>
  <c r="I17" i="17"/>
  <c r="J17" i="17"/>
  <c r="K25" i="20"/>
  <c r="J25" i="20"/>
  <c r="I25" i="20"/>
  <c r="H25" i="20"/>
  <c r="I17" i="20"/>
  <c r="J17" i="20"/>
  <c r="K17" i="20"/>
  <c r="H17" i="20"/>
  <c r="G29" i="20"/>
  <c r="H29" i="20"/>
  <c r="G13" i="20"/>
  <c r="G21" i="20" s="1"/>
  <c r="G27" i="20" s="1"/>
  <c r="J13" i="20"/>
  <c r="J29" i="20"/>
  <c r="I29" i="20"/>
  <c r="K29" i="20"/>
  <c r="H13" i="20"/>
  <c r="H21" i="20" s="1"/>
  <c r="K13" i="20"/>
  <c r="I13" i="20"/>
  <c r="F17" i="20"/>
  <c r="F21" i="20" s="1"/>
  <c r="F27" i="20" s="1"/>
  <c r="F31" i="20" s="1"/>
  <c r="F17" i="17"/>
  <c r="F15" i="17"/>
  <c r="D20" i="19"/>
  <c r="D21" i="19"/>
  <c r="D22" i="19"/>
  <c r="D23" i="19"/>
  <c r="D24" i="19"/>
  <c r="D19" i="19"/>
  <c r="I20" i="19"/>
  <c r="I21" i="19"/>
  <c r="I22" i="19"/>
  <c r="I23" i="19"/>
  <c r="I24" i="19"/>
  <c r="I19" i="19"/>
  <c r="I9" i="19" a="1"/>
  <c r="I9" i="19" s="1"/>
  <c r="D9" i="19" a="1"/>
  <c r="D9" i="19" s="1"/>
  <c r="J17" i="19"/>
  <c r="E17" i="19"/>
  <c r="J14" i="19"/>
  <c r="E12" i="19"/>
  <c r="G11" i="19"/>
  <c r="G12" i="19" s="1"/>
  <c r="G13" i="19" s="1"/>
  <c r="G14" i="19" s="1"/>
  <c r="G15" i="19" s="1"/>
  <c r="G16" i="19" s="1"/>
  <c r="G17" i="19" s="1"/>
  <c r="G18" i="19" s="1"/>
  <c r="G19" i="19" s="1"/>
  <c r="B11" i="19"/>
  <c r="B12" i="19" s="1"/>
  <c r="B13" i="19" s="1"/>
  <c r="B14" i="19" s="1"/>
  <c r="B15" i="19" s="1"/>
  <c r="B16" i="19" s="1"/>
  <c r="B17" i="19" s="1"/>
  <c r="B18" i="19" s="1"/>
  <c r="B19" i="19" s="1"/>
  <c r="L10" i="19"/>
  <c r="L11" i="19" s="1"/>
  <c r="L12" i="19" s="1"/>
  <c r="L13" i="19" s="1"/>
  <c r="L14" i="19" s="1"/>
  <c r="L15" i="19" s="1"/>
  <c r="L16" i="19" s="1"/>
  <c r="L17" i="19" s="1"/>
  <c r="L18" i="19" s="1"/>
  <c r="L19" i="19" s="1"/>
  <c r="H10" i="19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G10" i="19"/>
  <c r="B10" i="19"/>
  <c r="O18" i="19"/>
  <c r="M9" i="19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J13" i="19"/>
  <c r="H9" i="19"/>
  <c r="E16" i="19"/>
  <c r="C9" i="19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B2" i="19"/>
  <c r="H9" i="17"/>
  <c r="I9" i="17"/>
  <c r="J9" i="17"/>
  <c r="K9" i="17"/>
  <c r="G9" i="17"/>
  <c r="G11" i="17"/>
  <c r="H11" i="17" s="1"/>
  <c r="I11" i="17" s="1"/>
  <c r="J11" i="17" s="1"/>
  <c r="K11" i="17" s="1"/>
  <c r="F7" i="17"/>
  <c r="G7" i="17" s="1"/>
  <c r="H7" i="17" s="1"/>
  <c r="I7" i="17" s="1"/>
  <c r="J7" i="17" s="1"/>
  <c r="K7" i="17" s="1"/>
  <c r="B2" i="17"/>
  <c r="G65" i="16"/>
  <c r="D65" i="16"/>
  <c r="G64" i="16"/>
  <c r="D64" i="16"/>
  <c r="G63" i="16"/>
  <c r="D63" i="16"/>
  <c r="G62" i="16"/>
  <c r="D62" i="16"/>
  <c r="G61" i="16"/>
  <c r="D61" i="16"/>
  <c r="G60" i="16"/>
  <c r="D60" i="16"/>
  <c r="G59" i="16"/>
  <c r="D59" i="16"/>
  <c r="G58" i="16"/>
  <c r="D58" i="16"/>
  <c r="G57" i="16"/>
  <c r="D57" i="16"/>
  <c r="G56" i="16"/>
  <c r="D56" i="16"/>
  <c r="G55" i="16"/>
  <c r="D55" i="16"/>
  <c r="G54" i="16"/>
  <c r="D54" i="16"/>
  <c r="G53" i="16"/>
  <c r="D53" i="16"/>
  <c r="G52" i="16"/>
  <c r="D52" i="16"/>
  <c r="G51" i="16"/>
  <c r="D51" i="16"/>
  <c r="G50" i="16"/>
  <c r="D50" i="16"/>
  <c r="G49" i="16"/>
  <c r="D49" i="16"/>
  <c r="G48" i="16"/>
  <c r="D48" i="16"/>
  <c r="G47" i="16"/>
  <c r="D47" i="16"/>
  <c r="G46" i="16"/>
  <c r="D46" i="16"/>
  <c r="G45" i="16"/>
  <c r="D45" i="16"/>
  <c r="G44" i="16"/>
  <c r="D44" i="16"/>
  <c r="G43" i="16"/>
  <c r="D43" i="16"/>
  <c r="G42" i="16"/>
  <c r="D42" i="16"/>
  <c r="G41" i="16"/>
  <c r="D41" i="16"/>
  <c r="G40" i="16"/>
  <c r="D40" i="16"/>
  <c r="G39" i="16"/>
  <c r="D39" i="16"/>
  <c r="G38" i="16"/>
  <c r="D38" i="16"/>
  <c r="G37" i="16"/>
  <c r="D37" i="16"/>
  <c r="G36" i="16"/>
  <c r="D36" i="16"/>
  <c r="G35" i="16"/>
  <c r="D35" i="16"/>
  <c r="G34" i="16"/>
  <c r="D34" i="16"/>
  <c r="G33" i="16"/>
  <c r="D33" i="16"/>
  <c r="G32" i="16"/>
  <c r="D32" i="16"/>
  <c r="G31" i="16"/>
  <c r="D31" i="16"/>
  <c r="G30" i="16"/>
  <c r="D30" i="16"/>
  <c r="G29" i="16"/>
  <c r="D29" i="16"/>
  <c r="G28" i="16"/>
  <c r="D28" i="16"/>
  <c r="G27" i="16"/>
  <c r="D27" i="16"/>
  <c r="G26" i="16"/>
  <c r="D26" i="16"/>
  <c r="G25" i="16"/>
  <c r="D25" i="16"/>
  <c r="G24" i="16"/>
  <c r="D24" i="16"/>
  <c r="G23" i="16"/>
  <c r="D23" i="16"/>
  <c r="G22" i="16"/>
  <c r="D22" i="16"/>
  <c r="G21" i="16"/>
  <c r="D21" i="16"/>
  <c r="G20" i="16"/>
  <c r="D20" i="16"/>
  <c r="G19" i="16"/>
  <c r="D19" i="16"/>
  <c r="G18" i="16"/>
  <c r="D18" i="16"/>
  <c r="G17" i="16"/>
  <c r="D17" i="16"/>
  <c r="G16" i="16"/>
  <c r="D16" i="16"/>
  <c r="K53" i="16"/>
  <c r="G15" i="16"/>
  <c r="D15" i="16"/>
  <c r="G14" i="16"/>
  <c r="D14" i="16"/>
  <c r="K51" i="16"/>
  <c r="G13" i="16"/>
  <c r="D13" i="16"/>
  <c r="K49" i="16"/>
  <c r="J11" i="16" s="1"/>
  <c r="J17" i="16" s="1"/>
  <c r="B2" i="16"/>
  <c r="C35" i="15"/>
  <c r="D35" i="15" s="1"/>
  <c r="C34" i="15"/>
  <c r="C36" i="15" s="1"/>
  <c r="J26" i="15"/>
  <c r="E25" i="15"/>
  <c r="I20" i="15"/>
  <c r="F20" i="15"/>
  <c r="E26" i="15" s="1"/>
  <c r="I19" i="15"/>
  <c r="F19" i="15"/>
  <c r="J17" i="15"/>
  <c r="H17" i="15"/>
  <c r="G17" i="15"/>
  <c r="J16" i="15"/>
  <c r="H16" i="15"/>
  <c r="G16" i="15"/>
  <c r="H15" i="15"/>
  <c r="G15" i="15"/>
  <c r="J15" i="15" s="1"/>
  <c r="J14" i="15"/>
  <c r="J20" i="15" s="1"/>
  <c r="J33" i="15" s="1"/>
  <c r="H14" i="15"/>
  <c r="H20" i="15" s="1"/>
  <c r="G14" i="15"/>
  <c r="G20" i="15" s="1"/>
  <c r="H13" i="15"/>
  <c r="G13" i="15"/>
  <c r="J13" i="15" s="1"/>
  <c r="B2" i="15"/>
  <c r="F24" i="13"/>
  <c r="G24" i="13"/>
  <c r="H24" i="13"/>
  <c r="I24" i="13"/>
  <c r="J24" i="13"/>
  <c r="F25" i="13"/>
  <c r="G25" i="13"/>
  <c r="H25" i="13"/>
  <c r="I25" i="13"/>
  <c r="J25" i="13"/>
  <c r="F26" i="13"/>
  <c r="G26" i="13"/>
  <c r="H26" i="13"/>
  <c r="I26" i="13"/>
  <c r="J26" i="13"/>
  <c r="F27" i="13"/>
  <c r="G27" i="13"/>
  <c r="H27" i="13"/>
  <c r="I27" i="13"/>
  <c r="J27" i="13"/>
  <c r="F28" i="13"/>
  <c r="G28" i="13"/>
  <c r="H28" i="13"/>
  <c r="I28" i="13"/>
  <c r="J28" i="13"/>
  <c r="F29" i="13"/>
  <c r="G29" i="13"/>
  <c r="H29" i="13"/>
  <c r="I29" i="13"/>
  <c r="J29" i="13"/>
  <c r="F30" i="13"/>
  <c r="G30" i="13"/>
  <c r="H30" i="13"/>
  <c r="I30" i="13"/>
  <c r="J30" i="13"/>
  <c r="F31" i="13"/>
  <c r="G31" i="13"/>
  <c r="H31" i="13"/>
  <c r="I31" i="13"/>
  <c r="J31" i="13"/>
  <c r="F32" i="13"/>
  <c r="G32" i="13"/>
  <c r="H32" i="13"/>
  <c r="I32" i="13"/>
  <c r="J32" i="13"/>
  <c r="F33" i="13"/>
  <c r="G33" i="13"/>
  <c r="H33" i="13"/>
  <c r="I33" i="13"/>
  <c r="J33" i="13"/>
  <c r="F36" i="13"/>
  <c r="G36" i="13"/>
  <c r="H36" i="13"/>
  <c r="I36" i="13"/>
  <c r="J36" i="13"/>
  <c r="F16" i="13"/>
  <c r="F19" i="13" s="1"/>
  <c r="G16" i="13"/>
  <c r="H16" i="13"/>
  <c r="I16" i="13"/>
  <c r="J16" i="13"/>
  <c r="F17" i="13"/>
  <c r="G17" i="13"/>
  <c r="H17" i="13"/>
  <c r="I17" i="13"/>
  <c r="J17" i="13"/>
  <c r="F18" i="13"/>
  <c r="G18" i="13"/>
  <c r="H18" i="13"/>
  <c r="I18" i="13"/>
  <c r="J18" i="13"/>
  <c r="F11" i="13"/>
  <c r="G11" i="13"/>
  <c r="H11" i="13"/>
  <c r="I11" i="13"/>
  <c r="J11" i="13"/>
  <c r="F12" i="13"/>
  <c r="G12" i="13"/>
  <c r="H12" i="13"/>
  <c r="I12" i="13"/>
  <c r="J12" i="13"/>
  <c r="F10" i="13"/>
  <c r="G10" i="13"/>
  <c r="H10" i="13"/>
  <c r="I10" i="13"/>
  <c r="J10" i="13"/>
  <c r="F7" i="13"/>
  <c r="G7" i="13"/>
  <c r="H7" i="13"/>
  <c r="I7" i="13"/>
  <c r="J7" i="13"/>
  <c r="K29" i="22" l="1"/>
  <c r="G13" i="22"/>
  <c r="G17" i="22" s="1"/>
  <c r="G29" i="22" s="1"/>
  <c r="G33" i="22" s="1"/>
  <c r="H27" i="20"/>
  <c r="H31" i="20" s="1"/>
  <c r="G31" i="20"/>
  <c r="J21" i="20"/>
  <c r="J27" i="20" s="1"/>
  <c r="J31" i="20" s="1"/>
  <c r="K21" i="20"/>
  <c r="K27" i="20" s="1"/>
  <c r="E41" i="20" s="1"/>
  <c r="I21" i="20"/>
  <c r="I27" i="20" s="1"/>
  <c r="I31" i="20" s="1"/>
  <c r="O11" i="19"/>
  <c r="O14" i="19"/>
  <c r="B20" i="19"/>
  <c r="E19" i="19"/>
  <c r="J19" i="19"/>
  <c r="G20" i="19"/>
  <c r="L20" i="19"/>
  <c r="N19" i="19"/>
  <c r="O19" i="19" s="1"/>
  <c r="E10" i="19"/>
  <c r="O12" i="19"/>
  <c r="J15" i="19"/>
  <c r="E18" i="19"/>
  <c r="E11" i="19"/>
  <c r="O13" i="19"/>
  <c r="J16" i="19"/>
  <c r="J10" i="19"/>
  <c r="E13" i="19"/>
  <c r="O15" i="19"/>
  <c r="J18" i="19"/>
  <c r="J11" i="19"/>
  <c r="E14" i="19"/>
  <c r="O16" i="19"/>
  <c r="O10" i="19"/>
  <c r="J12" i="19"/>
  <c r="E15" i="19"/>
  <c r="O17" i="19"/>
  <c r="J35" i="15"/>
  <c r="E27" i="15"/>
  <c r="J43" i="15" s="1"/>
  <c r="G19" i="15"/>
  <c r="H19" i="15"/>
  <c r="E34" i="15" s="1"/>
  <c r="D34" i="15"/>
  <c r="D38" i="15" s="1"/>
  <c r="J19" i="15"/>
  <c r="F13" i="13"/>
  <c r="F21" i="13" s="1"/>
  <c r="H19" i="13"/>
  <c r="J13" i="13"/>
  <c r="G13" i="13"/>
  <c r="G19" i="13"/>
  <c r="I19" i="13"/>
  <c r="I13" i="13"/>
  <c r="J19" i="13"/>
  <c r="J21" i="13" s="1"/>
  <c r="I35" i="13"/>
  <c r="I37" i="13" s="1"/>
  <c r="F35" i="13"/>
  <c r="F37" i="13" s="1"/>
  <c r="H35" i="13"/>
  <c r="H37" i="13" s="1"/>
  <c r="J35" i="13"/>
  <c r="J37" i="13" s="1"/>
  <c r="G35" i="13"/>
  <c r="G37" i="13" s="1"/>
  <c r="H13" i="13"/>
  <c r="H21" i="13" s="1"/>
  <c r="E47" i="22" l="1"/>
  <c r="E53" i="22" s="1"/>
  <c r="K33" i="22"/>
  <c r="H13" i="22"/>
  <c r="H17" i="22" s="1"/>
  <c r="H29" i="22" s="1"/>
  <c r="H33" i="22" s="1"/>
  <c r="K31" i="20"/>
  <c r="E50" i="20" s="1"/>
  <c r="E45" i="20"/>
  <c r="E51" i="20" s="1"/>
  <c r="N20" i="19"/>
  <c r="O20" i="19" s="1"/>
  <c r="L21" i="19"/>
  <c r="G21" i="19"/>
  <c r="J20" i="19"/>
  <c r="E20" i="19"/>
  <c r="B21" i="19"/>
  <c r="J44" i="15"/>
  <c r="E35" i="15"/>
  <c r="J41" i="15" s="1"/>
  <c r="E38" i="15"/>
  <c r="J34" i="15" s="1"/>
  <c r="J36" i="15" s="1"/>
  <c r="J27" i="15" s="1"/>
  <c r="J28" i="15" s="1"/>
  <c r="J40" i="15" s="1"/>
  <c r="I21" i="13"/>
  <c r="I39" i="13" s="1"/>
  <c r="G39" i="13"/>
  <c r="F39" i="13"/>
  <c r="G21" i="13"/>
  <c r="J39" i="13"/>
  <c r="H39" i="13"/>
  <c r="I13" i="22" l="1"/>
  <c r="I17" i="22" s="1"/>
  <c r="I29" i="22" s="1"/>
  <c r="I33" i="22" s="1"/>
  <c r="E52" i="20"/>
  <c r="G41" i="20" s="1"/>
  <c r="B22" i="19"/>
  <c r="E21" i="19"/>
  <c r="J21" i="19"/>
  <c r="G22" i="19"/>
  <c r="L22" i="19"/>
  <c r="N21" i="19"/>
  <c r="O21" i="19" s="1"/>
  <c r="J46" i="15"/>
  <c r="B2" i="13"/>
  <c r="B2" i="6"/>
  <c r="B2" i="3"/>
  <c r="J13" i="22" l="1"/>
  <c r="J17" i="22" s="1"/>
  <c r="J29" i="22" s="1"/>
  <c r="J33" i="22" s="1"/>
  <c r="E52" i="22" s="1"/>
  <c r="E54" i="22" s="1"/>
  <c r="E57" i="22" s="1"/>
  <c r="E56" i="20"/>
  <c r="E58" i="20" s="1"/>
  <c r="J23" i="17"/>
  <c r="F23" i="17"/>
  <c r="K23" i="17"/>
  <c r="I23" i="17"/>
  <c r="G23" i="17"/>
  <c r="H23" i="17"/>
  <c r="N22" i="19"/>
  <c r="O22" i="19" s="1"/>
  <c r="L23" i="19"/>
  <c r="G23" i="19"/>
  <c r="J22" i="19"/>
  <c r="E22" i="19"/>
  <c r="B23" i="19"/>
  <c r="K36" i="13"/>
  <c r="L36" i="13"/>
  <c r="M36" i="13"/>
  <c r="N36" i="13"/>
  <c r="O36" i="13"/>
  <c r="O33" i="13"/>
  <c r="N33" i="13"/>
  <c r="M33" i="13"/>
  <c r="L33" i="13"/>
  <c r="K33" i="13"/>
  <c r="O32" i="13"/>
  <c r="N32" i="13"/>
  <c r="M32" i="13"/>
  <c r="L32" i="13"/>
  <c r="K32" i="13"/>
  <c r="O31" i="13"/>
  <c r="N31" i="13"/>
  <c r="M31" i="13"/>
  <c r="L31" i="13"/>
  <c r="K31" i="13"/>
  <c r="O30" i="13"/>
  <c r="N30" i="13"/>
  <c r="M30" i="13"/>
  <c r="L30" i="13"/>
  <c r="K30" i="13"/>
  <c r="O29" i="13"/>
  <c r="N29" i="13"/>
  <c r="M29" i="13"/>
  <c r="L29" i="13"/>
  <c r="K29" i="13"/>
  <c r="O28" i="13"/>
  <c r="N28" i="13"/>
  <c r="M28" i="13"/>
  <c r="L28" i="13"/>
  <c r="K28" i="13"/>
  <c r="O27" i="13"/>
  <c r="N27" i="13"/>
  <c r="M27" i="13"/>
  <c r="L27" i="13"/>
  <c r="K27" i="13"/>
  <c r="O26" i="13"/>
  <c r="N26" i="13"/>
  <c r="M26" i="13"/>
  <c r="L26" i="13"/>
  <c r="K26" i="13"/>
  <c r="O25" i="13"/>
  <c r="N25" i="13"/>
  <c r="M25" i="13"/>
  <c r="L25" i="13"/>
  <c r="K25" i="13"/>
  <c r="N24" i="13"/>
  <c r="M24" i="13"/>
  <c r="L24" i="13"/>
  <c r="K24" i="13"/>
  <c r="O24" i="13"/>
  <c r="B32" i="13"/>
  <c r="B33" i="13"/>
  <c r="B25" i="13"/>
  <c r="B26" i="13"/>
  <c r="B27" i="13"/>
  <c r="B28" i="13"/>
  <c r="B29" i="13"/>
  <c r="B30" i="13"/>
  <c r="B31" i="13"/>
  <c r="B24" i="13"/>
  <c r="K16" i="13"/>
  <c r="L16" i="13"/>
  <c r="M16" i="13"/>
  <c r="N16" i="13"/>
  <c r="K17" i="13"/>
  <c r="L17" i="13"/>
  <c r="M17" i="13"/>
  <c r="N17" i="13"/>
  <c r="K18" i="13"/>
  <c r="L18" i="13"/>
  <c r="M18" i="13"/>
  <c r="N18" i="13"/>
  <c r="O17" i="13"/>
  <c r="O18" i="13"/>
  <c r="O16" i="13"/>
  <c r="B17" i="13"/>
  <c r="B18" i="13"/>
  <c r="B16" i="13"/>
  <c r="K12" i="13"/>
  <c r="L12" i="13"/>
  <c r="M12" i="13"/>
  <c r="N12" i="13"/>
  <c r="O12" i="13"/>
  <c r="B12" i="13"/>
  <c r="K10" i="13"/>
  <c r="L10" i="13"/>
  <c r="M10" i="13"/>
  <c r="N10" i="13"/>
  <c r="K11" i="13"/>
  <c r="L11" i="13"/>
  <c r="M11" i="13"/>
  <c r="N11" i="13"/>
  <c r="O11" i="13"/>
  <c r="O10" i="13"/>
  <c r="B11" i="13"/>
  <c r="B10" i="13"/>
  <c r="K7" i="13"/>
  <c r="L7" i="13"/>
  <c r="M7" i="13"/>
  <c r="N7" i="13"/>
  <c r="O7" i="13"/>
  <c r="N29" i="12"/>
  <c r="M29" i="12"/>
  <c r="L29" i="12"/>
  <c r="K29" i="12"/>
  <c r="J29" i="12"/>
  <c r="I29" i="12"/>
  <c r="H29" i="12"/>
  <c r="G29" i="12"/>
  <c r="F29" i="12"/>
  <c r="E29" i="12"/>
  <c r="D29" i="12"/>
  <c r="C29" i="12"/>
  <c r="G43" i="22" l="1"/>
  <c r="E59" i="22"/>
  <c r="B24" i="19"/>
  <c r="E23" i="19"/>
  <c r="J23" i="19"/>
  <c r="G24" i="19"/>
  <c r="L24" i="19"/>
  <c r="N23" i="19"/>
  <c r="O23" i="19" s="1"/>
  <c r="M19" i="13"/>
  <c r="N35" i="13"/>
  <c r="N37" i="13" s="1"/>
  <c r="K35" i="13"/>
  <c r="K37" i="13" s="1"/>
  <c r="L19" i="13"/>
  <c r="O19" i="13"/>
  <c r="M35" i="13"/>
  <c r="M37" i="13" s="1"/>
  <c r="O35" i="13"/>
  <c r="O37" i="13" s="1"/>
  <c r="L35" i="13"/>
  <c r="L37" i="13" s="1"/>
  <c r="K19" i="13"/>
  <c r="L13" i="13"/>
  <c r="N19" i="13"/>
  <c r="N13" i="13"/>
  <c r="O13" i="13"/>
  <c r="O21" i="13" s="1"/>
  <c r="K13" i="13"/>
  <c r="M13" i="13"/>
  <c r="J24" i="19" l="1"/>
  <c r="N24" i="19"/>
  <c r="O24" i="19" s="1"/>
  <c r="E24" i="19"/>
  <c r="M21" i="13"/>
  <c r="M39" i="13" s="1"/>
  <c r="L21" i="13"/>
  <c r="N21" i="13"/>
  <c r="N39" i="13" s="1"/>
  <c r="K21" i="13"/>
  <c r="K39" i="13" s="1"/>
  <c r="O39" i="13"/>
  <c r="L39" i="13" l="1"/>
  <c r="L6" i="6" l="1"/>
  <c r="K6" i="6"/>
  <c r="J6" i="6"/>
  <c r="I6" i="6"/>
  <c r="H6" i="6"/>
  <c r="G6" i="6"/>
  <c r="F6" i="6"/>
  <c r="E6" i="6"/>
  <c r="D6" i="6"/>
  <c r="C6" i="6"/>
  <c r="B5" i="6"/>
  <c r="L63" i="3" l="1"/>
  <c r="K63" i="3"/>
  <c r="J63" i="3"/>
  <c r="I63" i="3"/>
  <c r="H63" i="3"/>
  <c r="G63" i="3"/>
  <c r="F63" i="3"/>
  <c r="E63" i="3"/>
  <c r="D63" i="3"/>
  <c r="C63" i="3"/>
  <c r="L68" i="3"/>
  <c r="L11" i="6" s="1"/>
  <c r="K68" i="3"/>
  <c r="K11" i="6" s="1"/>
  <c r="J68" i="3"/>
  <c r="J11" i="6" s="1"/>
  <c r="I68" i="3"/>
  <c r="I11" i="6" s="1"/>
  <c r="H68" i="3"/>
  <c r="H11" i="6" s="1"/>
  <c r="G68" i="3"/>
  <c r="G11" i="6" s="1"/>
  <c r="F68" i="3"/>
  <c r="F11" i="6" s="1"/>
  <c r="E68" i="3"/>
  <c r="E11" i="6" s="1"/>
  <c r="D68" i="3"/>
  <c r="D11" i="6" s="1"/>
  <c r="L67" i="3"/>
  <c r="K67" i="3"/>
  <c r="J67" i="3"/>
  <c r="I67" i="3"/>
  <c r="H67" i="3"/>
  <c r="G67" i="3"/>
  <c r="F67" i="3"/>
  <c r="E67" i="3"/>
  <c r="D67" i="3"/>
  <c r="L66" i="3"/>
  <c r="K66" i="3"/>
  <c r="J66" i="3"/>
  <c r="I66" i="3"/>
  <c r="H66" i="3"/>
  <c r="G66" i="3"/>
  <c r="F66" i="3"/>
  <c r="E66" i="3"/>
  <c r="D66" i="3"/>
  <c r="C68" i="3"/>
  <c r="C11" i="6" s="1"/>
  <c r="C67" i="3"/>
  <c r="C66" i="3"/>
  <c r="L62" i="3"/>
  <c r="K62" i="3"/>
  <c r="J62" i="3"/>
  <c r="I62" i="3"/>
  <c r="H62" i="3"/>
  <c r="G62" i="3"/>
  <c r="F62" i="3"/>
  <c r="E62" i="3"/>
  <c r="D62" i="3"/>
  <c r="C62" i="3"/>
  <c r="L61" i="3"/>
  <c r="K61" i="3"/>
  <c r="J61" i="3"/>
  <c r="I61" i="3"/>
  <c r="H61" i="3"/>
  <c r="G61" i="3"/>
  <c r="F61" i="3"/>
  <c r="E61" i="3"/>
  <c r="D61" i="3"/>
  <c r="C61" i="3"/>
  <c r="L60" i="3"/>
  <c r="K60" i="3"/>
  <c r="J60" i="3"/>
  <c r="I60" i="3"/>
  <c r="H60" i="3"/>
  <c r="G60" i="3"/>
  <c r="F60" i="3"/>
  <c r="E60" i="3"/>
  <c r="D60" i="3"/>
  <c r="C60" i="3"/>
  <c r="L58" i="3"/>
  <c r="K58" i="3"/>
  <c r="J58" i="3"/>
  <c r="I58" i="3"/>
  <c r="H58" i="3"/>
  <c r="G58" i="3"/>
  <c r="F58" i="3"/>
  <c r="E58" i="3"/>
  <c r="D58" i="3"/>
  <c r="L57" i="3"/>
  <c r="K57" i="3"/>
  <c r="J57" i="3"/>
  <c r="I57" i="3"/>
  <c r="H57" i="3"/>
  <c r="G57" i="3"/>
  <c r="F57" i="3"/>
  <c r="E57" i="3"/>
  <c r="D57" i="3"/>
  <c r="L56" i="3"/>
  <c r="K56" i="3"/>
  <c r="J56" i="3"/>
  <c r="I56" i="3"/>
  <c r="H56" i="3"/>
  <c r="G56" i="3"/>
  <c r="F56" i="3"/>
  <c r="E56" i="3"/>
  <c r="D56" i="3"/>
  <c r="L55" i="3"/>
  <c r="K55" i="3"/>
  <c r="J55" i="3"/>
  <c r="I55" i="3"/>
  <c r="H55" i="3"/>
  <c r="G55" i="3"/>
  <c r="F55" i="3"/>
  <c r="E55" i="3"/>
  <c r="D55" i="3"/>
  <c r="L54" i="3"/>
  <c r="K54" i="3"/>
  <c r="J54" i="3"/>
  <c r="I54" i="3"/>
  <c r="H54" i="3"/>
  <c r="G54" i="3"/>
  <c r="F54" i="3"/>
  <c r="E54" i="3"/>
  <c r="D54" i="3"/>
  <c r="C58" i="3"/>
  <c r="C57" i="3"/>
  <c r="C56" i="3"/>
  <c r="C55" i="3"/>
  <c r="C54" i="3"/>
  <c r="L42" i="3"/>
  <c r="K42" i="3"/>
  <c r="K47" i="3" s="1"/>
  <c r="J42" i="3"/>
  <c r="J47" i="3" s="1"/>
  <c r="I42" i="3"/>
  <c r="I47" i="3" s="1"/>
  <c r="H42" i="3"/>
  <c r="H47" i="3" s="1"/>
  <c r="G42" i="3"/>
  <c r="G47" i="3" s="1"/>
  <c r="F42" i="3"/>
  <c r="F47" i="3" s="1"/>
  <c r="E42" i="3"/>
  <c r="E47" i="3" s="1"/>
  <c r="D42" i="3"/>
  <c r="D47" i="3" s="1"/>
  <c r="C42" i="3"/>
  <c r="C47" i="3" s="1"/>
  <c r="L36" i="3"/>
  <c r="K36" i="3"/>
  <c r="J36" i="3"/>
  <c r="I36" i="3"/>
  <c r="H36" i="3"/>
  <c r="G36" i="3"/>
  <c r="F36" i="3"/>
  <c r="E36" i="3"/>
  <c r="D36" i="3"/>
  <c r="C36" i="3"/>
  <c r="L24" i="3"/>
  <c r="K24" i="3"/>
  <c r="J24" i="3"/>
  <c r="I24" i="3"/>
  <c r="H24" i="3"/>
  <c r="G24" i="3"/>
  <c r="F24" i="3"/>
  <c r="E24" i="3"/>
  <c r="D24" i="3"/>
  <c r="C24" i="3"/>
  <c r="L30" i="3"/>
  <c r="K30" i="3"/>
  <c r="J30" i="3"/>
  <c r="I30" i="3"/>
  <c r="H30" i="3"/>
  <c r="G30" i="3"/>
  <c r="F30" i="3"/>
  <c r="E30" i="3"/>
  <c r="D30" i="3"/>
  <c r="C30" i="3"/>
  <c r="L18" i="3"/>
  <c r="K18" i="3"/>
  <c r="J18" i="3"/>
  <c r="I18" i="3"/>
  <c r="H18" i="3"/>
  <c r="G18" i="3"/>
  <c r="F18" i="3"/>
  <c r="E18" i="3"/>
  <c r="D18" i="3"/>
  <c r="C18" i="3"/>
  <c r="L12" i="3"/>
  <c r="K12" i="3"/>
  <c r="J12" i="3"/>
  <c r="I12" i="3"/>
  <c r="H12" i="3"/>
  <c r="G12" i="3"/>
  <c r="F12" i="3"/>
  <c r="E12" i="3"/>
  <c r="D12" i="3"/>
  <c r="C12" i="3"/>
  <c r="L9" i="3"/>
  <c r="K9" i="3"/>
  <c r="J9" i="3"/>
  <c r="I9" i="3"/>
  <c r="H9" i="3"/>
  <c r="G9" i="3"/>
  <c r="F9" i="3"/>
  <c r="E9" i="3"/>
  <c r="D9" i="3"/>
  <c r="C9" i="3"/>
  <c r="L6" i="3"/>
  <c r="D6" i="3"/>
  <c r="E6" i="3"/>
  <c r="F6" i="3"/>
  <c r="G6" i="3"/>
  <c r="H6" i="3"/>
  <c r="I6" i="3"/>
  <c r="J6" i="3"/>
  <c r="K6" i="3"/>
  <c r="C6" i="3"/>
  <c r="B5" i="3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L14" i="6" l="1"/>
  <c r="L16" i="6"/>
  <c r="E14" i="6"/>
  <c r="E16" i="6"/>
  <c r="F16" i="6"/>
  <c r="F14" i="6"/>
  <c r="C14" i="6"/>
  <c r="C16" i="6"/>
  <c r="G16" i="6"/>
  <c r="G14" i="6"/>
  <c r="O11" i="6"/>
  <c r="N11" i="6"/>
  <c r="H14" i="6"/>
  <c r="H16" i="6"/>
  <c r="H36" i="6"/>
  <c r="I14" i="6"/>
  <c r="I16" i="6"/>
  <c r="J14" i="6"/>
  <c r="J16" i="6"/>
  <c r="K36" i="6"/>
  <c r="K14" i="6"/>
  <c r="K16" i="6"/>
  <c r="D14" i="6"/>
  <c r="D16" i="6"/>
  <c r="J36" i="6"/>
  <c r="G36" i="6"/>
  <c r="I21" i="6"/>
  <c r="I39" i="6" s="1"/>
  <c r="I20" i="6"/>
  <c r="I19" i="6"/>
  <c r="I41" i="6" s="1"/>
  <c r="E36" i="6"/>
  <c r="J19" i="6"/>
  <c r="J41" i="6" s="1"/>
  <c r="J21" i="6"/>
  <c r="J39" i="6" s="1"/>
  <c r="J20" i="6"/>
  <c r="F36" i="6"/>
  <c r="D36" i="6"/>
  <c r="C20" i="6"/>
  <c r="C19" i="6"/>
  <c r="C21" i="6"/>
  <c r="K19" i="6"/>
  <c r="K41" i="6" s="1"/>
  <c r="K21" i="6"/>
  <c r="K39" i="6" s="1"/>
  <c r="K20" i="6"/>
  <c r="G21" i="6"/>
  <c r="G39" i="6" s="1"/>
  <c r="G20" i="6"/>
  <c r="G19" i="6"/>
  <c r="G41" i="6" s="1"/>
  <c r="D20" i="6"/>
  <c r="D19" i="6"/>
  <c r="D41" i="6" s="1"/>
  <c r="D21" i="6"/>
  <c r="D39" i="6" s="1"/>
  <c r="H20" i="6"/>
  <c r="H21" i="6"/>
  <c r="H39" i="6" s="1"/>
  <c r="H19" i="6"/>
  <c r="H41" i="6" s="1"/>
  <c r="L20" i="6"/>
  <c r="L19" i="6"/>
  <c r="L41" i="6" s="1"/>
  <c r="L21" i="6"/>
  <c r="L39" i="6" s="1"/>
  <c r="E20" i="6"/>
  <c r="E19" i="6"/>
  <c r="E41" i="6" s="1"/>
  <c r="E21" i="6"/>
  <c r="E39" i="6" s="1"/>
  <c r="I36" i="6"/>
  <c r="F21" i="6"/>
  <c r="F39" i="6" s="1"/>
  <c r="F20" i="6"/>
  <c r="F19" i="6"/>
  <c r="F41" i="6" s="1"/>
  <c r="G64" i="3"/>
  <c r="H69" i="3"/>
  <c r="C69" i="3"/>
  <c r="I69" i="3"/>
  <c r="D69" i="3"/>
  <c r="L69" i="3"/>
  <c r="K69" i="3"/>
  <c r="L64" i="3"/>
  <c r="E64" i="3"/>
  <c r="G69" i="3"/>
  <c r="F69" i="3"/>
  <c r="E69" i="3"/>
  <c r="H64" i="3"/>
  <c r="I64" i="3"/>
  <c r="D64" i="3"/>
  <c r="F64" i="3"/>
  <c r="J64" i="3"/>
  <c r="J69" i="3"/>
  <c r="C64" i="3"/>
  <c r="K64" i="3"/>
  <c r="L47" i="3"/>
  <c r="L36" i="6" s="1"/>
  <c r="F13" i="3"/>
  <c r="K15" i="3"/>
  <c r="K16" i="3" s="1"/>
  <c r="K24" i="6" s="1"/>
  <c r="D13" i="3"/>
  <c r="C15" i="3"/>
  <c r="C21" i="3" s="1"/>
  <c r="J15" i="3"/>
  <c r="J16" i="3" s="1"/>
  <c r="J24" i="6" s="1"/>
  <c r="C19" i="3"/>
  <c r="C31" i="3"/>
  <c r="K31" i="3"/>
  <c r="K10" i="3"/>
  <c r="K32" i="6" s="1"/>
  <c r="G19" i="3"/>
  <c r="E31" i="3"/>
  <c r="F25" i="3"/>
  <c r="G10" i="3"/>
  <c r="G32" i="6" s="1"/>
  <c r="L13" i="3"/>
  <c r="H19" i="3"/>
  <c r="G25" i="3"/>
  <c r="I10" i="3"/>
  <c r="I32" i="6" s="1"/>
  <c r="G15" i="3"/>
  <c r="G31" i="3"/>
  <c r="H31" i="3"/>
  <c r="E19" i="3"/>
  <c r="F31" i="3"/>
  <c r="F19" i="3"/>
  <c r="L25" i="3"/>
  <c r="I13" i="3"/>
  <c r="J19" i="3"/>
  <c r="E13" i="3"/>
  <c r="I19" i="3"/>
  <c r="I31" i="3"/>
  <c r="F15" i="3"/>
  <c r="H13" i="3"/>
  <c r="J13" i="3"/>
  <c r="K19" i="3"/>
  <c r="J31" i="3"/>
  <c r="J10" i="3"/>
  <c r="J32" i="6" s="1"/>
  <c r="J25" i="3"/>
  <c r="D25" i="3"/>
  <c r="H25" i="3"/>
  <c r="D19" i="3"/>
  <c r="L19" i="3"/>
  <c r="C25" i="3"/>
  <c r="K25" i="3"/>
  <c r="L15" i="3"/>
  <c r="E15" i="3"/>
  <c r="D31" i="3"/>
  <c r="L31" i="3"/>
  <c r="D15" i="3"/>
  <c r="E25" i="3"/>
  <c r="D10" i="3"/>
  <c r="D32" i="6" s="1"/>
  <c r="L10" i="3"/>
  <c r="L32" i="6" s="1"/>
  <c r="G13" i="3"/>
  <c r="E10" i="3"/>
  <c r="E32" i="6" s="1"/>
  <c r="F10" i="3"/>
  <c r="F32" i="6" s="1"/>
  <c r="H15" i="3"/>
  <c r="I25" i="3"/>
  <c r="H10" i="3"/>
  <c r="H32" i="6" s="1"/>
  <c r="C13" i="3"/>
  <c r="K13" i="3"/>
  <c r="I15" i="3"/>
  <c r="C27" i="3" l="1"/>
  <c r="C28" i="3" s="1"/>
  <c r="N14" i="6"/>
  <c r="K10" i="6"/>
  <c r="K9" i="6"/>
  <c r="O14" i="6"/>
  <c r="L10" i="6"/>
  <c r="L9" i="6"/>
  <c r="D10" i="6"/>
  <c r="D9" i="6"/>
  <c r="I9" i="6"/>
  <c r="I10" i="6"/>
  <c r="E10" i="6"/>
  <c r="E9" i="6"/>
  <c r="N16" i="6"/>
  <c r="F10" i="6"/>
  <c r="F9" i="6"/>
  <c r="C10" i="6"/>
  <c r="C9" i="6"/>
  <c r="J9" i="6"/>
  <c r="J10" i="6"/>
  <c r="G10" i="6"/>
  <c r="G9" i="6"/>
  <c r="H10" i="6"/>
  <c r="H9" i="6"/>
  <c r="O16" i="6"/>
  <c r="G42" i="6"/>
  <c r="K42" i="6"/>
  <c r="G71" i="3"/>
  <c r="L42" i="6"/>
  <c r="J42" i="6"/>
  <c r="C41" i="6"/>
  <c r="O19" i="6"/>
  <c r="N19" i="6"/>
  <c r="C71" i="3"/>
  <c r="F42" i="6"/>
  <c r="E42" i="6"/>
  <c r="D42" i="6"/>
  <c r="O20" i="6"/>
  <c r="N20" i="6"/>
  <c r="N36" i="6"/>
  <c r="O36" i="6"/>
  <c r="I71" i="3"/>
  <c r="C22" i="3"/>
  <c r="C27" i="6" s="1"/>
  <c r="C28" i="6"/>
  <c r="H42" i="6"/>
  <c r="C39" i="6"/>
  <c r="O21" i="6"/>
  <c r="N21" i="6"/>
  <c r="N32" i="6"/>
  <c r="O32" i="6"/>
  <c r="I42" i="6"/>
  <c r="E71" i="3"/>
  <c r="H71" i="3"/>
  <c r="L71" i="3"/>
  <c r="D71" i="3"/>
  <c r="K71" i="3"/>
  <c r="F71" i="3"/>
  <c r="J21" i="3"/>
  <c r="J27" i="3" s="1"/>
  <c r="J28" i="3" s="1"/>
  <c r="J71" i="3"/>
  <c r="C16" i="3"/>
  <c r="C24" i="6" s="1"/>
  <c r="C33" i="3"/>
  <c r="K21" i="3"/>
  <c r="E21" i="3"/>
  <c r="E16" i="3"/>
  <c r="E24" i="6" s="1"/>
  <c r="G21" i="3"/>
  <c r="G16" i="3"/>
  <c r="G24" i="6" s="1"/>
  <c r="F21" i="3"/>
  <c r="F16" i="3"/>
  <c r="F24" i="6" s="1"/>
  <c r="L21" i="3"/>
  <c r="L27" i="3" s="1"/>
  <c r="L28" i="3" s="1"/>
  <c r="L16" i="3"/>
  <c r="L24" i="6" s="1"/>
  <c r="H21" i="3"/>
  <c r="H16" i="3"/>
  <c r="H24" i="6" s="1"/>
  <c r="I21" i="3"/>
  <c r="I16" i="3"/>
  <c r="I24" i="6" s="1"/>
  <c r="D21" i="3"/>
  <c r="D16" i="3"/>
  <c r="D24" i="6" s="1"/>
  <c r="D27" i="3" l="1"/>
  <c r="D28" i="3" s="1"/>
  <c r="K27" i="3"/>
  <c r="K28" i="3" s="1"/>
  <c r="I27" i="3"/>
  <c r="I28" i="3" s="1"/>
  <c r="G27" i="3"/>
  <c r="G28" i="3" s="1"/>
  <c r="F27" i="3"/>
  <c r="F28" i="3" s="1"/>
  <c r="H27" i="3"/>
  <c r="H28" i="3" s="1"/>
  <c r="E27" i="3"/>
  <c r="E28" i="3" s="1"/>
  <c r="F9" i="17"/>
  <c r="J22" i="3"/>
  <c r="J27" i="6" s="1"/>
  <c r="O10" i="6"/>
  <c r="N10" i="6"/>
  <c r="F73" i="3"/>
  <c r="F15" i="6"/>
  <c r="C73" i="3"/>
  <c r="C15" i="6"/>
  <c r="G73" i="3"/>
  <c r="G15" i="6"/>
  <c r="D73" i="3"/>
  <c r="D15" i="6"/>
  <c r="O9" i="6"/>
  <c r="N9" i="6"/>
  <c r="C34" i="3"/>
  <c r="C29" i="6" s="1"/>
  <c r="F40" i="13"/>
  <c r="F42" i="13" s="1"/>
  <c r="C26" i="6" s="1"/>
  <c r="L73" i="3"/>
  <c r="L15" i="6"/>
  <c r="E73" i="3"/>
  <c r="E15" i="6"/>
  <c r="H73" i="3"/>
  <c r="H15" i="6"/>
  <c r="J73" i="3"/>
  <c r="J15" i="6"/>
  <c r="I73" i="3"/>
  <c r="I15" i="6"/>
  <c r="K73" i="3"/>
  <c r="K15" i="6"/>
  <c r="C42" i="6"/>
  <c r="O40" i="6"/>
  <c r="N40" i="6"/>
  <c r="E28" i="6"/>
  <c r="E33" i="6"/>
  <c r="I28" i="6"/>
  <c r="I33" i="6"/>
  <c r="F28" i="6"/>
  <c r="F33" i="6"/>
  <c r="J28" i="6"/>
  <c r="J33" i="6"/>
  <c r="J33" i="3"/>
  <c r="J39" i="3" s="1"/>
  <c r="G28" i="6"/>
  <c r="G33" i="6"/>
  <c r="H33" i="6"/>
  <c r="H28" i="6"/>
  <c r="L28" i="6"/>
  <c r="L33" i="6"/>
  <c r="O41" i="6"/>
  <c r="N41" i="6"/>
  <c r="K22" i="3"/>
  <c r="K27" i="6" s="1"/>
  <c r="K33" i="6"/>
  <c r="K28" i="6"/>
  <c r="D28" i="6"/>
  <c r="D33" i="6"/>
  <c r="N24" i="6"/>
  <c r="O24" i="6"/>
  <c r="N39" i="6"/>
  <c r="O39" i="6"/>
  <c r="C39" i="3"/>
  <c r="C44" i="3" s="1"/>
  <c r="C37" i="3"/>
  <c r="K33" i="3"/>
  <c r="G22" i="3"/>
  <c r="G27" i="6" s="1"/>
  <c r="G33" i="3"/>
  <c r="J40" i="13" s="1"/>
  <c r="J42" i="13" s="1"/>
  <c r="G26" i="6" s="1"/>
  <c r="F22" i="3"/>
  <c r="F27" i="6" s="1"/>
  <c r="F33" i="3"/>
  <c r="I40" i="13" s="1"/>
  <c r="I42" i="13" s="1"/>
  <c r="F26" i="6" s="1"/>
  <c r="I22" i="3"/>
  <c r="I27" i="6" s="1"/>
  <c r="I33" i="3"/>
  <c r="D22" i="3"/>
  <c r="D27" i="6" s="1"/>
  <c r="D33" i="3"/>
  <c r="H22" i="3"/>
  <c r="H27" i="6" s="1"/>
  <c r="H33" i="3"/>
  <c r="E22" i="3"/>
  <c r="E27" i="6" s="1"/>
  <c r="E33" i="3"/>
  <c r="H40" i="13" s="1"/>
  <c r="H42" i="13" s="1"/>
  <c r="E26" i="6" s="1"/>
  <c r="L22" i="3"/>
  <c r="L27" i="6" s="1"/>
  <c r="L33" i="3"/>
  <c r="N15" i="6" l="1"/>
  <c r="O15" i="6"/>
  <c r="D34" i="6"/>
  <c r="G40" i="13"/>
  <c r="G42" i="13" s="1"/>
  <c r="D26" i="6" s="1"/>
  <c r="J37" i="3"/>
  <c r="J34" i="3"/>
  <c r="J29" i="6" s="1"/>
  <c r="N27" i="6"/>
  <c r="E34" i="6"/>
  <c r="O27" i="6"/>
  <c r="G34" i="6"/>
  <c r="K34" i="3"/>
  <c r="K29" i="6" s="1"/>
  <c r="N40" i="13"/>
  <c r="K34" i="6"/>
  <c r="O28" i="6"/>
  <c r="M40" i="13"/>
  <c r="J34" i="6"/>
  <c r="O33" i="6"/>
  <c r="N33" i="6"/>
  <c r="C40" i="3"/>
  <c r="C25" i="6" s="1"/>
  <c r="N28" i="6"/>
  <c r="F34" i="6"/>
  <c r="K40" i="13"/>
  <c r="H34" i="6"/>
  <c r="L40" i="13"/>
  <c r="I34" i="6"/>
  <c r="O40" i="13"/>
  <c r="L34" i="6"/>
  <c r="O42" i="6"/>
  <c r="N42" i="6"/>
  <c r="K39" i="3"/>
  <c r="K40" i="3" s="1"/>
  <c r="K25" i="6" s="1"/>
  <c r="K37" i="3"/>
  <c r="C48" i="3"/>
  <c r="C50" i="3" s="1"/>
  <c r="L37" i="3"/>
  <c r="L39" i="3"/>
  <c r="L34" i="3"/>
  <c r="L29" i="6" s="1"/>
  <c r="E37" i="3"/>
  <c r="E39" i="3"/>
  <c r="E34" i="3"/>
  <c r="E29" i="6" s="1"/>
  <c r="J44" i="3"/>
  <c r="J40" i="3"/>
  <c r="J25" i="6" s="1"/>
  <c r="D37" i="3"/>
  <c r="D39" i="3"/>
  <c r="D34" i="3"/>
  <c r="D29" i="6" s="1"/>
  <c r="F34" i="3"/>
  <c r="F29" i="6" s="1"/>
  <c r="F39" i="3"/>
  <c r="F37" i="3"/>
  <c r="H34" i="3"/>
  <c r="H29" i="6" s="1"/>
  <c r="H37" i="3"/>
  <c r="H39" i="3"/>
  <c r="G39" i="3"/>
  <c r="G34" i="3"/>
  <c r="G29" i="6" s="1"/>
  <c r="G37" i="3"/>
  <c r="I39" i="3"/>
  <c r="I34" i="3"/>
  <c r="I29" i="6" s="1"/>
  <c r="I37" i="3"/>
  <c r="O34" i="6" l="1"/>
  <c r="H35" i="6"/>
  <c r="O29" i="6"/>
  <c r="N29" i="6"/>
  <c r="L35" i="6"/>
  <c r="O42" i="13"/>
  <c r="L26" i="6" s="1"/>
  <c r="L42" i="13"/>
  <c r="I26" i="6" s="1"/>
  <c r="K44" i="3"/>
  <c r="K45" i="3" s="1"/>
  <c r="K35" i="6"/>
  <c r="N42" i="13"/>
  <c r="K26" i="6" s="1"/>
  <c r="I35" i="6"/>
  <c r="F35" i="6"/>
  <c r="E35" i="6"/>
  <c r="N34" i="6"/>
  <c r="J35" i="6"/>
  <c r="M42" i="13"/>
  <c r="J26" i="6" s="1"/>
  <c r="G35" i="6"/>
  <c r="D35" i="6"/>
  <c r="K42" i="13"/>
  <c r="H26" i="6" s="1"/>
  <c r="J48" i="3"/>
  <c r="J50" i="3" s="1"/>
  <c r="F40" i="3"/>
  <c r="F25" i="6" s="1"/>
  <c r="F44" i="3"/>
  <c r="I44" i="3"/>
  <c r="J45" i="3" s="1"/>
  <c r="I40" i="3"/>
  <c r="I25" i="6" s="1"/>
  <c r="D44" i="3"/>
  <c r="D40" i="3"/>
  <c r="D25" i="6" s="1"/>
  <c r="H40" i="3"/>
  <c r="H25" i="6" s="1"/>
  <c r="H44" i="3"/>
  <c r="E40" i="3"/>
  <c r="E25" i="6" s="1"/>
  <c r="E44" i="3"/>
  <c r="G40" i="3"/>
  <c r="G25" i="6" s="1"/>
  <c r="G44" i="3"/>
  <c r="L44" i="3"/>
  <c r="L40" i="3"/>
  <c r="L25" i="6" s="1"/>
  <c r="O26" i="6" l="1"/>
  <c r="N26" i="6"/>
  <c r="O25" i="6"/>
  <c r="K48" i="3"/>
  <c r="K50" i="3" s="1"/>
  <c r="N25" i="6"/>
  <c r="N35" i="6"/>
  <c r="O35" i="6"/>
  <c r="E45" i="3"/>
  <c r="E48" i="3"/>
  <c r="E50" i="3" s="1"/>
  <c r="H45" i="3"/>
  <c r="H48" i="3"/>
  <c r="H50" i="3" s="1"/>
  <c r="G45" i="3"/>
  <c r="G48" i="3"/>
  <c r="G50" i="3" s="1"/>
  <c r="I45" i="3"/>
  <c r="I48" i="3"/>
  <c r="I50" i="3" s="1"/>
  <c r="F45" i="3"/>
  <c r="F48" i="3"/>
  <c r="F50" i="3" s="1"/>
  <c r="L45" i="3"/>
  <c r="L48" i="3"/>
  <c r="L50" i="3" s="1"/>
  <c r="D45" i="3"/>
  <c r="D48" i="3"/>
  <c r="D50" i="3" s="1"/>
  <c r="F13" i="17" l="1"/>
  <c r="F21" i="17" l="1"/>
  <c r="F25" i="17" s="1"/>
  <c r="G13" i="17"/>
  <c r="G21" i="17" l="1"/>
  <c r="G25" i="17" s="1"/>
  <c r="H13" i="17"/>
  <c r="H21" i="17" l="1"/>
  <c r="H25" i="17" s="1"/>
  <c r="I13" i="17"/>
  <c r="I21" i="17" l="1"/>
  <c r="I25" i="17" s="1"/>
  <c r="J13" i="17"/>
  <c r="K13" i="17"/>
  <c r="K21" i="17" s="1"/>
  <c r="E34" i="17" s="1"/>
  <c r="J21" i="17" l="1"/>
  <c r="J25" i="17" s="1"/>
  <c r="K25" i="17"/>
  <c r="E38" i="17"/>
  <c r="E44" i="17" s="1"/>
  <c r="E43" i="17" l="1"/>
  <c r="E45" i="17" s="1"/>
  <c r="G34" i="17" s="1"/>
  <c r="E49" i="17" l="1"/>
  <c r="E51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<sst xmlns="http://schemas.openxmlformats.org/spreadsheetml/2006/main" count="493" uniqueCount="342">
  <si>
    <t>COMPANY NAME</t>
  </si>
  <si>
    <t>GODREJ CONSUMER PRODUCTS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</si>
  <si>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</si>
  <si>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</si>
  <si>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</si>
  <si>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</si>
  <si>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</si>
  <si>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</si>
  <si>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</si>
  <si>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</si>
  <si>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</si>
  <si>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</si>
  <si>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</si>
  <si>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</si>
  <si>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</si>
  <si>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</si>
  <si>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</si>
  <si>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</si>
  <si>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</si>
  <si>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</si>
  <si>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</si>
  <si>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</si>
  <si>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</si>
  <si>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</si>
  <si>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</si>
  <si>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</si>
  <si>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</si>
  <si>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</si>
  <si>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</si>
  <si>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</si>
  <si>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</si>
  <si>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</si>
  <si>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</si>
  <si>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</si>
  <si>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</si>
  <si>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</si>
  <si>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</si>
  <si>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</si>
  <si>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</si>
  <si>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</si>
  <si>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</si>
  <si>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</si>
  <si>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</si>
  <si>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</si>
  <si>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</si>
  <si>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</si>
  <si>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</si>
  <si>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</si>
  <si>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</si>
  <si>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</si>
  <si>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</si>
  <si>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</si>
  <si>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</si>
  <si>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</si>
  <si>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</si>
  <si>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</si>
  <si>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</si>
  <si>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</si>
  <si>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</si>
  <si>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</si>
  <si>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</si>
  <si>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</si>
  <si>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</si>
  <si>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</si>
  <si>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</si>
  <si>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</si>
  <si>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</si>
  <si>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</si>
  <si>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</si>
  <si>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</si>
  <si>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</si>
  <si>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</si>
  <si>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</si>
  <si>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</si>
  <si>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</si>
  <si>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</si>
  <si>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</si>
  <si>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</si>
  <si>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</si>
  <si>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</si>
  <si>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</si>
  <si>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</si>
  <si>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</si>
  <si>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</si>
  <si>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</si>
  <si>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</si>
  <si>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</si>
  <si>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</si>
  <si>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</si>
  <si>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</si>
  <si>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</si>
  <si>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</si>
  <si>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</si>
  <si>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</si>
  <si>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</si>
  <si>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</si>
  <si>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</si>
  <si>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</si>
  <si>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</si>
  <si>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Investment in group cos</t>
  </si>
  <si>
    <t>Redemp n Canc of Shares</t>
  </si>
  <si>
    <t>Acquisition of companies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</si>
  <si>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</si>
  <si>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</si>
  <si>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</si>
  <si>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</si>
  <si>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</si>
  <si>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</si>
  <si>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</si>
  <si>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</si>
  <si>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</si>
  <si>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</si>
  <si>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</si>
  <si>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</si>
  <si>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Proceeds from debentures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</si>
  <si>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</si>
  <si>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</si>
  <si>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</si>
  <si>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</si>
  <si>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</si>
  <si>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</si>
  <si>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</si>
  <si>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</si>
  <si>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</si>
  <si>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</si>
  <si>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</si>
  <si>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</si>
  <si>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Inventory Turnover</t>
  </si>
  <si>
    <t>Fixed Asset Turnover</t>
  </si>
  <si>
    <t>Debtor Days</t>
  </si>
  <si>
    <t>Payable Days</t>
  </si>
  <si>
    <t>Inventory Days</t>
  </si>
  <si>
    <t>Cash Conversion Cycle (in days)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</si>
  <si>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</si>
  <si>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</si>
  <si>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</si>
  <si>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</si>
  <si>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</si>
  <si>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</si>
  <si>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</si>
  <si>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</si>
  <si>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</si>
  <si>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</si>
  <si>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</si>
  <si>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</si>
  <si>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</si>
  <si>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</si>
  <si>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</si>
  <si>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Ships Vessels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</si>
  <si>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</si>
  <si>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</si>
  <si>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</si>
  <si>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</si>
  <si>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</si>
  <si>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</si>
  <si>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</si>
  <si>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</si>
  <si>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</si>
  <si>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</si>
  <si>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</si>
  <si>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</si>
  <si>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</si>
  <si>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Short term loans</t>
  </si>
  <si>
    <t>Other asset items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</si>
  <si>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</si>
  <si>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</si>
  <si>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</si>
  <si>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</si>
  <si>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</si>
  <si>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</si>
  <si>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</si>
  <si>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</si>
  <si>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</si>
  <si>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</si>
  <si>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Other operating items</t>
  </si>
  <si>
    <t>Exceptional CF items</t>
  </si>
  <si>
    <t xml:space="preserve">  (GODREJCP | BSE Code: 532424)</t>
  </si>
  <si>
    <t>Debt To Equity</t>
  </si>
  <si>
    <t>Debt To Asset</t>
  </si>
  <si>
    <t>Debt to Capital</t>
  </si>
  <si>
    <t>Current Ratio</t>
  </si>
  <si>
    <t>Quick Ratio</t>
  </si>
  <si>
    <t>Cash Ratio</t>
  </si>
  <si>
    <t>ROIC - GODREJ CONSUMER PRODUCTS LTD</t>
  </si>
  <si>
    <t>Liquidity Ratio</t>
  </si>
  <si>
    <t>Solvency Ratio</t>
  </si>
  <si>
    <t>Activity Ratio</t>
  </si>
  <si>
    <t>Profitability Ratio</t>
  </si>
  <si>
    <t>Gross Profit Margin</t>
  </si>
  <si>
    <t>AR Turnover Ratio</t>
  </si>
  <si>
    <t>Growth Ratio</t>
  </si>
  <si>
    <t>Cash Conversion Cycle</t>
  </si>
  <si>
    <t>Weighted Average Cost of Capital- GODREJ CONSUMER PRODUCTS LTD</t>
  </si>
  <si>
    <t>All figures are in INR unless stated otherwise.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</si>
  <si>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</si>
  <si>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</si>
  <si>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</si>
  <si>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</si>
  <si>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</si>
  <si>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</si>
  <si>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</si>
  <si>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</si>
  <si>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r>
      <t xml:space="preserve">Tax Rate </t>
    </r>
    <r>
      <rPr>
        <b/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</si>
  <si>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</si>
  <si>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</si>
  <si>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</si>
  <si>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3</t>
    </r>
  </si>
  <si>
    <t>Godrej Consumer</t>
  </si>
  <si>
    <t>India</t>
  </si>
  <si>
    <t>Dabur India</t>
  </si>
  <si>
    <t>Emami</t>
  </si>
  <si>
    <t>Jyothy Labs</t>
  </si>
  <si>
    <t>Bajaj Consumer</t>
  </si>
  <si>
    <t>Average</t>
  </si>
  <si>
    <t>Cost of Debt</t>
  </si>
  <si>
    <t>Cost of Equity</t>
  </si>
  <si>
    <t>Pre-tax Cost of Debt</t>
  </si>
  <si>
    <t>Risk Free Rate</t>
  </si>
  <si>
    <t>Tax Rate</t>
  </si>
  <si>
    <t>Equity Risk Premium</t>
  </si>
  <si>
    <t>After Tax Cost of Debt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</si>
  <si>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</si>
  <si>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</si>
  <si>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 xml:space="preserve">Levered Beta </t>
  </si>
  <si>
    <t>Current</t>
  </si>
  <si>
    <t>Target</t>
  </si>
  <si>
    <t>Comps Median Unlevered Beta</t>
  </si>
  <si>
    <t xml:space="preserve">Target Debt/ Equity  </t>
  </si>
  <si>
    <t>Total Capitalization</t>
  </si>
  <si>
    <t>Levered Beta</t>
  </si>
  <si>
    <t>Debt / Equity</t>
  </si>
  <si>
    <t>Weighted Average Cost of Capital</t>
  </si>
  <si>
    <t>Equity Weight</t>
  </si>
  <si>
    <t>Debt Weight</t>
  </si>
  <si>
    <t>WACC</t>
  </si>
  <si>
    <t>Beta Regression - GODREJ CONSUMER PRODUCTS LTD</t>
  </si>
  <si>
    <t>Regression Beta - 1 Year Weekly</t>
  </si>
  <si>
    <t>Godrej Consumer Products Weekly Returns</t>
  </si>
  <si>
    <t>NIFTY Returns</t>
  </si>
  <si>
    <t>Beta Drifting</t>
  </si>
  <si>
    <t>Date</t>
  </si>
  <si>
    <t>Closing Price</t>
  </si>
  <si>
    <t>Return</t>
  </si>
  <si>
    <t>Levered Raw Beta</t>
  </si>
  <si>
    <t>Raw Beta Weight</t>
  </si>
  <si>
    <t xml:space="preserve">Market Beta 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</si>
  <si>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</si>
  <si>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</si>
  <si>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</si>
  <si>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</si>
  <si>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</si>
  <si>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</si>
  <si>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</si>
  <si>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</si>
  <si>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</si>
  <si>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</si>
  <si>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</si>
  <si>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</si>
  <si>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</si>
  <si>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</si>
  <si>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</si>
  <si>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</si>
  <si>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</si>
  <si>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</si>
  <si>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</si>
  <si>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</si>
  <si>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</si>
  <si>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</si>
  <si>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</si>
  <si>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</si>
  <si>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</si>
  <si>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</si>
  <si>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Discounted Cash Flow - GODREJ CONSUMER PRODUCTS LTD</t>
  </si>
  <si>
    <t>Calculation of PV of FCFF</t>
  </si>
  <si>
    <t>Free Cash Flow to Firm</t>
  </si>
  <si>
    <t>Discounting Factor</t>
  </si>
  <si>
    <t>PV of FCFF</t>
  </si>
  <si>
    <t>Terminal Growth</t>
  </si>
  <si>
    <t>Calculation of Terminal Value</t>
  </si>
  <si>
    <t>Sensitivity Analysis</t>
  </si>
  <si>
    <t>FCFF (n+1)</t>
  </si>
  <si>
    <t>Terminal Growth Rate</t>
  </si>
  <si>
    <t>Terminal Value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</si>
  <si>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</si>
  <si>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</si>
  <si>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</si>
  <si>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</si>
  <si>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</si>
  <si>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</si>
  <si>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</si>
  <si>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</si>
  <si>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 xml:space="preserve">EBIT </t>
  </si>
  <si>
    <t>NOPAT</t>
  </si>
  <si>
    <t>Add: Depreciation</t>
  </si>
  <si>
    <t>Forecasting - GODREJ CONSUMER PRODUCTS LTD</t>
  </si>
  <si>
    <t>Year Weight</t>
  </si>
  <si>
    <t>Year</t>
  </si>
  <si>
    <t>EPS</t>
  </si>
  <si>
    <t>EPS Growth</t>
  </si>
  <si>
    <t>Average Depreciation % Sales</t>
  </si>
  <si>
    <t>Less: Addition in WC</t>
  </si>
  <si>
    <t>Less: Capital Expenditure</t>
  </si>
  <si>
    <t>Capital Cash Flow - GODREJ CONSUMER PRODUCTS LTD</t>
  </si>
  <si>
    <t>Calculation of PV of CCF</t>
  </si>
  <si>
    <t xml:space="preserve">Interest Expenses </t>
  </si>
  <si>
    <t>Interest Shield</t>
  </si>
  <si>
    <t>Capital Cash Flow to Firm</t>
  </si>
  <si>
    <t>PV of CCF</t>
  </si>
  <si>
    <t>Assumptions</t>
  </si>
  <si>
    <t>Beta 1</t>
  </si>
  <si>
    <t xml:space="preserve">Beta 2 </t>
  </si>
  <si>
    <t>Beta 3</t>
  </si>
  <si>
    <t>CCF (n+1)</t>
  </si>
  <si>
    <t>Working Capital % Sales Ratio</t>
  </si>
  <si>
    <t>CapEx % Sales Ratio</t>
  </si>
  <si>
    <t>Interest % Sales Ratio</t>
  </si>
  <si>
    <t>2. Levered Beta = Unlevered Beta*(1+(1-Tax Rate) x Debt/Equity)</t>
  </si>
  <si>
    <t>1. Unlevered Beta = Levered Beta/(1+(1-Tax Rate) x Debt/Equity)</t>
  </si>
  <si>
    <t>Interest Payments</t>
  </si>
  <si>
    <t>Interest Rate</t>
  </si>
  <si>
    <t>Average Interest Rate</t>
  </si>
  <si>
    <t>Pre Tax Profit</t>
  </si>
  <si>
    <t>Net Income</t>
  </si>
  <si>
    <t>Net Borrowing</t>
  </si>
  <si>
    <t>PV of FCFE</t>
  </si>
  <si>
    <t>Equity Cash Flow - GODREJ CONSUMER PRODUCTS LTD</t>
  </si>
  <si>
    <t>Free Cash Flow to Equity</t>
  </si>
  <si>
    <t>FCFE (n+1)</t>
  </si>
  <si>
    <t>Financial Summary</t>
  </si>
  <si>
    <t>Return on Equity (ROE)</t>
  </si>
  <si>
    <t>Average Shareholder Equity</t>
  </si>
  <si>
    <t>Return on Equity</t>
  </si>
  <si>
    <t>ROE - Dupont Equation</t>
  </si>
  <si>
    <t>Revenue</t>
  </si>
  <si>
    <t>Net Profit Margin (A)</t>
  </si>
  <si>
    <t>Average Total Asset</t>
  </si>
  <si>
    <t>Asset Turnover Ratio (B)</t>
  </si>
  <si>
    <t>Equity Multiplier (C)</t>
  </si>
  <si>
    <t>Return on Equity (A*B*C)</t>
  </si>
  <si>
    <t>Return on Asset</t>
  </si>
  <si>
    <t>ROA - Dupont Equation</t>
  </si>
  <si>
    <t>Return on Asset (A*B)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</si>
</sst>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&quot;₹&quot;\ #,##0.00"/>
    <numFmt numFmtId="168" formatCode="0.00&quot;x&quot;"/>
    <numFmt numFmtId="169" formatCode="#,##0.0;\(#,##0.0\);\-"/>
    <numFmt numFmtId="170" formatCode="#,##0.0"/>
    <numFmt numFmtId="171" formatCode="0.0"/>
    <numFmt numFmtId="172" formatCode="yyyy&quot;A&quot;"/>
    <numFmt numFmtId="173" formatCode="yyyy&quot;E&quot;"/>
    <numFmt numFmtId="174" formatCode="0.0\x"/>
    <numFmt numFmtId="175" formatCode="0.00\x"/>
    <numFmt numFmtId="176" formatCode="mmm\-yy&quot;E&quot;"/>
  </numFmts>
  <fonts count="3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theme="1"/>
      <name val="calibri"/>
      <family val="2"/>
    </font>
    <font>
      <sz val="11"/>
      <color theme="0"/>
      <name val="calibri"/>
      <family val="2"/>
    </font>
    <font>
      <b/>
      <sz val="2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u/>
      <sz val="16"/>
      <color theme="0"/>
      <name val="calibri"/>
      <family val="2"/>
    </font>
    <font>
      <b/>
      <sz val="12"/>
      <color rgb="FFB50C59"/>
      <name val="calibri"/>
      <family val="2"/>
    </font>
    <font>
      <b/>
      <sz val="20"/>
      <color theme="1"/>
      <name val="calibri"/>
      <family val="2"/>
    </font>
    <font>
      <i/>
      <sz val="10"/>
      <color theme="1"/>
      <name val="calibri"/>
      <family val="2"/>
    </font>
    <font>
      <b/>
      <sz val="14"/>
      <color rgb="FFB50C59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rgb="FFB50C59"/>
      <name val="calibri"/>
      <family val="2"/>
    </font>
    <font>
      <vertAlign val="superscript"/>
      <sz val="11"/>
      <color theme="1"/>
      <name val="Calibri"/>
      <family val="2"/>
    </font>
    <font>
      <i/>
      <sz val="9"/>
      <color theme="1"/>
      <name val="calibri"/>
      <family val="2"/>
    </font>
    <font>
      <b/>
      <i/>
      <sz val="11"/>
      <color theme="0" tint="-0.499984740745262"/>
      <name val="calibri"/>
      <family val="2"/>
    </font>
    <font>
      <b/>
      <sz val="22"/>
      <color rgb="FFB50C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B50C59"/>
        <bgColor indexed="64"/>
      </patternFill>
    </fill>
    <fill>
      <patternFill patternType="solid">
        <fgColor rgb="FFF0CE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B7CF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rgb="FFB50C59"/>
      </top>
      <bottom style="thin">
        <color rgb="FFB50C59"/>
      </bottom>
      <diagonal/>
    </border>
    <border>
      <left/>
      <right style="thin">
        <color rgb="FFB50C59"/>
      </right>
      <top/>
      <bottom/>
      <diagonal/>
    </border>
    <border>
      <left/>
      <right style="thin">
        <color rgb="FFB50C59"/>
      </right>
      <top/>
      <bottom style="hair">
        <color theme="8" tint="-0.499984740745262"/>
      </bottom>
      <diagonal/>
    </border>
    <border>
      <left/>
      <right style="thin">
        <color rgb="FFB50C59"/>
      </right>
      <top style="hair">
        <color theme="8" tint="-0.499984740745262"/>
      </top>
      <bottom/>
      <diagonal/>
    </border>
    <border>
      <left/>
      <right style="thin">
        <color rgb="FFB50C59"/>
      </right>
      <top style="hair">
        <color rgb="FFB50C59"/>
      </top>
      <bottom/>
      <diagonal/>
    </border>
    <border>
      <left style="thin">
        <color rgb="FFB50C59"/>
      </left>
      <right/>
      <top style="hair">
        <color rgb="FFB50C59"/>
      </top>
      <bottom/>
      <diagonal/>
    </border>
    <border>
      <left/>
      <right/>
      <top style="hair">
        <color rgb="FFB50C59"/>
      </top>
      <bottom/>
      <diagonal/>
    </border>
    <border>
      <left style="thin">
        <color rgb="FFB50C59"/>
      </left>
      <right/>
      <top/>
      <bottom/>
      <diagonal/>
    </border>
    <border>
      <left style="thin">
        <color rgb="FFB50C59"/>
      </left>
      <right/>
      <top/>
      <bottom style="hair">
        <color rgb="FFB50C59"/>
      </bottom>
      <diagonal/>
    </border>
    <border>
      <left/>
      <right/>
      <top/>
      <bottom style="hair">
        <color rgb="FFB50C59"/>
      </bottom>
      <diagonal/>
    </border>
    <border>
      <left/>
      <right/>
      <top/>
      <bottom style="thin">
        <color rgb="FFB50C59"/>
      </bottom>
      <diagonal/>
    </border>
    <border>
      <left/>
      <right/>
      <top style="hair">
        <color rgb="FFB50C59"/>
      </top>
      <bottom style="hair">
        <color rgb="FFB50C59"/>
      </bottom>
      <diagonal/>
    </border>
    <border>
      <left/>
      <right/>
      <top style="thin">
        <color rgb="FFB50C59"/>
      </top>
      <bottom style="medium">
        <color rgb="FFB50C59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hair">
        <color rgb="FFB50C59"/>
      </top>
      <bottom style="thin">
        <color rgb="FFB50C59"/>
      </bottom>
      <diagonal/>
    </border>
    <border>
      <left/>
      <right/>
      <top style="thin">
        <color rgb="FFB50C59"/>
      </top>
      <bottom/>
      <diagonal/>
    </border>
    <border>
      <left/>
      <right/>
      <top style="thick">
        <color rgb="FFB50C59"/>
      </top>
      <bottom/>
      <diagonal/>
    </border>
    <border>
      <left/>
      <right/>
      <top/>
      <bottom style="thick">
        <color rgb="FFB50C59"/>
      </bottom>
      <diagonal/>
    </border>
    <border>
      <left/>
      <right style="thin">
        <color rgb="FFB50C59"/>
      </right>
      <top/>
      <bottom style="hair">
        <color rgb="FFB50C59"/>
      </bottom>
      <diagonal/>
    </border>
    <border>
      <left/>
      <right/>
      <top style="hair">
        <color theme="8" tint="-0.499984740745262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0" fillId="2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3" fillId="0" borderId="0"/>
    <xf numFmtId="0" fontId="1" fillId="0" borderId="0"/>
  </cellStyleXfs>
  <cellXfs count="203">
    <xf numFmtId="0" fontId="0" fillId="0" borderId="0" xfId="0"/>
    <xf numFmtId="43" fontId="7" fillId="0" borderId="0" xfId="2" applyFont="1" applyBorder="1"/>
    <xf numFmtId="43" fontId="9" fillId="0" borderId="0" xfId="2" applyFont="1" applyBorder="1"/>
    <xf numFmtId="0" fontId="9" fillId="0" borderId="0" xfId="5" applyFont="1"/>
    <xf numFmtId="165" fontId="11" fillId="3" borderId="0" xfId="2" applyNumberFormat="1" applyFont="1" applyFill="1" applyBorder="1"/>
    <xf numFmtId="165" fontId="11" fillId="3" borderId="0" xfId="5" applyNumberFormat="1" applyFont="1" applyFill="1" applyAlignment="1">
      <alignment horizontal="center"/>
    </xf>
    <xf numFmtId="165" fontId="12" fillId="0" borderId="0" xfId="2" applyNumberFormat="1" applyFont="1" applyFill="1" applyBorder="1"/>
    <xf numFmtId="0" fontId="6" fillId="0" borderId="0" xfId="5"/>
    <xf numFmtId="9" fontId="9" fillId="0" borderId="0" xfId="6" applyFont="1" applyBorder="1"/>
    <xf numFmtId="0" fontId="13" fillId="0" borderId="0" xfId="7"/>
    <xf numFmtId="164" fontId="9" fillId="0" borderId="0" xfId="2" applyNumberFormat="1" applyFont="1" applyBorder="1"/>
    <xf numFmtId="17" fontId="0" fillId="0" borderId="0" xfId="0" applyNumberFormat="1"/>
    <xf numFmtId="0" fontId="4" fillId="0" borderId="0" xfId="0" applyFont="1"/>
    <xf numFmtId="166" fontId="0" fillId="0" borderId="0" xfId="0" applyNumberForma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10" fontId="15" fillId="0" borderId="0" xfId="1" applyNumberFormat="1" applyFont="1"/>
    <xf numFmtId="167" fontId="0" fillId="0" borderId="0" xfId="0" applyNumberFormat="1"/>
    <xf numFmtId="0" fontId="3" fillId="0" borderId="0" xfId="0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17" fillId="4" borderId="0" xfId="0" applyFont="1" applyFill="1"/>
    <xf numFmtId="17" fontId="17" fillId="4" borderId="0" xfId="0" applyNumberFormat="1" applyFont="1" applyFill="1"/>
    <xf numFmtId="0" fontId="4" fillId="5" borderId="1" xfId="0" applyFont="1" applyFill="1" applyBorder="1"/>
    <xf numFmtId="167" fontId="4" fillId="5" borderId="1" xfId="0" applyNumberFormat="1" applyFont="1" applyFill="1" applyBorder="1"/>
    <xf numFmtId="166" fontId="4" fillId="5" borderId="1" xfId="0" applyNumberFormat="1" applyFont="1" applyFill="1" applyBorder="1"/>
    <xf numFmtId="10" fontId="4" fillId="5" borderId="1" xfId="1" applyNumberFormat="1" applyFont="1" applyFill="1" applyBorder="1"/>
    <xf numFmtId="10" fontId="0" fillId="0" borderId="0" xfId="1" applyNumberFormat="1" applyFont="1" applyBorder="1"/>
    <xf numFmtId="10" fontId="0" fillId="0" borderId="0" xfId="1" applyNumberFormat="1" applyFont="1"/>
    <xf numFmtId="0" fontId="3" fillId="4" borderId="0" xfId="0" applyFont="1" applyFill="1"/>
    <xf numFmtId="17" fontId="3" fillId="4" borderId="0" xfId="0" applyNumberFormat="1" applyFont="1" applyFill="1"/>
    <xf numFmtId="17" fontId="3" fillId="4" borderId="0" xfId="0" applyNumberFormat="1" applyFont="1" applyFill="1" applyAlignment="1">
      <alignment horizontal="center"/>
    </xf>
    <xf numFmtId="17" fontId="3" fillId="4" borderId="0" xfId="0" applyNumberFormat="1" applyFont="1" applyFill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right"/>
    </xf>
    <xf numFmtId="10" fontId="0" fillId="0" borderId="7" xfId="1" applyNumberFormat="1" applyFont="1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10" fontId="0" fillId="0" borderId="10" xfId="1" applyNumberFormat="1" applyFont="1" applyBorder="1"/>
    <xf numFmtId="0" fontId="0" fillId="0" borderId="10" xfId="0" applyBorder="1"/>
    <xf numFmtId="10" fontId="0" fillId="0" borderId="8" xfId="1" applyNumberFormat="1" applyFont="1" applyBorder="1"/>
    <xf numFmtId="10" fontId="0" fillId="0" borderId="9" xfId="1" applyNumberFormat="1" applyFont="1" applyBorder="1"/>
    <xf numFmtId="168" fontId="0" fillId="0" borderId="10" xfId="0" applyNumberFormat="1" applyBorder="1"/>
    <xf numFmtId="168" fontId="0" fillId="0" borderId="7" xfId="0" applyNumberFormat="1" applyBorder="1"/>
    <xf numFmtId="168" fontId="0" fillId="0" borderId="0" xfId="0" applyNumberFormat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0" xfId="0" applyNumberFormat="1"/>
    <xf numFmtId="1" fontId="0" fillId="0" borderId="9" xfId="0" applyNumberFormat="1" applyBorder="1"/>
    <xf numFmtId="1" fontId="0" fillId="0" borderId="10" xfId="0" applyNumberFormat="1" applyBorder="1"/>
    <xf numFmtId="0" fontId="3" fillId="6" borderId="0" xfId="0" applyFont="1" applyFill="1"/>
    <xf numFmtId="0" fontId="0" fillId="0" borderId="12" xfId="0" applyBorder="1"/>
    <xf numFmtId="17" fontId="3" fillId="6" borderId="0" xfId="0" applyNumberFormat="1" applyFont="1" applyFill="1"/>
    <xf numFmtId="169" fontId="0" fillId="0" borderId="15" xfId="0" applyNumberFormat="1" applyBorder="1"/>
    <xf numFmtId="169" fontId="0" fillId="0" borderId="0" xfId="0" applyNumberFormat="1"/>
    <xf numFmtId="0" fontId="4" fillId="0" borderId="16" xfId="0" applyFont="1" applyBorder="1"/>
    <xf numFmtId="169" fontId="4" fillId="0" borderId="0" xfId="0" applyNumberFormat="1" applyFont="1"/>
    <xf numFmtId="0" fontId="4" fillId="0" borderId="14" xfId="0" applyFont="1" applyBorder="1"/>
    <xf numFmtId="169" fontId="0" fillId="0" borderId="14" xfId="0" applyNumberFormat="1" applyBorder="1"/>
    <xf numFmtId="169" fontId="0" fillId="0" borderId="17" xfId="0" applyNumberFormat="1" applyBorder="1"/>
    <xf numFmtId="169" fontId="4" fillId="0" borderId="16" xfId="0" applyNumberFormat="1" applyFont="1" applyBorder="1"/>
    <xf numFmtId="0" fontId="19" fillId="4" borderId="0" xfId="0" applyFont="1" applyFill="1"/>
    <xf numFmtId="169" fontId="0" fillId="0" borderId="12" xfId="0" applyNumberFormat="1" applyBorder="1"/>
    <xf numFmtId="0" fontId="0" fillId="0" borderId="18" xfId="0" applyBorder="1"/>
    <xf numFmtId="169" fontId="0" fillId="0" borderId="18" xfId="0" applyNumberFormat="1" applyBorder="1"/>
    <xf numFmtId="0" fontId="4" fillId="0" borderId="13" xfId="0" applyFont="1" applyBorder="1"/>
    <xf numFmtId="169" fontId="4" fillId="0" borderId="13" xfId="0" applyNumberFormat="1" applyFont="1" applyBorder="1"/>
    <xf numFmtId="0" fontId="4" fillId="0" borderId="10" xfId="0" applyFont="1" applyBorder="1"/>
    <xf numFmtId="169" fontId="0" fillId="0" borderId="10" xfId="0" applyNumberFormat="1" applyBorder="1"/>
    <xf numFmtId="0" fontId="4" fillId="0" borderId="19" xfId="0" applyFont="1" applyBorder="1"/>
    <xf numFmtId="0" fontId="0" fillId="0" borderId="19" xfId="0" applyBorder="1"/>
    <xf numFmtId="169" fontId="4" fillId="0" borderId="19" xfId="0" applyNumberFormat="1" applyFont="1" applyBorder="1"/>
    <xf numFmtId="0" fontId="0" fillId="0" borderId="11" xfId="0" applyBorder="1"/>
    <xf numFmtId="169" fontId="0" fillId="0" borderId="11" xfId="0" applyNumberFormat="1" applyBorder="1"/>
    <xf numFmtId="0" fontId="0" fillId="0" borderId="13" xfId="0" applyBorder="1"/>
    <xf numFmtId="10" fontId="4" fillId="0" borderId="13" xfId="1" applyNumberFormat="1" applyFont="1" applyBorder="1"/>
    <xf numFmtId="0" fontId="0" fillId="8" borderId="20" xfId="0" applyFill="1" applyBorder="1"/>
    <xf numFmtId="0" fontId="0" fillId="8" borderId="21" xfId="0" applyFill="1" applyBorder="1"/>
    <xf numFmtId="0" fontId="0" fillId="7" borderId="0" xfId="0" applyFill="1"/>
    <xf numFmtId="0" fontId="23" fillId="7" borderId="0" xfId="0" applyFont="1" applyFill="1"/>
    <xf numFmtId="0" fontId="22" fillId="7" borderId="0" xfId="0" applyFont="1" applyFill="1" applyAlignment="1">
      <alignment horizontal="left"/>
    </xf>
    <xf numFmtId="2" fontId="0" fillId="0" borderId="10" xfId="1" applyNumberFormat="1" applyFont="1" applyBorder="1"/>
    <xf numFmtId="0" fontId="24" fillId="7" borderId="0" xfId="0" applyFont="1" applyFill="1"/>
    <xf numFmtId="2" fontId="0" fillId="0" borderId="7" xfId="0" applyNumberFormat="1" applyBorder="1"/>
    <xf numFmtId="2" fontId="0" fillId="0" borderId="0" xfId="0" applyNumberFormat="1"/>
    <xf numFmtId="2" fontId="0" fillId="0" borderId="10" xfId="0" applyNumberFormat="1" applyBorder="1"/>
    <xf numFmtId="2" fontId="0" fillId="0" borderId="7" xfId="1" applyNumberFormat="1" applyFont="1" applyBorder="1"/>
    <xf numFmtId="2" fontId="0" fillId="0" borderId="0" xfId="1" applyNumberFormat="1" applyFont="1" applyBorder="1"/>
    <xf numFmtId="0" fontId="0" fillId="7" borderId="2" xfId="0" applyFill="1" applyBorder="1"/>
    <xf numFmtId="0" fontId="3" fillId="7" borderId="0" xfId="0" applyFont="1" applyFill="1"/>
    <xf numFmtId="17" fontId="3" fillId="7" borderId="0" xfId="0" applyNumberFormat="1" applyFont="1" applyFill="1"/>
    <xf numFmtId="17" fontId="3" fillId="7" borderId="0" xfId="0" applyNumberFormat="1" applyFont="1" applyFill="1" applyAlignment="1">
      <alignment horizontal="center"/>
    </xf>
    <xf numFmtId="17" fontId="3" fillId="7" borderId="0" xfId="0" applyNumberFormat="1" applyFont="1" applyFill="1" applyAlignment="1">
      <alignment horizontal="right"/>
    </xf>
    <xf numFmtId="0" fontId="0" fillId="7" borderId="4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22" xfId="0" applyFill="1" applyBorder="1"/>
    <xf numFmtId="0" fontId="0" fillId="0" borderId="22" xfId="0" applyBorder="1"/>
    <xf numFmtId="0" fontId="24" fillId="7" borderId="10" xfId="0" applyFont="1" applyFill="1" applyBorder="1"/>
    <xf numFmtId="0" fontId="0" fillId="0" borderId="0" xfId="0" applyAlignment="1">
      <alignment horizontal="right"/>
    </xf>
    <xf numFmtId="0" fontId="0" fillId="0" borderId="23" xfId="0" applyBorder="1"/>
    <xf numFmtId="0" fontId="26" fillId="0" borderId="0" xfId="0" applyFont="1"/>
    <xf numFmtId="0" fontId="4" fillId="0" borderId="14" xfId="0" applyFont="1" applyBorder="1" applyAlignment="1">
      <alignment horizontal="right"/>
    </xf>
    <xf numFmtId="0" fontId="4" fillId="0" borderId="24" xfId="0" applyFont="1" applyBorder="1" applyAlignment="1">
      <alignment vertical="top"/>
    </xf>
    <xf numFmtId="0" fontId="4" fillId="0" borderId="24" xfId="0" applyFont="1" applyBorder="1" applyAlignment="1">
      <alignment horizontal="right" vertical="top"/>
    </xf>
    <xf numFmtId="0" fontId="0" fillId="0" borderId="0" xfId="0" applyAlignment="1">
      <alignment vertical="top"/>
    </xf>
    <xf numFmtId="170" fontId="29" fillId="0" borderId="0" xfId="0" applyNumberFormat="1" applyFont="1"/>
    <xf numFmtId="0" fontId="29" fillId="0" borderId="0" xfId="0" applyFont="1"/>
    <xf numFmtId="10" fontId="29" fillId="0" borderId="0" xfId="0" applyNumberFormat="1" applyFont="1" applyAlignment="1">
      <alignment vertical="top"/>
    </xf>
    <xf numFmtId="10" fontId="0" fillId="5" borderId="0" xfId="1" applyNumberFormat="1" applyFont="1" applyFill="1" applyAlignment="1"/>
    <xf numFmtId="2" fontId="29" fillId="0" borderId="0" xfId="0" applyNumberFormat="1" applyFont="1"/>
    <xf numFmtId="2" fontId="0" fillId="5" borderId="0" xfId="0" applyNumberFormat="1" applyFill="1"/>
    <xf numFmtId="10" fontId="0" fillId="0" borderId="0" xfId="0" applyNumberFormat="1"/>
    <xf numFmtId="0" fontId="4" fillId="0" borderId="25" xfId="0" applyFont="1" applyBorder="1"/>
    <xf numFmtId="10" fontId="0" fillId="0" borderId="25" xfId="1" applyNumberFormat="1" applyFont="1" applyBorder="1"/>
    <xf numFmtId="2" fontId="0" fillId="0" borderId="25" xfId="0" applyNumberFormat="1" applyBorder="1"/>
    <xf numFmtId="0" fontId="4" fillId="0" borderId="26" xfId="0" applyFont="1" applyBorder="1"/>
    <xf numFmtId="10" fontId="0" fillId="0" borderId="26" xfId="1" applyNumberFormat="1" applyFont="1" applyBorder="1"/>
    <xf numFmtId="2" fontId="0" fillId="0" borderId="26" xfId="0" applyNumberFormat="1" applyBorder="1"/>
    <xf numFmtId="10" fontId="29" fillId="0" borderId="0" xfId="1" applyNumberFormat="1" applyFont="1"/>
    <xf numFmtId="10" fontId="29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27" xfId="0" applyBorder="1"/>
    <xf numFmtId="10" fontId="0" fillId="5" borderId="27" xfId="1" applyNumberFormat="1" applyFont="1" applyFill="1" applyBorder="1"/>
    <xf numFmtId="2" fontId="0" fillId="5" borderId="0" xfId="0" applyNumberFormat="1" applyFill="1" applyAlignment="1">
      <alignment horizontal="right"/>
    </xf>
    <xf numFmtId="10" fontId="0" fillId="5" borderId="27" xfId="0" applyNumberFormat="1" applyFill="1" applyBorder="1"/>
    <xf numFmtId="0" fontId="4" fillId="0" borderId="26" xfId="0" applyFont="1" applyBorder="1" applyAlignment="1">
      <alignment horizontal="right"/>
    </xf>
    <xf numFmtId="10" fontId="29" fillId="0" borderId="0" xfId="0" applyNumberFormat="1" applyFont="1"/>
    <xf numFmtId="10" fontId="0" fillId="0" borderId="27" xfId="1" applyNumberFormat="1" applyFont="1" applyBorder="1"/>
    <xf numFmtId="10" fontId="0" fillId="0" borderId="27" xfId="0" applyNumberFormat="1" applyBorder="1"/>
    <xf numFmtId="2" fontId="0" fillId="0" borderId="27" xfId="0" applyNumberFormat="1" applyBorder="1"/>
    <xf numFmtId="10" fontId="0" fillId="5" borderId="0" xfId="0" applyNumberFormat="1" applyFill="1"/>
    <xf numFmtId="0" fontId="31" fillId="0" borderId="0" xfId="0" applyFont="1"/>
    <xf numFmtId="10" fontId="0" fillId="0" borderId="0" xfId="1" applyNumberFormat="1" applyFont="1" applyFill="1" applyBorder="1"/>
    <xf numFmtId="0" fontId="4" fillId="5" borderId="0" xfId="0" applyFont="1" applyFill="1"/>
    <xf numFmtId="10" fontId="4" fillId="5" borderId="0" xfId="0" applyNumberFormat="1" applyFont="1" applyFill="1"/>
    <xf numFmtId="0" fontId="18" fillId="7" borderId="0" xfId="0" applyFont="1" applyFill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1" xfId="0" applyFont="1" applyBorder="1" applyAlignment="1">
      <alignment horizontal="righ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170" fontId="0" fillId="0" borderId="0" xfId="0" applyNumberFormat="1"/>
    <xf numFmtId="10" fontId="0" fillId="0" borderId="0" xfId="1" applyNumberFormat="1" applyFont="1" applyFill="1"/>
    <xf numFmtId="10" fontId="0" fillId="0" borderId="12" xfId="0" applyNumberFormat="1" applyBorder="1"/>
    <xf numFmtId="2" fontId="0" fillId="0" borderId="12" xfId="0" applyNumberFormat="1" applyBorder="1"/>
    <xf numFmtId="0" fontId="4" fillId="5" borderId="13" xfId="0" applyFont="1" applyFill="1" applyBorder="1"/>
    <xf numFmtId="2" fontId="4" fillId="5" borderId="13" xfId="0" applyNumberFormat="1" applyFont="1" applyFill="1" applyBorder="1"/>
    <xf numFmtId="0" fontId="14" fillId="0" borderId="28" xfId="0" applyFont="1" applyBorder="1" applyAlignment="1">
      <alignment horizontal="centerContinuous"/>
    </xf>
    <xf numFmtId="0" fontId="0" fillId="0" borderId="29" xfId="0" applyBorder="1"/>
    <xf numFmtId="0" fontId="14" fillId="0" borderId="28" xfId="0" applyFont="1" applyBorder="1" applyAlignment="1">
      <alignment horizontal="center"/>
    </xf>
    <xf numFmtId="0" fontId="19" fillId="0" borderId="0" xfId="0" applyFont="1"/>
    <xf numFmtId="43" fontId="0" fillId="0" borderId="0" xfId="0" applyNumberFormat="1"/>
    <xf numFmtId="43" fontId="4" fillId="0" borderId="13" xfId="0" applyNumberFormat="1" applyFont="1" applyBorder="1"/>
    <xf numFmtId="0" fontId="0" fillId="5" borderId="0" xfId="0" applyFill="1"/>
    <xf numFmtId="43" fontId="3" fillId="0" borderId="0" xfId="0" applyNumberFormat="1" applyFont="1" applyAlignment="1">
      <alignment horizontal="left"/>
    </xf>
    <xf numFmtId="10" fontId="4" fillId="0" borderId="0" xfId="0" applyNumberFormat="1" applyFont="1"/>
    <xf numFmtId="170" fontId="0" fillId="5" borderId="0" xfId="0" applyNumberFormat="1" applyFill="1"/>
    <xf numFmtId="2" fontId="4" fillId="0" borderId="13" xfId="0" applyNumberFormat="1" applyFont="1" applyBorder="1"/>
    <xf numFmtId="171" fontId="0" fillId="0" borderId="0" xfId="0" applyNumberFormat="1"/>
    <xf numFmtId="43" fontId="4" fillId="0" borderId="0" xfId="0" applyNumberFormat="1" applyFont="1"/>
    <xf numFmtId="2" fontId="3" fillId="0" borderId="0" xfId="0" applyNumberFormat="1" applyFont="1"/>
    <xf numFmtId="0" fontId="19" fillId="7" borderId="0" xfId="0" applyFont="1" applyFill="1"/>
    <xf numFmtId="0" fontId="3" fillId="4" borderId="0" xfId="0" applyFont="1" applyFill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right"/>
    </xf>
    <xf numFmtId="4" fontId="0" fillId="0" borderId="0" xfId="0" applyNumberFormat="1"/>
    <xf numFmtId="0" fontId="0" fillId="5" borderId="0" xfId="0" applyFill="1" applyAlignment="1">
      <alignment horizontal="left"/>
    </xf>
    <xf numFmtId="173" fontId="0" fillId="5" borderId="0" xfId="0" applyNumberFormat="1" applyFill="1" applyAlignment="1">
      <alignment horizontal="right"/>
    </xf>
    <xf numFmtId="10" fontId="0" fillId="5" borderId="0" xfId="1" applyNumberFormat="1" applyFont="1" applyFill="1"/>
    <xf numFmtId="4" fontId="0" fillId="5" borderId="0" xfId="0" applyNumberFormat="1" applyFill="1"/>
    <xf numFmtId="10" fontId="4" fillId="0" borderId="0" xfId="0" applyNumberFormat="1" applyFont="1" applyAlignment="1">
      <alignment horizontal="center"/>
    </xf>
    <xf numFmtId="10" fontId="9" fillId="0" borderId="0" xfId="1" applyNumberFormat="1" applyFont="1" applyBorder="1"/>
    <xf numFmtId="10" fontId="9" fillId="0" borderId="0" xfId="2" applyNumberFormat="1" applyFont="1" applyBorder="1"/>
    <xf numFmtId="0" fontId="0" fillId="4" borderId="0" xfId="0" applyFill="1"/>
    <xf numFmtId="43" fontId="33" fillId="0" borderId="0" xfId="0" applyNumberFormat="1" applyFont="1" applyAlignment="1">
      <alignment horizontal="left"/>
    </xf>
    <xf numFmtId="0" fontId="27" fillId="0" borderId="0" xfId="0" applyFont="1"/>
    <xf numFmtId="0" fontId="0" fillId="0" borderId="0" xfId="0" applyAlignment="1">
      <alignment wrapText="1"/>
    </xf>
    <xf numFmtId="17" fontId="4" fillId="0" borderId="0" xfId="0" applyNumberFormat="1" applyFont="1"/>
    <xf numFmtId="10" fontId="4" fillId="5" borderId="0" xfId="1" applyNumberFormat="1" applyFont="1" applyFill="1"/>
    <xf numFmtId="174" fontId="4" fillId="5" borderId="0" xfId="1" applyNumberFormat="1" applyFont="1" applyFill="1"/>
    <xf numFmtId="175" fontId="4" fillId="5" borderId="0" xfId="1" applyNumberFormat="1" applyFont="1" applyFill="1"/>
    <xf numFmtId="176" fontId="3" fillId="4" borderId="0" xfId="0" applyNumberFormat="1" applyFont="1" applyFill="1"/>
    <xf numFmtId="0" fontId="16" fillId="4" borderId="0" xfId="0" applyFont="1" applyFill="1" applyAlignment="1">
      <alignment horizontal="center"/>
    </xf>
    <xf numFmtId="43" fontId="20" fillId="8" borderId="20" xfId="0" applyNumberFormat="1" applyFont="1" applyFill="1" applyBorder="1" applyAlignment="1">
      <alignment horizontal="left"/>
    </xf>
    <xf numFmtId="0" fontId="18" fillId="8" borderId="2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10" fontId="32" fillId="0" borderId="0" xfId="0" applyNumberFormat="1" applyFont="1" applyAlignment="1">
      <alignment horizontal="center"/>
    </xf>
    <xf numFmtId="0" fontId="23" fillId="4" borderId="0" xfId="0" applyFont="1" applyFill="1" applyAlignment="1">
      <alignment horizontal="center"/>
    </xf>
    <xf numFmtId="43" fontId="21" fillId="8" borderId="20" xfId="0" applyNumberFormat="1" applyFont="1" applyFill="1" applyBorder="1" applyAlignment="1">
      <alignment horizontal="left"/>
    </xf>
    <xf numFmtId="0" fontId="22" fillId="8" borderId="21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24" fillId="0" borderId="26" xfId="0" applyFont="1" applyBorder="1" applyAlignment="1">
      <alignment horizontal="center"/>
    </xf>
    <xf numFmtId="43" fontId="25" fillId="8" borderId="20" xfId="0" applyNumberFormat="1" applyFont="1" applyFill="1" applyBorder="1" applyAlignment="1">
      <alignment horizontal="left"/>
    </xf>
    <xf numFmtId="0" fontId="27" fillId="0" borderId="24" xfId="0" applyFont="1" applyBorder="1" applyAlignment="1">
      <alignment horizontal="center"/>
    </xf>
    <xf numFmtId="0" fontId="17" fillId="4" borderId="0" xfId="0" applyFont="1" applyFill="1" applyAlignment="1">
      <alignment horizontal="center"/>
    </xf>
    <xf numFmtId="43" fontId="8" fillId="0" borderId="0" xfId="3" applyNumberFormat="1" applyFont="1" applyBorder="1" applyAlignment="1" applyProtection="1">
      <alignment horizontal="center"/>
    </xf>
    <xf numFmtId="43" fontId="11" fillId="2" borderId="0" xfId="4" applyNumberFormat="1" applyFont="1" applyBorder="1" applyAlignment="1">
      <alignment horizontal="center"/>
    </xf>
    <xf numFmtId="1" fontId="0" fillId="0" borderId="0" xfId="0" applyNumberFormat="1" applyBorder="1"/>
  </cellXfs>
  <cellStyles count="9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Normal 3 2" xfId="8" xr:uid="{CB3FE123-2FCA-4BD1-B231-FEC9B8D49682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B50C59"/>
      <color rgb="FFF0CEDE"/>
      <color rgb="FFEBB7CF"/>
      <color rgb="FFCF5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Sales</a:t>
            </a:r>
            <a:r>
              <a:rPr lang="en-IN" sz="1100" b="1" baseline="0"/>
              <a:t> Forecasting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BB7CF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FE-44D1-9F8E-AD4A333FBA71}"/>
              </c:ext>
            </c:extLst>
          </c:dPt>
          <c:dPt>
            <c:idx val="11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FE-44D1-9F8E-AD4A333FBA71}"/>
              </c:ext>
            </c:extLst>
          </c:dPt>
          <c:dPt>
            <c:idx val="12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FE-44D1-9F8E-AD4A333FBA71}"/>
              </c:ext>
            </c:extLst>
          </c:dPt>
          <c:dPt>
            <c:idx val="13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FE-44D1-9F8E-AD4A333FBA71}"/>
              </c:ext>
            </c:extLst>
          </c:dPt>
          <c:dPt>
            <c:idx val="14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FE-44D1-9F8E-AD4A333FBA71}"/>
              </c:ext>
            </c:extLst>
          </c:dPt>
          <c:dPt>
            <c:idx val="15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6FE-44D1-9F8E-AD4A333FBA71}"/>
              </c:ext>
            </c:extLst>
          </c:dPt>
          <c:cat>
            <c:numRef>
              <c:f>Forcasting!$C$9:$C$24</c:f>
              <c:numCache>
                <c:formatCode>yyyy"A"</c:formatCode>
                <c:ptCount val="16"/>
                <c:pt idx="0">
                  <c:v>42094</c:v>
                </c:pt>
                <c:pt idx="1">
                  <c:v>42459</c:v>
                </c:pt>
                <c:pt idx="2">
                  <c:v>42824</c:v>
                </c:pt>
                <c:pt idx="3">
                  <c:v>43189</c:v>
                </c:pt>
                <c:pt idx="4">
                  <c:v>43554</c:v>
                </c:pt>
                <c:pt idx="5">
                  <c:v>43919</c:v>
                </c:pt>
                <c:pt idx="6">
                  <c:v>44284</c:v>
                </c:pt>
                <c:pt idx="7">
                  <c:v>44649</c:v>
                </c:pt>
                <c:pt idx="8">
                  <c:v>45014</c:v>
                </c:pt>
                <c:pt idx="9">
                  <c:v>45379</c:v>
                </c:pt>
                <c:pt idx="10" formatCode="yyyy&quot;E&quot;">
                  <c:v>45744</c:v>
                </c:pt>
                <c:pt idx="11" formatCode="yyyy&quot;E&quot;">
                  <c:v>46109</c:v>
                </c:pt>
                <c:pt idx="12" formatCode="yyyy&quot;E&quot;">
                  <c:v>46474</c:v>
                </c:pt>
                <c:pt idx="13" formatCode="yyyy&quot;E&quot;">
                  <c:v>46839</c:v>
                </c:pt>
                <c:pt idx="14" formatCode="yyyy&quot;E&quot;">
                  <c:v>47204</c:v>
                </c:pt>
                <c:pt idx="15" formatCode="yyyy&quot;E&quot;">
                  <c:v>47569</c:v>
                </c:pt>
              </c:numCache>
            </c:numRef>
          </c:cat>
          <c:val>
            <c:numRef>
              <c:f>Forcasting!$D$9:$D$24</c:f>
              <c:numCache>
                <c:formatCode>#,##0.0</c:formatCode>
                <c:ptCount val="16"/>
                <c:pt idx="0">
                  <c:v>8273.15</c:v>
                </c:pt>
                <c:pt idx="1">
                  <c:v>8423.8799999999992</c:v>
                </c:pt>
                <c:pt idx="2">
                  <c:v>9267.91</c:v>
                </c:pt>
                <c:pt idx="3">
                  <c:v>9847.43</c:v>
                </c:pt>
                <c:pt idx="4">
                  <c:v>10314.34</c:v>
                </c:pt>
                <c:pt idx="5">
                  <c:v>9910.7999999999993</c:v>
                </c:pt>
                <c:pt idx="6">
                  <c:v>11028.62</c:v>
                </c:pt>
                <c:pt idx="7">
                  <c:v>12276.5</c:v>
                </c:pt>
                <c:pt idx="8">
                  <c:v>13315.97</c:v>
                </c:pt>
                <c:pt idx="9">
                  <c:v>14096.11</c:v>
                </c:pt>
                <c:pt idx="10">
                  <c:v>14169.946</c:v>
                </c:pt>
                <c:pt idx="11">
                  <c:v>14805.305090909093</c:v>
                </c:pt>
                <c:pt idx="12">
                  <c:v>15440.664181818183</c:v>
                </c:pt>
                <c:pt idx="13">
                  <c:v>16076.023272727274</c:v>
                </c:pt>
                <c:pt idx="14">
                  <c:v>16711.382363636367</c:v>
                </c:pt>
                <c:pt idx="15">
                  <c:v>17346.741454545456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FE-44D1-9F8E-AD4A333FB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266720"/>
        <c:axId val="1239267552"/>
      </c:barChart>
      <c:dateAx>
        <c:axId val="12392667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7552"/>
        <c:crosses val="autoZero"/>
        <c:auto val="1"/>
        <c:lblOffset val="100"/>
        <c:baseTimeUnit val="years"/>
      </c:dateAx>
      <c:valAx>
        <c:axId val="123926755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baseline="0"/>
              <a:t>EBIT Forecasting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BB7CF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80-4D15-B045-D5FC0D3F0C45}"/>
              </c:ext>
            </c:extLst>
          </c:dPt>
          <c:dPt>
            <c:idx val="11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80-4D15-B045-D5FC0D3F0C45}"/>
              </c:ext>
            </c:extLst>
          </c:dPt>
          <c:dPt>
            <c:idx val="12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80-4D15-B045-D5FC0D3F0C45}"/>
              </c:ext>
            </c:extLst>
          </c:dPt>
          <c:dPt>
            <c:idx val="13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80-4D15-B045-D5FC0D3F0C45}"/>
              </c:ext>
            </c:extLst>
          </c:dPt>
          <c:dPt>
            <c:idx val="14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80-4D15-B045-D5FC0D3F0C45}"/>
              </c:ext>
            </c:extLst>
          </c:dPt>
          <c:dPt>
            <c:idx val="15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F80-4D15-B045-D5FC0D3F0C45}"/>
              </c:ext>
            </c:extLst>
          </c:dPt>
          <c:cat>
            <c:numRef>
              <c:f>Forcasting!$C$9:$C$24</c:f>
              <c:numCache>
                <c:formatCode>yyyy"A"</c:formatCode>
                <c:ptCount val="16"/>
                <c:pt idx="0">
                  <c:v>42094</c:v>
                </c:pt>
                <c:pt idx="1">
                  <c:v>42459</c:v>
                </c:pt>
                <c:pt idx="2">
                  <c:v>42824</c:v>
                </c:pt>
                <c:pt idx="3">
                  <c:v>43189</c:v>
                </c:pt>
                <c:pt idx="4">
                  <c:v>43554</c:v>
                </c:pt>
                <c:pt idx="5">
                  <c:v>43919</c:v>
                </c:pt>
                <c:pt idx="6">
                  <c:v>44284</c:v>
                </c:pt>
                <c:pt idx="7">
                  <c:v>44649</c:v>
                </c:pt>
                <c:pt idx="8">
                  <c:v>45014</c:v>
                </c:pt>
                <c:pt idx="9">
                  <c:v>45379</c:v>
                </c:pt>
                <c:pt idx="10" formatCode="yyyy&quot;E&quot;">
                  <c:v>45744</c:v>
                </c:pt>
                <c:pt idx="11" formatCode="yyyy&quot;E&quot;">
                  <c:v>46109</c:v>
                </c:pt>
                <c:pt idx="12" formatCode="yyyy&quot;E&quot;">
                  <c:v>46474</c:v>
                </c:pt>
                <c:pt idx="13" formatCode="yyyy&quot;E&quot;">
                  <c:v>46839</c:v>
                </c:pt>
                <c:pt idx="14" formatCode="yyyy&quot;E&quot;">
                  <c:v>47204</c:v>
                </c:pt>
                <c:pt idx="15" formatCode="yyyy&quot;E&quot;">
                  <c:v>47569</c:v>
                </c:pt>
              </c:numCache>
            </c:numRef>
          </c:cat>
          <c:val>
            <c:numRef>
              <c:f>Forcasting!$I$9:$I$24</c:f>
              <c:numCache>
                <c:formatCode>#,##0.0</c:formatCode>
                <c:ptCount val="16"/>
                <c:pt idx="0">
                  <c:v>1288.17</c:v>
                </c:pt>
                <c:pt idx="1">
                  <c:v>1556.7499999999991</c:v>
                </c:pt>
                <c:pt idx="2">
                  <c:v>1765.1399999999985</c:v>
                </c:pt>
                <c:pt idx="3">
                  <c:v>1928.7200000000009</c:v>
                </c:pt>
                <c:pt idx="4">
                  <c:v>1961.5900000000001</c:v>
                </c:pt>
                <c:pt idx="5">
                  <c:v>1956.4699999999996</c:v>
                </c:pt>
                <c:pt idx="6">
                  <c:v>2195.4100000000012</c:v>
                </c:pt>
                <c:pt idx="7">
                  <c:v>2199.2499999999995</c:v>
                </c:pt>
                <c:pt idx="8">
                  <c:v>2206.909999999998</c:v>
                </c:pt>
                <c:pt idx="9">
                  <c:v>2716.3599999999997</c:v>
                </c:pt>
                <c:pt idx="10">
                  <c:v>2656.4879999999994</c:v>
                </c:pt>
                <c:pt idx="11">
                  <c:v>2779.9445454545448</c:v>
                </c:pt>
                <c:pt idx="12">
                  <c:v>2903.4010909090903</c:v>
                </c:pt>
                <c:pt idx="13">
                  <c:v>3026.8576363636357</c:v>
                </c:pt>
                <c:pt idx="14">
                  <c:v>3150.3141818181812</c:v>
                </c:pt>
                <c:pt idx="15">
                  <c:v>3273.7707272727266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80-4D15-B045-D5FC0D3F0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266720"/>
        <c:axId val="1239267552"/>
      </c:barChart>
      <c:dateAx>
        <c:axId val="12392667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7552"/>
        <c:crosses val="autoZero"/>
        <c:auto val="1"/>
        <c:lblOffset val="100"/>
        <c:baseTimeUnit val="years"/>
      </c:dateAx>
      <c:valAx>
        <c:axId val="123926755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baseline="0"/>
              <a:t>EPS Forecasting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BB7CF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D-4B09-BD38-C9DA0B367514}"/>
              </c:ext>
            </c:extLst>
          </c:dPt>
          <c:dPt>
            <c:idx val="11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D-4B09-BD38-C9DA0B367514}"/>
              </c:ext>
            </c:extLst>
          </c:dPt>
          <c:dPt>
            <c:idx val="12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D-4B09-BD38-C9DA0B367514}"/>
              </c:ext>
            </c:extLst>
          </c:dPt>
          <c:dPt>
            <c:idx val="13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D-4B09-BD38-C9DA0B367514}"/>
              </c:ext>
            </c:extLst>
          </c:dPt>
          <c:dPt>
            <c:idx val="14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D-4B09-BD38-C9DA0B367514}"/>
              </c:ext>
            </c:extLst>
          </c:dPt>
          <c:dPt>
            <c:idx val="15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D6D-4B09-BD38-C9DA0B367514}"/>
              </c:ext>
            </c:extLst>
          </c:dPt>
          <c:cat>
            <c:numRef>
              <c:f>Forcasting!$C$9:$C$24</c:f>
              <c:numCache>
                <c:formatCode>yyyy"A"</c:formatCode>
                <c:ptCount val="16"/>
                <c:pt idx="0">
                  <c:v>42094</c:v>
                </c:pt>
                <c:pt idx="1">
                  <c:v>42459</c:v>
                </c:pt>
                <c:pt idx="2">
                  <c:v>42824</c:v>
                </c:pt>
                <c:pt idx="3">
                  <c:v>43189</c:v>
                </c:pt>
                <c:pt idx="4">
                  <c:v>43554</c:v>
                </c:pt>
                <c:pt idx="5">
                  <c:v>43919</c:v>
                </c:pt>
                <c:pt idx="6">
                  <c:v>44284</c:v>
                </c:pt>
                <c:pt idx="7">
                  <c:v>44649</c:v>
                </c:pt>
                <c:pt idx="8">
                  <c:v>45014</c:v>
                </c:pt>
                <c:pt idx="9">
                  <c:v>45379</c:v>
                </c:pt>
                <c:pt idx="10" formatCode="yyyy&quot;E&quot;">
                  <c:v>45744</c:v>
                </c:pt>
                <c:pt idx="11" formatCode="yyyy&quot;E&quot;">
                  <c:v>46109</c:v>
                </c:pt>
                <c:pt idx="12" formatCode="yyyy&quot;E&quot;">
                  <c:v>46474</c:v>
                </c:pt>
                <c:pt idx="13" formatCode="yyyy&quot;E&quot;">
                  <c:v>46839</c:v>
                </c:pt>
                <c:pt idx="14" formatCode="yyyy&quot;E&quot;">
                  <c:v>47204</c:v>
                </c:pt>
                <c:pt idx="15" formatCode="yyyy&quot;E&quot;">
                  <c:v>47569</c:v>
                </c:pt>
              </c:numCache>
            </c:numRef>
          </c:cat>
          <c:val>
            <c:numRef>
              <c:f>Forcasting!$N$9:$N$24</c:f>
              <c:numCache>
                <c:formatCode>#,##0.00</c:formatCode>
                <c:ptCount val="16"/>
                <c:pt idx="0">
                  <c:v>8.8449187389857062</c:v>
                </c:pt>
                <c:pt idx="1">
                  <c:v>10.695575567736874</c:v>
                </c:pt>
                <c:pt idx="2">
                  <c:v>12.055098845175165</c:v>
                </c:pt>
                <c:pt idx="3">
                  <c:v>13.218199608610577</c:v>
                </c:pt>
                <c:pt idx="4">
                  <c:v>19.365877519076502</c:v>
                </c:pt>
                <c:pt idx="5">
                  <c:v>14.325736085297855</c:v>
                </c:pt>
                <c:pt idx="6">
                  <c:v>16.608508557457224</c:v>
                </c:pt>
                <c:pt idx="7">
                  <c:v>16.674359475845876</c:v>
                </c:pt>
                <c:pt idx="8">
                  <c:v>15.529089664613259</c:v>
                </c:pt>
                <c:pt idx="9">
                  <c:v>16.112729761439187</c:v>
                </c:pt>
                <c:pt idx="10">
                  <c:v>18.592075597301523</c:v>
                </c:pt>
                <c:pt idx="11">
                  <c:v>18.825544578335766</c:v>
                </c:pt>
                <c:pt idx="12">
                  <c:v>18.996099182229642</c:v>
                </c:pt>
                <c:pt idx="13">
                  <c:v>19.055417234291344</c:v>
                </c:pt>
                <c:pt idx="14">
                  <c:v>18.985889354956875</c:v>
                </c:pt>
                <c:pt idx="15">
                  <c:v>20.138783258300812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6D-4B09-BD38-C9DA0B367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266720"/>
        <c:axId val="1239267552"/>
      </c:barChart>
      <c:dateAx>
        <c:axId val="12392667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7552"/>
        <c:crosses val="autoZero"/>
        <c:auto val="1"/>
        <c:lblOffset val="100"/>
        <c:baseTimeUnit val="years"/>
      </c:dateAx>
      <c:valAx>
        <c:axId val="123926755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2865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CE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CD-4830-95DD-61BC8419B08C}"/>
              </c:ext>
            </c:extLst>
          </c:dPt>
          <c:dPt>
            <c:idx val="1"/>
            <c:invertIfNegative val="0"/>
            <c:bubble3D val="0"/>
            <c:spPr>
              <a:solidFill>
                <a:srgbClr val="EBB7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CD-4830-95DD-61BC8419B08C}"/>
              </c:ext>
            </c:extLst>
          </c:dPt>
          <c:dPt>
            <c:idx val="2"/>
            <c:invertIfNegative val="0"/>
            <c:bubble3D val="0"/>
            <c:spPr>
              <a:solidFill>
                <a:srgbClr val="CF58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CD-4830-95DD-61BC8419B08C}"/>
              </c:ext>
            </c:extLst>
          </c:dPt>
          <c:dPt>
            <c:idx val="3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CD-4830-95DD-61BC8419B08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Analysis'!$F$40:$I$40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Analysis'!$F$42:$I$42</c:f>
              <c:numCache>
                <c:formatCode>#,##0.0</c:formatCode>
                <c:ptCount val="4"/>
                <c:pt idx="0">
                  <c:v>11028.62</c:v>
                </c:pt>
                <c:pt idx="1">
                  <c:v>12276.5</c:v>
                </c:pt>
                <c:pt idx="2">
                  <c:v>13315.97</c:v>
                </c:pt>
                <c:pt idx="3">
                  <c:v>14096.11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CD-4830-95DD-61BC8419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029512"/>
        <c:axId val="884030232"/>
      </c:barChart>
      <c:catAx>
        <c:axId val="8840295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30232"/>
        <c:crosses val="autoZero"/>
        <c:auto val="0"/>
        <c:lblAlgn val="ctr"/>
        <c:lblOffset val="100"/>
        <c:noMultiLvlLbl val="0"/>
      </c:catAx>
      <c:valAx>
        <c:axId val="884030232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884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2865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CE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EB-41E0-B54C-C280DF540A5F}"/>
              </c:ext>
            </c:extLst>
          </c:dPt>
          <c:dPt>
            <c:idx val="1"/>
            <c:invertIfNegative val="0"/>
            <c:bubble3D val="0"/>
            <c:spPr>
              <a:solidFill>
                <a:srgbClr val="EBB7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EB-41E0-B54C-C280DF540A5F}"/>
              </c:ext>
            </c:extLst>
          </c:dPt>
          <c:dPt>
            <c:idx val="2"/>
            <c:invertIfNegative val="0"/>
            <c:bubble3D val="0"/>
            <c:spPr>
              <a:solidFill>
                <a:srgbClr val="CF58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EB-41E0-B54C-C280DF540A5F}"/>
              </c:ext>
            </c:extLst>
          </c:dPt>
          <c:dPt>
            <c:idx val="3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EB-41E0-B54C-C280DF540A5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Analysis'!$F$40:$I$40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Analysis'!$F$41:$I$41</c:f>
              <c:numCache>
                <c:formatCode>#,##0.0</c:formatCode>
                <c:ptCount val="4"/>
                <c:pt idx="0">
                  <c:v>1698.2200000000012</c:v>
                </c:pt>
                <c:pt idx="1">
                  <c:v>1705.1199999999994</c:v>
                </c:pt>
                <c:pt idx="2">
                  <c:v>1588.159999999998</c:v>
                </c:pt>
                <c:pt idx="3">
                  <c:v>1648.01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EB-41E0-B54C-C280DF540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029512"/>
        <c:axId val="884030232"/>
      </c:barChart>
      <c:catAx>
        <c:axId val="8840295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30232"/>
        <c:crosses val="autoZero"/>
        <c:auto val="0"/>
        <c:lblAlgn val="ctr"/>
        <c:lblOffset val="100"/>
        <c:noMultiLvlLbl val="0"/>
      </c:catAx>
      <c:valAx>
        <c:axId val="884030232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884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CE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4B-47B4-9FD5-20B5C2345CA5}"/>
              </c:ext>
            </c:extLst>
          </c:dPt>
          <c:dPt>
            <c:idx val="1"/>
            <c:invertIfNegative val="0"/>
            <c:bubble3D val="0"/>
            <c:spPr>
              <a:solidFill>
                <a:srgbClr val="EBB7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4B-47B4-9FD5-20B5C2345CA5}"/>
              </c:ext>
            </c:extLst>
          </c:dPt>
          <c:dPt>
            <c:idx val="2"/>
            <c:invertIfNegative val="0"/>
            <c:bubble3D val="0"/>
            <c:spPr>
              <a:solidFill>
                <a:srgbClr val="CF58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4B-47B4-9FD5-20B5C2345CA5}"/>
              </c:ext>
            </c:extLst>
          </c:dPt>
          <c:dPt>
            <c:idx val="3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94B-47B4-9FD5-20B5C2345CA5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Analysis'!$F$40:$I$40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Analysis'!$F$46:$I$46</c:f>
              <c:numCache>
                <c:formatCode>#,##0.0</c:formatCode>
                <c:ptCount val="4"/>
                <c:pt idx="0">
                  <c:v>14562.035</c:v>
                </c:pt>
                <c:pt idx="1">
                  <c:v>15162.955000000002</c:v>
                </c:pt>
                <c:pt idx="2">
                  <c:v>16759.689999999999</c:v>
                </c:pt>
                <c:pt idx="3">
                  <c:v>17914.669999999998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4B-47B4-9FD5-20B5C2345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029512"/>
        <c:axId val="884030232"/>
      </c:barChart>
      <c:catAx>
        <c:axId val="8840295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30232"/>
        <c:crosses val="autoZero"/>
        <c:auto val="0"/>
        <c:lblAlgn val="ctr"/>
        <c:lblOffset val="100"/>
        <c:noMultiLvlLbl val="0"/>
      </c:catAx>
      <c:valAx>
        <c:axId val="884030232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884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CE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13-4453-AA5B-B7B01E7848D5}"/>
              </c:ext>
            </c:extLst>
          </c:dPt>
          <c:dPt>
            <c:idx val="1"/>
            <c:invertIfNegative val="0"/>
            <c:bubble3D val="0"/>
            <c:spPr>
              <a:solidFill>
                <a:srgbClr val="EBB7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13-4453-AA5B-B7B01E7848D5}"/>
              </c:ext>
            </c:extLst>
          </c:dPt>
          <c:dPt>
            <c:idx val="2"/>
            <c:invertIfNegative val="0"/>
            <c:bubble3D val="0"/>
            <c:spPr>
              <a:solidFill>
                <a:srgbClr val="CF58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13-4453-AA5B-B7B01E7848D5}"/>
              </c:ext>
            </c:extLst>
          </c:dPt>
          <c:dPt>
            <c:idx val="3"/>
            <c:invertIfNegative val="0"/>
            <c:bubble3D val="0"/>
            <c:spPr>
              <a:solidFill>
                <a:srgbClr val="B50C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13-4453-AA5B-B7B01E7848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Analysis'!$F$40:$I$40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Analysis'!$F$53:$I$53</c:f>
              <c:numCache>
                <c:formatCode>0.00%</c:formatCode>
                <c:ptCount val="4"/>
                <c:pt idx="0">
                  <c:v>0.19590408172917764</c:v>
                </c:pt>
                <c:pt idx="1">
                  <c:v>0.16243237025496271</c:v>
                </c:pt>
                <c:pt idx="2">
                  <c:v>0.12529782849496793</c:v>
                </c:pt>
                <c:pt idx="3">
                  <c:v>0.12488330150647144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13-4453-AA5B-B7B01E784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029512"/>
        <c:axId val="884030232"/>
      </c:barChart>
      <c:catAx>
        <c:axId val="8840295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30232"/>
        <c:crosses val="autoZero"/>
        <c:auto val="0"/>
        <c:lblAlgn val="ctr"/>
        <c:lblOffset val="100"/>
        <c:noMultiLvlLbl val="0"/>
      </c:catAx>
      <c:valAx>
        <c:axId val="88403023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84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17939691025812E-2"/>
          <c:y val="5.9379011756910745E-2"/>
          <c:w val="0.86736412061794843"/>
          <c:h val="0.813380248763994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CE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7-48CA-B4C4-0DF61ADF4919}"/>
              </c:ext>
            </c:extLst>
          </c:dPt>
          <c:dPt>
            <c:idx val="1"/>
            <c:invertIfNegative val="0"/>
            <c:bubble3D val="0"/>
            <c:spPr>
              <a:solidFill>
                <a:srgbClr val="EBB7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7-48CA-B4C4-0DF61ADF4919}"/>
              </c:ext>
            </c:extLst>
          </c:dPt>
          <c:dPt>
            <c:idx val="2"/>
            <c:invertIfNegative val="0"/>
            <c:bubble3D val="0"/>
            <c:spPr>
              <a:solidFill>
                <a:srgbClr val="CF58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77-48CA-B4C4-0DF61ADF4919}"/>
              </c:ext>
            </c:extLst>
          </c:dPt>
          <c:dPt>
            <c:idx val="3"/>
            <c:invertIfNegative val="0"/>
            <c:bubble3D val="0"/>
            <c:spPr>
              <a:solidFill>
                <a:srgbClr val="B50C59"/>
              </a:solidFill>
              <a:ln>
                <a:solidFill>
                  <a:srgbClr val="02865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77-48CA-B4C4-0DF61ADF49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Analysis'!$F$56:$I$56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Analysis'!$F$59:$I$59</c:f>
              <c:numCache>
                <c:formatCode>0.00%</c:formatCode>
                <c:ptCount val="4"/>
                <c:pt idx="0">
                  <c:v>0.11661968948708069</c:v>
                </c:pt>
                <c:pt idx="1">
                  <c:v>0.11245301460038622</c:v>
                </c:pt>
                <c:pt idx="2">
                  <c:v>9.4760702614427719E-2</c:v>
                </c:pt>
                <c:pt idx="3">
                  <c:v>9.1992205270875774E-2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77-48CA-B4C4-0DF61ADF4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029512"/>
        <c:axId val="884030232"/>
      </c:barChart>
      <c:catAx>
        <c:axId val="8840295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30232"/>
        <c:crosses val="autoZero"/>
        <c:auto val="0"/>
        <c:lblAlgn val="ctr"/>
        <c:lblOffset val="100"/>
        <c:noMultiLvlLbl val="0"/>
      </c:catAx>
      <c:valAx>
        <c:axId val="88403023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84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CE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D-4BFF-93F9-E143BE11A80D}"/>
              </c:ext>
            </c:extLst>
          </c:dPt>
          <c:dPt>
            <c:idx val="1"/>
            <c:invertIfNegative val="0"/>
            <c:bubble3D val="0"/>
            <c:spPr>
              <a:solidFill>
                <a:srgbClr val="EBB7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D-4BFF-93F9-E143BE11A80D}"/>
              </c:ext>
            </c:extLst>
          </c:dPt>
          <c:dPt>
            <c:idx val="2"/>
            <c:invertIfNegative val="0"/>
            <c:bubble3D val="0"/>
            <c:spPr>
              <a:solidFill>
                <a:srgbClr val="CF58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D-4BFF-93F9-E143BE11A80D}"/>
              </c:ext>
            </c:extLst>
          </c:dPt>
          <c:dPt>
            <c:idx val="3"/>
            <c:invertIfNegative val="0"/>
            <c:bubble3D val="0"/>
            <c:spPr>
              <a:solidFill>
                <a:srgbClr val="B50C59"/>
              </a:solidFill>
              <a:ln>
                <a:solidFill>
                  <a:srgbClr val="02865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D-4BFF-93F9-E143BE11A8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Analysis'!$F$40:$I$40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Analysis'!$F$51:$I$51</c:f>
              <c:numCache>
                <c:formatCode>0.00\x</c:formatCode>
                <c:ptCount val="4"/>
                <c:pt idx="0">
                  <c:v>1.6798542560935235</c:v>
                </c:pt>
                <c:pt idx="1">
                  <c:v>1.4444465613677273</c:v>
                </c:pt>
                <c:pt idx="2">
                  <c:v>1.3222551652533947</c:v>
                </c:pt>
                <c:pt idx="3">
                  <c:v>1.3575422084811006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DD-4BFF-93F9-E143BE11A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029512"/>
        <c:axId val="884030232"/>
      </c:barChart>
      <c:catAx>
        <c:axId val="8840295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30232"/>
        <c:crosses val="autoZero"/>
        <c:auto val="0"/>
        <c:lblAlgn val="ctr"/>
        <c:lblOffset val="100"/>
        <c:noMultiLvlLbl val="0"/>
      </c:catAx>
      <c:valAx>
        <c:axId val="884030232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884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806302</xdr:colOff>
      <xdr:row>1</xdr:row>
      <xdr:rowOff>62023</xdr:rowOff>
    </xdr:from>
    <xdr:to>
      <xdr:col>11</xdr:col>
      <xdr:colOff>824023</xdr:colOff>
      <xdr:row>2</xdr:row>
      <xdr:rowOff>141493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6139E0-4771-4431-AC69-EF7490F1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7953" y="256953"/>
          <a:ext cx="2702442" cy="4516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181752</xdr:colOff>
      <xdr:row>1</xdr:row>
      <xdr:rowOff>81314</xdr:rowOff>
    </xdr:from>
    <xdr:to>
      <xdr:col>14</xdr:col>
      <xdr:colOff>516329</xdr:colOff>
      <xdr:row>2</xdr:row>
      <xdr:rowOff>168404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E1FED-04E7-4C23-BF98-14C1C4F9F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9271" y="274225"/>
          <a:ext cx="2697742" cy="4536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294287</xdr:colOff>
      <xdr:row>1</xdr:row>
      <xdr:rowOff>96283</xdr:rowOff>
    </xdr:from>
    <xdr:to>
      <xdr:col>14</xdr:col>
      <xdr:colOff>549999</xdr:colOff>
      <xdr:row>2</xdr:row>
      <xdr:rowOff>190993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3C069-2F46-4928-96A3-73B089EC8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054" y="291213"/>
          <a:ext cx="2701201" cy="4491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128642</xdr:colOff>
      <xdr:row>24</xdr:row>
      <xdr:rowOff>152625</xdr:rowOff>
    </xdr:from>
    <xdr:to>
      <xdr:col>5</xdr:col>
      <xdr:colOff>17929</xdr:colOff>
      <xdr:row>39</xdr:row>
      <xdr:rowOff>80683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D3C64-AFDE-46A7-B15A-AE90F4D09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4011</xdr:rowOff>
    </xdr:from>
    <xdr:to>
      <xdr:col>9</xdr:col>
      <xdr:colOff>986590</xdr:colOff>
      <xdr:row>39</xdr:row>
      <xdr:rowOff>116553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796420-F195-46A0-8D7B-E29EEC206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609600</xdr:colOff>
      <xdr:row>24</xdr:row>
      <xdr:rowOff>184484</xdr:rowOff>
    </xdr:from>
    <xdr:to>
      <xdr:col>15</xdr:col>
      <xdr:colOff>21634</xdr:colOff>
      <xdr:row>39</xdr:row>
      <xdr:rowOff>112542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AA153F-6B6E-4D3B-894B-562D6BFA5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569465</xdr:colOff>
      <xdr:row>1</xdr:row>
      <xdr:rowOff>103212</xdr:rowOff>
    </xdr:from>
    <xdr:to>
      <xdr:col>14</xdr:col>
      <xdr:colOff>877363</xdr:colOff>
      <xdr:row>2</xdr:row>
      <xdr:rowOff>190302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6E4371-87F9-47F7-B6ED-A6A559F37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4305" y="293712"/>
          <a:ext cx="2685338" cy="452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445918</xdr:colOff>
      <xdr:row>1</xdr:row>
      <xdr:rowOff>97319</xdr:rowOff>
    </xdr:from>
    <xdr:to>
      <xdr:col>10</xdr:col>
      <xdr:colOff>536178</xdr:colOff>
      <xdr:row>2</xdr:row>
      <xdr:rowOff>176789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15DEB-652A-46B4-82C9-748FD9989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9378" y="287819"/>
          <a:ext cx="2696300" cy="452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101204</xdr:colOff>
      <xdr:row>1</xdr:row>
      <xdr:rowOff>106390</xdr:rowOff>
    </xdr:from>
    <xdr:to>
      <xdr:col>9</xdr:col>
      <xdr:colOff>562428</xdr:colOff>
      <xdr:row>2</xdr:row>
      <xdr:rowOff>171100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4CC63-0F4A-4737-A1EF-AD9720AE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9844" y="296890"/>
          <a:ext cx="2290024" cy="4304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732218</xdr:colOff>
      <xdr:row>1</xdr:row>
      <xdr:rowOff>70007</xdr:rowOff>
    </xdr:from>
    <xdr:to>
      <xdr:col>10</xdr:col>
      <xdr:colOff>495396</xdr:colOff>
      <xdr:row>2</xdr:row>
      <xdr:rowOff>149477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3E085-2BE3-4BE3-84F5-B92766309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115" y="262697"/>
          <a:ext cx="2697315" cy="456090"/>
        </a:xfrm>
        <a:prstGeom prst="rect">
          <a:avLst/>
        </a:prstGeom>
      </xdr:spPr>
    </xdr:pic>
    <xdr:clientData/>
  </xdr:twoCellAnchor>
  <xdr:twoCellAnchor>
    <xdr:from>
      <xdr:col>8</xdr:col>
      <xdr:colOff>230777</xdr:colOff>
      <xdr:row>32</xdr:row>
      <xdr:rowOff>17417</xdr:rowOff>
    </xdr:from>
    <xdr:to>
      <xdr:col>9</xdr:col>
      <xdr:colOff>113211</xdr:colOff>
      <xdr:row>33</xdr:row>
      <xdr:rowOff>4354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DDF33D-68E5-4978-9E6D-27FE7A14130A}"/>
            </a:ext>
          </a:extLst>
        </xdr:cNvPr>
        <xdr:cNvSpPr txBox="1"/>
      </xdr:nvSpPr>
      <xdr:spPr>
        <a:xfrm>
          <a:off x="5177246" y="6035040"/>
          <a:ext cx="570411" cy="169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900" b="1">
              <a:solidFill>
                <a:srgbClr val="B50C59"/>
              </a:solidFill>
            </a:rPr>
            <a:t>WACC</a:t>
          </a:r>
        </a:p>
      </xdr:txBody>
    </xdr:sp>
    <xdr:clientData/>
  </xdr:twoCellAnchor>
  <xdr:twoCellAnchor>
    <xdr:from>
      <xdr:col>8</xdr:col>
      <xdr:colOff>654844</xdr:colOff>
      <xdr:row>32</xdr:row>
      <xdr:rowOff>107157</xdr:rowOff>
    </xdr:from>
    <xdr:to>
      <xdr:col>10</xdr:col>
      <xdr:colOff>631031</xdr:colOff>
      <xdr:row>32</xdr:row>
      <xdr:rowOff>107157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C176E74-2645-47EC-929A-6673020A7DEA}"/>
            </a:ext>
          </a:extLst>
        </xdr:cNvPr>
        <xdr:cNvCxnSpPr/>
      </xdr:nvCxnSpPr>
      <xdr:spPr>
        <a:xfrm>
          <a:off x="5601891" y="6167438"/>
          <a:ext cx="1416843" cy="0"/>
        </a:xfrm>
        <a:prstGeom prst="straightConnector1">
          <a:avLst/>
        </a:prstGeom>
        <a:ln w="19050">
          <a:solidFill>
            <a:srgbClr val="B50C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59532</xdr:colOff>
      <xdr:row>32</xdr:row>
      <xdr:rowOff>109112</xdr:rowOff>
    </xdr:from>
    <xdr:to>
      <xdr:col>8</xdr:col>
      <xdr:colOff>296262</xdr:colOff>
      <xdr:row>32</xdr:row>
      <xdr:rowOff>119380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4F62F40-7DF3-44B5-8EA7-5841393A8008}"/>
            </a:ext>
          </a:extLst>
        </xdr:cNvPr>
        <xdr:cNvCxnSpPr/>
      </xdr:nvCxnSpPr>
      <xdr:spPr>
        <a:xfrm flipH="1">
          <a:off x="3499738" y="6037024"/>
          <a:ext cx="1738318" cy="10268"/>
        </a:xfrm>
        <a:prstGeom prst="line">
          <a:avLst/>
        </a:prstGeom>
        <a:ln w="19050">
          <a:solidFill>
            <a:srgbClr val="B50C5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540258</xdr:colOff>
      <xdr:row>39</xdr:row>
      <xdr:rowOff>24514</xdr:rowOff>
    </xdr:from>
    <xdr:to>
      <xdr:col>6</xdr:col>
      <xdr:colOff>200098</xdr:colOff>
      <xdr:row>43</xdr:row>
      <xdr:rowOff>121467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302F75-516C-41C3-BC4F-49A20824EE78}"/>
            </a:ext>
          </a:extLst>
        </xdr:cNvPr>
        <xdr:cNvSpPr txBox="1"/>
      </xdr:nvSpPr>
      <xdr:spPr>
        <a:xfrm rot="16200000">
          <a:off x="3024987" y="7482071"/>
          <a:ext cx="822667" cy="413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 b="1">
              <a:solidFill>
                <a:srgbClr val="B50C59"/>
              </a:solidFill>
            </a:rPr>
            <a:t>Terminal Growht</a:t>
          </a:r>
          <a:r>
            <a:rPr lang="en-IN" sz="900" b="1" baseline="0">
              <a:solidFill>
                <a:srgbClr val="B50C59"/>
              </a:solidFill>
            </a:rPr>
            <a:t> Rate</a:t>
          </a:r>
          <a:endParaRPr lang="en-IN" sz="900" b="1">
            <a:solidFill>
              <a:srgbClr val="B50C59"/>
            </a:solidFill>
          </a:endParaRPr>
        </a:p>
      </xdr:txBody>
    </xdr:sp>
    <xdr:clientData/>
  </xdr:twoCellAnchor>
  <xdr:twoCellAnchor>
    <xdr:from>
      <xdr:col>6</xdr:col>
      <xdr:colOff>69997</xdr:colOff>
      <xdr:row>32</xdr:row>
      <xdr:rowOff>108344</xdr:rowOff>
    </xdr:from>
    <xdr:to>
      <xdr:col>6</xdr:col>
      <xdr:colOff>77589</xdr:colOff>
      <xdr:row>39</xdr:row>
      <xdr:rowOff>102681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A5E3D88-67FA-4546-B984-D7C9ABC0BE3E}"/>
            </a:ext>
          </a:extLst>
        </xdr:cNvPr>
        <xdr:cNvCxnSpPr/>
      </xdr:nvCxnSpPr>
      <xdr:spPr>
        <a:xfrm flipH="1" flipV="1">
          <a:off x="3517912" y="6134089"/>
          <a:ext cx="7592" cy="1285954"/>
        </a:xfrm>
        <a:prstGeom prst="line">
          <a:avLst/>
        </a:prstGeom>
        <a:ln w="19050">
          <a:solidFill>
            <a:srgbClr val="B50C5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71859</xdr:colOff>
      <xdr:row>43</xdr:row>
      <xdr:rowOff>47036</xdr:rowOff>
    </xdr:from>
    <xdr:to>
      <xdr:col>6</xdr:col>
      <xdr:colOff>71859</xdr:colOff>
      <xdr:row>50</xdr:row>
      <xdr:rowOff>179946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93CAF51-5C4C-4294-8E4A-1982B6DF945E}"/>
            </a:ext>
          </a:extLst>
        </xdr:cNvPr>
        <xdr:cNvCxnSpPr/>
      </xdr:nvCxnSpPr>
      <xdr:spPr>
        <a:xfrm rot="5400000">
          <a:off x="2810212" y="8808938"/>
          <a:ext cx="1419123" cy="0"/>
        </a:xfrm>
        <a:prstGeom prst="straightConnector1">
          <a:avLst/>
        </a:prstGeom>
        <a:ln w="19050">
          <a:solidFill>
            <a:srgbClr val="B50C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697183</xdr:colOff>
      <xdr:row>1</xdr:row>
      <xdr:rowOff>70007</xdr:rowOff>
    </xdr:from>
    <xdr:to>
      <xdr:col>10</xdr:col>
      <xdr:colOff>530429</xdr:colOff>
      <xdr:row>2</xdr:row>
      <xdr:rowOff>149477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AEE07-2AE2-4595-84B9-AD9B6BE9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8080" y="262697"/>
          <a:ext cx="2697315" cy="456090"/>
        </a:xfrm>
        <a:prstGeom prst="rect">
          <a:avLst/>
        </a:prstGeom>
      </xdr:spPr>
    </xdr:pic>
    <xdr:clientData/>
  </xdr:twoCellAnchor>
  <xdr:twoCellAnchor>
    <xdr:from>
      <xdr:col>5</xdr:col>
      <xdr:colOff>557212</xdr:colOff>
      <xdr:row>46</xdr:row>
      <xdr:rowOff>31540</xdr:rowOff>
    </xdr:from>
    <xdr:to>
      <xdr:col>6</xdr:col>
      <xdr:colOff>190546</xdr:colOff>
      <xdr:row>50</xdr:row>
      <xdr:rowOff>128493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60C4B5-8BD7-405B-BC4A-DB6F6896F017}"/>
            </a:ext>
          </a:extLst>
        </xdr:cNvPr>
        <xdr:cNvSpPr txBox="1"/>
      </xdr:nvSpPr>
      <xdr:spPr>
        <a:xfrm rot="16200000">
          <a:off x="3030503" y="8764412"/>
          <a:ext cx="820853" cy="3858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 b="1">
              <a:solidFill>
                <a:srgbClr val="B50C59"/>
              </a:solidFill>
            </a:rPr>
            <a:t>Terminal</a:t>
          </a:r>
        </a:p>
        <a:p>
          <a:pPr algn="ctr"/>
          <a:r>
            <a:rPr lang="en-IN" sz="900" b="1">
              <a:solidFill>
                <a:srgbClr val="B50C59"/>
              </a:solidFill>
            </a:rPr>
            <a:t>Growht</a:t>
          </a:r>
          <a:r>
            <a:rPr lang="en-IN" sz="900" b="1" baseline="0">
              <a:solidFill>
                <a:srgbClr val="B50C59"/>
              </a:solidFill>
            </a:rPr>
            <a:t> Rate</a:t>
          </a:r>
          <a:endParaRPr lang="en-IN" sz="900" b="1">
            <a:solidFill>
              <a:srgbClr val="B50C59"/>
            </a:solidFill>
          </a:endParaRPr>
        </a:p>
      </xdr:txBody>
    </xdr:sp>
    <xdr:clientData/>
  </xdr:twoCellAnchor>
  <xdr:twoCellAnchor>
    <xdr:from>
      <xdr:col>6</xdr:col>
      <xdr:colOff>69997</xdr:colOff>
      <xdr:row>39</xdr:row>
      <xdr:rowOff>108344</xdr:rowOff>
    </xdr:from>
    <xdr:to>
      <xdr:col>6</xdr:col>
      <xdr:colOff>77589</xdr:colOff>
      <xdr:row>46</xdr:row>
      <xdr:rowOff>102681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6DF0389-2095-4392-A5AB-9EA495F74C83}"/>
            </a:ext>
          </a:extLst>
        </xdr:cNvPr>
        <xdr:cNvCxnSpPr/>
      </xdr:nvCxnSpPr>
      <xdr:spPr>
        <a:xfrm flipH="1" flipV="1">
          <a:off x="3514237" y="6120524"/>
          <a:ext cx="7592" cy="1282117"/>
        </a:xfrm>
        <a:prstGeom prst="line">
          <a:avLst/>
        </a:prstGeom>
        <a:ln w="19050">
          <a:solidFill>
            <a:srgbClr val="B50C5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71859</xdr:colOff>
      <xdr:row>50</xdr:row>
      <xdr:rowOff>47036</xdr:rowOff>
    </xdr:from>
    <xdr:to>
      <xdr:col>6</xdr:col>
      <xdr:colOff>71859</xdr:colOff>
      <xdr:row>57</xdr:row>
      <xdr:rowOff>179946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9EB86F5-4211-4A8C-BDE0-491521B6EB76}"/>
            </a:ext>
          </a:extLst>
        </xdr:cNvPr>
        <xdr:cNvCxnSpPr/>
      </xdr:nvCxnSpPr>
      <xdr:spPr>
        <a:xfrm rot="5400000">
          <a:off x="2809564" y="8785051"/>
          <a:ext cx="1413070" cy="0"/>
        </a:xfrm>
        <a:prstGeom prst="straightConnector1">
          <a:avLst/>
        </a:prstGeom>
        <a:ln w="19050">
          <a:solidFill>
            <a:srgbClr val="B50C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230777</xdr:colOff>
      <xdr:row>39</xdr:row>
      <xdr:rowOff>17417</xdr:rowOff>
    </xdr:from>
    <xdr:to>
      <xdr:col>9</xdr:col>
      <xdr:colOff>113211</xdr:colOff>
      <xdr:row>40</xdr:row>
      <xdr:rowOff>4354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DE7C5C-A178-482C-9897-38819F2552C5}"/>
            </a:ext>
          </a:extLst>
        </xdr:cNvPr>
        <xdr:cNvSpPr txBox="1"/>
      </xdr:nvSpPr>
      <xdr:spPr>
        <a:xfrm>
          <a:off x="5176157" y="6029597"/>
          <a:ext cx="568234" cy="169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900" b="1">
              <a:solidFill>
                <a:srgbClr val="B50C59"/>
              </a:solidFill>
            </a:rPr>
            <a:t>WACC</a:t>
          </a:r>
        </a:p>
      </xdr:txBody>
    </xdr:sp>
    <xdr:clientData/>
  </xdr:twoCellAnchor>
  <xdr:twoCellAnchor>
    <xdr:from>
      <xdr:col>8</xdr:col>
      <xdr:colOff>654844</xdr:colOff>
      <xdr:row>39</xdr:row>
      <xdr:rowOff>107157</xdr:rowOff>
    </xdr:from>
    <xdr:to>
      <xdr:col>10</xdr:col>
      <xdr:colOff>631031</xdr:colOff>
      <xdr:row>39</xdr:row>
      <xdr:rowOff>107157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A6D24C4-FAD3-4C9B-927C-B888DA816D1A}"/>
            </a:ext>
          </a:extLst>
        </xdr:cNvPr>
        <xdr:cNvCxnSpPr/>
      </xdr:nvCxnSpPr>
      <xdr:spPr>
        <a:xfrm>
          <a:off x="5600224" y="6119337"/>
          <a:ext cx="1416367" cy="0"/>
        </a:xfrm>
        <a:prstGeom prst="straightConnector1">
          <a:avLst/>
        </a:prstGeom>
        <a:ln w="19050">
          <a:solidFill>
            <a:srgbClr val="B50C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59532</xdr:colOff>
      <xdr:row>39</xdr:row>
      <xdr:rowOff>109112</xdr:rowOff>
    </xdr:from>
    <xdr:to>
      <xdr:col>8</xdr:col>
      <xdr:colOff>296262</xdr:colOff>
      <xdr:row>39</xdr:row>
      <xdr:rowOff>119380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FD520B4-7520-4744-9E06-D4119EB02964}"/>
            </a:ext>
          </a:extLst>
        </xdr:cNvPr>
        <xdr:cNvCxnSpPr/>
      </xdr:nvCxnSpPr>
      <xdr:spPr>
        <a:xfrm flipH="1">
          <a:off x="3503772" y="6121292"/>
          <a:ext cx="1737870" cy="10268"/>
        </a:xfrm>
        <a:prstGeom prst="line">
          <a:avLst/>
        </a:prstGeom>
        <a:ln w="19050">
          <a:solidFill>
            <a:srgbClr val="B50C5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732218</xdr:colOff>
      <xdr:row>1</xdr:row>
      <xdr:rowOff>70007</xdr:rowOff>
    </xdr:from>
    <xdr:to>
      <xdr:col>10</xdr:col>
      <xdr:colOff>495396</xdr:colOff>
      <xdr:row>2</xdr:row>
      <xdr:rowOff>149477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EE39A-D73F-4E14-B8FE-357542700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6458" y="260507"/>
          <a:ext cx="2704498" cy="452850"/>
        </a:xfrm>
        <a:prstGeom prst="rect">
          <a:avLst/>
        </a:prstGeom>
      </xdr:spPr>
    </xdr:pic>
    <xdr:clientData/>
  </xdr:twoCellAnchor>
  <xdr:twoCellAnchor>
    <xdr:from>
      <xdr:col>8</xdr:col>
      <xdr:colOff>230777</xdr:colOff>
      <xdr:row>41</xdr:row>
      <xdr:rowOff>17417</xdr:rowOff>
    </xdr:from>
    <xdr:to>
      <xdr:col>9</xdr:col>
      <xdr:colOff>113211</xdr:colOff>
      <xdr:row>42</xdr:row>
      <xdr:rowOff>4354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5D03D4-F37B-4929-8773-5C29A8147C55}"/>
            </a:ext>
          </a:extLst>
        </xdr:cNvPr>
        <xdr:cNvSpPr txBox="1"/>
      </xdr:nvSpPr>
      <xdr:spPr>
        <a:xfrm>
          <a:off x="5176157" y="5907677"/>
          <a:ext cx="568234" cy="169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900" b="1">
              <a:solidFill>
                <a:srgbClr val="B50C59"/>
              </a:solidFill>
            </a:rPr>
            <a:t>WACC</a:t>
          </a:r>
        </a:p>
      </xdr:txBody>
    </xdr:sp>
    <xdr:clientData/>
  </xdr:twoCellAnchor>
  <xdr:twoCellAnchor>
    <xdr:from>
      <xdr:col>8</xdr:col>
      <xdr:colOff>654844</xdr:colOff>
      <xdr:row>41</xdr:row>
      <xdr:rowOff>107157</xdr:rowOff>
    </xdr:from>
    <xdr:to>
      <xdr:col>10</xdr:col>
      <xdr:colOff>631031</xdr:colOff>
      <xdr:row>41</xdr:row>
      <xdr:rowOff>107157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643FB6B-1F41-4097-AFE8-0AB96D6E2569}"/>
            </a:ext>
          </a:extLst>
        </xdr:cNvPr>
        <xdr:cNvCxnSpPr/>
      </xdr:nvCxnSpPr>
      <xdr:spPr>
        <a:xfrm>
          <a:off x="5600224" y="5997417"/>
          <a:ext cx="1416367" cy="0"/>
        </a:xfrm>
        <a:prstGeom prst="straightConnector1">
          <a:avLst/>
        </a:prstGeom>
        <a:ln w="19050">
          <a:solidFill>
            <a:srgbClr val="B50C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59532</xdr:colOff>
      <xdr:row>41</xdr:row>
      <xdr:rowOff>109112</xdr:rowOff>
    </xdr:from>
    <xdr:to>
      <xdr:col>8</xdr:col>
      <xdr:colOff>296262</xdr:colOff>
      <xdr:row>41</xdr:row>
      <xdr:rowOff>119380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869DA35-7BB1-41B6-A264-5743781C3FAE}"/>
            </a:ext>
          </a:extLst>
        </xdr:cNvPr>
        <xdr:cNvCxnSpPr/>
      </xdr:nvCxnSpPr>
      <xdr:spPr>
        <a:xfrm flipH="1">
          <a:off x="3503772" y="5999372"/>
          <a:ext cx="1737870" cy="10268"/>
        </a:xfrm>
        <a:prstGeom prst="line">
          <a:avLst/>
        </a:prstGeom>
        <a:ln w="19050">
          <a:solidFill>
            <a:srgbClr val="B50C5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540258</xdr:colOff>
      <xdr:row>48</xdr:row>
      <xdr:rowOff>24514</xdr:rowOff>
    </xdr:from>
    <xdr:to>
      <xdr:col>6</xdr:col>
      <xdr:colOff>200098</xdr:colOff>
      <xdr:row>52</xdr:row>
      <xdr:rowOff>121467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CB97FC-F00E-49A4-A53F-5C3A5F21D735}"/>
            </a:ext>
          </a:extLst>
        </xdr:cNvPr>
        <xdr:cNvSpPr txBox="1"/>
      </xdr:nvSpPr>
      <xdr:spPr>
        <a:xfrm rot="16200000">
          <a:off x="3022991" y="7409681"/>
          <a:ext cx="828473" cy="414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 b="1">
              <a:solidFill>
                <a:srgbClr val="B50C59"/>
              </a:solidFill>
            </a:rPr>
            <a:t>Terminal Growht</a:t>
          </a:r>
          <a:r>
            <a:rPr lang="en-IN" sz="900" b="1" baseline="0">
              <a:solidFill>
                <a:srgbClr val="B50C59"/>
              </a:solidFill>
            </a:rPr>
            <a:t> Rate</a:t>
          </a:r>
          <a:endParaRPr lang="en-IN" sz="900" b="1">
            <a:solidFill>
              <a:srgbClr val="B50C59"/>
            </a:solidFill>
          </a:endParaRPr>
        </a:p>
      </xdr:txBody>
    </xdr:sp>
    <xdr:clientData/>
  </xdr:twoCellAnchor>
  <xdr:twoCellAnchor>
    <xdr:from>
      <xdr:col>6</xdr:col>
      <xdr:colOff>69997</xdr:colOff>
      <xdr:row>41</xdr:row>
      <xdr:rowOff>108344</xdr:rowOff>
    </xdr:from>
    <xdr:to>
      <xdr:col>6</xdr:col>
      <xdr:colOff>77589</xdr:colOff>
      <xdr:row>48</xdr:row>
      <xdr:rowOff>102681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3AD7444-8F54-4501-91B0-42CD6F53F71B}"/>
            </a:ext>
          </a:extLst>
        </xdr:cNvPr>
        <xdr:cNvCxnSpPr/>
      </xdr:nvCxnSpPr>
      <xdr:spPr>
        <a:xfrm flipH="1" flipV="1">
          <a:off x="3514237" y="5998604"/>
          <a:ext cx="7592" cy="1282117"/>
        </a:xfrm>
        <a:prstGeom prst="line">
          <a:avLst/>
        </a:prstGeom>
        <a:ln w="19050">
          <a:solidFill>
            <a:srgbClr val="B50C5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71859</xdr:colOff>
      <xdr:row>52</xdr:row>
      <xdr:rowOff>47036</xdr:rowOff>
    </xdr:from>
    <xdr:to>
      <xdr:col>6</xdr:col>
      <xdr:colOff>71859</xdr:colOff>
      <xdr:row>59</xdr:row>
      <xdr:rowOff>179946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5F397B1-F04C-4AB2-A22C-1ABEAE297DAF}"/>
            </a:ext>
          </a:extLst>
        </xdr:cNvPr>
        <xdr:cNvCxnSpPr/>
      </xdr:nvCxnSpPr>
      <xdr:spPr>
        <a:xfrm rot="5400000">
          <a:off x="2809564" y="8663131"/>
          <a:ext cx="1413070" cy="0"/>
        </a:xfrm>
        <a:prstGeom prst="straightConnector1">
          <a:avLst/>
        </a:prstGeom>
        <a:ln w="19050">
          <a:solidFill>
            <a:srgbClr val="B50C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3661</xdr:colOff>
      <xdr:row>8</xdr:row>
      <xdr:rowOff>117625</xdr:rowOff>
    </xdr:from>
    <xdr:to>
      <xdr:col>1</xdr:col>
      <xdr:colOff>1934883</xdr:colOff>
      <xdr:row>16</xdr:row>
      <xdr:rowOff>147938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CAEE9-E26E-4173-9A06-181CC61E8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193754</xdr:colOff>
      <xdr:row>7</xdr:row>
      <xdr:rowOff>54408</xdr:rowOff>
    </xdr:from>
    <xdr:to>
      <xdr:col>1</xdr:col>
      <xdr:colOff>1602107</xdr:colOff>
      <xdr:row>8</xdr:row>
      <xdr:rowOff>63600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3002F3-20F1-4F6F-87A0-CBC6220913D3}"/>
            </a:ext>
          </a:extLst>
        </xdr:cNvPr>
        <xdr:cNvSpPr txBox="1"/>
      </xdr:nvSpPr>
      <xdr:spPr>
        <a:xfrm>
          <a:off x="323294" y="3521508"/>
          <a:ext cx="1408353" cy="192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solidFill>
                <a:srgbClr val="B50C59"/>
              </a:solidFill>
              <a:latin typeface="+mn-lt"/>
            </a:rPr>
            <a:t>Revenues (INR</a:t>
          </a:r>
          <a:r>
            <a:rPr lang="en-IN" sz="1050" b="1" baseline="0">
              <a:solidFill>
                <a:srgbClr val="B50C59"/>
              </a:solidFill>
              <a:latin typeface="+mn-lt"/>
            </a:rPr>
            <a:t> Crs.)</a:t>
          </a:r>
          <a:endParaRPr lang="en-IN" sz="1050" b="1">
            <a:solidFill>
              <a:srgbClr val="B50C59"/>
            </a:solidFill>
            <a:latin typeface="+mn-lt"/>
          </a:endParaRPr>
        </a:p>
      </xdr:txBody>
    </xdr:sp>
    <xdr:clientData/>
  </xdr:twoCellAnchor>
  <xdr:twoCellAnchor>
    <xdr:from>
      <xdr:col>1</xdr:col>
      <xdr:colOff>46580</xdr:colOff>
      <xdr:row>7</xdr:row>
      <xdr:rowOff>67734</xdr:rowOff>
    </xdr:from>
    <xdr:to>
      <xdr:col>1</xdr:col>
      <xdr:colOff>1701800</xdr:colOff>
      <xdr:row>7</xdr:row>
      <xdr:rowOff>72950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4587A7A-DA0E-4456-B3A7-673F3108C23D}"/>
            </a:ext>
          </a:extLst>
        </xdr:cNvPr>
        <xdr:cNvCxnSpPr/>
      </xdr:nvCxnSpPr>
      <xdr:spPr>
        <a:xfrm flipV="1">
          <a:off x="176120" y="3534834"/>
          <a:ext cx="1655220" cy="521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218220</xdr:colOff>
      <xdr:row>7</xdr:row>
      <xdr:rowOff>41371</xdr:rowOff>
    </xdr:from>
    <xdr:to>
      <xdr:col>4</xdr:col>
      <xdr:colOff>334012</xdr:colOff>
      <xdr:row>8</xdr:row>
      <xdr:rowOff>54373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CD6BE34-AFEB-4801-9530-A0F2AD9B858A}"/>
            </a:ext>
          </a:extLst>
        </xdr:cNvPr>
        <xdr:cNvSpPr txBox="1"/>
      </xdr:nvSpPr>
      <xdr:spPr>
        <a:xfrm>
          <a:off x="2793780" y="3508471"/>
          <a:ext cx="1411192" cy="195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solidFill>
                <a:srgbClr val="B50C59"/>
              </a:solidFill>
              <a:latin typeface="+mn-lt"/>
            </a:rPr>
            <a:t>Net Profit (INR</a:t>
          </a:r>
          <a:r>
            <a:rPr lang="en-IN" sz="1050" b="1" baseline="0">
              <a:solidFill>
                <a:srgbClr val="B50C59"/>
              </a:solidFill>
              <a:latin typeface="+mn-lt"/>
            </a:rPr>
            <a:t> Crs.)</a:t>
          </a:r>
          <a:endParaRPr lang="en-IN" sz="1050" b="1">
            <a:solidFill>
              <a:srgbClr val="B50C59"/>
            </a:solidFill>
            <a:latin typeface="+mn-lt"/>
          </a:endParaRPr>
        </a:p>
      </xdr:txBody>
    </xdr:sp>
    <xdr:clientData/>
  </xdr:twoCellAnchor>
  <xdr:twoCellAnchor>
    <xdr:from>
      <xdr:col>5</xdr:col>
      <xdr:colOff>459268</xdr:colOff>
      <xdr:row>7</xdr:row>
      <xdr:rowOff>51507</xdr:rowOff>
    </xdr:from>
    <xdr:to>
      <xdr:col>8</xdr:col>
      <xdr:colOff>574885</xdr:colOff>
      <xdr:row>8</xdr:row>
      <xdr:rowOff>77258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5B8092-A132-4989-B1D7-497ABB468D62}"/>
            </a:ext>
          </a:extLst>
        </xdr:cNvPr>
        <xdr:cNvSpPr txBox="1"/>
      </xdr:nvSpPr>
      <xdr:spPr>
        <a:xfrm>
          <a:off x="4939828" y="3518607"/>
          <a:ext cx="1944417" cy="208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solidFill>
                <a:srgbClr val="B50C59"/>
              </a:solidFill>
              <a:latin typeface="+mn-lt"/>
            </a:rPr>
            <a:t>Average Total Assets (INR</a:t>
          </a:r>
          <a:r>
            <a:rPr lang="en-IN" sz="1050" b="1" baseline="0">
              <a:solidFill>
                <a:srgbClr val="B50C59"/>
              </a:solidFill>
              <a:latin typeface="+mn-lt"/>
            </a:rPr>
            <a:t> Crs.)</a:t>
          </a:r>
          <a:endParaRPr lang="en-IN" sz="1050" b="1">
            <a:solidFill>
              <a:srgbClr val="B50C59"/>
            </a:solidFill>
            <a:latin typeface="+mn-lt"/>
          </a:endParaRPr>
        </a:p>
      </xdr:txBody>
    </xdr:sp>
    <xdr:clientData/>
  </xdr:twoCellAnchor>
  <xdr:twoCellAnchor>
    <xdr:from>
      <xdr:col>1</xdr:col>
      <xdr:colOff>2211794</xdr:colOff>
      <xdr:row>8</xdr:row>
      <xdr:rowOff>129140</xdr:rowOff>
    </xdr:from>
    <xdr:to>
      <xdr:col>4</xdr:col>
      <xdr:colOff>587688</xdr:colOff>
      <xdr:row>16</xdr:row>
      <xdr:rowOff>163263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E64B08-BE8A-4E86-9925-E6D4B489F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302136</xdr:colOff>
      <xdr:row>8</xdr:row>
      <xdr:rowOff>109157</xdr:rowOff>
    </xdr:from>
    <xdr:to>
      <xdr:col>8</xdr:col>
      <xdr:colOff>515944</xdr:colOff>
      <xdr:row>16</xdr:row>
      <xdr:rowOff>145185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3EEF27-E148-45D8-BDED-2EACD5291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16933</xdr:colOff>
      <xdr:row>20</xdr:row>
      <xdr:rowOff>51237</xdr:rowOff>
    </xdr:from>
    <xdr:to>
      <xdr:col>1</xdr:col>
      <xdr:colOff>1951965</xdr:colOff>
      <xdr:row>28</xdr:row>
      <xdr:rowOff>83454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A404E-856B-43AC-A355-4A8D7A215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219304</xdr:colOff>
      <xdr:row>18</xdr:row>
      <xdr:rowOff>180847</xdr:rowOff>
    </xdr:from>
    <xdr:to>
      <xdr:col>1</xdr:col>
      <xdr:colOff>1627657</xdr:colOff>
      <xdr:row>19</xdr:row>
      <xdr:rowOff>188135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A16EA2-FC71-4D25-9DFA-8E315DF6C618}"/>
            </a:ext>
          </a:extLst>
        </xdr:cNvPr>
        <xdr:cNvSpPr txBox="1"/>
      </xdr:nvSpPr>
      <xdr:spPr>
        <a:xfrm>
          <a:off x="348844" y="5659627"/>
          <a:ext cx="1408353" cy="182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solidFill>
                <a:srgbClr val="B50C59"/>
              </a:solidFill>
              <a:latin typeface="+mn-lt"/>
            </a:rPr>
            <a:t>Return on Equity (%)</a:t>
          </a:r>
        </a:p>
      </xdr:txBody>
    </xdr:sp>
    <xdr:clientData/>
  </xdr:twoCellAnchor>
  <xdr:twoCellAnchor>
    <xdr:from>
      <xdr:col>2</xdr:col>
      <xdr:colOff>249271</xdr:colOff>
      <xdr:row>18</xdr:row>
      <xdr:rowOff>155944</xdr:rowOff>
    </xdr:from>
    <xdr:to>
      <xdr:col>4</xdr:col>
      <xdr:colOff>363158</xdr:colOff>
      <xdr:row>19</xdr:row>
      <xdr:rowOff>180377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A482B1-BDAD-4FE7-8B0A-420488FCA7C0}"/>
            </a:ext>
          </a:extLst>
        </xdr:cNvPr>
        <xdr:cNvSpPr txBox="1"/>
      </xdr:nvSpPr>
      <xdr:spPr>
        <a:xfrm>
          <a:off x="2824831" y="5634724"/>
          <a:ext cx="1409287" cy="207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solidFill>
                <a:srgbClr val="B50C59"/>
              </a:solidFill>
              <a:latin typeface="+mn-lt"/>
            </a:rPr>
            <a:t>Return</a:t>
          </a:r>
          <a:r>
            <a:rPr lang="en-IN" sz="1050" b="1" baseline="0">
              <a:solidFill>
                <a:srgbClr val="B50C59"/>
              </a:solidFill>
              <a:latin typeface="+mn-lt"/>
            </a:rPr>
            <a:t> on Asset (%)</a:t>
          </a:r>
          <a:endParaRPr lang="en-IN" sz="1050" b="1">
            <a:solidFill>
              <a:srgbClr val="B50C59"/>
            </a:solidFill>
            <a:latin typeface="+mn-lt"/>
          </a:endParaRPr>
        </a:p>
      </xdr:txBody>
    </xdr:sp>
    <xdr:clientData/>
  </xdr:twoCellAnchor>
  <xdr:twoCellAnchor>
    <xdr:from>
      <xdr:col>1</xdr:col>
      <xdr:colOff>2224219</xdr:colOff>
      <xdr:row>20</xdr:row>
      <xdr:rowOff>60411</xdr:rowOff>
    </xdr:from>
    <xdr:to>
      <xdr:col>4</xdr:col>
      <xdr:colOff>586778</xdr:colOff>
      <xdr:row>28</xdr:row>
      <xdr:rowOff>94533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4E35646-63F2-4CD5-B16C-02F284734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134310</xdr:colOff>
      <xdr:row>18</xdr:row>
      <xdr:rowOff>146136</xdr:rowOff>
    </xdr:from>
    <xdr:to>
      <xdr:col>8</xdr:col>
      <xdr:colOff>315084</xdr:colOff>
      <xdr:row>19</xdr:row>
      <xdr:rowOff>149614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A09542-C629-4CC7-965C-53D1A1F9EDE7}"/>
            </a:ext>
          </a:extLst>
        </xdr:cNvPr>
        <xdr:cNvSpPr txBox="1"/>
      </xdr:nvSpPr>
      <xdr:spPr>
        <a:xfrm>
          <a:off x="5224470" y="5624916"/>
          <a:ext cx="1399974" cy="1863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solidFill>
                <a:srgbClr val="B50C59"/>
              </a:solidFill>
              <a:latin typeface="+mn-lt"/>
            </a:rPr>
            <a:t>Financial Leverage</a:t>
          </a:r>
        </a:p>
      </xdr:txBody>
    </xdr:sp>
    <xdr:clientData/>
  </xdr:twoCellAnchor>
  <xdr:twoCellAnchor>
    <xdr:from>
      <xdr:col>5</xdr:col>
      <xdr:colOff>302048</xdr:colOff>
      <xdr:row>20</xdr:row>
      <xdr:rowOff>63513</xdr:rowOff>
    </xdr:from>
    <xdr:to>
      <xdr:col>8</xdr:col>
      <xdr:colOff>511399</xdr:colOff>
      <xdr:row>28</xdr:row>
      <xdr:rowOff>101445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BEAB899-EEEE-49F4-B866-85FA17A5B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109222</xdr:colOff>
      <xdr:row>29</xdr:row>
      <xdr:rowOff>0</xdr:rowOff>
    </xdr:from>
    <xdr:to>
      <xdr:col>9</xdr:col>
      <xdr:colOff>102660</xdr:colOff>
      <xdr:row>29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0591A81-728D-4ABE-AEB2-C5B0E695A34F}"/>
            </a:ext>
          </a:extLst>
        </xdr:cNvPr>
        <xdr:cNvSpPr txBox="1"/>
      </xdr:nvSpPr>
      <xdr:spPr>
        <a:xfrm>
          <a:off x="109222" y="7609486"/>
          <a:ext cx="6912398" cy="2861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en-IN" sz="1400" b="1" i="0">
              <a:solidFill>
                <a:srgbClr val="B50C59"/>
              </a:solidFill>
              <a:effectLst/>
              <a:latin typeface="+mn-lt"/>
              <a:ea typeface="+mn-ea"/>
              <a:cs typeface="+mn-cs"/>
            </a:rPr>
            <a:t>Recent Updates</a:t>
          </a:r>
        </a:p>
        <a:p>
          <a:pPr marL="171450" marR="0" lvl="0" indent="-17145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 profit rises 8% YoY to Rs 505 crore; misses street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estimates.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DMart's margins decreased to 7.6% vs 8.6% on a YoY basis while EBITDA was up 5.5% at Rs 783 crore.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retailer's earnings per share or EPS rose to 7.2% from 7.8% in the corresponding quarter of the previous year.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same stores grew at 11.0% in the second half of FY 2023 vis-a-vis second half of FY 2022.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FY23, over 56% of its revenue came from the foods division, 21% from FMCG and around 23% from general merchandise and apparel.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With the discretionary product mix being impacted, gross margins for the quarter came in below our estimate at 14.0%.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Opex too grew at a faster clip (~25%) than the revenue growth (21%). Subsequently EBITDA margins declined by 110 bps YoY to 7.3% 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Higher depreciation expenses (up 12% YoY) further impacted profitability. Ensuing PBT stood at Rs 624.9 crore (I-direct estimate: Rs 659.1 crore, up 3% YoY). Lower tax rate 26% vs 30% in Q4FY22 enabled the company to report a PAT of  Rs 460 crore during the quarter</a:t>
          </a:r>
          <a:br>
            <a:rPr lang="en-IN" sz="1200"/>
          </a:br>
          <a:br>
            <a:rPr lang="en-IN" sz="1200"/>
          </a:br>
          <a:br>
            <a:rPr lang="en-IN" sz="1200"/>
          </a:br>
          <a:endParaRPr lang="en-IN" sz="1200" b="0"/>
        </a:p>
      </xdr:txBody>
    </xdr:sp>
    <xdr:clientData/>
  </xdr:twoCellAnchor>
  <xdr:twoCellAnchor>
    <xdr:from>
      <xdr:col>2</xdr:col>
      <xdr:colOff>17371</xdr:colOff>
      <xdr:row>7</xdr:row>
      <xdr:rowOff>61172</xdr:rowOff>
    </xdr:from>
    <xdr:to>
      <xdr:col>4</xdr:col>
      <xdr:colOff>401744</xdr:colOff>
      <xdr:row>7</xdr:row>
      <xdr:rowOff>64483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7E3726C-F455-4D9F-A49E-EB40C9A8CEC8}"/>
            </a:ext>
          </a:extLst>
        </xdr:cNvPr>
        <xdr:cNvCxnSpPr/>
      </xdr:nvCxnSpPr>
      <xdr:spPr>
        <a:xfrm flipV="1">
          <a:off x="2592931" y="3528272"/>
          <a:ext cx="1679773" cy="3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523465</xdr:colOff>
      <xdr:row>7</xdr:row>
      <xdr:rowOff>63077</xdr:rowOff>
    </xdr:from>
    <xdr:to>
      <xdr:col>8</xdr:col>
      <xdr:colOff>359410</xdr:colOff>
      <xdr:row>7</xdr:row>
      <xdr:rowOff>64483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40AE821-45B8-4A70-8790-F85E3F035921}"/>
            </a:ext>
          </a:extLst>
        </xdr:cNvPr>
        <xdr:cNvCxnSpPr/>
      </xdr:nvCxnSpPr>
      <xdr:spPr>
        <a:xfrm flipV="1">
          <a:off x="5004025" y="3530177"/>
          <a:ext cx="1664745" cy="14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91666</xdr:colOff>
      <xdr:row>18</xdr:row>
      <xdr:rowOff>181609</xdr:rowOff>
    </xdr:from>
    <xdr:to>
      <xdr:col>1</xdr:col>
      <xdr:colOff>1760221</xdr:colOff>
      <xdr:row>18</xdr:row>
      <xdr:rowOff>183015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5C2C08F-CF6F-4F6F-9840-D5BD084AD229}"/>
            </a:ext>
          </a:extLst>
        </xdr:cNvPr>
        <xdr:cNvCxnSpPr/>
      </xdr:nvCxnSpPr>
      <xdr:spPr>
        <a:xfrm flipV="1">
          <a:off x="221206" y="5660389"/>
          <a:ext cx="1668555" cy="14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11657</xdr:colOff>
      <xdr:row>18</xdr:row>
      <xdr:rowOff>190076</xdr:rowOff>
    </xdr:from>
    <xdr:to>
      <xdr:col>4</xdr:col>
      <xdr:colOff>415080</xdr:colOff>
      <xdr:row>18</xdr:row>
      <xdr:rowOff>190076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75A2DA4-9071-4026-BD86-1D694D1AD2FC}"/>
            </a:ext>
          </a:extLst>
        </xdr:cNvPr>
        <xdr:cNvCxnSpPr/>
      </xdr:nvCxnSpPr>
      <xdr:spPr>
        <a:xfrm flipV="1">
          <a:off x="2587217" y="5661236"/>
          <a:ext cx="169882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499971</xdr:colOff>
      <xdr:row>18</xdr:row>
      <xdr:rowOff>154304</xdr:rowOff>
    </xdr:from>
    <xdr:to>
      <xdr:col>8</xdr:col>
      <xdr:colOff>351156</xdr:colOff>
      <xdr:row>18</xdr:row>
      <xdr:rowOff>154304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9B5960A-6F45-4940-9BB1-0A200C9621B9}"/>
            </a:ext>
          </a:extLst>
        </xdr:cNvPr>
        <xdr:cNvCxnSpPr/>
      </xdr:nvCxnSpPr>
      <xdr:spPr>
        <a:xfrm flipV="1">
          <a:off x="4980531" y="5633084"/>
          <a:ext cx="167998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61837</xdr:colOff>
      <xdr:row>28</xdr:row>
      <xdr:rowOff>111760</xdr:rowOff>
    </xdr:from>
    <xdr:to>
      <xdr:col>9</xdr:col>
      <xdr:colOff>60990</xdr:colOff>
      <xdr:row>31</xdr:row>
      <xdr:rowOff>101600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DD0DA74-4CF9-4ECF-8F75-19A36AF0AF06}"/>
            </a:ext>
          </a:extLst>
        </xdr:cNvPr>
        <xdr:cNvSpPr txBox="1"/>
      </xdr:nvSpPr>
      <xdr:spPr>
        <a:xfrm>
          <a:off x="61837" y="7437120"/>
          <a:ext cx="6928273" cy="375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en-IN" sz="1800" b="1" i="0">
              <a:solidFill>
                <a:srgbClr val="B50C59"/>
              </a:solidFill>
              <a:effectLst/>
              <a:latin typeface="+mn-lt"/>
              <a:ea typeface="+mn-ea"/>
              <a:cs typeface="+mn-cs"/>
            </a:rPr>
            <a:t>Dupont Analysis - Return on Equity &amp; Return</a:t>
          </a:r>
          <a:r>
            <a:rPr lang="en-IN" sz="1800" b="1" i="0" baseline="0">
              <a:solidFill>
                <a:srgbClr val="B50C59"/>
              </a:solidFill>
              <a:effectLst/>
              <a:latin typeface="+mn-lt"/>
              <a:ea typeface="+mn-ea"/>
              <a:cs typeface="+mn-cs"/>
            </a:rPr>
            <a:t> on Asset</a:t>
          </a:r>
          <a:endParaRPr lang="en-IN" sz="1800" b="1" i="0">
            <a:solidFill>
              <a:srgbClr val="B50C59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231168</xdr:colOff>
      <xdr:row>1</xdr:row>
      <xdr:rowOff>68494</xdr:rowOff>
    </xdr:from>
    <xdr:to>
      <xdr:col>8</xdr:col>
      <xdr:colOff>562273</xdr:colOff>
      <xdr:row>5</xdr:row>
      <xdr:rowOff>69065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49C9BD5-3D7D-43CD-A0F1-2841DBDB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1328" y="198034"/>
          <a:ext cx="1550305" cy="7447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odrej%20Consumer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odrej%20Consumer%20CV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odrej%20Consum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upont%20Analysis%20Mode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odrej%20Consumer%20CVR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&gt;"/>
      <sheetName val="HistoricalFS"/>
      <sheetName val="Ratio Analysis"/>
      <sheetName val="Common Size Statement"/>
      <sheetName val="Peer Analysis"/>
      <sheetName val="Data&gt;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GODREJ CONSUMER PRODUCTS LTD</v>
          </cell>
        </row>
        <row r="16">
          <cell r="B16">
            <v>42094</v>
          </cell>
          <cell r="C16">
            <v>42460</v>
          </cell>
          <cell r="D16">
            <v>42825</v>
          </cell>
          <cell r="E16">
            <v>43190</v>
          </cell>
          <cell r="F16">
            <v>43555</v>
          </cell>
          <cell r="G16">
            <v>43921</v>
          </cell>
          <cell r="H16">
            <v>44286</v>
          </cell>
          <cell r="I16">
            <v>44651</v>
          </cell>
          <cell r="J16">
            <v>45016</v>
          </cell>
          <cell r="K16">
            <v>45382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&gt;"/>
      <sheetName val="HistoricalFS"/>
      <sheetName val="Ratio Analysis"/>
      <sheetName val="Common Size Statement"/>
      <sheetName val="Forcasting"/>
      <sheetName val="Beta Regression"/>
      <sheetName val="WACC"/>
      <sheetName val="Intrinsic Growth"/>
      <sheetName val="DCF"/>
      <sheetName val="Comparable Pricing"/>
      <sheetName val="VAR"/>
      <sheetName val="Dupont Analysis"/>
      <sheetName val="Altman Z Score"/>
      <sheetName val="Data&gt;"/>
      <sheetName val="Data Sheet"/>
      <sheetName val="Sheet6"/>
      <sheetName val="Cash Flow Data"/>
      <sheetName val="Raw FS"/>
      <sheetName val="List of Stocks"/>
      <sheetName val="Relativ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GODREJ CONSUMER PRODUCTS LTD</v>
          </cell>
        </row>
        <row r="16">
          <cell r="B16">
            <v>42094</v>
          </cell>
          <cell r="K16">
            <v>45382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&gt;"/>
      <sheetName val="HistoricalFS"/>
      <sheetName val="Ratio Analysis"/>
      <sheetName val="Common Size Statement"/>
      <sheetName val="Forcasting"/>
      <sheetName val="Beta Regression"/>
      <sheetName val="WACC"/>
      <sheetName val="Intrinsic Growth"/>
      <sheetName val="DCF"/>
      <sheetName val="Comparable Pricing"/>
      <sheetName val="VAR"/>
      <sheetName val="Dupont Analysis"/>
      <sheetName val="Altman Z Score"/>
      <sheetName val="Data&gt;"/>
      <sheetName val="Data Sheet"/>
      <sheetName val="Sheet6"/>
      <sheetName val="Cash Flow Data"/>
      <sheetName val="Raw FS"/>
      <sheetName val="List of Stocks"/>
      <sheetName val="Relativ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7">
          <cell r="F67">
            <v>44286</v>
          </cell>
        </row>
      </sheetData>
      <sheetData sheetId="12"/>
      <sheetData sheetId="13"/>
      <sheetData sheetId="14">
        <row r="1">
          <cell r="B1" t="str">
            <v>GODREJ CONSUMER PRODUCTS LTD</v>
          </cell>
        </row>
        <row r="16">
          <cell r="E16">
            <v>43190</v>
          </cell>
          <cell r="F16">
            <v>43555</v>
          </cell>
          <cell r="G16">
            <v>43921</v>
          </cell>
          <cell r="H16">
            <v>44286</v>
          </cell>
          <cell r="I16">
            <v>44651</v>
          </cell>
          <cell r="J16">
            <v>45016</v>
          </cell>
          <cell r="K16">
            <v>45382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&gt;"/>
      <sheetName val="WACC"/>
      <sheetName val="Data&gt;"/>
      <sheetName val="Beta - Regression"/>
      <sheetName val="Beta - Comps"/>
      <sheetName val="Rm"/>
      <sheetName val="Intrisic Growth"/>
      <sheetName val="DCF"/>
      <sheetName val="Comps_Val"/>
      <sheetName val="Football Field"/>
      <sheetName val="Relative Data"/>
      <sheetName val="HistoricalFS"/>
      <sheetName val="Dupont Analysis"/>
      <sheetName val="Data Room&gt;"/>
      <sheetName val="List of Stocks"/>
      <sheetName val="Data Sheet"/>
      <sheetName val="Raw 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COMPANY_NAME</v>
          </cell>
          <cell r="B2" t="str">
            <v>BSE</v>
          </cell>
          <cell r="C2" t="str">
            <v>NSE</v>
          </cell>
        </row>
        <row r="3">
          <cell r="A3" t="str">
            <v>20 MICRONS LTD</v>
          </cell>
          <cell r="B3">
            <v>533022</v>
          </cell>
          <cell r="C3" t="str">
            <v>20MICRONS</v>
          </cell>
        </row>
        <row r="4">
          <cell r="A4" t="str">
            <v>21ST CENTURY MANAGEMENT SERVICES LTD</v>
          </cell>
          <cell r="B4">
            <v>526921</v>
          </cell>
          <cell r="C4" t="str">
            <v>21STCENMGM</v>
          </cell>
        </row>
        <row r="5">
          <cell r="A5" t="str">
            <v>3I INFOTECH LTD</v>
          </cell>
          <cell r="B5">
            <v>532628</v>
          </cell>
          <cell r="C5" t="str">
            <v>3IINFOTECH</v>
          </cell>
        </row>
        <row r="6">
          <cell r="A6" t="str">
            <v>3M (INDIA) LTD</v>
          </cell>
          <cell r="B6">
            <v>523395</v>
          </cell>
          <cell r="C6" t="str">
            <v>3M(INDIA)</v>
          </cell>
        </row>
        <row r="7">
          <cell r="A7" t="str">
            <v>3M INDIA LTD</v>
          </cell>
          <cell r="B7">
            <v>523395</v>
          </cell>
          <cell r="C7" t="str">
            <v>3MINDIA</v>
          </cell>
        </row>
        <row r="8">
          <cell r="A8" t="str">
            <v>3P LAND HOLDINGS LTD</v>
          </cell>
          <cell r="B8">
            <v>516092</v>
          </cell>
          <cell r="C8" t="str">
            <v>3PLAND</v>
          </cell>
        </row>
        <row r="9">
          <cell r="A9" t="str">
            <v>5PAISA CAPITAL LTD</v>
          </cell>
          <cell r="B9">
            <v>540776</v>
          </cell>
          <cell r="C9" t="str">
            <v>5PAISA</v>
          </cell>
        </row>
        <row r="10">
          <cell r="A10" t="str">
            <v>63 MOONS TECHNOLOGIES LTD</v>
          </cell>
          <cell r="B10">
            <v>526881</v>
          </cell>
          <cell r="C10" t="str">
            <v>63MOONS</v>
          </cell>
        </row>
        <row r="11">
          <cell r="A11" t="str">
            <v>7NR RETAIL LTD</v>
          </cell>
          <cell r="B11">
            <v>540615</v>
          </cell>
          <cell r="C11" t="str">
            <v>Not Listed</v>
          </cell>
        </row>
        <row r="12">
          <cell r="A12" t="str">
            <v>7SEAS ENTERTAINMENT LTD</v>
          </cell>
          <cell r="B12">
            <v>540874</v>
          </cell>
          <cell r="C12" t="str">
            <v>Not Listed</v>
          </cell>
        </row>
        <row r="13">
          <cell r="A13" t="str">
            <v>8K MILES SOFTWARE SERVICES LTD</v>
          </cell>
          <cell r="B13">
            <v>512161</v>
          </cell>
          <cell r="C13" t="str">
            <v>8KMILES</v>
          </cell>
        </row>
        <row r="14">
          <cell r="A14" t="str">
            <v>A &amp; M FEBCON LTD</v>
          </cell>
          <cell r="B14">
            <v>540697</v>
          </cell>
          <cell r="C14" t="str">
            <v>Not Listed</v>
          </cell>
        </row>
        <row r="15">
          <cell r="A15" t="str">
            <v>A AND M JUMBO BAGS LTD</v>
          </cell>
          <cell r="B15" t="str">
            <v>Not Listed</v>
          </cell>
          <cell r="C15" t="str">
            <v>AMJUMBO</v>
          </cell>
        </row>
        <row r="16">
          <cell r="A16" t="str">
            <v>A INFRASTRUCTURE LTD</v>
          </cell>
          <cell r="B16">
            <v>539620</v>
          </cell>
          <cell r="C16" t="str">
            <v>Not Listed</v>
          </cell>
        </row>
        <row r="17">
          <cell r="A17" t="str">
            <v>A K  SPINTEX LTD</v>
          </cell>
          <cell r="B17">
            <v>539300</v>
          </cell>
          <cell r="C17" t="str">
            <v>Not Listed</v>
          </cell>
        </row>
        <row r="18">
          <cell r="A18" t="str">
            <v>A K CAPITAL SERVICES LTD</v>
          </cell>
          <cell r="B18">
            <v>530499</v>
          </cell>
          <cell r="C18" t="str">
            <v>Not Listed</v>
          </cell>
        </row>
        <row r="19">
          <cell r="A19" t="str">
            <v>A.F. Enterprises Ltd</v>
          </cell>
          <cell r="B19">
            <v>538351</v>
          </cell>
          <cell r="C19" t="str">
            <v>AFEL</v>
          </cell>
        </row>
        <row r="20">
          <cell r="A20" t="str">
            <v>A-1 ACID LTD</v>
          </cell>
          <cell r="B20">
            <v>542012</v>
          </cell>
          <cell r="C20" t="str">
            <v>Not Listed</v>
          </cell>
        </row>
        <row r="21">
          <cell r="A21" t="str">
            <v>A2Z INFRA ENGINEERING LTD</v>
          </cell>
          <cell r="B21">
            <v>533292</v>
          </cell>
          <cell r="C21" t="str">
            <v>A2ZINFRA</v>
          </cell>
        </row>
        <row r="22">
          <cell r="A22" t="str">
            <v>AADHAAR VENTURES (INDIA) LTD</v>
          </cell>
          <cell r="B22">
            <v>531611</v>
          </cell>
          <cell r="C22" t="str">
            <v>Not Listed</v>
          </cell>
        </row>
        <row r="23">
          <cell r="A23" t="str">
            <v>AADHAAR VENTURES INDIA LTD</v>
          </cell>
          <cell r="B23">
            <v>531611</v>
          </cell>
          <cell r="C23" t="str">
            <v>Not Listed</v>
          </cell>
        </row>
        <row r="24">
          <cell r="A24" t="str">
            <v>AAKASH EXPLORATION SERVICES LTD</v>
          </cell>
          <cell r="B24" t="str">
            <v>Not Listed</v>
          </cell>
          <cell r="C24" t="str">
            <v>AAKASH</v>
          </cell>
        </row>
        <row r="25">
          <cell r="A25" t="str">
            <v>AANANDA LAKSHMI SPINNING MILLS LTD</v>
          </cell>
          <cell r="B25">
            <v>539096</v>
          </cell>
          <cell r="C25" t="str">
            <v>Not Listed</v>
          </cell>
        </row>
        <row r="26">
          <cell r="A26" t="str">
            <v>AANCHAL ISPAT LTD</v>
          </cell>
          <cell r="B26">
            <v>538812</v>
          </cell>
          <cell r="C26" t="str">
            <v>Not Listed</v>
          </cell>
        </row>
        <row r="27">
          <cell r="A27" t="str">
            <v>AAR COMMERCIAL COMPANY LTD</v>
          </cell>
          <cell r="B27">
            <v>539632</v>
          </cell>
          <cell r="C27" t="str">
            <v>Not Listed</v>
          </cell>
        </row>
        <row r="28">
          <cell r="A28" t="str">
            <v>Aar Shyam India Investment Company Ltd</v>
          </cell>
          <cell r="B28">
            <v>542377</v>
          </cell>
          <cell r="C28" t="str">
            <v>AARSHYAM</v>
          </cell>
        </row>
        <row r="29">
          <cell r="A29" t="str">
            <v>AAREY DRUGS &amp; PHARMACEUTICALS LTD</v>
          </cell>
          <cell r="B29">
            <v>524412</v>
          </cell>
          <cell r="C29" t="str">
            <v>Not Listed</v>
          </cell>
        </row>
        <row r="30">
          <cell r="A30" t="str">
            <v>AARON INDUSTRIES LTD</v>
          </cell>
          <cell r="B30" t="str">
            <v>Not Listed</v>
          </cell>
          <cell r="C30" t="str">
            <v>AARON</v>
          </cell>
        </row>
        <row r="31">
          <cell r="A31" t="str">
            <v>Aartech Solonics Ltd</v>
          </cell>
          <cell r="B31">
            <v>542580</v>
          </cell>
          <cell r="C31" t="str">
            <v>AARTECH</v>
          </cell>
        </row>
        <row r="32">
          <cell r="A32" t="str">
            <v>AARTI DRUGS LTD</v>
          </cell>
          <cell r="B32">
            <v>524348</v>
          </cell>
          <cell r="C32" t="str">
            <v>AARTIDRUGS</v>
          </cell>
        </row>
        <row r="33">
          <cell r="A33" t="str">
            <v>AARTI INDUSTRIES LTD</v>
          </cell>
          <cell r="B33">
            <v>524208</v>
          </cell>
          <cell r="C33" t="str">
            <v>AARTIIND</v>
          </cell>
        </row>
        <row r="34">
          <cell r="A34" t="str">
            <v>AARV INFRATEL LTD</v>
          </cell>
          <cell r="B34">
            <v>526488</v>
          </cell>
          <cell r="C34" t="str">
            <v>Not Listed</v>
          </cell>
        </row>
        <row r="35">
          <cell r="A35" t="str">
            <v>AARVEE DENIMS &amp; EXPORTS LTD</v>
          </cell>
          <cell r="B35">
            <v>514274</v>
          </cell>
          <cell r="C35" t="str">
            <v>AARVEEDEN</v>
          </cell>
        </row>
        <row r="36">
          <cell r="A36" t="str">
            <v>AARVI ENCON LTD</v>
          </cell>
          <cell r="B36" t="str">
            <v>Not Listed</v>
          </cell>
          <cell r="C36" t="str">
            <v>AARVI</v>
          </cell>
        </row>
        <row r="37">
          <cell r="A37" t="str">
            <v>AASHEE INFOTECH LTD</v>
          </cell>
          <cell r="B37">
            <v>519319</v>
          </cell>
          <cell r="C37" t="str">
            <v>Not Listed</v>
          </cell>
        </row>
        <row r="38">
          <cell r="A38" t="str">
            <v>AASWA TRADING &amp; EXPORTS LTD</v>
          </cell>
          <cell r="B38">
            <v>512038</v>
          </cell>
          <cell r="C38" t="str">
            <v>Not Listed</v>
          </cell>
        </row>
        <row r="39">
          <cell r="A39" t="str">
            <v>AAVAS FINANCIERS LTD</v>
          </cell>
          <cell r="B39">
            <v>541988</v>
          </cell>
          <cell r="C39" t="str">
            <v>AAVAS</v>
          </cell>
        </row>
        <row r="40">
          <cell r="A40" t="str">
            <v>AAYUSH FOOD AND HERBS LTD</v>
          </cell>
          <cell r="B40">
            <v>539528</v>
          </cell>
          <cell r="C40" t="str">
            <v>Not Listed</v>
          </cell>
        </row>
        <row r="41">
          <cell r="A41" t="str">
            <v>ABAN OFFSHORE LTD</v>
          </cell>
          <cell r="B41">
            <v>523204</v>
          </cell>
          <cell r="C41" t="str">
            <v>ABAN</v>
          </cell>
        </row>
        <row r="42">
          <cell r="A42" t="str">
            <v>ABANS ENTERPRISES LTD</v>
          </cell>
          <cell r="B42">
            <v>512165</v>
          </cell>
          <cell r="C42" t="str">
            <v>Not Listed</v>
          </cell>
        </row>
        <row r="43">
          <cell r="A43" t="str">
            <v>ABB INDIA LTD</v>
          </cell>
          <cell r="B43">
            <v>500002</v>
          </cell>
          <cell r="C43" t="str">
            <v>ABB</v>
          </cell>
        </row>
        <row r="44">
          <cell r="A44" t="str">
            <v>ABBOTT (INDIA) LTD</v>
          </cell>
          <cell r="B44">
            <v>500488</v>
          </cell>
          <cell r="C44" t="str">
            <v>ABBOT(INDIA)</v>
          </cell>
        </row>
        <row r="45">
          <cell r="A45" t="str">
            <v>ABBOTT INDIA LTD</v>
          </cell>
          <cell r="B45">
            <v>500488</v>
          </cell>
          <cell r="C45" t="str">
            <v>ABBOTINDIA</v>
          </cell>
        </row>
        <row r="46">
          <cell r="A46" t="str">
            <v>ABC (INDIA) LTD</v>
          </cell>
          <cell r="B46">
            <v>520123</v>
          </cell>
          <cell r="C46" t="str">
            <v>Not Listed</v>
          </cell>
        </row>
        <row r="47">
          <cell r="A47" t="str">
            <v>ABC GAS INTERNATIONAL LTD</v>
          </cell>
          <cell r="B47">
            <v>513119</v>
          </cell>
          <cell r="C47" t="str">
            <v>Not Listed</v>
          </cell>
        </row>
        <row r="48">
          <cell r="A48" t="str">
            <v>ABC INDIA LTD</v>
          </cell>
          <cell r="B48">
            <v>520123</v>
          </cell>
          <cell r="C48" t="str">
            <v>Not Listed</v>
          </cell>
        </row>
        <row r="49">
          <cell r="A49" t="str">
            <v>ABG SHIPYARD LTD</v>
          </cell>
          <cell r="B49">
            <v>532682</v>
          </cell>
          <cell r="C49" t="str">
            <v>ABGSHIP</v>
          </cell>
        </row>
        <row r="50">
          <cell r="A50" t="str">
            <v>ABHIJIT TRADING COMPANY LTD</v>
          </cell>
          <cell r="B50">
            <v>539560</v>
          </cell>
          <cell r="C50" t="str">
            <v>Not Listed</v>
          </cell>
        </row>
        <row r="51">
          <cell r="A51" t="str">
            <v>ABHINAV CAPITAL SERVICES LTD</v>
          </cell>
          <cell r="B51">
            <v>532057</v>
          </cell>
          <cell r="C51" t="str">
            <v>Not Listed</v>
          </cell>
        </row>
        <row r="52">
          <cell r="A52" t="str">
            <v>ABHINAV LEASING &amp; FINANCE LTD</v>
          </cell>
          <cell r="B52">
            <v>538952</v>
          </cell>
          <cell r="C52" t="str">
            <v>Not Listed</v>
          </cell>
        </row>
        <row r="53">
          <cell r="A53" t="str">
            <v>ABHISHEK FINLEASE LTD</v>
          </cell>
          <cell r="B53">
            <v>538935</v>
          </cell>
          <cell r="C53" t="str">
            <v>Not Listed</v>
          </cell>
        </row>
        <row r="54">
          <cell r="A54" t="str">
            <v>ABHISHEK INFRAVENTURES LTD</v>
          </cell>
          <cell r="B54">
            <v>539544</v>
          </cell>
          <cell r="C54" t="str">
            <v>Not Listed</v>
          </cell>
        </row>
        <row r="55">
          <cell r="A55" t="str">
            <v>ABIRAMI FINANCIAL SERVICES (INDIA) LTD</v>
          </cell>
          <cell r="B55">
            <v>511756</v>
          </cell>
          <cell r="C55" t="str">
            <v>Not Listed</v>
          </cell>
        </row>
        <row r="56">
          <cell r="A56" t="str">
            <v>ABIRAMI FINANCIAL SERVICES INDIA LTD</v>
          </cell>
          <cell r="B56">
            <v>511756</v>
          </cell>
          <cell r="C56" t="str">
            <v>Not Listed</v>
          </cell>
        </row>
        <row r="57">
          <cell r="A57" t="str">
            <v>ABM INTERNATIONAL LTD</v>
          </cell>
          <cell r="B57" t="str">
            <v>Not Listed</v>
          </cell>
          <cell r="C57" t="str">
            <v>ABMINTLTD</v>
          </cell>
        </row>
        <row r="58">
          <cell r="A58" t="str">
            <v>ABM KNOWLEDGEWARE LTD</v>
          </cell>
          <cell r="B58">
            <v>531161</v>
          </cell>
          <cell r="C58" t="str">
            <v>Not Listed</v>
          </cell>
        </row>
        <row r="59">
          <cell r="A59" t="str">
            <v>ACC LTD</v>
          </cell>
          <cell r="B59">
            <v>500410</v>
          </cell>
          <cell r="C59" t="str">
            <v>ACC</v>
          </cell>
        </row>
        <row r="60">
          <cell r="A60" t="str">
            <v>ACCEL LTD</v>
          </cell>
          <cell r="B60">
            <v>517494</v>
          </cell>
          <cell r="C60" t="str">
            <v>Not Listed</v>
          </cell>
        </row>
        <row r="61">
          <cell r="A61" t="str">
            <v>ACCELYA KALE SOLUTIONS LTD</v>
          </cell>
          <cell r="B61">
            <v>532268</v>
          </cell>
          <cell r="C61" t="str">
            <v>ACCELYA</v>
          </cell>
        </row>
        <row r="62">
          <cell r="A62" t="str">
            <v>ACCORD SYNERGY LTD</v>
          </cell>
          <cell r="B62" t="str">
            <v>Not Listed</v>
          </cell>
          <cell r="C62" t="str">
            <v>ACCORD</v>
          </cell>
        </row>
        <row r="63">
          <cell r="A63" t="str">
            <v>ACCURACY SHIPPING LTD</v>
          </cell>
          <cell r="B63" t="str">
            <v>Not Listed</v>
          </cell>
          <cell r="C63" t="str">
            <v>ACCURACY</v>
          </cell>
        </row>
        <row r="64">
          <cell r="A64" t="str">
            <v>ACE EDUTREND LTD</v>
          </cell>
          <cell r="B64">
            <v>530093</v>
          </cell>
          <cell r="C64" t="str">
            <v>Not Listed</v>
          </cell>
        </row>
        <row r="65">
          <cell r="A65" t="str">
            <v>ACE INTEGRATED SOLUTIONS LTD</v>
          </cell>
          <cell r="B65" t="str">
            <v>Not Listed</v>
          </cell>
          <cell r="C65" t="str">
            <v>ACEINTEG</v>
          </cell>
        </row>
        <row r="66">
          <cell r="A66" t="str">
            <v>ACE MEN ENGG WORKS LTD</v>
          </cell>
          <cell r="B66">
            <v>539661</v>
          </cell>
          <cell r="C66" t="str">
            <v>Not Listed</v>
          </cell>
        </row>
        <row r="67">
          <cell r="A67" t="str">
            <v>ACE SOFTWARE EXPORTS LTD</v>
          </cell>
          <cell r="B67">
            <v>531525</v>
          </cell>
          <cell r="C67" t="str">
            <v>Not Listed</v>
          </cell>
        </row>
        <row r="68">
          <cell r="A68" t="str">
            <v>Achal Investments Ltd</v>
          </cell>
          <cell r="B68">
            <v>538570</v>
          </cell>
          <cell r="C68" t="str">
            <v>ACHAL</v>
          </cell>
        </row>
        <row r="69">
          <cell r="A69" t="str">
            <v>ACI INFOCOM LTD</v>
          </cell>
          <cell r="B69">
            <v>517356</v>
          </cell>
          <cell r="C69" t="str">
            <v>Not Listed</v>
          </cell>
        </row>
        <row r="70">
          <cell r="A70" t="str">
            <v>ACKNIT INDUSTRIES LTD</v>
          </cell>
          <cell r="B70">
            <v>530043</v>
          </cell>
          <cell r="C70" t="str">
            <v>Not Listed</v>
          </cell>
        </row>
        <row r="71">
          <cell r="A71" t="str">
            <v>ACME RESOURCES LTD</v>
          </cell>
          <cell r="B71">
            <v>539391</v>
          </cell>
          <cell r="C71" t="str">
            <v>Not Listed</v>
          </cell>
        </row>
        <row r="72">
          <cell r="A72" t="str">
            <v>ACROW INDIA LTD.</v>
          </cell>
          <cell r="B72">
            <v>513149</v>
          </cell>
          <cell r="C72" t="str">
            <v>ACROW</v>
          </cell>
        </row>
        <row r="73">
          <cell r="A73" t="str">
            <v>ACRYSIL LTD</v>
          </cell>
          <cell r="B73">
            <v>524091</v>
          </cell>
          <cell r="C73" t="str">
            <v>Not Listed</v>
          </cell>
        </row>
        <row r="74">
          <cell r="A74" t="str">
            <v>ACTION CONSTRUCTION EQUIPMENT LTD</v>
          </cell>
          <cell r="B74">
            <v>532762</v>
          </cell>
          <cell r="C74" t="str">
            <v>ACE</v>
          </cell>
        </row>
        <row r="75">
          <cell r="A75" t="str">
            <v>ACTION FINANCIAL SERVICES (INDIA) LTD</v>
          </cell>
          <cell r="B75">
            <v>511706</v>
          </cell>
          <cell r="C75" t="str">
            <v>Not Listed</v>
          </cell>
        </row>
        <row r="76">
          <cell r="A76" t="str">
            <v>ACTION FINANCIAL SERVICES INDIA LTD</v>
          </cell>
          <cell r="B76">
            <v>511706</v>
          </cell>
          <cell r="C76" t="str">
            <v>Not Listed</v>
          </cell>
        </row>
        <row r="77">
          <cell r="A77" t="str">
            <v>ACTIVE CLOTHING CO LTD</v>
          </cell>
          <cell r="B77">
            <v>541144</v>
          </cell>
          <cell r="C77" t="str">
            <v>Not Listed</v>
          </cell>
        </row>
        <row r="78">
          <cell r="A78" t="str">
            <v>ADANI ENTERPRISES LTD</v>
          </cell>
          <cell r="B78">
            <v>512599</v>
          </cell>
          <cell r="C78" t="str">
            <v>ADANIENT</v>
          </cell>
        </row>
        <row r="79">
          <cell r="A79" t="str">
            <v>ADANI GAS LTD</v>
          </cell>
          <cell r="B79">
            <v>542066</v>
          </cell>
          <cell r="C79" t="str">
            <v>ADANIGAS</v>
          </cell>
        </row>
        <row r="80">
          <cell r="A80" t="str">
            <v>ADANI GREEN ENERGY LTD</v>
          </cell>
          <cell r="B80">
            <v>541450</v>
          </cell>
          <cell r="C80" t="str">
            <v>ADANIGREEN</v>
          </cell>
        </row>
        <row r="81">
          <cell r="A81" t="str">
            <v>ADANI PORTS AND SPECIAL ECONOMIC ZONE LTD</v>
          </cell>
          <cell r="B81">
            <v>532921</v>
          </cell>
          <cell r="C81" t="str">
            <v>ADANIPORTS</v>
          </cell>
        </row>
        <row r="82">
          <cell r="A82" t="str">
            <v>ADANI POWER LTD</v>
          </cell>
          <cell r="B82">
            <v>533096</v>
          </cell>
          <cell r="C82" t="str">
            <v>ADANIPOWER</v>
          </cell>
        </row>
        <row r="83">
          <cell r="A83" t="str">
            <v>ADANI TRANSMISSION LTD</v>
          </cell>
          <cell r="B83">
            <v>539254</v>
          </cell>
          <cell r="C83" t="str">
            <v>ADANITRANS</v>
          </cell>
        </row>
        <row r="84">
          <cell r="A84" t="str">
            <v>ADARSH MERCANTILE LTD</v>
          </cell>
          <cell r="B84">
            <v>538563</v>
          </cell>
          <cell r="C84" t="str">
            <v>Not Listed</v>
          </cell>
        </row>
        <row r="85">
          <cell r="A85" t="str">
            <v>ADARSH PLANT PROTECT LTD</v>
          </cell>
          <cell r="B85">
            <v>526711</v>
          </cell>
          <cell r="C85" t="str">
            <v>Not Listed</v>
          </cell>
        </row>
        <row r="86">
          <cell r="A86" t="str">
            <v>ADC INDIA COMMUNICATIONS LTD</v>
          </cell>
          <cell r="B86">
            <v>523411</v>
          </cell>
          <cell r="C86" t="str">
            <v>Not Listed</v>
          </cell>
        </row>
        <row r="87">
          <cell r="A87" t="str">
            <v>ADCON CAPITAL SERVICES LTD</v>
          </cell>
          <cell r="B87">
            <v>539506</v>
          </cell>
          <cell r="C87" t="str">
            <v>Not Listed</v>
          </cell>
        </row>
        <row r="88">
          <cell r="A88" t="str">
            <v>ADDI INDUSTRIES LTD</v>
          </cell>
          <cell r="B88">
            <v>507852</v>
          </cell>
          <cell r="C88" t="str">
            <v>Not Listed</v>
          </cell>
        </row>
        <row r="89">
          <cell r="A89" t="str">
            <v>ADD-SHOP PROMOTIONS LTD</v>
          </cell>
          <cell r="B89">
            <v>541865</v>
          </cell>
          <cell r="C89" t="str">
            <v>Not Listed</v>
          </cell>
        </row>
        <row r="90">
          <cell r="A90" t="str">
            <v>ADF FOODS LTD</v>
          </cell>
          <cell r="B90">
            <v>519183</v>
          </cell>
          <cell r="C90" t="str">
            <v>ADFFOODS</v>
          </cell>
        </row>
        <row r="91">
          <cell r="A91" t="str">
            <v>ADHARSHILA CAPITAL SERVICES LTD</v>
          </cell>
          <cell r="B91">
            <v>539493</v>
          </cell>
          <cell r="C91" t="str">
            <v>Not Listed</v>
          </cell>
        </row>
        <row r="92">
          <cell r="A92" t="str">
            <v>ADHBHUT INFRASTRUCTURE LTD</v>
          </cell>
          <cell r="B92">
            <v>539189</v>
          </cell>
          <cell r="C92" t="str">
            <v>Not Listed</v>
          </cell>
        </row>
        <row r="93">
          <cell r="A93" t="str">
            <v>ADHIRAJ DISTRIBUTORS LTD</v>
          </cell>
          <cell r="B93">
            <v>780018</v>
          </cell>
          <cell r="C93" t="str">
            <v>Not Listed</v>
          </cell>
        </row>
        <row r="94">
          <cell r="A94" t="str">
            <v>ADHUNIK INDUSTRIES LTD</v>
          </cell>
          <cell r="B94">
            <v>538365</v>
          </cell>
          <cell r="C94" t="str">
            <v>ADHUNIKIND</v>
          </cell>
        </row>
        <row r="95">
          <cell r="A95" t="str">
            <v>ADHUNIK METALIKS LTD</v>
          </cell>
          <cell r="B95">
            <v>532727</v>
          </cell>
          <cell r="C95" t="str">
            <v>ADHUNIK</v>
          </cell>
        </row>
        <row r="96">
          <cell r="A96" t="str">
            <v>ADI RASAYAN LTD</v>
          </cell>
          <cell r="B96">
            <v>531592</v>
          </cell>
          <cell r="C96" t="str">
            <v>Not Listed</v>
          </cell>
        </row>
        <row r="97">
          <cell r="A97" t="str">
            <v>ADINATH EXIM RESOURCES LTD</v>
          </cell>
          <cell r="B97">
            <v>532056</v>
          </cell>
          <cell r="C97" t="str">
            <v>Not Listed</v>
          </cell>
        </row>
        <row r="98">
          <cell r="A98" t="str">
            <v>ADINATH TEXTILES LTD</v>
          </cell>
          <cell r="B98">
            <v>514113</v>
          </cell>
          <cell r="C98" t="str">
            <v>Not Listed</v>
          </cell>
        </row>
        <row r="99">
          <cell r="A99" t="str">
            <v>ADITRI INDUSTRIES LTD</v>
          </cell>
          <cell r="B99">
            <v>534707</v>
          </cell>
          <cell r="C99" t="str">
            <v>Not Listed</v>
          </cell>
        </row>
        <row r="100">
          <cell r="A100" t="str">
            <v>ADITYA BIRLA CAPITAL LTD</v>
          </cell>
          <cell r="B100">
            <v>540691</v>
          </cell>
          <cell r="C100" t="str">
            <v>ABCAPITAL</v>
          </cell>
        </row>
        <row r="101">
          <cell r="A101" t="str">
            <v>ADITYA BIRLA FASHION AND RETAIL LTD</v>
          </cell>
          <cell r="B101">
            <v>535755</v>
          </cell>
          <cell r="C101" t="str">
            <v>ABFRL</v>
          </cell>
        </row>
        <row r="102">
          <cell r="A102" t="str">
            <v>ADITYA BIRLA MONEY LTD</v>
          </cell>
          <cell r="B102">
            <v>532974</v>
          </cell>
          <cell r="C102" t="str">
            <v>BIRLAMONEY</v>
          </cell>
        </row>
        <row r="103">
          <cell r="A103" t="str">
            <v>ADITYA CONSUMER MARKETING LTD</v>
          </cell>
          <cell r="B103">
            <v>540146</v>
          </cell>
          <cell r="C103" t="str">
            <v>Not Listed</v>
          </cell>
        </row>
        <row r="104">
          <cell r="A104" t="str">
            <v>ADITYA ISPAT LTD</v>
          </cell>
          <cell r="B104">
            <v>513513</v>
          </cell>
          <cell r="C104" t="str">
            <v>Not Listed</v>
          </cell>
        </row>
        <row r="105">
          <cell r="A105" t="str">
            <v>ADITYA SPINNERS LTD</v>
          </cell>
          <cell r="B105">
            <v>521141</v>
          </cell>
          <cell r="C105" t="str">
            <v>Not Listed</v>
          </cell>
        </row>
        <row r="106">
          <cell r="A106" t="str">
            <v>ADITYA VISION LTD</v>
          </cell>
          <cell r="B106">
            <v>540205</v>
          </cell>
          <cell r="C106" t="str">
            <v>Not Listed</v>
          </cell>
        </row>
        <row r="107">
          <cell r="A107" t="str">
            <v>ADLABS ENTERTAINMENT LTD</v>
          </cell>
          <cell r="B107">
            <v>539056</v>
          </cell>
          <cell r="C107" t="str">
            <v>ADLABS</v>
          </cell>
        </row>
        <row r="108">
          <cell r="A108" t="str">
            <v>AD-MANUM FINANCE LTD</v>
          </cell>
          <cell r="B108">
            <v>511359</v>
          </cell>
          <cell r="C108" t="str">
            <v>Not Listed</v>
          </cell>
        </row>
        <row r="109">
          <cell r="A109" t="str">
            <v>ADOR FONTECH LTD</v>
          </cell>
          <cell r="B109">
            <v>530431</v>
          </cell>
          <cell r="C109" t="str">
            <v>Not Listed</v>
          </cell>
        </row>
        <row r="110">
          <cell r="A110" t="str">
            <v>ADOR MULTIPRODUCTS LTD</v>
          </cell>
          <cell r="B110">
            <v>523120</v>
          </cell>
          <cell r="C110" t="str">
            <v>Not Listed</v>
          </cell>
        </row>
        <row r="111">
          <cell r="A111" t="str">
            <v>ADOR WELDING LTD</v>
          </cell>
          <cell r="B111">
            <v>517041</v>
          </cell>
          <cell r="C111" t="str">
            <v>ADORWELD</v>
          </cell>
        </row>
        <row r="112">
          <cell r="A112" t="str">
            <v>ADROIT INFOTECH LTD</v>
          </cell>
          <cell r="B112">
            <v>532172</v>
          </cell>
          <cell r="C112" t="str">
            <v>ADROITINFO</v>
          </cell>
        </row>
        <row r="113">
          <cell r="A113" t="str">
            <v>ADS DIAGNOSTIC LTD</v>
          </cell>
          <cell r="B113">
            <v>523031</v>
          </cell>
          <cell r="C113" t="str">
            <v>Not Listed</v>
          </cell>
        </row>
        <row r="114">
          <cell r="A114" t="str">
            <v>ADVANCE LIFESTYLES LTD</v>
          </cell>
          <cell r="B114">
            <v>521048</v>
          </cell>
          <cell r="C114" t="str">
            <v>Not Listed</v>
          </cell>
        </row>
        <row r="115">
          <cell r="A115" t="str">
            <v>ADVANCE METERING TECHNOLOGY LTD</v>
          </cell>
          <cell r="B115">
            <v>534612</v>
          </cell>
          <cell r="C115" t="str">
            <v>Not Listed</v>
          </cell>
        </row>
        <row r="116">
          <cell r="A116" t="str">
            <v>ADVANCE PETROCHEMICALS LTD</v>
          </cell>
          <cell r="B116">
            <v>506947</v>
          </cell>
          <cell r="C116" t="str">
            <v>Not Listed</v>
          </cell>
        </row>
        <row r="117">
          <cell r="A117" t="str">
            <v>ADVANCE POWERINFRA TECH LTD</v>
          </cell>
          <cell r="B117">
            <v>531047</v>
          </cell>
          <cell r="C117" t="str">
            <v>Not Listed</v>
          </cell>
        </row>
        <row r="118">
          <cell r="A118" t="str">
            <v>ADVANCE SYNTEX LTD</v>
          </cell>
          <cell r="B118">
            <v>539982</v>
          </cell>
          <cell r="C118" t="str">
            <v>Not Listed</v>
          </cell>
        </row>
        <row r="119">
          <cell r="A119" t="str">
            <v>ADVANCED ENZYME TECHNOLOGIES LTD</v>
          </cell>
          <cell r="B119">
            <v>540025</v>
          </cell>
          <cell r="C119" t="str">
            <v>ADVENZYMES</v>
          </cell>
        </row>
        <row r="120">
          <cell r="A120" t="str">
            <v>ADVANI HOTELS &amp; RESORTS (INDIA) LTD</v>
          </cell>
          <cell r="B120">
            <v>523269</v>
          </cell>
          <cell r="C120" t="str">
            <v>ADVANIHOTR</v>
          </cell>
        </row>
        <row r="121">
          <cell r="A121" t="str">
            <v>ADVANI HOTELS &amp; RESORTS INDIA LTD</v>
          </cell>
          <cell r="B121">
            <v>523269</v>
          </cell>
          <cell r="C121" t="str">
            <v>ADVANIHOTR</v>
          </cell>
        </row>
        <row r="122">
          <cell r="A122" t="str">
            <v>ADVENT COMPUTER SERVICES LTD</v>
          </cell>
          <cell r="B122">
            <v>531429</v>
          </cell>
          <cell r="C122" t="str">
            <v>Not Listed</v>
          </cell>
        </row>
        <row r="123">
          <cell r="A123" t="str">
            <v>ADVIK CAPITAL LTD</v>
          </cell>
          <cell r="B123">
            <v>539773</v>
          </cell>
          <cell r="C123" t="str">
            <v>Not Listed</v>
          </cell>
        </row>
        <row r="124">
          <cell r="A124" t="str">
            <v>ADVIK LABORATORIES LTD</v>
          </cell>
          <cell r="B124">
            <v>531686</v>
          </cell>
          <cell r="C124" t="str">
            <v>Not Listed</v>
          </cell>
        </row>
        <row r="125">
          <cell r="A125" t="str">
            <v>ADVITIYA TRADE (INDIA) LTD</v>
          </cell>
          <cell r="B125">
            <v>541152</v>
          </cell>
          <cell r="C125" t="str">
            <v>Not Listed</v>
          </cell>
        </row>
        <row r="126">
          <cell r="A126" t="str">
            <v>ADVITIYA TRADE INDIA LTD</v>
          </cell>
          <cell r="B126">
            <v>541152</v>
          </cell>
          <cell r="C126" t="str">
            <v>Not Listed</v>
          </cell>
        </row>
        <row r="127">
          <cell r="A127" t="str">
            <v>AEGIS LOGISTICS LTD</v>
          </cell>
          <cell r="B127">
            <v>500003</v>
          </cell>
          <cell r="C127" t="str">
            <v>AEGISCHEM</v>
          </cell>
        </row>
        <row r="128">
          <cell r="A128" t="str">
            <v>AFFORDABLE ROBOTIC &amp; AUTOMATION LTD</v>
          </cell>
          <cell r="B128">
            <v>541402</v>
          </cell>
          <cell r="C128" t="str">
            <v>Not Listed</v>
          </cell>
        </row>
        <row r="129">
          <cell r="A129" t="str">
            <v>AGARWAL INDUSTRIAL CORPORATION LTD</v>
          </cell>
          <cell r="B129">
            <v>531921</v>
          </cell>
          <cell r="C129" t="str">
            <v>AGARIND</v>
          </cell>
        </row>
        <row r="130">
          <cell r="A130" t="str">
            <v>AGC NETWORKS LTD</v>
          </cell>
          <cell r="B130">
            <v>500463</v>
          </cell>
          <cell r="C130" t="str">
            <v>AGCNET</v>
          </cell>
        </row>
        <row r="131">
          <cell r="A131" t="str">
            <v>AGI INFRA LTD</v>
          </cell>
          <cell r="B131">
            <v>539042</v>
          </cell>
          <cell r="C131" t="str">
            <v>Not Listed</v>
          </cell>
        </row>
        <row r="132">
          <cell r="A132" t="str">
            <v>AGIO PAPER &amp; INDUSTRIES LTD</v>
          </cell>
          <cell r="B132">
            <v>516020</v>
          </cell>
          <cell r="C132" t="str">
            <v>Not Listed</v>
          </cell>
        </row>
        <row r="133">
          <cell r="A133" t="str">
            <v>AGRIMONY COMMODITIES LTD</v>
          </cell>
          <cell r="B133">
            <v>537492</v>
          </cell>
          <cell r="C133" t="str">
            <v>Not Listed</v>
          </cell>
        </row>
        <row r="134">
          <cell r="A134" t="str">
            <v>AGRI-TECH (INDIA) LTD</v>
          </cell>
          <cell r="B134">
            <v>537292</v>
          </cell>
          <cell r="C134" t="str">
            <v>AGRITECH</v>
          </cell>
        </row>
        <row r="135">
          <cell r="A135" t="str">
            <v>AGRI-TECH INDIA LTD</v>
          </cell>
          <cell r="B135">
            <v>537292</v>
          </cell>
          <cell r="C135" t="str">
            <v>AGRITECH</v>
          </cell>
        </row>
        <row r="136">
          <cell r="A136" t="str">
            <v>AGRO PHOS (INDIA) LTD</v>
          </cell>
          <cell r="B136" t="str">
            <v>Not Listed</v>
          </cell>
          <cell r="C136" t="str">
            <v>AGROPHOS</v>
          </cell>
        </row>
        <row r="137">
          <cell r="A137" t="str">
            <v>AGRO PHOS INDIA LTD</v>
          </cell>
          <cell r="B137" t="str">
            <v>Not Listed</v>
          </cell>
          <cell r="C137" t="str">
            <v>AGROPHOS</v>
          </cell>
        </row>
        <row r="138">
          <cell r="A138" t="str">
            <v>AGRO TECH FOODS LTD</v>
          </cell>
          <cell r="B138">
            <v>500215</v>
          </cell>
          <cell r="C138" t="str">
            <v>ATFL</v>
          </cell>
        </row>
        <row r="139">
          <cell r="A139" t="str">
            <v>AHIMSA INDUSTRIES LTD</v>
          </cell>
          <cell r="B139" t="str">
            <v>Not Listed</v>
          </cell>
          <cell r="C139" t="str">
            <v>AHIMSA</v>
          </cell>
        </row>
        <row r="140">
          <cell r="A140" t="str">
            <v>AHLADA ENGINEERS LTD</v>
          </cell>
          <cell r="B140" t="str">
            <v>Not Listed</v>
          </cell>
          <cell r="C140" t="str">
            <v>AHLADA</v>
          </cell>
        </row>
        <row r="141">
          <cell r="A141" t="str">
            <v>AHLUWALIA CONTRACTS (INDIA) LTD</v>
          </cell>
          <cell r="B141">
            <v>532811</v>
          </cell>
          <cell r="C141" t="str">
            <v>AHLUCONT</v>
          </cell>
        </row>
        <row r="142">
          <cell r="A142" t="str">
            <v>AHLUWALIA CONTRACTS INDIA LTD</v>
          </cell>
          <cell r="B142">
            <v>532811</v>
          </cell>
          <cell r="C142" t="str">
            <v>AHLUCONT</v>
          </cell>
        </row>
        <row r="143">
          <cell r="A143" t="str">
            <v>AHMEDABAD STEELCRAFT LTD</v>
          </cell>
          <cell r="B143">
            <v>522273</v>
          </cell>
          <cell r="C143" t="str">
            <v>Not Listed</v>
          </cell>
        </row>
        <row r="144">
          <cell r="A144" t="str">
            <v>AI CHAMPDANY INDUSTRIES LTD</v>
          </cell>
          <cell r="B144">
            <v>532806</v>
          </cell>
          <cell r="C144" t="str">
            <v>Not Listed</v>
          </cell>
        </row>
        <row r="145">
          <cell r="A145" t="str">
            <v>AIA ENGINEERING LTD</v>
          </cell>
          <cell r="B145">
            <v>532683</v>
          </cell>
          <cell r="C145" t="str">
            <v>AIAENG</v>
          </cell>
        </row>
        <row r="146">
          <cell r="A146" t="str">
            <v>AIMCO PESTICIDES LTD</v>
          </cell>
          <cell r="B146">
            <v>524288</v>
          </cell>
          <cell r="C146" t="str">
            <v>Not Listed</v>
          </cell>
        </row>
        <row r="147">
          <cell r="A147" t="str">
            <v>AIRAN LTD</v>
          </cell>
          <cell r="B147" t="str">
            <v>Not Listed</v>
          </cell>
          <cell r="C147" t="str">
            <v>AIRAN</v>
          </cell>
        </row>
        <row r="148">
          <cell r="A148" t="str">
            <v>AIRO LAM LTD</v>
          </cell>
          <cell r="B148" t="str">
            <v>Not Listed</v>
          </cell>
          <cell r="C148" t="str">
            <v>AIROLAM</v>
          </cell>
        </row>
        <row r="149">
          <cell r="A149" t="str">
            <v>AISHWARYA TELECOM LTD</v>
          </cell>
          <cell r="B149">
            <v>532975</v>
          </cell>
          <cell r="C149" t="str">
            <v>Not Listed</v>
          </cell>
        </row>
        <row r="150">
          <cell r="A150" t="str">
            <v>AJANTA PHARMA LTD</v>
          </cell>
          <cell r="B150">
            <v>532331</v>
          </cell>
          <cell r="C150" t="str">
            <v>AJANTPHARM</v>
          </cell>
        </row>
        <row r="151">
          <cell r="A151" t="str">
            <v>AJANTA SOYA LTD</v>
          </cell>
          <cell r="B151">
            <v>519216</v>
          </cell>
          <cell r="C151" t="str">
            <v>Not Listed</v>
          </cell>
        </row>
        <row r="152">
          <cell r="A152" t="str">
            <v>AJCON GLOBAL SERVICES LTD</v>
          </cell>
          <cell r="B152">
            <v>511692</v>
          </cell>
          <cell r="C152" t="str">
            <v>Not Listed</v>
          </cell>
        </row>
        <row r="153">
          <cell r="A153" t="str">
            <v>AJEL LTD</v>
          </cell>
          <cell r="B153">
            <v>530713</v>
          </cell>
          <cell r="C153" t="str">
            <v>Not Listed</v>
          </cell>
        </row>
        <row r="154">
          <cell r="A154" t="str">
            <v>AJMERA REALTY &amp; INFRA (INDIA) LTD</v>
          </cell>
          <cell r="B154">
            <v>513349</v>
          </cell>
          <cell r="C154" t="str">
            <v>AJMERA</v>
          </cell>
        </row>
        <row r="155">
          <cell r="A155" t="str">
            <v>AJMERA REALTY &amp; INFRA INDIA LTD</v>
          </cell>
          <cell r="B155">
            <v>513349</v>
          </cell>
          <cell r="C155" t="str">
            <v>AJMERA</v>
          </cell>
        </row>
        <row r="156">
          <cell r="A156" t="str">
            <v>AJOONI BIOTECH LTD</v>
          </cell>
          <cell r="B156" t="str">
            <v>Not Listed</v>
          </cell>
          <cell r="C156" t="str">
            <v>AJOONI</v>
          </cell>
        </row>
        <row r="157">
          <cell r="A157" t="str">
            <v>AJWA FUN WORLD &amp; RESORT LTD</v>
          </cell>
          <cell r="B157">
            <v>526628</v>
          </cell>
          <cell r="C157" t="str">
            <v>Not Listed</v>
          </cell>
        </row>
        <row r="158">
          <cell r="A158" t="str">
            <v>AKAR AUTO INDUSTRIES LTD</v>
          </cell>
          <cell r="B158">
            <v>530621</v>
          </cell>
          <cell r="C158" t="str">
            <v>Not Listed</v>
          </cell>
        </row>
        <row r="159">
          <cell r="A159" t="str">
            <v>AKASH INFRA PROJECTS LTD</v>
          </cell>
          <cell r="B159" t="str">
            <v>Not Listed</v>
          </cell>
          <cell r="C159" t="str">
            <v>AKASH</v>
          </cell>
        </row>
        <row r="160">
          <cell r="A160" t="str">
            <v>AKASHDEEP METAL INDUSTRIES LTD</v>
          </cell>
          <cell r="B160">
            <v>538778</v>
          </cell>
          <cell r="C160" t="str">
            <v>Not Listed</v>
          </cell>
        </row>
        <row r="161">
          <cell r="A161" t="str">
            <v>AKG EXIM LTD</v>
          </cell>
          <cell r="B161" t="str">
            <v>Not Listed</v>
          </cell>
          <cell r="C161" t="str">
            <v>AKG</v>
          </cell>
        </row>
        <row r="162">
          <cell r="A162" t="str">
            <v>AKI (INDIA) LTD</v>
          </cell>
          <cell r="B162">
            <v>542020</v>
          </cell>
          <cell r="C162" t="str">
            <v>Not Listed</v>
          </cell>
        </row>
        <row r="163">
          <cell r="A163" t="str">
            <v>AKI INDIA LTD</v>
          </cell>
          <cell r="B163">
            <v>542020</v>
          </cell>
          <cell r="C163" t="str">
            <v>Not Listed</v>
          </cell>
        </row>
        <row r="164">
          <cell r="A164" t="str">
            <v>AKM LACE AND EMBROTEX LTD</v>
          </cell>
          <cell r="B164">
            <v>540718</v>
          </cell>
          <cell r="C164" t="str">
            <v>Not Listed</v>
          </cell>
        </row>
        <row r="165">
          <cell r="A165" t="str">
            <v>AKME STAR HOUSING FINANCE LTD</v>
          </cell>
          <cell r="B165">
            <v>539017</v>
          </cell>
          <cell r="C165" t="str">
            <v>Not Listed</v>
          </cell>
        </row>
        <row r="166">
          <cell r="A166" t="str">
            <v>AKSH OPTIFIBRE LTD</v>
          </cell>
          <cell r="B166">
            <v>532351</v>
          </cell>
          <cell r="C166" t="str">
            <v>AKSHOPTFBR</v>
          </cell>
        </row>
        <row r="167">
          <cell r="A167" t="str">
            <v>AKSHAR SPINTEX LTD</v>
          </cell>
          <cell r="B167">
            <v>541303</v>
          </cell>
          <cell r="C167" t="str">
            <v>Not Listed</v>
          </cell>
        </row>
        <row r="168">
          <cell r="A168" t="str">
            <v>AKSHARCHEM (INDIA) LTD</v>
          </cell>
          <cell r="B168">
            <v>524598</v>
          </cell>
          <cell r="C168" t="str">
            <v>AKSHARCHEM</v>
          </cell>
        </row>
        <row r="169">
          <cell r="A169" t="str">
            <v>AKSHARCHEM INDIA LTD</v>
          </cell>
          <cell r="B169">
            <v>524598</v>
          </cell>
          <cell r="C169" t="str">
            <v>AKSHARCHEM</v>
          </cell>
        </row>
        <row r="170">
          <cell r="A170" t="str">
            <v>AKZO NOBEL (INDIA) LTD</v>
          </cell>
          <cell r="B170">
            <v>500710</v>
          </cell>
          <cell r="C170" t="str">
            <v>AKZO(INDIA)</v>
          </cell>
        </row>
        <row r="171">
          <cell r="A171" t="str">
            <v>AKZO NOBEL INDIA LTD</v>
          </cell>
          <cell r="B171">
            <v>500710</v>
          </cell>
          <cell r="C171" t="str">
            <v>AKZOINDIA</v>
          </cell>
        </row>
        <row r="172">
          <cell r="A172" t="str">
            <v>ALACRITY SECURITIES LTD</v>
          </cell>
          <cell r="B172">
            <v>535916</v>
          </cell>
          <cell r="C172" t="str">
            <v>Not Listed</v>
          </cell>
        </row>
        <row r="173">
          <cell r="A173" t="str">
            <v>ALAN SCOTT INDUSTRIES LTD</v>
          </cell>
          <cell r="B173">
            <v>539115</v>
          </cell>
          <cell r="C173" t="str">
            <v>Not Listed</v>
          </cell>
        </row>
        <row r="174">
          <cell r="A174" t="str">
            <v>ALANKIT LTD</v>
          </cell>
          <cell r="B174">
            <v>531082</v>
          </cell>
          <cell r="C174" t="str">
            <v>ALANKIT</v>
          </cell>
        </row>
        <row r="175">
          <cell r="A175" t="str">
            <v>ALBERT DAVID LTD</v>
          </cell>
          <cell r="B175">
            <v>524075</v>
          </cell>
          <cell r="C175" t="str">
            <v>ALBERTDAVD</v>
          </cell>
        </row>
        <row r="176">
          <cell r="A176" t="str">
            <v>ALCHEMIST CORPORATION LTD</v>
          </cell>
          <cell r="B176">
            <v>531409</v>
          </cell>
          <cell r="C176" t="str">
            <v>Not Listed</v>
          </cell>
        </row>
        <row r="177">
          <cell r="A177" t="str">
            <v>ALCHEMIST LTD</v>
          </cell>
          <cell r="B177">
            <v>526707</v>
          </cell>
          <cell r="C177" t="str">
            <v>ALCHEM</v>
          </cell>
        </row>
        <row r="178">
          <cell r="A178" t="str">
            <v>ALCHEMIST REALTY LTD</v>
          </cell>
          <cell r="B178">
            <v>532114</v>
          </cell>
          <cell r="C178" t="str">
            <v>Not Listed</v>
          </cell>
        </row>
        <row r="179">
          <cell r="A179" t="str">
            <v>ALEMBIC LTD</v>
          </cell>
          <cell r="B179">
            <v>506235</v>
          </cell>
          <cell r="C179" t="str">
            <v>ALEMBICLTD</v>
          </cell>
        </row>
        <row r="180">
          <cell r="A180" t="str">
            <v>ALEMBIC PHARMACEUTICALS LTD</v>
          </cell>
          <cell r="B180">
            <v>533573</v>
          </cell>
          <cell r="C180" t="str">
            <v>APLLTD</v>
          </cell>
        </row>
        <row r="181">
          <cell r="A181" t="str">
            <v>ALEXANDER STAMPS AND COIN LTD</v>
          </cell>
          <cell r="B181">
            <v>511463</v>
          </cell>
          <cell r="C181" t="str">
            <v>Not Listed</v>
          </cell>
        </row>
        <row r="182">
          <cell r="A182" t="str">
            <v>ALFA ICA (INDIA) LTD</v>
          </cell>
          <cell r="B182">
            <v>530973</v>
          </cell>
          <cell r="C182" t="str">
            <v>Not Listed</v>
          </cell>
        </row>
        <row r="183">
          <cell r="A183" t="str">
            <v>ALFA ICA INDIA LTD</v>
          </cell>
          <cell r="B183">
            <v>530973</v>
          </cell>
          <cell r="C183" t="str">
            <v>Not Listed</v>
          </cell>
        </row>
        <row r="184">
          <cell r="A184" t="str">
            <v>ALFA TRANSFORMERS LTD</v>
          </cell>
          <cell r="B184">
            <v>517546</v>
          </cell>
          <cell r="C184" t="str">
            <v>Not Listed</v>
          </cell>
        </row>
        <row r="185">
          <cell r="A185" t="str">
            <v>ALFAVISION OVERSEAS (INDIA) LTD</v>
          </cell>
          <cell r="B185">
            <v>531156</v>
          </cell>
          <cell r="C185" t="str">
            <v>Not Listed</v>
          </cell>
        </row>
        <row r="186">
          <cell r="A186" t="str">
            <v>ALFAVISION OVERSEAS INDIA LTD</v>
          </cell>
          <cell r="B186">
            <v>531156</v>
          </cell>
          <cell r="C186" t="str">
            <v>Not Listed</v>
          </cell>
        </row>
        <row r="187">
          <cell r="A187" t="str">
            <v>ALFRED HERBERT (INDIA) LTD</v>
          </cell>
          <cell r="B187">
            <v>505216</v>
          </cell>
          <cell r="C187" t="str">
            <v>Not Listed</v>
          </cell>
        </row>
        <row r="188">
          <cell r="A188" t="str">
            <v>ALFRED HERBERT INDIA LTD</v>
          </cell>
          <cell r="B188">
            <v>505216</v>
          </cell>
          <cell r="C188" t="str">
            <v>Not Listed</v>
          </cell>
        </row>
        <row r="189">
          <cell r="A189" t="str">
            <v>ALICON CASTALLOY LTD</v>
          </cell>
          <cell r="B189">
            <v>531147</v>
          </cell>
          <cell r="C189" t="str">
            <v>ALICON</v>
          </cell>
        </row>
        <row r="190">
          <cell r="A190" t="str">
            <v>ALKA (INDIA) LTD</v>
          </cell>
          <cell r="B190">
            <v>530889</v>
          </cell>
          <cell r="C190" t="str">
            <v>Not Listed</v>
          </cell>
        </row>
        <row r="191">
          <cell r="A191" t="str">
            <v>ALKA DIAMOND INDUSTRIES LTD</v>
          </cell>
          <cell r="B191">
            <v>531581</v>
          </cell>
          <cell r="C191" t="str">
            <v>Not Listed</v>
          </cell>
        </row>
        <row r="192">
          <cell r="A192" t="str">
            <v>ALKA INDIA LTD</v>
          </cell>
          <cell r="B192">
            <v>530889</v>
          </cell>
          <cell r="C192" t="str">
            <v>Not Listed</v>
          </cell>
        </row>
        <row r="193">
          <cell r="A193" t="str">
            <v>ALKA SECURITIES LTD</v>
          </cell>
          <cell r="B193">
            <v>532166</v>
          </cell>
          <cell r="C193" t="str">
            <v>Not Listed</v>
          </cell>
        </row>
        <row r="194">
          <cell r="A194" t="str">
            <v>ALKALI METALS LTD</v>
          </cell>
          <cell r="B194">
            <v>533029</v>
          </cell>
          <cell r="C194" t="str">
            <v>ALKALI</v>
          </cell>
        </row>
        <row r="195">
          <cell r="A195" t="str">
            <v>ALKEM LABORATORIES LTD</v>
          </cell>
          <cell r="B195">
            <v>539523</v>
          </cell>
          <cell r="C195" t="str">
            <v>ALKEM</v>
          </cell>
        </row>
        <row r="196">
          <cell r="A196" t="str">
            <v>ALKYL AMINES CHEMICALS LTD</v>
          </cell>
          <cell r="B196">
            <v>506767</v>
          </cell>
          <cell r="C196" t="str">
            <v>ALKYLAMINE</v>
          </cell>
        </row>
        <row r="197">
          <cell r="A197" t="str">
            <v>ALLAHABAD BANK</v>
          </cell>
          <cell r="B197">
            <v>532480</v>
          </cell>
          <cell r="C197" t="str">
            <v>ALBK</v>
          </cell>
        </row>
        <row r="198">
          <cell r="A198" t="str">
            <v>ALLCARGO LOGISTICS LTD</v>
          </cell>
          <cell r="B198">
            <v>532749</v>
          </cell>
          <cell r="C198" t="str">
            <v>ALLCARGO</v>
          </cell>
        </row>
        <row r="199">
          <cell r="A199" t="str">
            <v>ALLIANCE INTEGRATED METALIKS LTD</v>
          </cell>
          <cell r="B199">
            <v>534064</v>
          </cell>
          <cell r="C199" t="str">
            <v>Not Listed</v>
          </cell>
        </row>
        <row r="200">
          <cell r="A200" t="str">
            <v>ALLIED COMPUTERS INTERNATIONAL ASIA LTD</v>
          </cell>
          <cell r="B200">
            <v>532919</v>
          </cell>
          <cell r="C200" t="str">
            <v>Not Listed</v>
          </cell>
        </row>
        <row r="201">
          <cell r="A201" t="str">
            <v>ALLIED DIGITAL SERVICES LTD</v>
          </cell>
          <cell r="B201">
            <v>532875</v>
          </cell>
          <cell r="C201" t="str">
            <v>ADSL</v>
          </cell>
        </row>
        <row r="202">
          <cell r="A202" t="str">
            <v>ALLSEC TECHNOLOGIES LTD</v>
          </cell>
          <cell r="B202">
            <v>532633</v>
          </cell>
          <cell r="C202" t="str">
            <v>ALLSEC</v>
          </cell>
        </row>
        <row r="203">
          <cell r="A203" t="str">
            <v>ALMONDZ GLOBAL SECURITIES LTD</v>
          </cell>
          <cell r="B203">
            <v>531400</v>
          </cell>
          <cell r="C203" t="str">
            <v>ALMONDZ</v>
          </cell>
        </row>
        <row r="204">
          <cell r="A204" t="str">
            <v>ALNA TRADING &amp; EXPORTS LTD</v>
          </cell>
          <cell r="B204">
            <v>506120</v>
          </cell>
          <cell r="C204" t="str">
            <v>Not Listed</v>
          </cell>
        </row>
        <row r="205">
          <cell r="A205" t="str">
            <v>ALOK INDUSTRIES LTD</v>
          </cell>
          <cell r="B205">
            <v>521070</v>
          </cell>
          <cell r="C205" t="str">
            <v>ALOKTEXT</v>
          </cell>
        </row>
        <row r="206">
          <cell r="A206" t="str">
            <v>ALPA LABORATORIES LTD</v>
          </cell>
          <cell r="B206">
            <v>532878</v>
          </cell>
          <cell r="C206" t="str">
            <v>ALPA</v>
          </cell>
        </row>
        <row r="207">
          <cell r="A207" t="str">
            <v>ALPHAGEO (INDIA) LTD</v>
          </cell>
          <cell r="B207">
            <v>526397</v>
          </cell>
          <cell r="C207" t="str">
            <v>ALPHAGEO</v>
          </cell>
        </row>
        <row r="208">
          <cell r="A208" t="str">
            <v>ALPHAGEO INDIA LTD</v>
          </cell>
          <cell r="B208">
            <v>526397</v>
          </cell>
          <cell r="C208" t="str">
            <v>ALPHAGEO</v>
          </cell>
        </row>
        <row r="209">
          <cell r="A209" t="str">
            <v>ALPINE HOUSING DEVELOPMENT CORPORATION LTD</v>
          </cell>
          <cell r="B209">
            <v>526519</v>
          </cell>
          <cell r="C209" t="str">
            <v>Not Listed</v>
          </cell>
        </row>
        <row r="210">
          <cell r="A210" t="str">
            <v>ALPS INDUSTRIES LTD</v>
          </cell>
          <cell r="B210">
            <v>530715</v>
          </cell>
          <cell r="C210" t="str">
            <v>ALPSINDUS</v>
          </cell>
        </row>
        <row r="211">
          <cell r="A211" t="str">
            <v>Alps Motor Finance Ltd</v>
          </cell>
          <cell r="B211">
            <v>538423</v>
          </cell>
          <cell r="C211" t="str">
            <v>ALPSMOTOR</v>
          </cell>
        </row>
        <row r="212">
          <cell r="A212" t="str">
            <v>ALSTONE TEXTILES (INDIA) LTD</v>
          </cell>
          <cell r="B212">
            <v>539277</v>
          </cell>
          <cell r="C212" t="str">
            <v>Not Listed</v>
          </cell>
        </row>
        <row r="213">
          <cell r="A213" t="str">
            <v>ALSTONE TEXTILES INDIA LTD</v>
          </cell>
          <cell r="B213">
            <v>539277</v>
          </cell>
          <cell r="C213" t="str">
            <v>Not Listed</v>
          </cell>
        </row>
        <row r="214">
          <cell r="A214" t="str">
            <v>ALUFLUORIDE LTD</v>
          </cell>
          <cell r="B214">
            <v>524634</v>
          </cell>
          <cell r="C214" t="str">
            <v>Not Listed</v>
          </cell>
        </row>
        <row r="215">
          <cell r="A215" t="str">
            <v>AMAL LTD</v>
          </cell>
          <cell r="B215">
            <v>506597</v>
          </cell>
          <cell r="C215" t="str">
            <v>Not Listed</v>
          </cell>
        </row>
        <row r="216">
          <cell r="A216" t="str">
            <v>AMANI TRADING &amp; EXPORTS LTD</v>
          </cell>
          <cell r="B216">
            <v>512008</v>
          </cell>
          <cell r="C216" t="str">
            <v>Not Listed</v>
          </cell>
        </row>
        <row r="217">
          <cell r="A217" t="str">
            <v>AMARA RAJA BATTERIES LTD</v>
          </cell>
          <cell r="B217">
            <v>500008</v>
          </cell>
          <cell r="C217" t="str">
            <v>AMARAJABAT</v>
          </cell>
        </row>
        <row r="218">
          <cell r="A218" t="str">
            <v>AMARJOTHI SPINNING MILLS LTD</v>
          </cell>
          <cell r="B218">
            <v>521097</v>
          </cell>
          <cell r="C218" t="str">
            <v>Not Listed</v>
          </cell>
        </row>
        <row r="219">
          <cell r="A219" t="str">
            <v>AMARNATH SECURITIES LTD</v>
          </cell>
          <cell r="B219">
            <v>538465</v>
          </cell>
          <cell r="C219" t="str">
            <v>Not Listed</v>
          </cell>
        </row>
        <row r="220">
          <cell r="A220" t="str">
            <v>AMAZE ENTERTECH LTD</v>
          </cell>
          <cell r="B220">
            <v>531112</v>
          </cell>
          <cell r="C220" t="str">
            <v>Not Listed</v>
          </cell>
        </row>
        <row r="221">
          <cell r="A221" t="str">
            <v>AMBA ENTERPRISES LTD</v>
          </cell>
          <cell r="B221">
            <v>539196</v>
          </cell>
          <cell r="C221" t="str">
            <v>Not Listed</v>
          </cell>
        </row>
        <row r="222">
          <cell r="A222" t="str">
            <v>AMBALAL SARABHAI ENTERPRISES LTD</v>
          </cell>
          <cell r="B222">
            <v>500009</v>
          </cell>
          <cell r="C222" t="str">
            <v>Not Listed</v>
          </cell>
        </row>
        <row r="223">
          <cell r="A223" t="str">
            <v>AMBANI ORGANICS LTD</v>
          </cell>
          <cell r="B223" t="str">
            <v>Not Listed</v>
          </cell>
          <cell r="C223" t="str">
            <v>AMBANIORG</v>
          </cell>
        </row>
        <row r="224">
          <cell r="A224" t="str">
            <v>AMBAR PROTEIN INDUSTRIES LTD</v>
          </cell>
          <cell r="B224">
            <v>519471</v>
          </cell>
          <cell r="C224" t="str">
            <v>Not Listed</v>
          </cell>
        </row>
        <row r="225">
          <cell r="A225" t="str">
            <v>Ambassador Intra Holdings Ltd</v>
          </cell>
          <cell r="B225">
            <v>542524</v>
          </cell>
          <cell r="C225" t="str">
            <v>AIHL</v>
          </cell>
        </row>
        <row r="226">
          <cell r="A226" t="str">
            <v>AMBER ENTERPRISES (INDIA) LTD</v>
          </cell>
          <cell r="B226">
            <v>540902</v>
          </cell>
          <cell r="C226" t="str">
            <v>AMBER</v>
          </cell>
        </row>
        <row r="227">
          <cell r="A227" t="str">
            <v>AMBER ENTERPRISES INDIA LTD</v>
          </cell>
          <cell r="B227">
            <v>540902</v>
          </cell>
          <cell r="C227" t="str">
            <v>AMBER</v>
          </cell>
        </row>
        <row r="228">
          <cell r="A228" t="str">
            <v>AMBIKA COTTON MILLS LTD</v>
          </cell>
          <cell r="B228">
            <v>531978</v>
          </cell>
          <cell r="C228" t="str">
            <v>AMBIKCO</v>
          </cell>
        </row>
        <row r="229">
          <cell r="A229" t="str">
            <v>AMBITION MICA LTD</v>
          </cell>
          <cell r="B229">
            <v>539223</v>
          </cell>
          <cell r="C229" t="str">
            <v>Not Listed</v>
          </cell>
        </row>
        <row r="230">
          <cell r="A230" t="str">
            <v>AMBUJA CEMENTS LTD</v>
          </cell>
          <cell r="B230">
            <v>500425</v>
          </cell>
          <cell r="C230" t="str">
            <v>AMBUJACEM</v>
          </cell>
        </row>
        <row r="231">
          <cell r="A231" t="str">
            <v>AMCO (INDIA) LTD</v>
          </cell>
          <cell r="B231">
            <v>530133</v>
          </cell>
          <cell r="C231" t="str">
            <v>Not Listed</v>
          </cell>
        </row>
        <row r="232">
          <cell r="A232" t="str">
            <v>AMCO INDIA LTD</v>
          </cell>
          <cell r="B232">
            <v>530133</v>
          </cell>
          <cell r="C232" t="str">
            <v>Not Listed</v>
          </cell>
        </row>
        <row r="233">
          <cell r="A233" t="str">
            <v>AMD INDUSTRIES LTD</v>
          </cell>
          <cell r="B233">
            <v>532828</v>
          </cell>
          <cell r="C233" t="str">
            <v>AMDIND</v>
          </cell>
        </row>
        <row r="234">
          <cell r="A234" t="str">
            <v>AMFORGE INDUSTRIES LTD</v>
          </cell>
          <cell r="B234">
            <v>513117</v>
          </cell>
          <cell r="C234" t="str">
            <v>Not Listed</v>
          </cell>
        </row>
        <row r="235">
          <cell r="A235" t="str">
            <v>AMIN TANNERY LTD</v>
          </cell>
          <cell r="B235">
            <v>541771</v>
          </cell>
          <cell r="C235" t="str">
            <v>Not Listed</v>
          </cell>
        </row>
        <row r="236">
          <cell r="A236" t="str">
            <v>AMINES &amp; PLASTICIZERS LTD</v>
          </cell>
          <cell r="B236">
            <v>506248</v>
          </cell>
          <cell r="C236" t="str">
            <v>Not Listed</v>
          </cell>
        </row>
        <row r="237">
          <cell r="A237" t="str">
            <v>AMIT INTERNATIONAL LTD</v>
          </cell>
          <cell r="B237">
            <v>531300</v>
          </cell>
          <cell r="C237" t="str">
            <v>Not Listed</v>
          </cell>
        </row>
        <row r="238">
          <cell r="A238" t="str">
            <v>AMIT SECURITIES LTD</v>
          </cell>
          <cell r="B238">
            <v>531557</v>
          </cell>
          <cell r="C238" t="str">
            <v>Not Listed</v>
          </cell>
        </row>
        <row r="239">
          <cell r="A239" t="str">
            <v>AMJ LAND HOLDINGS LTD</v>
          </cell>
          <cell r="B239">
            <v>500343</v>
          </cell>
          <cell r="C239" t="str">
            <v>AMJLAND</v>
          </cell>
        </row>
        <row r="240">
          <cell r="A240" t="str">
            <v>AMRADEEP INDUSTRIES LTD</v>
          </cell>
          <cell r="B240">
            <v>531681</v>
          </cell>
          <cell r="C240" t="str">
            <v>Not Listed</v>
          </cell>
        </row>
        <row r="241">
          <cell r="A241" t="str">
            <v>AMRAPALI CAPITAL AND FINANCE SERVICES LTD</v>
          </cell>
          <cell r="B241">
            <v>536737</v>
          </cell>
          <cell r="C241" t="str">
            <v>Not Listed</v>
          </cell>
        </row>
        <row r="242">
          <cell r="A242" t="str">
            <v>AMRAPALI FINCAP LTD</v>
          </cell>
          <cell r="B242">
            <v>539265</v>
          </cell>
          <cell r="C242" t="str">
            <v>Not Listed</v>
          </cell>
        </row>
        <row r="243">
          <cell r="A243" t="str">
            <v>AMRAPALI INDUSTRIES LTD</v>
          </cell>
          <cell r="B243">
            <v>526241</v>
          </cell>
          <cell r="C243" t="str">
            <v>Not Listed</v>
          </cell>
        </row>
        <row r="244">
          <cell r="A244" t="str">
            <v>AMRAWORLD AGRICO LTD</v>
          </cell>
          <cell r="B244">
            <v>531991</v>
          </cell>
          <cell r="C244" t="str">
            <v>Not Listed</v>
          </cell>
        </row>
        <row r="245">
          <cell r="A245" t="str">
            <v>AMRIT CORP LTD</v>
          </cell>
          <cell r="B245">
            <v>507525</v>
          </cell>
          <cell r="C245" t="str">
            <v>Not Listed</v>
          </cell>
        </row>
        <row r="246">
          <cell r="A246" t="str">
            <v>AMRUTANJAN HEALTH CARE LTD</v>
          </cell>
          <cell r="B246">
            <v>590006</v>
          </cell>
          <cell r="C246" t="str">
            <v>AMRUTANJAN</v>
          </cell>
        </row>
        <row r="247">
          <cell r="A247" t="str">
            <v>AMSONS APPARELS LTD</v>
          </cell>
          <cell r="B247">
            <v>538861</v>
          </cell>
          <cell r="C247" t="str">
            <v>Not Listed</v>
          </cell>
        </row>
        <row r="248">
          <cell r="A248" t="str">
            <v>ANAND PROJECTS LTD</v>
          </cell>
          <cell r="B248">
            <v>501630</v>
          </cell>
          <cell r="C248" t="str">
            <v>Not Listed</v>
          </cell>
        </row>
        <row r="249">
          <cell r="A249" t="str">
            <v>ANANT RAJ LTD</v>
          </cell>
          <cell r="B249">
            <v>515055</v>
          </cell>
          <cell r="C249" t="str">
            <v>ANANTRAJ</v>
          </cell>
        </row>
        <row r="250">
          <cell r="A250" t="str">
            <v>ANDHRA BANK</v>
          </cell>
          <cell r="B250">
            <v>532418</v>
          </cell>
          <cell r="C250" t="str">
            <v>ANDHRABANK</v>
          </cell>
        </row>
        <row r="251">
          <cell r="A251" t="str">
            <v>ANDHRA CEMENTS LTD</v>
          </cell>
          <cell r="B251">
            <v>532141</v>
          </cell>
          <cell r="C251" t="str">
            <v>ANDHRACEMT</v>
          </cell>
        </row>
        <row r="252">
          <cell r="A252" t="str">
            <v>ANDHRA PETROCHEMICALS LTD</v>
          </cell>
          <cell r="B252">
            <v>500012</v>
          </cell>
          <cell r="C252" t="str">
            <v>Not Listed</v>
          </cell>
        </row>
        <row r="253">
          <cell r="A253" t="str">
            <v>ANDREW YULE &amp; COMPANY LTD</v>
          </cell>
          <cell r="B253">
            <v>526173</v>
          </cell>
          <cell r="C253" t="str">
            <v>Not Listed</v>
          </cell>
        </row>
        <row r="254">
          <cell r="A254" t="str">
            <v>ANERI FINCAP LTD</v>
          </cell>
          <cell r="B254">
            <v>531252</v>
          </cell>
          <cell r="C254" t="str">
            <v>Not Listed</v>
          </cell>
        </row>
        <row r="255">
          <cell r="A255" t="str">
            <v>ANG INDUSTRIES LTD</v>
          </cell>
          <cell r="B255">
            <v>530721</v>
          </cell>
          <cell r="C255" t="str">
            <v>ANGIND</v>
          </cell>
        </row>
        <row r="256">
          <cell r="A256" t="str">
            <v>ANG LIFESCIENCES (INDIA) LTD</v>
          </cell>
          <cell r="B256">
            <v>540694</v>
          </cell>
          <cell r="C256" t="str">
            <v>Not Listed</v>
          </cell>
        </row>
        <row r="257">
          <cell r="A257" t="str">
            <v>ANG LIFESCIENCES INDIA LTD</v>
          </cell>
          <cell r="B257">
            <v>540694</v>
          </cell>
          <cell r="C257" t="str">
            <v>Not Listed</v>
          </cell>
        </row>
        <row r="258">
          <cell r="A258" t="str">
            <v>ANGEL FIBERS LTD</v>
          </cell>
          <cell r="B258">
            <v>541006</v>
          </cell>
          <cell r="C258" t="str">
            <v>Not Listed</v>
          </cell>
        </row>
        <row r="259">
          <cell r="A259" t="str">
            <v>ANI INTEGRATED SERVICES LTD</v>
          </cell>
          <cell r="B259" t="str">
            <v>Not Listed</v>
          </cell>
          <cell r="C259" t="str">
            <v>AISL</v>
          </cell>
        </row>
        <row r="260">
          <cell r="A260" t="str">
            <v>ANIK INDUSTRIES LTD</v>
          </cell>
          <cell r="B260">
            <v>519383</v>
          </cell>
          <cell r="C260" t="str">
            <v>ANIKINDS</v>
          </cell>
        </row>
        <row r="261">
          <cell r="A261" t="str">
            <v>ANISHA IMPEX LTD</v>
          </cell>
          <cell r="B261">
            <v>537785</v>
          </cell>
          <cell r="C261" t="str">
            <v>Not Listed</v>
          </cell>
        </row>
        <row r="262">
          <cell r="A262" t="str">
            <v>ANJANI FINANCE LTD</v>
          </cell>
          <cell r="B262">
            <v>531878</v>
          </cell>
          <cell r="C262" t="str">
            <v>Not Listed</v>
          </cell>
        </row>
        <row r="263">
          <cell r="A263" t="str">
            <v>ANJANI FOODS LTD</v>
          </cell>
          <cell r="B263">
            <v>511153</v>
          </cell>
          <cell r="C263" t="str">
            <v>Not Listed</v>
          </cell>
        </row>
        <row r="264">
          <cell r="A264" t="str">
            <v>ANJANI PORTLAND CEMENT LTD</v>
          </cell>
          <cell r="B264">
            <v>518091</v>
          </cell>
          <cell r="C264" t="str">
            <v>APCL</v>
          </cell>
        </row>
        <row r="265">
          <cell r="A265" t="str">
            <v>ANJANI SYNTHETICS LTD</v>
          </cell>
          <cell r="B265">
            <v>531223</v>
          </cell>
          <cell r="C265" t="str">
            <v>Not Listed</v>
          </cell>
        </row>
        <row r="266">
          <cell r="A266" t="str">
            <v>ANKA (INDIA) LTD</v>
          </cell>
          <cell r="B266">
            <v>531673</v>
          </cell>
          <cell r="C266" t="str">
            <v>Not Listed</v>
          </cell>
        </row>
        <row r="267">
          <cell r="A267" t="str">
            <v>ANKA INDIA LTD</v>
          </cell>
          <cell r="B267">
            <v>531673</v>
          </cell>
          <cell r="C267" t="str">
            <v>Not Listed</v>
          </cell>
        </row>
        <row r="268">
          <cell r="A268" t="str">
            <v>ANKIT METAL &amp; POWER LTD</v>
          </cell>
          <cell r="B268">
            <v>532870</v>
          </cell>
          <cell r="C268" t="str">
            <v>ANKITMETAL</v>
          </cell>
        </row>
        <row r="269">
          <cell r="A269" t="str">
            <v>ANKUSH FINSTOCK LTD</v>
          </cell>
          <cell r="B269">
            <v>531519</v>
          </cell>
          <cell r="C269" t="str">
            <v>Not Listed</v>
          </cell>
        </row>
        <row r="270">
          <cell r="A270" t="str">
            <v>Anmol India Ltd</v>
          </cell>
          <cell r="B270">
            <v>542437</v>
          </cell>
          <cell r="C270" t="str">
            <v>ANMOL</v>
          </cell>
        </row>
        <row r="271">
          <cell r="A271" t="str">
            <v>ANNA INFRASTRUCTURES LTD</v>
          </cell>
          <cell r="B271">
            <v>530799</v>
          </cell>
          <cell r="C271" t="str">
            <v>Not Listed</v>
          </cell>
        </row>
        <row r="272">
          <cell r="A272" t="str">
            <v>ANS INDUSTRIES LTD</v>
          </cell>
          <cell r="B272">
            <v>531406</v>
          </cell>
          <cell r="C272" t="str">
            <v>Not Listed</v>
          </cell>
        </row>
        <row r="273">
          <cell r="A273" t="str">
            <v>ANSAL BUILDWELL LTD</v>
          </cell>
          <cell r="B273">
            <v>523007</v>
          </cell>
          <cell r="C273" t="str">
            <v>Not Listed</v>
          </cell>
        </row>
        <row r="274">
          <cell r="A274" t="str">
            <v>ANSAL HOUSING AND CONSTRUCTION LTD</v>
          </cell>
          <cell r="B274">
            <v>507828</v>
          </cell>
          <cell r="C274" t="str">
            <v>ANSALHSG</v>
          </cell>
        </row>
        <row r="275">
          <cell r="A275" t="str">
            <v>ANSAL PROPERTIES &amp; INFRASTRUCTURE LTD</v>
          </cell>
          <cell r="B275">
            <v>500013</v>
          </cell>
          <cell r="C275" t="str">
            <v>ANSALAPI</v>
          </cell>
        </row>
        <row r="276">
          <cell r="A276" t="str">
            <v>ANSHUNI COMMERCIALS LTD</v>
          </cell>
          <cell r="B276">
            <v>512091</v>
          </cell>
          <cell r="C276" t="str">
            <v>Not Listed</v>
          </cell>
        </row>
        <row r="277">
          <cell r="A277" t="str">
            <v>ANTARCTICA LTD</v>
          </cell>
          <cell r="B277" t="str">
            <v>Not Listed</v>
          </cell>
          <cell r="C277" t="str">
            <v>ANTGRAPHIC</v>
          </cell>
        </row>
        <row r="278">
          <cell r="A278" t="str">
            <v>ANTARIKSH INDUSTRIES LTD</v>
          </cell>
          <cell r="B278">
            <v>501270</v>
          </cell>
          <cell r="C278" t="str">
            <v>Not Listed</v>
          </cell>
        </row>
        <row r="279">
          <cell r="A279" t="str">
            <v>ANUBHAV INDUSTRIAL RESOURCES LTD</v>
          </cell>
          <cell r="B279">
            <v>539697</v>
          </cell>
          <cell r="C279" t="str">
            <v>Not Listed</v>
          </cell>
        </row>
        <row r="280">
          <cell r="A280" t="str">
            <v>ANUBHAV INFRASTRUCTURE LTD</v>
          </cell>
          <cell r="B280">
            <v>538833</v>
          </cell>
          <cell r="C280" t="str">
            <v>Not Listed</v>
          </cell>
        </row>
        <row r="281">
          <cell r="A281" t="str">
            <v>ANUH PHARMA LTD</v>
          </cell>
          <cell r="B281">
            <v>506260</v>
          </cell>
          <cell r="C281" t="str">
            <v>Not Listed</v>
          </cell>
        </row>
        <row r="282">
          <cell r="A282" t="str">
            <v>ANUP MALLEABLE LTD</v>
          </cell>
          <cell r="B282">
            <v>506087</v>
          </cell>
          <cell r="C282" t="str">
            <v>Not Listed</v>
          </cell>
        </row>
        <row r="283">
          <cell r="A283" t="str">
            <v>ANUPAM FINSERV LTD</v>
          </cell>
          <cell r="B283">
            <v>530109</v>
          </cell>
          <cell r="C283" t="str">
            <v>Not Listed</v>
          </cell>
        </row>
        <row r="284">
          <cell r="A284" t="str">
            <v>APAR INDUSTRIES LTD</v>
          </cell>
          <cell r="B284">
            <v>532259</v>
          </cell>
          <cell r="C284" t="str">
            <v>APARINDS</v>
          </cell>
        </row>
        <row r="285">
          <cell r="A285" t="str">
            <v>APCOTEX INDUSTRIES LTD</v>
          </cell>
          <cell r="B285">
            <v>523694</v>
          </cell>
          <cell r="C285" t="str">
            <v>APCOTEXIND</v>
          </cell>
        </row>
        <row r="286">
          <cell r="A286" t="str">
            <v>APEX FROZEN FOODS LTD</v>
          </cell>
          <cell r="B286">
            <v>540692</v>
          </cell>
          <cell r="C286" t="str">
            <v>APEX</v>
          </cell>
        </row>
        <row r="287">
          <cell r="A287" t="str">
            <v>APEX HOME FINANCE LTD</v>
          </cell>
          <cell r="B287">
            <v>541133</v>
          </cell>
          <cell r="C287" t="str">
            <v>Not Listed</v>
          </cell>
        </row>
        <row r="288">
          <cell r="A288" t="str">
            <v>APIS (INDIA) LTD</v>
          </cell>
          <cell r="B288">
            <v>506166</v>
          </cell>
          <cell r="C288" t="str">
            <v>Not Listed</v>
          </cell>
        </row>
        <row r="289">
          <cell r="A289" t="str">
            <v>APIS INDIA LTD</v>
          </cell>
          <cell r="B289">
            <v>506166</v>
          </cell>
          <cell r="C289" t="str">
            <v>Not Listed</v>
          </cell>
        </row>
        <row r="290">
          <cell r="A290" t="str">
            <v>APL APOLLO TUBES LTD</v>
          </cell>
          <cell r="B290">
            <v>533758</v>
          </cell>
          <cell r="C290" t="str">
            <v>APLAPOLLO</v>
          </cell>
        </row>
        <row r="291">
          <cell r="A291" t="str">
            <v>APLAB LTD</v>
          </cell>
          <cell r="B291">
            <v>517096</v>
          </cell>
          <cell r="C291" t="str">
            <v>Not Listed</v>
          </cell>
        </row>
        <row r="292">
          <cell r="A292" t="str">
            <v>Aplaya Creations Ltd</v>
          </cell>
          <cell r="B292">
            <v>511064</v>
          </cell>
          <cell r="C292" t="str">
            <v>APLAYA</v>
          </cell>
        </row>
        <row r="293">
          <cell r="A293" t="str">
            <v>APM INDUSTRIES LTD</v>
          </cell>
          <cell r="B293">
            <v>523537</v>
          </cell>
          <cell r="C293" t="str">
            <v>Not Listed</v>
          </cell>
        </row>
        <row r="294">
          <cell r="A294" t="str">
            <v>APOLLO FINVEST (INDIA) LTD</v>
          </cell>
          <cell r="B294">
            <v>512437</v>
          </cell>
          <cell r="C294" t="str">
            <v>Not Listed</v>
          </cell>
        </row>
        <row r="295">
          <cell r="A295" t="str">
            <v>APOLLO FINVEST INDIA LTD</v>
          </cell>
          <cell r="B295">
            <v>512437</v>
          </cell>
          <cell r="C295" t="str">
            <v>Not Listed</v>
          </cell>
        </row>
        <row r="296">
          <cell r="A296" t="str">
            <v>APOLLO HOSPITALS ENTERPRISE LTD</v>
          </cell>
          <cell r="B296">
            <v>508869</v>
          </cell>
          <cell r="C296" t="str">
            <v>APOLLOHOSP</v>
          </cell>
        </row>
        <row r="297">
          <cell r="A297" t="str">
            <v>APOLLO MICRO SYSTEMS LTD</v>
          </cell>
          <cell r="B297">
            <v>540879</v>
          </cell>
          <cell r="C297" t="str">
            <v>APOLLO</v>
          </cell>
        </row>
        <row r="298">
          <cell r="A298" t="str">
            <v>APOLLO PIPES LTD</v>
          </cell>
          <cell r="B298">
            <v>531761</v>
          </cell>
          <cell r="C298" t="str">
            <v>Not Listed</v>
          </cell>
        </row>
        <row r="299">
          <cell r="A299" t="str">
            <v>APOLLO SINDOORI HOTELS LTD</v>
          </cell>
          <cell r="B299" t="str">
            <v>Not Listed</v>
          </cell>
          <cell r="C299" t="str">
            <v>APOLSINHOT</v>
          </cell>
        </row>
        <row r="300">
          <cell r="A300" t="str">
            <v>APOLLO TRICOAT TUBES LTD</v>
          </cell>
          <cell r="B300">
            <v>538566</v>
          </cell>
          <cell r="C300" t="str">
            <v>Not Listed</v>
          </cell>
        </row>
        <row r="301">
          <cell r="A301" t="str">
            <v>APOLLO TYRES LTD</v>
          </cell>
          <cell r="B301">
            <v>500877</v>
          </cell>
          <cell r="C301" t="str">
            <v>APOLLOTYRE</v>
          </cell>
        </row>
        <row r="302">
          <cell r="A302" t="str">
            <v>APOORVA LEASING FINANCE AND INVESTMENT COMPANY LTD</v>
          </cell>
          <cell r="B302">
            <v>539545</v>
          </cell>
          <cell r="C302" t="str">
            <v>Not Listed</v>
          </cell>
        </row>
        <row r="303">
          <cell r="A303" t="str">
            <v>APPLE FINANCE LTD</v>
          </cell>
          <cell r="B303">
            <v>500014</v>
          </cell>
          <cell r="C303" t="str">
            <v>Not Listed</v>
          </cell>
        </row>
        <row r="304">
          <cell r="A304" t="str">
            <v>APTECH LTD</v>
          </cell>
          <cell r="B304">
            <v>532475</v>
          </cell>
          <cell r="C304" t="str">
            <v>APTECHT</v>
          </cell>
        </row>
        <row r="305">
          <cell r="A305" t="str">
            <v>APUNKA INVEST COMMERCIAL LTD</v>
          </cell>
          <cell r="B305">
            <v>539469</v>
          </cell>
          <cell r="C305" t="str">
            <v>Not Listed</v>
          </cell>
        </row>
        <row r="306">
          <cell r="A306" t="str">
            <v>AQUA PUMPS INFRA VENTURES LTD</v>
          </cell>
          <cell r="B306">
            <v>531364</v>
          </cell>
          <cell r="C306" t="str">
            <v>Not Listed</v>
          </cell>
        </row>
        <row r="307">
          <cell r="A307" t="str">
            <v>ARAMBHAN HOSPITALITY SERVICES LTD</v>
          </cell>
          <cell r="B307">
            <v>539403</v>
          </cell>
          <cell r="C307" t="str">
            <v>Not Listed</v>
          </cell>
        </row>
        <row r="308">
          <cell r="A308" t="str">
            <v>ARC FINANCE LTD</v>
          </cell>
          <cell r="B308">
            <v>540135</v>
          </cell>
          <cell r="C308" t="str">
            <v>Not Listed</v>
          </cell>
        </row>
        <row r="309">
          <cell r="A309" t="str">
            <v>ARCEE INDUSTRIES LTD</v>
          </cell>
          <cell r="B309">
            <v>520121</v>
          </cell>
          <cell r="C309" t="str">
            <v>Not Listed</v>
          </cell>
        </row>
        <row r="310">
          <cell r="A310" t="str">
            <v>ARCHANA SOFTWARE LTD</v>
          </cell>
          <cell r="B310">
            <v>530565</v>
          </cell>
          <cell r="C310" t="str">
            <v>Not Listed</v>
          </cell>
        </row>
        <row r="311">
          <cell r="A311" t="str">
            <v>ARCHIDPLY INDUSTRIES LTD</v>
          </cell>
          <cell r="B311">
            <v>532994</v>
          </cell>
          <cell r="C311" t="str">
            <v>ARCHIDPLY</v>
          </cell>
        </row>
        <row r="312">
          <cell r="A312" t="str">
            <v>ARCHIES LTD</v>
          </cell>
          <cell r="B312">
            <v>532212</v>
          </cell>
          <cell r="C312" t="str">
            <v>ARCHIES</v>
          </cell>
        </row>
        <row r="313">
          <cell r="A313" t="str">
            <v>ARCHIT ORGANOSYS LTD</v>
          </cell>
          <cell r="B313">
            <v>524640</v>
          </cell>
          <cell r="C313" t="str">
            <v>Not Listed</v>
          </cell>
        </row>
        <row r="314">
          <cell r="A314" t="str">
            <v>ARCOTECH LTD</v>
          </cell>
          <cell r="B314">
            <v>532914</v>
          </cell>
          <cell r="C314" t="str">
            <v>ARCOTECH</v>
          </cell>
        </row>
        <row r="315">
          <cell r="A315" t="str">
            <v>ARDI INVESTMENT &amp; TRADING LTD</v>
          </cell>
          <cell r="B315">
            <v>504370</v>
          </cell>
          <cell r="C315" t="str">
            <v>Not Listed</v>
          </cell>
        </row>
        <row r="316">
          <cell r="A316" t="str">
            <v>AREX INDUSTRIES LTD</v>
          </cell>
          <cell r="B316">
            <v>526851</v>
          </cell>
          <cell r="C316" t="str">
            <v>Not Listed</v>
          </cell>
        </row>
        <row r="317">
          <cell r="A317" t="str">
            <v>ARFIN (INDIA) LTD</v>
          </cell>
          <cell r="B317">
            <v>539151</v>
          </cell>
          <cell r="C317" t="str">
            <v>Not Listed</v>
          </cell>
        </row>
        <row r="318">
          <cell r="A318" t="str">
            <v>ARFIN INDIA LTD</v>
          </cell>
          <cell r="B318">
            <v>539151</v>
          </cell>
          <cell r="C318" t="str">
            <v>Not Listed</v>
          </cell>
        </row>
        <row r="319">
          <cell r="A319" t="str">
            <v>ARIES AGRO LTD</v>
          </cell>
          <cell r="B319">
            <v>532935</v>
          </cell>
          <cell r="C319" t="str">
            <v>ARIES</v>
          </cell>
        </row>
        <row r="320">
          <cell r="A320" t="str">
            <v>ARIHANT CAPITAL MARKETS LTD</v>
          </cell>
          <cell r="B320">
            <v>511605</v>
          </cell>
          <cell r="C320" t="str">
            <v>Not Listed</v>
          </cell>
        </row>
        <row r="321">
          <cell r="A321" t="str">
            <v>ARIHANT FOUNDATIONS &amp; HOUSING LTD</v>
          </cell>
          <cell r="B321">
            <v>531381</v>
          </cell>
          <cell r="C321" t="str">
            <v>ARIHANT</v>
          </cell>
        </row>
        <row r="322">
          <cell r="A322" t="str">
            <v>ARIHANT INSTITUTE LTD</v>
          </cell>
          <cell r="B322">
            <v>541401</v>
          </cell>
          <cell r="C322" t="str">
            <v>Not Listed</v>
          </cell>
        </row>
        <row r="323">
          <cell r="A323" t="str">
            <v>ARIHANT SUPERSTRUCTURES LTD</v>
          </cell>
          <cell r="B323">
            <v>506194</v>
          </cell>
          <cell r="C323" t="str">
            <v>ARIHANTSUP</v>
          </cell>
        </row>
        <row r="324">
          <cell r="A324" t="str">
            <v>ARIHANT TOURNESOL LTD</v>
          </cell>
          <cell r="B324">
            <v>526125</v>
          </cell>
          <cell r="C324" t="str">
            <v>Not Listed</v>
          </cell>
        </row>
        <row r="325">
          <cell r="A325" t="str">
            <v>ARIHANT'S SECURITIES LTD</v>
          </cell>
          <cell r="B325">
            <v>531017</v>
          </cell>
          <cell r="C325" t="str">
            <v>Not Listed</v>
          </cell>
        </row>
        <row r="326">
          <cell r="A326" t="str">
            <v>ARIS INTERNATIONAL LTD</v>
          </cell>
          <cell r="B326">
            <v>531677</v>
          </cell>
          <cell r="C326" t="str">
            <v>Not Listed</v>
          </cell>
        </row>
        <row r="327">
          <cell r="A327" t="str">
            <v>ARMAN FINANCIAL SERVICES LTD</v>
          </cell>
          <cell r="B327">
            <v>531179</v>
          </cell>
          <cell r="C327" t="str">
            <v>ARMANFIN</v>
          </cell>
        </row>
        <row r="328">
          <cell r="A328" t="str">
            <v>Arman Holdings Ltd</v>
          </cell>
          <cell r="B328">
            <v>538556</v>
          </cell>
          <cell r="C328" t="str">
            <v>ARMAN</v>
          </cell>
        </row>
        <row r="329">
          <cell r="A329" t="str">
            <v>ARMS PAPER LTD</v>
          </cell>
          <cell r="B329">
            <v>532397</v>
          </cell>
          <cell r="C329" t="str">
            <v>Not Listed</v>
          </cell>
        </row>
        <row r="330">
          <cell r="A330" t="str">
            <v>ARNAV CORPORATION LTD</v>
          </cell>
          <cell r="B330">
            <v>531467</v>
          </cell>
          <cell r="C330" t="str">
            <v>Not Listed</v>
          </cell>
        </row>
        <row r="331">
          <cell r="A331" t="str">
            <v>ARNOLD HOLDINGS LTD</v>
          </cell>
          <cell r="B331">
            <v>537069</v>
          </cell>
          <cell r="C331" t="str">
            <v>Not Listed</v>
          </cell>
        </row>
        <row r="332">
          <cell r="A332" t="str">
            <v>ARO GRANITE INDUSTRIES LTD</v>
          </cell>
          <cell r="B332">
            <v>513729</v>
          </cell>
          <cell r="C332" t="str">
            <v>AROGRANITE</v>
          </cell>
        </row>
        <row r="333">
          <cell r="A333" t="str">
            <v>AROMA ENTERPRISES (INDIA) LTD</v>
          </cell>
          <cell r="B333">
            <v>531560</v>
          </cell>
          <cell r="C333" t="str">
            <v>Not Listed</v>
          </cell>
        </row>
        <row r="334">
          <cell r="A334" t="str">
            <v>AROMA ENTERPRISES INDIA LTD</v>
          </cell>
          <cell r="B334">
            <v>531560</v>
          </cell>
          <cell r="C334" t="str">
            <v>Not Listed</v>
          </cell>
        </row>
        <row r="335">
          <cell r="A335" t="str">
            <v>ARROW GREENTECH LTD</v>
          </cell>
          <cell r="B335">
            <v>516064</v>
          </cell>
          <cell r="C335" t="str">
            <v>ARROWGREEN</v>
          </cell>
        </row>
        <row r="336">
          <cell r="A336" t="str">
            <v>ARROW TEXTILES LTD</v>
          </cell>
          <cell r="B336">
            <v>533068</v>
          </cell>
          <cell r="C336" t="str">
            <v>ARROWTEX</v>
          </cell>
        </row>
        <row r="337">
          <cell r="A337" t="str">
            <v>ARSHIYA LTD</v>
          </cell>
          <cell r="B337">
            <v>506074</v>
          </cell>
          <cell r="C337" t="str">
            <v>ARSHIYA</v>
          </cell>
        </row>
        <row r="338">
          <cell r="A338" t="str">
            <v>ARSS INFRASTRUCTURE PROJECTS LTD</v>
          </cell>
          <cell r="B338">
            <v>533163</v>
          </cell>
          <cell r="C338" t="str">
            <v>ARSSINFRA</v>
          </cell>
        </row>
        <row r="339">
          <cell r="A339" t="str">
            <v>ART NIRMAN LTD</v>
          </cell>
          <cell r="B339" t="str">
            <v>Not Listed</v>
          </cell>
          <cell r="C339" t="str">
            <v>ARTNIRMAN</v>
          </cell>
        </row>
        <row r="340">
          <cell r="A340" t="str">
            <v>ARTECH POWER &amp; TRADING LTD</v>
          </cell>
          <cell r="B340">
            <v>517481</v>
          </cell>
          <cell r="C340" t="str">
            <v>Not Listed</v>
          </cell>
        </row>
        <row r="341">
          <cell r="A341" t="str">
            <v>ARTEFACT PROJECTS LTD</v>
          </cell>
          <cell r="B341">
            <v>531297</v>
          </cell>
          <cell r="C341" t="str">
            <v>Not Listed</v>
          </cell>
        </row>
        <row r="342">
          <cell r="A342" t="str">
            <v>Artemis Electricals Ltd</v>
          </cell>
          <cell r="B342">
            <v>542670</v>
          </cell>
          <cell r="C342" t="str">
            <v>ARTEMISELC</v>
          </cell>
        </row>
        <row r="343">
          <cell r="A343" t="str">
            <v>ARTEMIS GLOBAL LIFE SCIENCES LTD</v>
          </cell>
          <cell r="B343">
            <v>540616</v>
          </cell>
          <cell r="C343" t="str">
            <v>AGLSL</v>
          </cell>
        </row>
        <row r="344">
          <cell r="A344" t="str">
            <v>ARTSON ENGINEERING LTD</v>
          </cell>
          <cell r="B344">
            <v>522134</v>
          </cell>
          <cell r="C344" t="str">
            <v>Not Listed</v>
          </cell>
        </row>
        <row r="345">
          <cell r="A345" t="str">
            <v>ARUNA HOTELS LTD</v>
          </cell>
          <cell r="B345">
            <v>500016</v>
          </cell>
          <cell r="C345" t="str">
            <v>Not Listed</v>
          </cell>
        </row>
        <row r="346">
          <cell r="A346" t="str">
            <v>ARVEE LABORATORIES (INDIA) LTD</v>
          </cell>
          <cell r="B346" t="str">
            <v>Not Listed</v>
          </cell>
          <cell r="C346" t="str">
            <v>ARVEE</v>
          </cell>
        </row>
        <row r="347">
          <cell r="A347" t="str">
            <v>ARVEE LABORATORIES INDIA LTD</v>
          </cell>
          <cell r="B347" t="str">
            <v>Not Listed</v>
          </cell>
          <cell r="C347" t="str">
            <v>ARVEE</v>
          </cell>
        </row>
        <row r="348">
          <cell r="A348" t="str">
            <v>Arvind Fashions Ltd</v>
          </cell>
          <cell r="B348">
            <v>542484</v>
          </cell>
          <cell r="C348" t="str">
            <v>ARVINDFASN</v>
          </cell>
        </row>
        <row r="349">
          <cell r="A349" t="str">
            <v>ARVIND LTD</v>
          </cell>
          <cell r="B349">
            <v>500101</v>
          </cell>
          <cell r="C349" t="str">
            <v>ARVIND</v>
          </cell>
        </row>
        <row r="350">
          <cell r="A350" t="str">
            <v>ARVIND SMARTSPACES LTD</v>
          </cell>
          <cell r="B350">
            <v>539301</v>
          </cell>
          <cell r="C350" t="str">
            <v>ARVSMART</v>
          </cell>
        </row>
        <row r="351">
          <cell r="A351" t="str">
            <v>ARYAMAN CAPITAL MARKETS LTD</v>
          </cell>
          <cell r="B351">
            <v>538716</v>
          </cell>
          <cell r="C351" t="str">
            <v>Not Listed</v>
          </cell>
        </row>
        <row r="352">
          <cell r="A352" t="str">
            <v>ARYAMAN FINANCIAL SERVICES LTD</v>
          </cell>
          <cell r="B352">
            <v>530245</v>
          </cell>
          <cell r="C352" t="str">
            <v>Not Listed</v>
          </cell>
        </row>
        <row r="353">
          <cell r="A353" t="str">
            <v>Aryan Share and Stock Brokers Ltd</v>
          </cell>
          <cell r="B353">
            <v>542176</v>
          </cell>
          <cell r="C353" t="str">
            <v>ARYAN</v>
          </cell>
        </row>
        <row r="354">
          <cell r="A354" t="str">
            <v>ASAHI INDIA GLASS LTD</v>
          </cell>
          <cell r="B354">
            <v>515030</v>
          </cell>
          <cell r="C354" t="str">
            <v>ASAHIINDIA</v>
          </cell>
        </row>
        <row r="355">
          <cell r="A355" t="str">
            <v>ASAHI INDUSTRIES LTD</v>
          </cell>
          <cell r="B355">
            <v>514482</v>
          </cell>
          <cell r="C355" t="str">
            <v>Not Listed</v>
          </cell>
        </row>
        <row r="356">
          <cell r="A356" t="str">
            <v>ASAHI SONGWON COLORS LTD</v>
          </cell>
          <cell r="B356">
            <v>532853</v>
          </cell>
          <cell r="C356" t="str">
            <v>ASAHISONG</v>
          </cell>
        </row>
        <row r="357">
          <cell r="A357" t="str">
            <v>ASHAPURA INTIMATES FASHION LTD</v>
          </cell>
          <cell r="B357">
            <v>535467</v>
          </cell>
          <cell r="C357" t="str">
            <v>AIFL</v>
          </cell>
        </row>
        <row r="358">
          <cell r="A358" t="str">
            <v>ASHAPURA MINECHEM LTD</v>
          </cell>
          <cell r="B358">
            <v>527001</v>
          </cell>
          <cell r="C358" t="str">
            <v>ASHAPURMIN</v>
          </cell>
        </row>
        <row r="359">
          <cell r="A359" t="str">
            <v>Ashapuri Gold Ornament Ltd</v>
          </cell>
          <cell r="B359">
            <v>542579</v>
          </cell>
          <cell r="C359" t="str">
            <v>AGOL</v>
          </cell>
        </row>
        <row r="360">
          <cell r="A360" t="str">
            <v>ASHARI AGENCIES LTD</v>
          </cell>
          <cell r="B360">
            <v>540024</v>
          </cell>
          <cell r="C360" t="str">
            <v>Not Listed</v>
          </cell>
        </row>
        <row r="361">
          <cell r="A361" t="str">
            <v>ASHIANA AGRO INDUSTRIES LTD</v>
          </cell>
          <cell r="B361">
            <v>519174</v>
          </cell>
          <cell r="C361" t="str">
            <v>Not Listed</v>
          </cell>
        </row>
        <row r="362">
          <cell r="A362" t="str">
            <v>ASHIANA HOUSING LTD</v>
          </cell>
          <cell r="B362">
            <v>523716</v>
          </cell>
          <cell r="C362" t="str">
            <v>ASHIANA</v>
          </cell>
        </row>
        <row r="363">
          <cell r="A363" t="str">
            <v>ASHIANA ISPAT LTD</v>
          </cell>
          <cell r="B363">
            <v>513401</v>
          </cell>
          <cell r="C363" t="str">
            <v>Not Listed</v>
          </cell>
        </row>
        <row r="364">
          <cell r="A364" t="str">
            <v>ASHIKA CREDIT CAPITAL LTD.</v>
          </cell>
          <cell r="B364">
            <v>590122</v>
          </cell>
          <cell r="C364" t="str">
            <v>ASHIKACR</v>
          </cell>
        </row>
        <row r="365">
          <cell r="A365" t="str">
            <v>ASHIMA LTD</v>
          </cell>
          <cell r="B365">
            <v>514286</v>
          </cell>
          <cell r="C365" t="str">
            <v>ASHIMASYN</v>
          </cell>
        </row>
        <row r="366">
          <cell r="A366" t="str">
            <v>ASHIRWAD CAPITAL LTD</v>
          </cell>
          <cell r="B366">
            <v>512247</v>
          </cell>
          <cell r="C366" t="str">
            <v>Not Listed</v>
          </cell>
        </row>
        <row r="367">
          <cell r="A367" t="str">
            <v>ASHIRWAD STEELS &amp; INDUSTRIES LTD</v>
          </cell>
          <cell r="B367">
            <v>526847</v>
          </cell>
          <cell r="C367" t="str">
            <v>Not Listed</v>
          </cell>
        </row>
        <row r="368">
          <cell r="A368" t="str">
            <v>ASHISH POLYPLAST LTD</v>
          </cell>
          <cell r="B368">
            <v>530429</v>
          </cell>
          <cell r="C368" t="str">
            <v>Not Listed</v>
          </cell>
        </row>
        <row r="369">
          <cell r="A369" t="str">
            <v>ASHNISHA INDUSTRIES LTD</v>
          </cell>
          <cell r="B369">
            <v>541702</v>
          </cell>
          <cell r="C369" t="str">
            <v>Not Listed</v>
          </cell>
        </row>
        <row r="370">
          <cell r="A370" t="str">
            <v>ASHNOOR TEXTILE MILLS LTD</v>
          </cell>
          <cell r="B370">
            <v>507872</v>
          </cell>
          <cell r="C370" t="str">
            <v>Not Listed</v>
          </cell>
        </row>
        <row r="371">
          <cell r="A371" t="str">
            <v>ASHOK ALCO-CHEM LTD</v>
          </cell>
          <cell r="B371">
            <v>524594</v>
          </cell>
          <cell r="C371" t="str">
            <v>Not Listed</v>
          </cell>
        </row>
        <row r="372">
          <cell r="A372" t="str">
            <v>ASHOK LEYLAND LTD</v>
          </cell>
          <cell r="B372">
            <v>500477</v>
          </cell>
          <cell r="C372" t="str">
            <v>ASHOKLEY</v>
          </cell>
        </row>
        <row r="373">
          <cell r="A373" t="str">
            <v>ASHOKA BUILDCON LTD</v>
          </cell>
          <cell r="B373">
            <v>533271</v>
          </cell>
          <cell r="C373" t="str">
            <v>ASHOKA</v>
          </cell>
        </row>
        <row r="374">
          <cell r="A374" t="str">
            <v>ASHOKA METCAST LTD</v>
          </cell>
          <cell r="B374">
            <v>540923</v>
          </cell>
          <cell r="C374" t="str">
            <v>Not Listed</v>
          </cell>
        </row>
        <row r="375">
          <cell r="A375" t="str">
            <v>ASHOKA REFINERIES LTD</v>
          </cell>
          <cell r="B375">
            <v>526983</v>
          </cell>
          <cell r="C375" t="str">
            <v>Not Listed</v>
          </cell>
        </row>
        <row r="376">
          <cell r="A376" t="str">
            <v>ASHRAM ONLINE COM LTD</v>
          </cell>
          <cell r="B376">
            <v>526187</v>
          </cell>
          <cell r="C376" t="str">
            <v>Not Listed</v>
          </cell>
        </row>
        <row r="377">
          <cell r="A377" t="str">
            <v>ASHUTOSH PAPER MILLS LTD</v>
          </cell>
          <cell r="B377">
            <v>531568</v>
          </cell>
          <cell r="C377" t="str">
            <v>Not Listed</v>
          </cell>
        </row>
        <row r="378">
          <cell r="A378" t="str">
            <v>ASI INDUSTRIES LTD</v>
          </cell>
          <cell r="B378">
            <v>502015</v>
          </cell>
          <cell r="C378" t="str">
            <v>Not Listed</v>
          </cell>
        </row>
        <row r="379">
          <cell r="A379" t="str">
            <v>ASIA CAPITAL LTD</v>
          </cell>
          <cell r="B379">
            <v>538777</v>
          </cell>
          <cell r="C379" t="str">
            <v>Not Listed</v>
          </cell>
        </row>
        <row r="380">
          <cell r="A380" t="str">
            <v>ASIA PACK LTD</v>
          </cell>
          <cell r="B380">
            <v>530899</v>
          </cell>
          <cell r="C380" t="str">
            <v>Not Listed</v>
          </cell>
        </row>
        <row r="381">
          <cell r="A381" t="str">
            <v>ASIAN FLORA LTD</v>
          </cell>
          <cell r="B381">
            <v>531392</v>
          </cell>
          <cell r="C381" t="str">
            <v>Not Listed</v>
          </cell>
        </row>
        <row r="382">
          <cell r="A382" t="str">
            <v>ASIAN GRANITO (INDIA) LTD</v>
          </cell>
          <cell r="B382">
            <v>532888</v>
          </cell>
          <cell r="C382" t="str">
            <v>ASIANTILES</v>
          </cell>
        </row>
        <row r="383">
          <cell r="A383" t="str">
            <v>ASIAN GRANITO INDIA LTD</v>
          </cell>
          <cell r="B383">
            <v>532888</v>
          </cell>
          <cell r="C383" t="str">
            <v>ASIANTILES</v>
          </cell>
        </row>
        <row r="384">
          <cell r="A384" t="str">
            <v>ASIAN HOTELS EAST LTD</v>
          </cell>
          <cell r="B384">
            <v>533227</v>
          </cell>
          <cell r="C384" t="str">
            <v>AHLEAST</v>
          </cell>
        </row>
        <row r="385">
          <cell r="A385" t="str">
            <v>ASIAN HOTELS NORTH LTD</v>
          </cell>
          <cell r="B385">
            <v>500023</v>
          </cell>
          <cell r="C385" t="str">
            <v>ASIANHOTNR</v>
          </cell>
        </row>
        <row r="386">
          <cell r="A386" t="str">
            <v>ASIAN HOTELS WEST LTD</v>
          </cell>
          <cell r="B386">
            <v>533221</v>
          </cell>
          <cell r="C386" t="str">
            <v>AHLWEST</v>
          </cell>
        </row>
        <row r="387">
          <cell r="A387" t="str">
            <v>ASIAN OILFIELD SERVICES LTD</v>
          </cell>
          <cell r="B387">
            <v>530355</v>
          </cell>
          <cell r="C387" t="str">
            <v>Not Listed</v>
          </cell>
        </row>
        <row r="388">
          <cell r="A388" t="str">
            <v>ASIAN PAINTS LTD</v>
          </cell>
          <cell r="B388">
            <v>500820</v>
          </cell>
          <cell r="C388" t="str">
            <v>ASIANPAINT</v>
          </cell>
        </row>
        <row r="389">
          <cell r="A389" t="str">
            <v>ASIAN PETROPRODUCTS &amp; EXPORTS LTD</v>
          </cell>
          <cell r="B389">
            <v>524434</v>
          </cell>
          <cell r="C389" t="str">
            <v>Not Listed</v>
          </cell>
        </row>
        <row r="390">
          <cell r="A390" t="str">
            <v>ASIAN STAR CO LTD</v>
          </cell>
          <cell r="B390">
            <v>531847</v>
          </cell>
          <cell r="C390" t="str">
            <v>Not Listed</v>
          </cell>
        </row>
        <row r="391">
          <cell r="A391" t="str">
            <v>ASIAN TEA &amp; EXPORTS LTD</v>
          </cell>
          <cell r="B391">
            <v>519532</v>
          </cell>
          <cell r="C391" t="str">
            <v>Not Listed</v>
          </cell>
        </row>
        <row r="392">
          <cell r="A392" t="str">
            <v>ASIS LOGISTICS LTD</v>
          </cell>
          <cell r="B392">
            <v>506159</v>
          </cell>
          <cell r="C392" t="str">
            <v>ASISL</v>
          </cell>
        </row>
        <row r="393">
          <cell r="A393" t="str">
            <v>ASIT C MEHTA FINANCIAL SERVICES LTD</v>
          </cell>
          <cell r="B393">
            <v>530723</v>
          </cell>
          <cell r="C393" t="str">
            <v>Not Listed</v>
          </cell>
        </row>
        <row r="394">
          <cell r="A394" t="str">
            <v>ASL INDUSTRIES LTD</v>
          </cell>
          <cell r="B394" t="str">
            <v>Not Listed</v>
          </cell>
          <cell r="C394" t="str">
            <v>ASLIND</v>
          </cell>
        </row>
        <row r="395">
          <cell r="A395" t="str">
            <v>ASM TECHNOLOGIES LTD</v>
          </cell>
          <cell r="B395">
            <v>526433</v>
          </cell>
          <cell r="C395" t="str">
            <v>Not Listed</v>
          </cell>
        </row>
        <row r="396">
          <cell r="A396" t="str">
            <v>ASPINWALL AND COMPANY LTD</v>
          </cell>
          <cell r="B396" t="str">
            <v>Not Listed</v>
          </cell>
          <cell r="C396" t="str">
            <v>ASPINWALL</v>
          </cell>
        </row>
        <row r="397">
          <cell r="A397" t="str">
            <v>ASPIRA PATHLAB &amp; DIAGNOSTICS LTD</v>
          </cell>
          <cell r="B397">
            <v>540788</v>
          </cell>
          <cell r="C397" t="str">
            <v>Not Listed</v>
          </cell>
        </row>
        <row r="398">
          <cell r="A398" t="str">
            <v>ASSAM COMPANY (INDIA) LTD</v>
          </cell>
          <cell r="B398">
            <v>500024</v>
          </cell>
          <cell r="C398" t="str">
            <v>ASSAMCO</v>
          </cell>
        </row>
        <row r="399">
          <cell r="A399" t="str">
            <v>ASSAM COMPANY INDIA LTD</v>
          </cell>
          <cell r="B399">
            <v>500024</v>
          </cell>
          <cell r="C399" t="str">
            <v>ASSAMCO</v>
          </cell>
        </row>
        <row r="400">
          <cell r="A400" t="str">
            <v>ASSOCIATED ALCOHOLS &amp; BREWERIES LTD</v>
          </cell>
          <cell r="B400">
            <v>507526</v>
          </cell>
          <cell r="C400" t="str">
            <v>Not Listed</v>
          </cell>
        </row>
        <row r="401">
          <cell r="A401" t="str">
            <v>ASTEC LIFESCIENCES LTD</v>
          </cell>
          <cell r="B401">
            <v>533138</v>
          </cell>
          <cell r="C401" t="str">
            <v>ASTEC</v>
          </cell>
        </row>
        <row r="402">
          <cell r="A402" t="str">
            <v>ASTER DM HEALTHCARE LTD</v>
          </cell>
          <cell r="B402">
            <v>540975</v>
          </cell>
          <cell r="C402" t="str">
            <v>ASTERDM</v>
          </cell>
        </row>
        <row r="403">
          <cell r="A403" t="str">
            <v>ASTRA MICROWAVE PRODUCTS LTD</v>
          </cell>
          <cell r="B403">
            <v>532493</v>
          </cell>
          <cell r="C403" t="str">
            <v>ASTRAMICRO</v>
          </cell>
        </row>
        <row r="404">
          <cell r="A404" t="str">
            <v>ASTRAL POLY TECHNIK LTD</v>
          </cell>
          <cell r="B404">
            <v>532830</v>
          </cell>
          <cell r="C404" t="str">
            <v>ASTRAL</v>
          </cell>
        </row>
        <row r="405">
          <cell r="A405" t="str">
            <v>ASTRAZENECA PHARMA (INDIA) LTD</v>
          </cell>
          <cell r="B405">
            <v>506820</v>
          </cell>
          <cell r="C405" t="str">
            <v>ASTRAZEN</v>
          </cell>
        </row>
        <row r="406">
          <cell r="A406" t="str">
            <v>ASTRAZENECA PHARMA INDIA LTD</v>
          </cell>
          <cell r="B406">
            <v>506820</v>
          </cell>
          <cell r="C406" t="str">
            <v>ASTRAZEN</v>
          </cell>
        </row>
        <row r="407">
          <cell r="A407" t="str">
            <v>ASTRON PAPER &amp; BOARD MILL LTD</v>
          </cell>
          <cell r="B407">
            <v>540824</v>
          </cell>
          <cell r="C407" t="str">
            <v>ASTRON</v>
          </cell>
        </row>
        <row r="408">
          <cell r="A408" t="str">
            <v>ASUTOSH ENTERPRISES LTD</v>
          </cell>
          <cell r="B408">
            <v>512433</v>
          </cell>
          <cell r="C408" t="str">
            <v>Not Listed</v>
          </cell>
        </row>
        <row r="409">
          <cell r="A409" t="str">
            <v>ASYA INFOSOFT LTD</v>
          </cell>
          <cell r="B409">
            <v>511144</v>
          </cell>
          <cell r="C409" t="str">
            <v>Not Listed</v>
          </cell>
        </row>
        <row r="410">
          <cell r="A410" t="str">
            <v>ATHARV ENTERPRISES LTD</v>
          </cell>
          <cell r="B410">
            <v>530187</v>
          </cell>
          <cell r="C410" t="str">
            <v>Not Listed</v>
          </cell>
        </row>
        <row r="411">
          <cell r="A411" t="str">
            <v>ATHENA CONSTRUCTIONS LTD</v>
          </cell>
          <cell r="B411">
            <v>539099</v>
          </cell>
          <cell r="C411" t="str">
            <v>Not Listed</v>
          </cell>
        </row>
        <row r="412">
          <cell r="A412" t="str">
            <v>Athena Global Technologies Ltd-$</v>
          </cell>
          <cell r="B412">
            <v>517429</v>
          </cell>
          <cell r="C412" t="str">
            <v>ATHENAGLO</v>
          </cell>
        </row>
        <row r="413">
          <cell r="A413" t="str">
            <v>ATISHAY LTD</v>
          </cell>
          <cell r="B413">
            <v>538713</v>
          </cell>
          <cell r="C413" t="str">
            <v>Not Listed</v>
          </cell>
        </row>
        <row r="414">
          <cell r="A414" t="str">
            <v>ATLANTA DEVCON LTD</v>
          </cell>
          <cell r="B414">
            <v>526843</v>
          </cell>
          <cell r="C414" t="str">
            <v>Not Listed</v>
          </cell>
        </row>
        <row r="415">
          <cell r="A415" t="str">
            <v>ATLANTA LTD</v>
          </cell>
          <cell r="B415">
            <v>532759</v>
          </cell>
          <cell r="C415" t="str">
            <v>ATLANTA</v>
          </cell>
        </row>
        <row r="416">
          <cell r="A416" t="str">
            <v>ATLAS CYCLES HARYANA LTD</v>
          </cell>
          <cell r="B416">
            <v>505029</v>
          </cell>
          <cell r="C416" t="str">
            <v>ATLASCYCLE</v>
          </cell>
        </row>
        <row r="417">
          <cell r="A417" t="str">
            <v>ATLAS JEWELLERY (INDIA) LTD</v>
          </cell>
          <cell r="B417">
            <v>514394</v>
          </cell>
          <cell r="C417" t="str">
            <v>Not Listed</v>
          </cell>
        </row>
        <row r="418">
          <cell r="A418" t="str">
            <v>ATLAS JEWELLERY INDIA LTD</v>
          </cell>
          <cell r="B418">
            <v>514394</v>
          </cell>
          <cell r="C418" t="str">
            <v>Not Listed</v>
          </cell>
        </row>
        <row r="419">
          <cell r="A419" t="str">
            <v>ATUL AUTO LTD</v>
          </cell>
          <cell r="B419">
            <v>531795</v>
          </cell>
          <cell r="C419" t="str">
            <v>ATULAUTO</v>
          </cell>
        </row>
        <row r="420">
          <cell r="A420" t="str">
            <v>ATUL LTD</v>
          </cell>
          <cell r="B420">
            <v>500027</v>
          </cell>
          <cell r="C420" t="str">
            <v>ATUL</v>
          </cell>
        </row>
        <row r="421">
          <cell r="A421" t="str">
            <v>ATV PROJECTS (INDIA) LTD</v>
          </cell>
          <cell r="B421">
            <v>500028</v>
          </cell>
          <cell r="C421" t="str">
            <v>Not Listed</v>
          </cell>
        </row>
        <row r="422">
          <cell r="A422" t="str">
            <v>ATV PROJECTS INDIA LTD</v>
          </cell>
          <cell r="B422">
            <v>500028</v>
          </cell>
          <cell r="C422" t="str">
            <v>Not Listed</v>
          </cell>
        </row>
        <row r="423">
          <cell r="A423" t="str">
            <v>AU SMALL FINANCE BANK LTD</v>
          </cell>
          <cell r="B423">
            <v>540611</v>
          </cell>
          <cell r="C423" t="str">
            <v>AUBANK</v>
          </cell>
        </row>
        <row r="424">
          <cell r="A424" t="str">
            <v>AUNDE FAZE THREE AUTOFAB LTD</v>
          </cell>
          <cell r="B424">
            <v>532459</v>
          </cell>
          <cell r="C424" t="str">
            <v>Not Listed</v>
          </cell>
        </row>
        <row r="425">
          <cell r="A425" t="str">
            <v>AURANGABAD DISTILLERY LTD</v>
          </cell>
          <cell r="B425" t="str">
            <v>Not Listed</v>
          </cell>
          <cell r="C425" t="str">
            <v>AURDIS</v>
          </cell>
        </row>
        <row r="426">
          <cell r="A426" t="str">
            <v>AURIONPRO SOLUTIONS LTD</v>
          </cell>
          <cell r="B426">
            <v>532668</v>
          </cell>
          <cell r="C426" t="str">
            <v>AURIONPRO</v>
          </cell>
        </row>
        <row r="427">
          <cell r="A427" t="str">
            <v>AURO LABORATORIES LTD</v>
          </cell>
          <cell r="B427">
            <v>530233</v>
          </cell>
          <cell r="C427" t="str">
            <v>Not Listed</v>
          </cell>
        </row>
        <row r="428">
          <cell r="A428" t="str">
            <v>AUROBINDO PHARMA LTD</v>
          </cell>
          <cell r="B428">
            <v>524804</v>
          </cell>
          <cell r="C428" t="str">
            <v>AUROPHARMA</v>
          </cell>
        </row>
        <row r="429">
          <cell r="A429" t="str">
            <v>AUROMA COKE LTD</v>
          </cell>
          <cell r="B429">
            <v>531336</v>
          </cell>
          <cell r="C429" t="str">
            <v>Not Listed</v>
          </cell>
        </row>
        <row r="430">
          <cell r="A430" t="str">
            <v>AUSOM ENTERPRISE LTD</v>
          </cell>
          <cell r="B430">
            <v>509009</v>
          </cell>
          <cell r="C430" t="str">
            <v>AUSOMENT</v>
          </cell>
        </row>
        <row r="431">
          <cell r="A431" t="str">
            <v>AUSTIN ENGINEERING CO LTD</v>
          </cell>
          <cell r="B431">
            <v>522005</v>
          </cell>
          <cell r="C431" t="str">
            <v>Not Listed</v>
          </cell>
        </row>
        <row r="432">
          <cell r="A432" t="str">
            <v>AUTHUM INVESTMENT &amp; INFRASTRUCTURE LTD</v>
          </cell>
          <cell r="B432">
            <v>539177</v>
          </cell>
          <cell r="C432" t="str">
            <v>Not Listed</v>
          </cell>
        </row>
        <row r="433">
          <cell r="A433" t="str">
            <v>AUTO PINS (INDIA) LTD</v>
          </cell>
          <cell r="B433">
            <v>531994</v>
          </cell>
          <cell r="C433" t="str">
            <v>Not Listed</v>
          </cell>
        </row>
        <row r="434">
          <cell r="A434" t="str">
            <v>AUTO PINS INDIA LTD</v>
          </cell>
          <cell r="B434">
            <v>531994</v>
          </cell>
          <cell r="C434" t="str">
            <v>Not Listed</v>
          </cell>
        </row>
        <row r="435">
          <cell r="A435" t="str">
            <v>AUTOLINE INDUSTRIES LTD</v>
          </cell>
          <cell r="B435">
            <v>532797</v>
          </cell>
          <cell r="C435" t="str">
            <v>AUTOIND</v>
          </cell>
        </row>
        <row r="436">
          <cell r="A436" t="str">
            <v>AUTOLITE (INDIA) LTD</v>
          </cell>
          <cell r="B436">
            <v>500029</v>
          </cell>
          <cell r="C436" t="str">
            <v>AUTOLITIND</v>
          </cell>
        </row>
        <row r="437">
          <cell r="A437" t="str">
            <v>AUTOLITE INDIA LTD</v>
          </cell>
          <cell r="B437">
            <v>500029</v>
          </cell>
          <cell r="C437" t="str">
            <v>AUTOLITIND</v>
          </cell>
        </row>
        <row r="438">
          <cell r="A438" t="str">
            <v>AUTOMOBILE CORPORATION OF GOA LTD</v>
          </cell>
          <cell r="B438">
            <v>505036</v>
          </cell>
          <cell r="C438" t="str">
            <v>Not Listed</v>
          </cell>
        </row>
        <row r="439">
          <cell r="A439" t="str">
            <v>AUTOMOTIVE AXLES LTD</v>
          </cell>
          <cell r="B439">
            <v>505010</v>
          </cell>
          <cell r="C439" t="str">
            <v>AUTOAXLES</v>
          </cell>
        </row>
        <row r="440">
          <cell r="A440" t="str">
            <v>AUTOMOTIVE STAMPINGS AND ASSEMBLIES LTD</v>
          </cell>
          <cell r="B440">
            <v>520119</v>
          </cell>
          <cell r="C440" t="str">
            <v>ASAL</v>
          </cell>
        </row>
        <row r="441">
          <cell r="A441" t="str">
            <v>AUTORIDERS INTERNATIONAL LTD</v>
          </cell>
          <cell r="B441">
            <v>512277</v>
          </cell>
          <cell r="C441" t="str">
            <v>Not Listed</v>
          </cell>
        </row>
        <row r="442">
          <cell r="A442" t="str">
            <v>AUTUMN BUILDERS LTD</v>
          </cell>
          <cell r="B442">
            <v>780004</v>
          </cell>
          <cell r="C442" t="str">
            <v>Not Listed</v>
          </cell>
        </row>
        <row r="443">
          <cell r="A443" t="str">
            <v>AVADH SUGAR &amp; ENERGY LTD</v>
          </cell>
          <cell r="B443">
            <v>540649</v>
          </cell>
          <cell r="C443" t="str">
            <v>AVADHSUGAR</v>
          </cell>
        </row>
        <row r="444">
          <cell r="A444" t="str">
            <v>AVAILABLE FINANCE LTD</v>
          </cell>
          <cell r="B444">
            <v>531310</v>
          </cell>
          <cell r="C444" t="str">
            <v>Not Listed</v>
          </cell>
        </row>
        <row r="445">
          <cell r="A445" t="str">
            <v>AVANCE TECHNOLOGIES LTD</v>
          </cell>
          <cell r="B445">
            <v>512149</v>
          </cell>
          <cell r="C445" t="str">
            <v>Not Listed</v>
          </cell>
        </row>
        <row r="446">
          <cell r="A446" t="str">
            <v>AVANTEL LTD</v>
          </cell>
          <cell r="B446">
            <v>532406</v>
          </cell>
          <cell r="C446" t="str">
            <v>Not Listed</v>
          </cell>
        </row>
        <row r="447">
          <cell r="A447" t="str">
            <v>AVANTI FEEDS LTD</v>
          </cell>
          <cell r="B447">
            <v>512573</v>
          </cell>
          <cell r="C447" t="str">
            <v>AVANTIFEED</v>
          </cell>
        </row>
        <row r="448">
          <cell r="A448" t="str">
            <v>ITC LTD</v>
          </cell>
          <cell r="B448">
            <v>540376</v>
          </cell>
          <cell r="C448" t="str">
            <v>ITC</v>
          </cell>
        </row>
        <row r="449">
          <cell r="A449" t="str">
            <v>AVG LOGISTICS LTD</v>
          </cell>
          <cell r="B449" t="str">
            <v>Not Listed</v>
          </cell>
          <cell r="C449" t="str">
            <v>AVG</v>
          </cell>
        </row>
        <row r="450">
          <cell r="A450" t="str">
            <v>AVI POLYMERS LTD</v>
          </cell>
          <cell r="B450">
            <v>539288</v>
          </cell>
          <cell r="C450" t="str">
            <v>Not Listed</v>
          </cell>
        </row>
        <row r="451">
          <cell r="A451" t="str">
            <v>AVI PRODUCTS (INDIA) LTD</v>
          </cell>
          <cell r="B451">
            <v>523896</v>
          </cell>
          <cell r="C451" t="str">
            <v>Not Listed</v>
          </cell>
        </row>
        <row r="452">
          <cell r="A452" t="str">
            <v>AVI PRODUCTS INDIA LTD</v>
          </cell>
          <cell r="B452">
            <v>523896</v>
          </cell>
          <cell r="C452" t="str">
            <v>Not Listed</v>
          </cell>
        </row>
        <row r="453">
          <cell r="A453" t="str">
            <v>AVIVA INDUSTRIES LTD</v>
          </cell>
          <cell r="B453">
            <v>512109</v>
          </cell>
          <cell r="C453" t="str">
            <v>Not Listed</v>
          </cell>
        </row>
        <row r="454">
          <cell r="A454" t="str">
            <v>AVON LIFESCIENCES LTD</v>
          </cell>
          <cell r="B454">
            <v>531541</v>
          </cell>
          <cell r="C454" t="str">
            <v>Not Listed</v>
          </cell>
        </row>
        <row r="455">
          <cell r="A455" t="str">
            <v>AVON MOLDPLAST LTD</v>
          </cell>
          <cell r="B455" t="str">
            <v>Not Listed</v>
          </cell>
          <cell r="C455" t="str">
            <v>AVONMPL</v>
          </cell>
        </row>
        <row r="456">
          <cell r="A456" t="str">
            <v>AVONMORE CAPITAL &amp; MANAGEMENT SERVICES LTD</v>
          </cell>
          <cell r="B456">
            <v>511589</v>
          </cell>
          <cell r="C456" t="str">
            <v>Not Listed</v>
          </cell>
        </row>
        <row r="457">
          <cell r="A457" t="str">
            <v>AVSL INDUSTRIES LTD</v>
          </cell>
          <cell r="B457" t="str">
            <v>Not Listed</v>
          </cell>
          <cell r="C457" t="str">
            <v>AVSL</v>
          </cell>
        </row>
        <row r="458">
          <cell r="A458" t="str">
            <v>AVT NATURAL PRODUCTS LTD</v>
          </cell>
          <cell r="B458">
            <v>519105</v>
          </cell>
          <cell r="C458" t="str">
            <v>AVTNPL</v>
          </cell>
        </row>
        <row r="459">
          <cell r="A459" t="str">
            <v>AVTIL ENTERPRISE LTD</v>
          </cell>
          <cell r="B459">
            <v>504390</v>
          </cell>
          <cell r="C459" t="str">
            <v>Not Listed</v>
          </cell>
        </row>
        <row r="460">
          <cell r="A460" t="str">
            <v>AXEL POLYMERS LTD</v>
          </cell>
          <cell r="B460">
            <v>513642</v>
          </cell>
          <cell r="C460" t="str">
            <v>Not Listed</v>
          </cell>
        </row>
        <row r="461">
          <cell r="A461" t="str">
            <v>AXIS BANK LTD</v>
          </cell>
          <cell r="B461">
            <v>532215</v>
          </cell>
          <cell r="C461" t="str">
            <v>AXISBANK</v>
          </cell>
        </row>
        <row r="462">
          <cell r="A462" t="str">
            <v>AXISCADES ENGINEERING TECHNOLOGIES LTD</v>
          </cell>
          <cell r="B462">
            <v>532395</v>
          </cell>
          <cell r="C462" t="str">
            <v>AXISCADES</v>
          </cell>
        </row>
        <row r="463">
          <cell r="A463" t="str">
            <v>Axita Cotton Ltd</v>
          </cell>
          <cell r="B463">
            <v>542285</v>
          </cell>
          <cell r="C463" t="str">
            <v>AXITA</v>
          </cell>
        </row>
        <row r="464">
          <cell r="A464" t="str">
            <v>AXON VENTURES LTD</v>
          </cell>
          <cell r="B464">
            <v>505506</v>
          </cell>
          <cell r="C464" t="str">
            <v>Not Listed</v>
          </cell>
        </row>
        <row r="465">
          <cell r="A465" t="str">
            <v>AXTEL INDUSTRIES LTD</v>
          </cell>
          <cell r="B465">
            <v>523850</v>
          </cell>
          <cell r="C465" t="str">
            <v>Not Listed</v>
          </cell>
        </row>
        <row r="466">
          <cell r="A466" t="str">
            <v>AYEPEE LAMITUBES LTD</v>
          </cell>
          <cell r="B466">
            <v>523168</v>
          </cell>
          <cell r="C466" t="str">
            <v>Not Listed</v>
          </cell>
        </row>
        <row r="467">
          <cell r="A467" t="str">
            <v>AYM SYNTEX LTD</v>
          </cell>
          <cell r="B467">
            <v>508933</v>
          </cell>
          <cell r="C467" t="str">
            <v>AYMSYNTEX</v>
          </cell>
        </row>
        <row r="468">
          <cell r="A468" t="str">
            <v>AYOKI MERCANTILE LTD</v>
          </cell>
          <cell r="B468">
            <v>512063</v>
          </cell>
          <cell r="C468" t="str">
            <v>Not Listed</v>
          </cell>
        </row>
        <row r="469">
          <cell r="A469" t="str">
            <v>B  P  CAPITAL LTD</v>
          </cell>
          <cell r="B469">
            <v>536965</v>
          </cell>
          <cell r="C469" t="str">
            <v>Not Listed</v>
          </cell>
        </row>
        <row r="470">
          <cell r="A470" t="str">
            <v>B &amp; A LTD</v>
          </cell>
          <cell r="B470">
            <v>508136</v>
          </cell>
          <cell r="C470" t="str">
            <v>Not Listed</v>
          </cell>
        </row>
        <row r="471">
          <cell r="A471" t="str">
            <v>B A G FILMS AND MEDIA LTD</v>
          </cell>
          <cell r="B471">
            <v>532507</v>
          </cell>
          <cell r="C471" t="str">
            <v>BAGFILMS</v>
          </cell>
        </row>
        <row r="472">
          <cell r="A472" t="str">
            <v>B C  POWER CONTROLS LTD</v>
          </cell>
          <cell r="B472">
            <v>537766</v>
          </cell>
          <cell r="C472" t="str">
            <v>Not Listed</v>
          </cell>
        </row>
        <row r="473">
          <cell r="A473" t="str">
            <v>B L KASHYAP AND SONS LTD</v>
          </cell>
          <cell r="B473">
            <v>532719</v>
          </cell>
          <cell r="C473" t="str">
            <v>BLKASHYAP</v>
          </cell>
        </row>
        <row r="474">
          <cell r="A474" t="str">
            <v>B N RATHI SECURITIES LTD</v>
          </cell>
          <cell r="B474">
            <v>523019</v>
          </cell>
          <cell r="C474" t="str">
            <v>Not Listed</v>
          </cell>
        </row>
        <row r="475">
          <cell r="A475" t="str">
            <v>B&amp;A PACKAGING (INDIA) LTD</v>
          </cell>
          <cell r="B475">
            <v>523186</v>
          </cell>
          <cell r="C475" t="str">
            <v>Not Listed</v>
          </cell>
        </row>
        <row r="476">
          <cell r="A476" t="str">
            <v>B&amp;A PACKAGING INDIA LTD</v>
          </cell>
          <cell r="B476">
            <v>523186</v>
          </cell>
          <cell r="C476" t="str">
            <v>Not Listed</v>
          </cell>
        </row>
        <row r="477">
          <cell r="A477" t="str">
            <v>B&amp;B TRIPLEWALL CONTAINERS LTD</v>
          </cell>
          <cell r="B477" t="str">
            <v>Not Listed</v>
          </cell>
          <cell r="C477" t="str">
            <v>BBTCL</v>
          </cell>
        </row>
        <row r="478">
          <cell r="A478" t="str">
            <v>B.T. Syndicate Ltd</v>
          </cell>
          <cell r="B478">
            <v>542206</v>
          </cell>
          <cell r="C478" t="str">
            <v>BTSYN</v>
          </cell>
        </row>
        <row r="479">
          <cell r="A479" t="str">
            <v>B2B SOFTWARE TECHNOLOGIES LTD</v>
          </cell>
          <cell r="B479">
            <v>531268</v>
          </cell>
          <cell r="C479" t="str">
            <v>Not Listed</v>
          </cell>
        </row>
        <row r="480">
          <cell r="A480" t="str">
            <v>BABA ARTS LTD</v>
          </cell>
          <cell r="B480">
            <v>532380</v>
          </cell>
          <cell r="C480" t="str">
            <v>Not Listed</v>
          </cell>
        </row>
        <row r="481">
          <cell r="A481" t="str">
            <v>BACIL PHARMA LTD</v>
          </cell>
          <cell r="B481">
            <v>524516</v>
          </cell>
          <cell r="C481" t="str">
            <v>Not Listed</v>
          </cell>
        </row>
        <row r="482">
          <cell r="A482" t="str">
            <v>BAFNA PHARMACEUTICALS LTD</v>
          </cell>
          <cell r="B482">
            <v>532989</v>
          </cell>
          <cell r="C482" t="str">
            <v>BAFNAPHARM</v>
          </cell>
        </row>
        <row r="483">
          <cell r="A483" t="str">
            <v>BAGADIA COLOURCHEM LTD</v>
          </cell>
          <cell r="B483">
            <v>530197</v>
          </cell>
          <cell r="C483" t="str">
            <v>Not Listed</v>
          </cell>
        </row>
        <row r="484">
          <cell r="A484" t="str">
            <v>BAID LEASING AND FINANCE CO LTD</v>
          </cell>
          <cell r="B484">
            <v>511724</v>
          </cell>
          <cell r="C484" t="str">
            <v>Not Listed</v>
          </cell>
        </row>
        <row r="485">
          <cell r="A485" t="str">
            <v>BAJAJ AUTO LTD</v>
          </cell>
          <cell r="B485">
            <v>532977</v>
          </cell>
          <cell r="C485" t="str">
            <v>BAJAJ-AUTO</v>
          </cell>
        </row>
        <row r="486">
          <cell r="A486" t="str">
            <v>Bajaj Consumer Care LTD</v>
          </cell>
          <cell r="B486" t="str">
            <v>Not Listed</v>
          </cell>
          <cell r="C486" t="str">
            <v>BAJAJCON</v>
          </cell>
        </row>
        <row r="487">
          <cell r="A487" t="str">
            <v>BAJAJ CORP LTD</v>
          </cell>
          <cell r="B487">
            <v>533229</v>
          </cell>
          <cell r="C487" t="str">
            <v>BAJAJCORP</v>
          </cell>
        </row>
        <row r="488">
          <cell r="A488" t="str">
            <v>BAJAJ ELECTRICALS LTD</v>
          </cell>
          <cell r="B488">
            <v>500031</v>
          </cell>
          <cell r="C488" t="str">
            <v>BAJAJELEC</v>
          </cell>
        </row>
        <row r="489">
          <cell r="A489" t="str">
            <v>BAJAJ FINANCE LTD</v>
          </cell>
          <cell r="B489">
            <v>500034</v>
          </cell>
          <cell r="C489" t="str">
            <v>BAJFINANCE</v>
          </cell>
        </row>
        <row r="490">
          <cell r="A490" t="str">
            <v>BAJAJ FINSERV LTD</v>
          </cell>
          <cell r="B490">
            <v>532978</v>
          </cell>
          <cell r="C490" t="str">
            <v>BAJAJFINSV</v>
          </cell>
        </row>
        <row r="491">
          <cell r="A491" t="str">
            <v>BAJAJ GLOBAL LTD</v>
          </cell>
          <cell r="B491">
            <v>512261</v>
          </cell>
          <cell r="C491" t="str">
            <v>Not Listed</v>
          </cell>
        </row>
        <row r="492">
          <cell r="A492" t="str">
            <v>BAJAJ HEALTHCARE LTD</v>
          </cell>
          <cell r="B492">
            <v>539872</v>
          </cell>
          <cell r="C492" t="str">
            <v>Not Listed</v>
          </cell>
        </row>
        <row r="493">
          <cell r="A493" t="str">
            <v>BAJAJ HINDUSTHAN SUGAR LTD</v>
          </cell>
          <cell r="B493">
            <v>500032</v>
          </cell>
          <cell r="C493" t="str">
            <v>BAJAJHIND</v>
          </cell>
        </row>
        <row r="494">
          <cell r="A494" t="str">
            <v>BAJAJ HOLDINGS &amp; INVESTMENT LTD</v>
          </cell>
          <cell r="B494">
            <v>500490</v>
          </cell>
          <cell r="C494" t="str">
            <v>BAJAJHLDNG</v>
          </cell>
        </row>
        <row r="495">
          <cell r="A495" t="str">
            <v>BAJAJ STEEL INDUSTRIES LTD</v>
          </cell>
          <cell r="B495">
            <v>507944</v>
          </cell>
          <cell r="C495" t="str">
            <v>Not Listed</v>
          </cell>
        </row>
        <row r="496">
          <cell r="A496" t="str">
            <v>BAJRANG FINANCE LTD</v>
          </cell>
          <cell r="B496">
            <v>511139</v>
          </cell>
          <cell r="C496" t="str">
            <v>Not Listed</v>
          </cell>
        </row>
        <row r="497">
          <cell r="A497" t="str">
            <v>BAL PHARMA LTD</v>
          </cell>
          <cell r="B497">
            <v>524824</v>
          </cell>
          <cell r="C497" t="str">
            <v>BALPHARMA</v>
          </cell>
        </row>
        <row r="498">
          <cell r="A498" t="str">
            <v>BALAJI AMINES LTD</v>
          </cell>
          <cell r="B498">
            <v>530999</v>
          </cell>
          <cell r="C498" t="str">
            <v>BALAMINES</v>
          </cell>
        </row>
        <row r="499">
          <cell r="A499" t="str">
            <v>BALAJI TELEFILMS LTD</v>
          </cell>
          <cell r="B499">
            <v>532382</v>
          </cell>
          <cell r="C499" t="str">
            <v>BALAJITELE</v>
          </cell>
        </row>
        <row r="500">
          <cell r="A500" t="str">
            <v>BALASORE ALLOYS LTD</v>
          </cell>
          <cell r="B500">
            <v>513142</v>
          </cell>
          <cell r="C500" t="str">
            <v>Not Listed</v>
          </cell>
        </row>
        <row r="501">
          <cell r="A501" t="str">
            <v>Balaxi Ventures LTD</v>
          </cell>
          <cell r="B501" t="str">
            <v>Not Listed</v>
          </cell>
          <cell r="C501" t="str">
            <v>BALAXI</v>
          </cell>
        </row>
        <row r="502">
          <cell r="A502" t="str">
            <v>BALGOPAL COMMERCIAL LTD</v>
          </cell>
          <cell r="B502">
            <v>539834</v>
          </cell>
          <cell r="C502" t="str">
            <v>Not Listed</v>
          </cell>
        </row>
        <row r="503">
          <cell r="A503" t="str">
            <v>BALKRISHNA INDUSTRIES LTD</v>
          </cell>
          <cell r="B503">
            <v>502355</v>
          </cell>
          <cell r="C503" t="str">
            <v>BALKRISIND</v>
          </cell>
        </row>
        <row r="504">
          <cell r="A504" t="str">
            <v>BALKRISHNA PAPER MILLS LTD</v>
          </cell>
          <cell r="B504">
            <v>539251</v>
          </cell>
          <cell r="C504" t="str">
            <v>BALKRISHNA</v>
          </cell>
        </row>
        <row r="505">
          <cell r="A505" t="str">
            <v>BALLARPUR INDUSTRIES LTD</v>
          </cell>
          <cell r="B505">
            <v>500102</v>
          </cell>
          <cell r="C505" t="str">
            <v>BALLARPUR</v>
          </cell>
        </row>
        <row r="506">
          <cell r="A506" t="str">
            <v>BALMER LAWRIE &amp; COMPANY LTD</v>
          </cell>
          <cell r="B506">
            <v>523319</v>
          </cell>
          <cell r="C506" t="str">
            <v>BALMLAWRIE</v>
          </cell>
        </row>
        <row r="507">
          <cell r="A507" t="str">
            <v>BALMER LAWRIE INVESTMENTS LTD</v>
          </cell>
          <cell r="B507">
            <v>532485</v>
          </cell>
          <cell r="C507" t="str">
            <v>Not Listed</v>
          </cell>
        </row>
        <row r="508">
          <cell r="A508" t="str">
            <v>BALRAMPUR CHINI MILLS LTD</v>
          </cell>
          <cell r="B508">
            <v>500038</v>
          </cell>
          <cell r="C508" t="str">
            <v>BALRAMCHIN</v>
          </cell>
        </row>
        <row r="509">
          <cell r="A509" t="str">
            <v>BALURGHAT TECHNOLOGIES LTD</v>
          </cell>
          <cell r="B509">
            <v>520127</v>
          </cell>
          <cell r="C509" t="str">
            <v>Not Listed</v>
          </cell>
        </row>
        <row r="510">
          <cell r="A510" t="str">
            <v>BAMBINO AGRO INDUSTRIES LTD</v>
          </cell>
          <cell r="B510">
            <v>519295</v>
          </cell>
          <cell r="C510" t="str">
            <v>Not Listed</v>
          </cell>
        </row>
        <row r="511">
          <cell r="A511" t="str">
            <v>BAMPSL SECURITIES LTD</v>
          </cell>
          <cell r="B511">
            <v>531591</v>
          </cell>
          <cell r="C511" t="str">
            <v>Not Listed</v>
          </cell>
        </row>
        <row r="512">
          <cell r="A512" t="str">
            <v>BANARAS BEADS LTD</v>
          </cell>
          <cell r="B512">
            <v>526849</v>
          </cell>
          <cell r="C512" t="str">
            <v>BANARBEADS</v>
          </cell>
        </row>
        <row r="513">
          <cell r="A513" t="str">
            <v>BANAS FINANCE LTD</v>
          </cell>
          <cell r="B513">
            <v>509053</v>
          </cell>
          <cell r="C513" t="str">
            <v>Not Listed</v>
          </cell>
        </row>
        <row r="514">
          <cell r="A514" t="str">
            <v>BANCO PRODUCTS I LTD</v>
          </cell>
          <cell r="B514">
            <v>500039</v>
          </cell>
          <cell r="C514" t="str">
            <v>BANCOINDIA</v>
          </cell>
        </row>
        <row r="515">
          <cell r="A515" t="str">
            <v>BANDHAN BANK LTD</v>
          </cell>
          <cell r="B515">
            <v>541153</v>
          </cell>
          <cell r="C515" t="str">
            <v>BANDHANBNK</v>
          </cell>
        </row>
        <row r="516">
          <cell r="A516" t="str">
            <v>BANG OVERSEAS LTD</v>
          </cell>
          <cell r="B516">
            <v>532946</v>
          </cell>
          <cell r="C516" t="str">
            <v>BANG</v>
          </cell>
        </row>
        <row r="517">
          <cell r="A517" t="str">
            <v>BANGALORE FORT FARMS LTD</v>
          </cell>
          <cell r="B517">
            <v>539120</v>
          </cell>
          <cell r="C517" t="str">
            <v>Not Listed</v>
          </cell>
        </row>
        <row r="518">
          <cell r="A518" t="str">
            <v>BANK OF BARODA</v>
          </cell>
          <cell r="B518">
            <v>532134</v>
          </cell>
          <cell r="C518" t="str">
            <v>BANKBARODA</v>
          </cell>
        </row>
        <row r="519">
          <cell r="A519" t="str">
            <v>BANK OF INDIA</v>
          </cell>
          <cell r="B519">
            <v>532149</v>
          </cell>
          <cell r="C519" t="str">
            <v>BANKINDIA</v>
          </cell>
        </row>
        <row r="520">
          <cell r="A520" t="str">
            <v>BANK OF MAHARASHTRA</v>
          </cell>
          <cell r="B520">
            <v>532525</v>
          </cell>
          <cell r="C520" t="str">
            <v>MAHABANK</v>
          </cell>
        </row>
        <row r="521">
          <cell r="A521" t="str">
            <v>BANKA BIOLOO LTD</v>
          </cell>
          <cell r="B521" t="str">
            <v>Not Listed</v>
          </cell>
          <cell r="C521" t="str">
            <v>BANKA</v>
          </cell>
        </row>
        <row r="522">
          <cell r="A522" t="str">
            <v>BANNARI AMMAN SPINNING MILLS LTD</v>
          </cell>
          <cell r="B522">
            <v>532674</v>
          </cell>
          <cell r="C522" t="str">
            <v>BASML</v>
          </cell>
        </row>
        <row r="523">
          <cell r="A523" t="str">
            <v>BANNARI AMMAN SUGARS LTD</v>
          </cell>
          <cell r="B523">
            <v>500041</v>
          </cell>
          <cell r="C523" t="str">
            <v>BANARISUG</v>
          </cell>
        </row>
        <row r="524">
          <cell r="A524" t="str">
            <v>BANSAL MULTIFLEX LTD</v>
          </cell>
          <cell r="B524" t="str">
            <v>Not Listed</v>
          </cell>
          <cell r="C524" t="str">
            <v>BANSAL</v>
          </cell>
        </row>
        <row r="525">
          <cell r="A525" t="str">
            <v>BANSAL ROOFING PRODUCTS LTD</v>
          </cell>
          <cell r="B525">
            <v>538546</v>
          </cell>
          <cell r="C525" t="str">
            <v>Not Listed</v>
          </cell>
        </row>
        <row r="526">
          <cell r="A526" t="str">
            <v>BANSISONS TEA INDUSTRIES LTD</v>
          </cell>
          <cell r="B526">
            <v>519353</v>
          </cell>
          <cell r="C526" t="str">
            <v>Not Listed</v>
          </cell>
        </row>
        <row r="527">
          <cell r="A527" t="str">
            <v>BANSWARA SYNTEX LTD</v>
          </cell>
          <cell r="B527">
            <v>503722</v>
          </cell>
          <cell r="C527" t="str">
            <v>BANSWRAS</v>
          </cell>
        </row>
        <row r="528">
          <cell r="A528" t="str">
            <v>BARAK VALLEY CEMENTS LTD</v>
          </cell>
          <cell r="B528">
            <v>532916</v>
          </cell>
          <cell r="C528" t="str">
            <v>BVCL</v>
          </cell>
        </row>
        <row r="529">
          <cell r="A529" t="str">
            <v>BARODA EXTRUSION LTD</v>
          </cell>
          <cell r="B529">
            <v>513502</v>
          </cell>
          <cell r="C529" t="str">
            <v>Not Listed</v>
          </cell>
        </row>
        <row r="530">
          <cell r="A530" t="str">
            <v>BARON INFOTECH LTD</v>
          </cell>
          <cell r="B530">
            <v>532336</v>
          </cell>
          <cell r="C530" t="str">
            <v>Not Listed</v>
          </cell>
        </row>
        <row r="531">
          <cell r="A531" t="str">
            <v>BARTRONICS (INDIA) LTD</v>
          </cell>
          <cell r="B531">
            <v>532694</v>
          </cell>
          <cell r="C531" t="str">
            <v>BARTRONICS</v>
          </cell>
        </row>
        <row r="532">
          <cell r="A532" t="str">
            <v>BARTRONICS INDIA LTD</v>
          </cell>
          <cell r="B532">
            <v>532694</v>
          </cell>
          <cell r="C532" t="str">
            <v>BARTRONICS</v>
          </cell>
        </row>
        <row r="533">
          <cell r="A533" t="str">
            <v>BASANT AGRO TECH (INDIA) LTD</v>
          </cell>
          <cell r="B533">
            <v>524687</v>
          </cell>
          <cell r="C533" t="str">
            <v>Not Listed</v>
          </cell>
        </row>
        <row r="534">
          <cell r="A534" t="str">
            <v>BASANT AGRO TECH INDIA LTD</v>
          </cell>
          <cell r="B534">
            <v>524687</v>
          </cell>
          <cell r="C534" t="str">
            <v>Not Listed</v>
          </cell>
        </row>
        <row r="535">
          <cell r="A535" t="str">
            <v>BASF (INDIA) LTD</v>
          </cell>
          <cell r="B535">
            <v>500042</v>
          </cell>
          <cell r="C535" t="str">
            <v>BASF</v>
          </cell>
        </row>
        <row r="536">
          <cell r="A536" t="str">
            <v>BASF INDIA LTD</v>
          </cell>
          <cell r="B536">
            <v>500042</v>
          </cell>
          <cell r="C536" t="str">
            <v>BASF</v>
          </cell>
        </row>
        <row r="537">
          <cell r="A537" t="str">
            <v>BATA (INDIA) LTD</v>
          </cell>
          <cell r="B537">
            <v>500043</v>
          </cell>
          <cell r="C537" t="str">
            <v>BATA(INDIA)</v>
          </cell>
        </row>
        <row r="538">
          <cell r="A538" t="str">
            <v>BATA INDIA LTD</v>
          </cell>
          <cell r="B538">
            <v>500043</v>
          </cell>
          <cell r="C538" t="str">
            <v>BATAINDIA</v>
          </cell>
        </row>
        <row r="539">
          <cell r="A539" t="str">
            <v>BATLIBOI LTD</v>
          </cell>
          <cell r="B539">
            <v>522004</v>
          </cell>
          <cell r="C539" t="str">
            <v>Not Listed</v>
          </cell>
        </row>
        <row r="540">
          <cell r="A540" t="str">
            <v>BAYER CROPSCIENCE LTD</v>
          </cell>
          <cell r="B540">
            <v>506285</v>
          </cell>
          <cell r="C540" t="str">
            <v>BAYERCROP</v>
          </cell>
        </row>
        <row r="541">
          <cell r="A541" t="str">
            <v>BAZEL INTERNATIONAL LTD</v>
          </cell>
          <cell r="B541">
            <v>539946</v>
          </cell>
          <cell r="C541" t="str">
            <v>Not Listed</v>
          </cell>
        </row>
        <row r="542">
          <cell r="A542" t="str">
            <v>BCC FUBA (INDIA) LTD</v>
          </cell>
          <cell r="B542">
            <v>517246</v>
          </cell>
          <cell r="C542" t="str">
            <v>Not Listed</v>
          </cell>
        </row>
        <row r="543">
          <cell r="A543" t="str">
            <v>BCC FUBA INDIA LTD</v>
          </cell>
          <cell r="B543">
            <v>517246</v>
          </cell>
          <cell r="C543" t="str">
            <v>Not Listed</v>
          </cell>
        </row>
        <row r="544">
          <cell r="A544" t="str">
            <v>BCL ENTERPRISES LTD</v>
          </cell>
          <cell r="B544">
            <v>539621</v>
          </cell>
          <cell r="C544" t="str">
            <v>Not Listed</v>
          </cell>
        </row>
        <row r="545">
          <cell r="A545" t="str">
            <v>BCL INDUSTRIES LTD</v>
          </cell>
          <cell r="B545">
            <v>524332</v>
          </cell>
          <cell r="C545" t="str">
            <v>Not Listed</v>
          </cell>
        </row>
        <row r="546">
          <cell r="A546" t="str">
            <v>BCPL RAILWAY INFRASTRUCTURE LTD</v>
          </cell>
          <cell r="B546">
            <v>542057</v>
          </cell>
          <cell r="C546" t="str">
            <v>Not Listed</v>
          </cell>
        </row>
        <row r="547">
          <cell r="A547" t="str">
            <v>BDH INDUSTRIES LTD</v>
          </cell>
          <cell r="B547">
            <v>524828</v>
          </cell>
          <cell r="C547" t="str">
            <v>Not Listed</v>
          </cell>
        </row>
        <row r="548">
          <cell r="A548" t="str">
            <v>BEARDSELL LTD</v>
          </cell>
          <cell r="B548">
            <v>539447</v>
          </cell>
          <cell r="C548" t="str">
            <v>BEARDSELL</v>
          </cell>
        </row>
        <row r="549">
          <cell r="A549" t="str">
            <v>BEDMUTHA INDUSTRIES LTD</v>
          </cell>
          <cell r="B549">
            <v>533270</v>
          </cell>
          <cell r="C549" t="str">
            <v>BEDMUTHA</v>
          </cell>
        </row>
        <row r="550">
          <cell r="A550" t="str">
            <v>BEEKAY NIRYAT LTD</v>
          </cell>
          <cell r="B550">
            <v>539546</v>
          </cell>
          <cell r="C550" t="str">
            <v>Not Listed</v>
          </cell>
        </row>
        <row r="551">
          <cell r="A551" t="str">
            <v>BEEKAY STEEL INDUSTRIES LTD</v>
          </cell>
          <cell r="B551">
            <v>539018</v>
          </cell>
          <cell r="C551" t="str">
            <v>Not Listed</v>
          </cell>
        </row>
        <row r="552">
          <cell r="A552" t="str">
            <v>BEEYU OVERSEAS LTD</v>
          </cell>
          <cell r="B552">
            <v>532645</v>
          </cell>
          <cell r="C552" t="str">
            <v>Not Listed</v>
          </cell>
        </row>
        <row r="553">
          <cell r="A553" t="str">
            <v>BELLA CASA FASHION &amp; RETAIL LTD</v>
          </cell>
          <cell r="B553">
            <v>539399</v>
          </cell>
          <cell r="C553" t="str">
            <v>Not Listed</v>
          </cell>
        </row>
        <row r="554">
          <cell r="A554" t="str">
            <v>BEMCO HYDRAULICS LTD</v>
          </cell>
          <cell r="B554">
            <v>522650</v>
          </cell>
          <cell r="C554" t="str">
            <v>Not Listed</v>
          </cell>
        </row>
        <row r="555">
          <cell r="A555" t="str">
            <v>BEML LTD</v>
          </cell>
          <cell r="B555">
            <v>500048</v>
          </cell>
          <cell r="C555" t="str">
            <v>BEML</v>
          </cell>
        </row>
        <row r="556">
          <cell r="A556" t="str">
            <v>BENARA BEARINGS AND PISTONS LTD</v>
          </cell>
          <cell r="B556">
            <v>541178</v>
          </cell>
          <cell r="C556" t="str">
            <v>Not Listed</v>
          </cell>
        </row>
        <row r="557">
          <cell r="A557" t="str">
            <v>BENARES HOTELS LTD</v>
          </cell>
          <cell r="B557">
            <v>509438</v>
          </cell>
          <cell r="C557" t="str">
            <v>Not Listed</v>
          </cell>
        </row>
        <row r="558">
          <cell r="A558" t="str">
            <v>BENGAL &amp; ASSAM COMPANY LTD</v>
          </cell>
          <cell r="B558">
            <v>533095</v>
          </cell>
          <cell r="C558" t="str">
            <v>Not Listed</v>
          </cell>
        </row>
        <row r="559">
          <cell r="A559" t="str">
            <v>BENGAL STEEL INDUSTRIES LTD</v>
          </cell>
          <cell r="B559">
            <v>512404</v>
          </cell>
          <cell r="C559" t="str">
            <v>Not Listed</v>
          </cell>
        </row>
        <row r="560">
          <cell r="A560" t="str">
            <v>BENGAL TEA &amp; FABRICS LTD</v>
          </cell>
          <cell r="B560">
            <v>532230</v>
          </cell>
          <cell r="C560" t="str">
            <v>Not Listed</v>
          </cell>
        </row>
        <row r="561">
          <cell r="A561" t="str">
            <v>BENTLEY COMMERCIAL ENTERPRISES LTD</v>
          </cell>
          <cell r="B561">
            <v>512195</v>
          </cell>
          <cell r="C561" t="str">
            <v>Not Listed</v>
          </cell>
        </row>
        <row r="562">
          <cell r="A562" t="str">
            <v>BERGER PAINTS I LTD</v>
          </cell>
          <cell r="B562">
            <v>509480</v>
          </cell>
          <cell r="C562" t="str">
            <v>BERGEPAINT</v>
          </cell>
        </row>
        <row r="563">
          <cell r="A563" t="str">
            <v>BERVIN INVESTMENT &amp; LEASING LTD</v>
          </cell>
          <cell r="B563">
            <v>531340</v>
          </cell>
          <cell r="C563" t="str">
            <v>Not Listed</v>
          </cell>
        </row>
        <row r="564">
          <cell r="A564" t="str">
            <v>BERYL DRUGS LTD</v>
          </cell>
          <cell r="B564">
            <v>524606</v>
          </cell>
          <cell r="C564" t="str">
            <v>Not Listed</v>
          </cell>
        </row>
        <row r="565">
          <cell r="A565" t="str">
            <v>BERYL SECURITIES LTD</v>
          </cell>
          <cell r="B565">
            <v>531582</v>
          </cell>
          <cell r="C565" t="str">
            <v>Not Listed</v>
          </cell>
        </row>
        <row r="566">
          <cell r="A566" t="str">
            <v>BEST EASTERN HOTELS LTD</v>
          </cell>
          <cell r="B566">
            <v>508664</v>
          </cell>
          <cell r="C566" t="str">
            <v>Not Listed</v>
          </cell>
        </row>
        <row r="567">
          <cell r="A567" t="str">
            <v>BETA DRUGS LTD</v>
          </cell>
          <cell r="B567" t="str">
            <v>Not Listed</v>
          </cell>
          <cell r="C567" t="str">
            <v>BETA</v>
          </cell>
        </row>
        <row r="568">
          <cell r="A568" t="str">
            <v>BETEX (INDIA) LTD</v>
          </cell>
          <cell r="B568">
            <v>512477</v>
          </cell>
          <cell r="C568" t="str">
            <v>Not Listed</v>
          </cell>
        </row>
        <row r="569">
          <cell r="A569" t="str">
            <v>BETEX INDIA LTD</v>
          </cell>
          <cell r="B569">
            <v>512477</v>
          </cell>
          <cell r="C569" t="str">
            <v>Not Listed</v>
          </cell>
        </row>
        <row r="570">
          <cell r="A570" t="str">
            <v>BF INVESTMENT LTD</v>
          </cell>
          <cell r="B570">
            <v>533303</v>
          </cell>
          <cell r="C570" t="str">
            <v>BFINVEST</v>
          </cell>
        </row>
        <row r="571">
          <cell r="A571" t="str">
            <v>BF UTILITIES LTD</v>
          </cell>
          <cell r="B571">
            <v>532430</v>
          </cell>
          <cell r="C571" t="str">
            <v>BFUTILITIE</v>
          </cell>
        </row>
        <row r="572">
          <cell r="A572" t="str">
            <v>BFL ASSET FINVEST LTD</v>
          </cell>
          <cell r="B572">
            <v>539662</v>
          </cell>
          <cell r="C572" t="str">
            <v>Not Listed</v>
          </cell>
        </row>
        <row r="573">
          <cell r="A573" t="str">
            <v>BGIL FILMS &amp; TECHNOLOGIES LTD</v>
          </cell>
          <cell r="B573">
            <v>511664</v>
          </cell>
          <cell r="C573" t="str">
            <v>Not Listed</v>
          </cell>
        </row>
        <row r="574">
          <cell r="A574" t="str">
            <v>BGR ENERGY SYSTEMS LTD</v>
          </cell>
          <cell r="B574">
            <v>532930</v>
          </cell>
          <cell r="C574" t="str">
            <v>BGRENERGY</v>
          </cell>
        </row>
        <row r="575">
          <cell r="A575" t="str">
            <v>BHAGERIA INDUSTRIES LTD</v>
          </cell>
          <cell r="B575">
            <v>530803</v>
          </cell>
          <cell r="C575" t="str">
            <v>BHAGERIA</v>
          </cell>
        </row>
        <row r="576">
          <cell r="A576" t="str">
            <v>BHAGIRADHA CHEMICALS &amp; INDUSTRIES LTD</v>
          </cell>
          <cell r="B576">
            <v>531719</v>
          </cell>
          <cell r="C576" t="str">
            <v>Not Listed</v>
          </cell>
        </row>
        <row r="577">
          <cell r="A577" t="str">
            <v>BHAGWATI AUTOCAST LTD</v>
          </cell>
          <cell r="B577">
            <v>504646</v>
          </cell>
          <cell r="C577" t="str">
            <v>Not Listed</v>
          </cell>
        </row>
        <row r="578">
          <cell r="A578" t="str">
            <v>BHAGWATI OXYGEN LTD</v>
          </cell>
          <cell r="B578">
            <v>509449</v>
          </cell>
          <cell r="C578" t="str">
            <v>Not Listed</v>
          </cell>
        </row>
        <row r="579">
          <cell r="A579" t="str">
            <v>BHAGYANAGAR (INDIA) LTD</v>
          </cell>
          <cell r="B579">
            <v>512296</v>
          </cell>
          <cell r="C579" t="str">
            <v>BHAGYANGR</v>
          </cell>
        </row>
        <row r="580">
          <cell r="A580" t="str">
            <v>BHAGYANAGAR INDIA LTD</v>
          </cell>
          <cell r="B580">
            <v>512296</v>
          </cell>
          <cell r="C580" t="str">
            <v>BHAGYANGR</v>
          </cell>
        </row>
        <row r="581">
          <cell r="A581" t="str">
            <v>BHAGYANAGAR PROPERTIES LTD</v>
          </cell>
          <cell r="B581">
            <v>540621</v>
          </cell>
          <cell r="C581" t="str">
            <v>BHAGYAPROP</v>
          </cell>
        </row>
        <row r="582">
          <cell r="A582" t="str">
            <v>BHAKTI GEMS AND JEWELLERY LTD</v>
          </cell>
          <cell r="B582">
            <v>540545</v>
          </cell>
          <cell r="C582" t="str">
            <v>Not Listed</v>
          </cell>
        </row>
        <row r="583">
          <cell r="A583" t="str">
            <v>BHANDARI HOSIERY EXPORTS LTD</v>
          </cell>
          <cell r="B583">
            <v>512608</v>
          </cell>
          <cell r="C583" t="str">
            <v>BHANDARI</v>
          </cell>
        </row>
        <row r="584">
          <cell r="A584" t="str">
            <v>BHANDERI INFRACON LTD</v>
          </cell>
          <cell r="B584">
            <v>538576</v>
          </cell>
          <cell r="C584" t="str">
            <v>Not Listed</v>
          </cell>
        </row>
        <row r="585">
          <cell r="A585" t="str">
            <v>BHANSALI ENGINEERING POLYMERS LTD</v>
          </cell>
          <cell r="B585">
            <v>500052</v>
          </cell>
          <cell r="C585" t="str">
            <v>BEPL</v>
          </cell>
        </row>
        <row r="586">
          <cell r="A586" t="str">
            <v>BHARAT AGRI FERT &amp; REALTY LTD</v>
          </cell>
          <cell r="B586">
            <v>531862</v>
          </cell>
          <cell r="C586" t="str">
            <v>Not Listed</v>
          </cell>
        </row>
        <row r="587">
          <cell r="A587" t="str">
            <v>BHARAT BHUSHAN SHARE &amp; COMMODITY BROKERS LTD</v>
          </cell>
          <cell r="B587">
            <v>511501</v>
          </cell>
          <cell r="C587" t="str">
            <v>Not Listed</v>
          </cell>
        </row>
        <row r="588">
          <cell r="A588" t="str">
            <v>BHARAT BIJLEE LTD</v>
          </cell>
          <cell r="B588">
            <v>503960</v>
          </cell>
          <cell r="C588" t="str">
            <v>BBL</v>
          </cell>
        </row>
        <row r="589">
          <cell r="A589" t="str">
            <v>BHARAT DYNAMICS LTD</v>
          </cell>
          <cell r="B589">
            <v>541143</v>
          </cell>
          <cell r="C589" t="str">
            <v>BDL</v>
          </cell>
        </row>
        <row r="590">
          <cell r="A590" t="str">
            <v>BHARAT ELECTRONICS LTD</v>
          </cell>
          <cell r="B590">
            <v>500049</v>
          </cell>
          <cell r="C590" t="str">
            <v>BEL</v>
          </cell>
        </row>
        <row r="591">
          <cell r="A591" t="str">
            <v>BHARAT FINANCIAL INCLUSION LTD</v>
          </cell>
          <cell r="B591">
            <v>533228</v>
          </cell>
          <cell r="C591" t="str">
            <v>BHARATFIN</v>
          </cell>
        </row>
        <row r="592">
          <cell r="A592" t="str">
            <v>BHARAT FORGE LTD</v>
          </cell>
          <cell r="B592">
            <v>500493</v>
          </cell>
          <cell r="C592" t="str">
            <v>BHARATFORG</v>
          </cell>
        </row>
        <row r="593">
          <cell r="A593" t="str">
            <v>BHARAT GEARS LTD</v>
          </cell>
          <cell r="B593">
            <v>505688</v>
          </cell>
          <cell r="C593" t="str">
            <v>BHARATGEAR</v>
          </cell>
        </row>
        <row r="594">
          <cell r="A594" t="str">
            <v>BHARAT HEAVY ELECTRICALS LTD</v>
          </cell>
          <cell r="B594">
            <v>500103</v>
          </cell>
          <cell r="C594" t="str">
            <v>BHEL</v>
          </cell>
        </row>
        <row r="595">
          <cell r="A595" t="str">
            <v>BHARAT IMMUNOLOGICALS &amp; BIOLOGICALS CORPORATION LTD</v>
          </cell>
          <cell r="B595">
            <v>524663</v>
          </cell>
          <cell r="C595" t="str">
            <v>Not Listed</v>
          </cell>
        </row>
        <row r="596">
          <cell r="A596" t="str">
            <v>BHARAT PARENTERALS LTD</v>
          </cell>
          <cell r="B596">
            <v>541096</v>
          </cell>
          <cell r="C596" t="str">
            <v>Not Listed</v>
          </cell>
        </row>
        <row r="597">
          <cell r="A597" t="str">
            <v>BHARAT PETROLEUM CORPORATION LTD</v>
          </cell>
          <cell r="B597">
            <v>500547</v>
          </cell>
          <cell r="C597" t="str">
            <v>BPCL</v>
          </cell>
        </row>
        <row r="598">
          <cell r="A598" t="str">
            <v>BHARAT RASAYAN LTD</v>
          </cell>
          <cell r="B598">
            <v>590021</v>
          </cell>
          <cell r="C598" t="str">
            <v>BHARATRAS</v>
          </cell>
        </row>
        <row r="599">
          <cell r="A599" t="str">
            <v>BHARAT ROAD NETWORK LTD</v>
          </cell>
          <cell r="B599">
            <v>540700</v>
          </cell>
          <cell r="C599" t="str">
            <v>BRNL</v>
          </cell>
        </row>
        <row r="600">
          <cell r="A600" t="str">
            <v>BHARAT SEATS LTD</v>
          </cell>
          <cell r="B600">
            <v>523229</v>
          </cell>
          <cell r="C600" t="str">
            <v>Not Listed</v>
          </cell>
        </row>
        <row r="601">
          <cell r="A601" t="str">
            <v>BHARAT TEXTILES &amp; PROOFING INDUSTRIES LTD</v>
          </cell>
          <cell r="B601">
            <v>531029</v>
          </cell>
          <cell r="C601" t="str">
            <v>Not Listed</v>
          </cell>
        </row>
        <row r="602">
          <cell r="A602" t="str">
            <v>BHARAT WIRE ROPES LTD</v>
          </cell>
          <cell r="B602">
            <v>539799</v>
          </cell>
          <cell r="C602" t="str">
            <v>BHARATWIRE</v>
          </cell>
        </row>
        <row r="603">
          <cell r="A603" t="str">
            <v>BHARATI DEFENCE AND INFRASTRUCTURE LTD</v>
          </cell>
          <cell r="B603">
            <v>532609</v>
          </cell>
          <cell r="C603" t="str">
            <v>BHARATIDIL</v>
          </cell>
        </row>
        <row r="604">
          <cell r="A604" t="str">
            <v>BHARATIYA GLOBAL INFOMEDIA LTD</v>
          </cell>
          <cell r="B604">
            <v>533499</v>
          </cell>
          <cell r="C604" t="str">
            <v>BGLOBAL</v>
          </cell>
        </row>
        <row r="605">
          <cell r="A605" t="str">
            <v>BHARTI AIRTEL LTD</v>
          </cell>
          <cell r="B605">
            <v>532454</v>
          </cell>
          <cell r="C605" t="str">
            <v>BHARTIARTL</v>
          </cell>
        </row>
        <row r="606">
          <cell r="A606" t="str">
            <v>BHARTI INFRATEL LTD</v>
          </cell>
          <cell r="B606">
            <v>534816</v>
          </cell>
          <cell r="C606" t="str">
            <v>INFRATEL</v>
          </cell>
        </row>
        <row r="607">
          <cell r="A607" t="str">
            <v>BHARTIYA INTERNATIONAL LTD</v>
          </cell>
          <cell r="B607">
            <v>526666</v>
          </cell>
          <cell r="C607" t="str">
            <v>BIL</v>
          </cell>
        </row>
        <row r="608">
          <cell r="A608" t="str">
            <v>BHASKAR AGROCHEMICALS LTD</v>
          </cell>
          <cell r="B608">
            <v>524534</v>
          </cell>
          <cell r="C608" t="str">
            <v>Not Listed</v>
          </cell>
        </row>
        <row r="609">
          <cell r="A609" t="str">
            <v>BHATIA COMMUNICATIONS &amp; RETAIL (INDIA) LTD</v>
          </cell>
          <cell r="B609">
            <v>540956</v>
          </cell>
          <cell r="C609" t="str">
            <v>Not Listed</v>
          </cell>
        </row>
        <row r="610">
          <cell r="A610" t="str">
            <v>BHATIA COMMUNICATIONS &amp; RETAIL INDIA LTD</v>
          </cell>
          <cell r="B610">
            <v>540956</v>
          </cell>
          <cell r="C610" t="str">
            <v>Not Listed</v>
          </cell>
        </row>
        <row r="611">
          <cell r="A611" t="str">
            <v>BHILWARA SPINNERS LTD</v>
          </cell>
          <cell r="B611">
            <v>514272</v>
          </cell>
          <cell r="C611" t="str">
            <v>Not Listed</v>
          </cell>
        </row>
        <row r="612">
          <cell r="A612" t="str">
            <v>BHILWARA TECHNICAL TEXTILES LTD</v>
          </cell>
          <cell r="B612">
            <v>533108</v>
          </cell>
          <cell r="C612" t="str">
            <v>Not Listed</v>
          </cell>
        </row>
        <row r="613">
          <cell r="A613" t="str">
            <v>BHORUKA ALUMINIUM LTD</v>
          </cell>
          <cell r="B613">
            <v>506027</v>
          </cell>
          <cell r="C613" t="str">
            <v>Not Listed</v>
          </cell>
        </row>
        <row r="614">
          <cell r="A614" t="str">
            <v>BHUSHAN STEEL LTD</v>
          </cell>
          <cell r="B614">
            <v>500055</v>
          </cell>
          <cell r="C614" t="str">
            <v>BHUSANSTL</v>
          </cell>
        </row>
        <row r="615">
          <cell r="A615" t="str">
            <v>BIGBLOC CONSTRUCTION LTD</v>
          </cell>
          <cell r="B615">
            <v>540061</v>
          </cell>
          <cell r="C615" t="str">
            <v>BIGBLOC</v>
          </cell>
        </row>
        <row r="616">
          <cell r="A616" t="str">
            <v>BIHAR SPONGE IRON LTD</v>
          </cell>
          <cell r="B616">
            <v>500058</v>
          </cell>
          <cell r="C616" t="str">
            <v>Not Listed</v>
          </cell>
        </row>
        <row r="617">
          <cell r="A617" t="str">
            <v>BIJOY HANS LTD</v>
          </cell>
          <cell r="B617">
            <v>524723</v>
          </cell>
          <cell r="C617" t="str">
            <v>Not Listed</v>
          </cell>
        </row>
        <row r="618">
          <cell r="A618" t="str">
            <v>BIL ENERGY SYSTEMS LTD</v>
          </cell>
          <cell r="B618">
            <v>533321</v>
          </cell>
          <cell r="C618" t="str">
            <v>BILENERGY</v>
          </cell>
        </row>
        <row r="619">
          <cell r="A619" t="str">
            <v>BILCARE LTD</v>
          </cell>
          <cell r="B619">
            <v>526853</v>
          </cell>
          <cell r="C619" t="str">
            <v>Not Listed</v>
          </cell>
        </row>
        <row r="620">
          <cell r="A620" t="str">
            <v>BIMETAL BEARINGS LTD</v>
          </cell>
          <cell r="B620">
            <v>505681</v>
          </cell>
          <cell r="C620" t="str">
            <v>Not Listed</v>
          </cell>
        </row>
        <row r="621">
          <cell r="A621" t="str">
            <v>BINANI INDUSTRIES LTD</v>
          </cell>
          <cell r="B621">
            <v>500059</v>
          </cell>
          <cell r="C621" t="str">
            <v>BINANIIND</v>
          </cell>
        </row>
        <row r="622">
          <cell r="A622" t="str">
            <v>BINAYAK TEX PROCESSORS LTD</v>
          </cell>
          <cell r="B622">
            <v>523054</v>
          </cell>
          <cell r="C622" t="str">
            <v>Not Listed</v>
          </cell>
        </row>
        <row r="623">
          <cell r="A623" t="str">
            <v>BINDAL EXPORTS LTD</v>
          </cell>
          <cell r="B623">
            <v>540148</v>
          </cell>
          <cell r="C623" t="str">
            <v>Not Listed</v>
          </cell>
        </row>
        <row r="624">
          <cell r="A624" t="str">
            <v>BINNY LTD</v>
          </cell>
          <cell r="B624">
            <v>514215</v>
          </cell>
          <cell r="C624" t="str">
            <v>Not Listed</v>
          </cell>
        </row>
        <row r="625">
          <cell r="A625" t="str">
            <v>BINNY MILLS LTD</v>
          </cell>
          <cell r="B625">
            <v>535620</v>
          </cell>
          <cell r="C625" t="str">
            <v>Not Listed</v>
          </cell>
        </row>
        <row r="626">
          <cell r="A626" t="str">
            <v>BIO GREEN PAPERS LTD</v>
          </cell>
          <cell r="B626">
            <v>534535</v>
          </cell>
          <cell r="C626" t="str">
            <v>Not Listed</v>
          </cell>
        </row>
        <row r="627">
          <cell r="A627" t="str">
            <v>BIOCON LTD</v>
          </cell>
          <cell r="B627">
            <v>532523</v>
          </cell>
          <cell r="C627" t="str">
            <v>BIOCON</v>
          </cell>
        </row>
        <row r="628">
          <cell r="A628" t="str">
            <v>BIOFIL CHEMICALS &amp; PHARMACEUTICALS LTD</v>
          </cell>
          <cell r="B628">
            <v>524396</v>
          </cell>
          <cell r="C628" t="str">
            <v>BIOFILCHEM</v>
          </cell>
        </row>
        <row r="629">
          <cell r="A629" t="str">
            <v>BIOPAC INDIA CORPORATION LTD</v>
          </cell>
          <cell r="B629">
            <v>532330</v>
          </cell>
          <cell r="C629" t="str">
            <v>Not Listed</v>
          </cell>
        </row>
        <row r="630">
          <cell r="A630" t="str">
            <v>BIRDHI CHAND PANNALAL AGENCIES LTD</v>
          </cell>
          <cell r="B630">
            <v>538364</v>
          </cell>
          <cell r="C630" t="str">
            <v>Not Listed</v>
          </cell>
        </row>
        <row r="631">
          <cell r="A631" t="str">
            <v>BIRLA CABLE LTD</v>
          </cell>
          <cell r="B631">
            <v>500060</v>
          </cell>
          <cell r="C631" t="str">
            <v>BIRLACABLE</v>
          </cell>
        </row>
        <row r="632">
          <cell r="A632" t="str">
            <v>BIRLA CORPORATION LTD</v>
          </cell>
          <cell r="B632">
            <v>500335</v>
          </cell>
          <cell r="C632" t="str">
            <v>BIRLACORPN</v>
          </cell>
        </row>
        <row r="633">
          <cell r="A633" t="str">
            <v>BIRLA COTSYN (INDIA) LTD</v>
          </cell>
          <cell r="B633">
            <v>533006</v>
          </cell>
          <cell r="C633" t="str">
            <v>Not Listed</v>
          </cell>
        </row>
        <row r="634">
          <cell r="A634" t="str">
            <v>BIRLA COTSYN INDIA LTD</v>
          </cell>
          <cell r="B634">
            <v>533006</v>
          </cell>
          <cell r="C634" t="str">
            <v>Not Listed</v>
          </cell>
        </row>
        <row r="635">
          <cell r="A635" t="str">
            <v>BIRLA PRECISION TECHNOLOGIES LTD</v>
          </cell>
          <cell r="B635">
            <v>522105</v>
          </cell>
          <cell r="C635" t="str">
            <v>Not Listed</v>
          </cell>
        </row>
        <row r="636">
          <cell r="A636" t="str">
            <v>Birla Sun Life Mutual Fund - Birla Sun Life Gold ETF</v>
          </cell>
          <cell r="B636">
            <v>533408</v>
          </cell>
          <cell r="C636" t="str">
            <v>BSLGOLDETF</v>
          </cell>
        </row>
        <row r="637">
          <cell r="A637" t="str">
            <v>BIRLASOFT LTD</v>
          </cell>
          <cell r="B637" t="str">
            <v>Not Listed</v>
          </cell>
          <cell r="C637" t="str">
            <v>BSOFT</v>
          </cell>
        </row>
        <row r="638">
          <cell r="A638" t="str">
            <v>BKM INDUSTRIES LTD</v>
          </cell>
          <cell r="B638">
            <v>539043</v>
          </cell>
          <cell r="C638" t="str">
            <v>BKMINDST</v>
          </cell>
        </row>
        <row r="639">
          <cell r="A639" t="str">
            <v>BLACK ROSE INDUSTRIES LTD</v>
          </cell>
          <cell r="B639">
            <v>514183</v>
          </cell>
          <cell r="C639" t="str">
            <v>Not Listed</v>
          </cell>
        </row>
        <row r="640">
          <cell r="A640" t="str">
            <v>BLB LTD</v>
          </cell>
          <cell r="B640">
            <v>532290</v>
          </cell>
          <cell r="C640" t="str">
            <v>BLBLIMITED</v>
          </cell>
        </row>
        <row r="641">
          <cell r="A641" t="str">
            <v>BLISS GVS PHARMA LTD</v>
          </cell>
          <cell r="B641">
            <v>506197</v>
          </cell>
          <cell r="C641" t="str">
            <v>BLISSGVS</v>
          </cell>
        </row>
        <row r="642">
          <cell r="A642" t="str">
            <v>BLOOM DEKOR LTD</v>
          </cell>
          <cell r="B642">
            <v>526225</v>
          </cell>
          <cell r="C642" t="str">
            <v>Not Listed</v>
          </cell>
        </row>
        <row r="643">
          <cell r="A643" t="str">
            <v>BLOOM INDUSTRIES LTD</v>
          </cell>
          <cell r="B643">
            <v>513422</v>
          </cell>
          <cell r="C643" t="str">
            <v>Not Listed</v>
          </cell>
        </row>
        <row r="644">
          <cell r="A644" t="str">
            <v>BLS INFOTECH LTD</v>
          </cell>
          <cell r="B644">
            <v>531175</v>
          </cell>
          <cell r="C644" t="str">
            <v>Not Listed</v>
          </cell>
        </row>
        <row r="645">
          <cell r="A645" t="str">
            <v>BLS INTERNATIONAL SERVICES LTD</v>
          </cell>
          <cell r="B645">
            <v>540073</v>
          </cell>
          <cell r="C645" t="str">
            <v>BLS</v>
          </cell>
        </row>
        <row r="646">
          <cell r="A646" t="str">
            <v>BLUE BLENDS (INDIA) LTD</v>
          </cell>
          <cell r="B646">
            <v>502761</v>
          </cell>
          <cell r="C646" t="str">
            <v>Not Listed</v>
          </cell>
        </row>
        <row r="647">
          <cell r="A647" t="str">
            <v>BLUE BLENDS I LTD</v>
          </cell>
          <cell r="B647" t="str">
            <v>Not Listed</v>
          </cell>
          <cell r="C647" t="str">
            <v>BLUEBLENDS</v>
          </cell>
        </row>
        <row r="648">
          <cell r="A648" t="str">
            <v>BLUE BLENDS INDIA LTD</v>
          </cell>
          <cell r="B648">
            <v>502761</v>
          </cell>
          <cell r="C648" t="str">
            <v>Not Listed</v>
          </cell>
        </row>
        <row r="649">
          <cell r="A649" t="str">
            <v>BLUE CHIP TEX INDUSTRIES LTD</v>
          </cell>
          <cell r="B649">
            <v>506981</v>
          </cell>
          <cell r="C649" t="str">
            <v>Not Listed</v>
          </cell>
        </row>
        <row r="650">
          <cell r="A650" t="str">
            <v>BLUE CIRCLE SERVICES LTD</v>
          </cell>
          <cell r="B650">
            <v>508939</v>
          </cell>
          <cell r="C650" t="str">
            <v>Not Listed</v>
          </cell>
        </row>
        <row r="651">
          <cell r="A651" t="str">
            <v>BLUE CLOUD SOFTECH SOLUTIONS LTD</v>
          </cell>
          <cell r="B651">
            <v>539607</v>
          </cell>
          <cell r="C651" t="str">
            <v>Not Listed</v>
          </cell>
        </row>
        <row r="652">
          <cell r="A652" t="str">
            <v>BLUE COAST HOTELS LTD</v>
          </cell>
          <cell r="B652">
            <v>531495</v>
          </cell>
          <cell r="C652" t="str">
            <v>BLUECOAST</v>
          </cell>
        </row>
        <row r="653">
          <cell r="A653" t="str">
            <v>BLUE DART EXPRESS LTD</v>
          </cell>
          <cell r="B653">
            <v>526612</v>
          </cell>
          <cell r="C653" t="str">
            <v>BLUEDART</v>
          </cell>
        </row>
        <row r="654">
          <cell r="A654" t="str">
            <v>BLUE PEARL TEXSPIN LTD</v>
          </cell>
          <cell r="B654">
            <v>514440</v>
          </cell>
          <cell r="C654" t="str">
            <v>Not Listed</v>
          </cell>
        </row>
        <row r="655">
          <cell r="A655" t="str">
            <v>BLUE STAR LTD</v>
          </cell>
          <cell r="B655">
            <v>500067</v>
          </cell>
          <cell r="C655" t="str">
            <v>BLUESTARCO</v>
          </cell>
        </row>
        <row r="656">
          <cell r="A656" t="str">
            <v>BLUEBLOOD VENTURES LTD</v>
          </cell>
          <cell r="B656">
            <v>539637</v>
          </cell>
          <cell r="C656" t="str">
            <v>Not Listed</v>
          </cell>
        </row>
        <row r="657">
          <cell r="A657" t="str">
            <v>BLUECHIP STOCKSPIN LTD</v>
          </cell>
          <cell r="B657">
            <v>531713</v>
          </cell>
          <cell r="C657" t="str">
            <v>Not Listed</v>
          </cell>
        </row>
        <row r="658">
          <cell r="A658" t="str">
            <v>BMB MUSIC &amp; MAGNETICS LTD</v>
          </cell>
          <cell r="B658">
            <v>531420</v>
          </cell>
          <cell r="C658" t="str">
            <v>Not Listed</v>
          </cell>
        </row>
        <row r="659">
          <cell r="A659" t="str">
            <v>BMW Industries Ltd</v>
          </cell>
          <cell r="B659">
            <v>542669</v>
          </cell>
          <cell r="C659" t="str">
            <v>BMW</v>
          </cell>
        </row>
        <row r="660">
          <cell r="A660" t="str">
            <v>BNK CAPITAL MARKETS LTD</v>
          </cell>
          <cell r="B660">
            <v>500069</v>
          </cell>
          <cell r="C660" t="str">
            <v>Not Listed</v>
          </cell>
        </row>
        <row r="661">
          <cell r="A661" t="str">
            <v>BNR UDYOG LTD</v>
          </cell>
          <cell r="B661">
            <v>530809</v>
          </cell>
          <cell r="C661" t="str">
            <v>Not Listed</v>
          </cell>
        </row>
        <row r="662">
          <cell r="A662" t="str">
            <v>BODAL CHEMICALS LTD</v>
          </cell>
          <cell r="B662">
            <v>524370</v>
          </cell>
          <cell r="C662" t="str">
            <v>BODALCHEM</v>
          </cell>
        </row>
        <row r="663">
          <cell r="A663" t="str">
            <v>BODHTREE CONSULTING LTD</v>
          </cell>
          <cell r="B663">
            <v>539122</v>
          </cell>
          <cell r="C663" t="str">
            <v>Not Listed</v>
          </cell>
        </row>
        <row r="664">
          <cell r="A664" t="str">
            <v>BOHRA INDUSTRIES LTD</v>
          </cell>
          <cell r="B664" t="str">
            <v>Not Listed</v>
          </cell>
          <cell r="C664" t="str">
            <v>BOHRA</v>
          </cell>
        </row>
        <row r="665">
          <cell r="A665" t="str">
            <v>BOMBAY BURMAH TRADING CORPORATION LTD</v>
          </cell>
          <cell r="B665">
            <v>501425</v>
          </cell>
          <cell r="C665" t="str">
            <v>BBTC</v>
          </cell>
        </row>
        <row r="666">
          <cell r="A666" t="str">
            <v>BOMBAY CYCLE &amp; MOTOR AGENCY LTD</v>
          </cell>
          <cell r="B666">
            <v>501430</v>
          </cell>
          <cell r="C666" t="str">
            <v>Not Listed</v>
          </cell>
        </row>
        <row r="667">
          <cell r="A667" t="str">
            <v>BOMBAY DYEING &amp; MFG COMPANY LTD</v>
          </cell>
          <cell r="B667">
            <v>500020</v>
          </cell>
          <cell r="C667" t="str">
            <v>BOMDYEING</v>
          </cell>
        </row>
        <row r="668">
          <cell r="A668" t="str">
            <v>BOMBAY OXYGEN INVESTMENTS LTD</v>
          </cell>
          <cell r="B668">
            <v>509470</v>
          </cell>
          <cell r="C668" t="str">
            <v>Not Listed</v>
          </cell>
        </row>
        <row r="669">
          <cell r="A669" t="str">
            <v>BOMBAY POTTERIES &amp; TILES LTD</v>
          </cell>
          <cell r="B669">
            <v>502216</v>
          </cell>
          <cell r="C669" t="str">
            <v>Not Listed</v>
          </cell>
        </row>
        <row r="670">
          <cell r="A670" t="str">
            <v>BOMBAY RAYON FASHIONS LTD</v>
          </cell>
          <cell r="B670">
            <v>532678</v>
          </cell>
          <cell r="C670" t="str">
            <v>BRFL</v>
          </cell>
        </row>
        <row r="671">
          <cell r="A671" t="str">
            <v>BOMBAY SUPER HYBRID SEEDS LTD</v>
          </cell>
          <cell r="B671" t="str">
            <v>Not Listed</v>
          </cell>
          <cell r="C671" t="str">
            <v>BSHSL</v>
          </cell>
        </row>
        <row r="672">
          <cell r="A672" t="str">
            <v>BOMBAY WIRE ROPES LTD</v>
          </cell>
          <cell r="B672">
            <v>504648</v>
          </cell>
          <cell r="C672" t="str">
            <v>Not Listed</v>
          </cell>
        </row>
        <row r="673">
          <cell r="A673" t="str">
            <v>BONANZA INDUSTRIES LTD</v>
          </cell>
          <cell r="B673">
            <v>523133</v>
          </cell>
          <cell r="C673" t="str">
            <v>Not Listed</v>
          </cell>
        </row>
        <row r="674">
          <cell r="A674" t="str">
            <v>BOROSIL GLASS WORKS LTD</v>
          </cell>
          <cell r="B674">
            <v>502219</v>
          </cell>
          <cell r="C674" t="str">
            <v>BOROSIL</v>
          </cell>
        </row>
        <row r="675">
          <cell r="A675" t="str">
            <v>BOSCH LTD</v>
          </cell>
          <cell r="B675">
            <v>500530</v>
          </cell>
          <cell r="C675" t="str">
            <v>BOSCHLTD</v>
          </cell>
        </row>
        <row r="676">
          <cell r="A676" t="str">
            <v>BOSTON TEKNOWSYS (INDIA) LTD</v>
          </cell>
          <cell r="B676">
            <v>536820</v>
          </cell>
          <cell r="C676" t="str">
            <v>Not Listed</v>
          </cell>
        </row>
        <row r="677">
          <cell r="A677" t="str">
            <v>BOSTON TEKNOWSYS INDIA LTD</v>
          </cell>
          <cell r="B677">
            <v>536820</v>
          </cell>
          <cell r="C677" t="str">
            <v>Not Listed</v>
          </cell>
        </row>
        <row r="678">
          <cell r="A678" t="str">
            <v>BOTHRA METALS &amp; ALLOYS LTD</v>
          </cell>
          <cell r="B678">
            <v>535279</v>
          </cell>
          <cell r="C678" t="str">
            <v>Not Listed</v>
          </cell>
        </row>
        <row r="679">
          <cell r="A679" t="str">
            <v>BPL LTD</v>
          </cell>
          <cell r="B679">
            <v>500074</v>
          </cell>
          <cell r="C679" t="str">
            <v>BPL</v>
          </cell>
        </row>
        <row r="680">
          <cell r="A680" t="str">
            <v>BRADY &amp; MORRIS ENGINEERING CO LTD</v>
          </cell>
          <cell r="B680">
            <v>505690</v>
          </cell>
          <cell r="C680" t="str">
            <v>Not Listed</v>
          </cell>
        </row>
        <row r="681">
          <cell r="A681" t="str">
            <v>BRAHMAPUTRA INFRASTRUCTURE LTD</v>
          </cell>
          <cell r="B681">
            <v>535693</v>
          </cell>
          <cell r="C681" t="str">
            <v>Not Listed</v>
          </cell>
        </row>
        <row r="682">
          <cell r="A682" t="str">
            <v>BRAND CONCEPTS LTD</v>
          </cell>
          <cell r="B682" t="str">
            <v>Not Listed</v>
          </cell>
          <cell r="C682" t="str">
            <v>BCONCEPTS</v>
          </cell>
        </row>
        <row r="683">
          <cell r="A683" t="str">
            <v>BRAND REALTY SERVICES LTD</v>
          </cell>
          <cell r="B683">
            <v>531203</v>
          </cell>
          <cell r="C683" t="str">
            <v>Not Listed</v>
          </cell>
        </row>
        <row r="684">
          <cell r="A684" t="str">
            <v>BRAWN BIOTECH LTD</v>
          </cell>
          <cell r="B684">
            <v>530207</v>
          </cell>
          <cell r="C684" t="str">
            <v>Not Listed</v>
          </cell>
        </row>
        <row r="685">
          <cell r="A685" t="str">
            <v>BRIDGE SECURITIES LTD</v>
          </cell>
          <cell r="B685">
            <v>530249</v>
          </cell>
          <cell r="C685" t="str">
            <v>Not Listed</v>
          </cell>
        </row>
        <row r="686">
          <cell r="A686" t="str">
            <v>BRIGADE ENTERPRISES LTD</v>
          </cell>
          <cell r="B686">
            <v>532929</v>
          </cell>
          <cell r="C686" t="str">
            <v>BRIGADE</v>
          </cell>
        </row>
        <row r="687">
          <cell r="A687" t="str">
            <v>BRIGHT BROTHERS LTD</v>
          </cell>
          <cell r="B687">
            <v>526731</v>
          </cell>
          <cell r="C687" t="str">
            <v>Not Listed</v>
          </cell>
        </row>
        <row r="688">
          <cell r="A688" t="str">
            <v>BRIGHT SOLAR LTD</v>
          </cell>
          <cell r="B688" t="str">
            <v>Not Listed</v>
          </cell>
          <cell r="C688" t="str">
            <v>BRIGHT</v>
          </cell>
        </row>
        <row r="689">
          <cell r="A689" t="str">
            <v>BRIGHTCOM GROUP LTD</v>
          </cell>
          <cell r="B689">
            <v>532368</v>
          </cell>
          <cell r="C689" t="str">
            <v>BCG</v>
          </cell>
        </row>
        <row r="690">
          <cell r="A690" t="str">
            <v>BRIJLAXMI LEASING &amp;amp; FINANCE LTD.</v>
          </cell>
          <cell r="B690">
            <v>532113</v>
          </cell>
          <cell r="C690" t="str">
            <v>BRIJLEAS</v>
          </cell>
        </row>
        <row r="691">
          <cell r="A691" t="str">
            <v>BRILLIANT PORTFOLIOS LTD</v>
          </cell>
          <cell r="B691">
            <v>539434</v>
          </cell>
          <cell r="C691" t="str">
            <v>Not Listed</v>
          </cell>
        </row>
        <row r="692">
          <cell r="A692" t="str">
            <v>BRITANNIA INDUSTRIES LTD</v>
          </cell>
          <cell r="B692">
            <v>500825</v>
          </cell>
          <cell r="C692" t="str">
            <v>BRITANNIA</v>
          </cell>
        </row>
        <row r="693">
          <cell r="A693" t="str">
            <v>BRONZE INFRA-TECH LTD</v>
          </cell>
          <cell r="B693">
            <v>534731</v>
          </cell>
          <cell r="C693" t="str">
            <v>Not Listed</v>
          </cell>
        </row>
        <row r="694">
          <cell r="A694" t="str">
            <v>BROOKS LABORATORIES LTD</v>
          </cell>
          <cell r="B694">
            <v>533543</v>
          </cell>
          <cell r="C694" t="str">
            <v>BROOKS</v>
          </cell>
        </row>
        <row r="695">
          <cell r="A695" t="str">
            <v>BSE LTD</v>
          </cell>
          <cell r="B695" t="str">
            <v>Not Listed</v>
          </cell>
          <cell r="C695" t="str">
            <v>BSE</v>
          </cell>
        </row>
        <row r="696">
          <cell r="A696" t="str">
            <v>BSEL INFRASTRUCTURE REALTY LTD</v>
          </cell>
          <cell r="B696">
            <v>532123</v>
          </cell>
          <cell r="C696" t="str">
            <v>BSELINFRA</v>
          </cell>
        </row>
        <row r="697">
          <cell r="A697" t="str">
            <v>BSL LTD</v>
          </cell>
          <cell r="B697">
            <v>514045</v>
          </cell>
          <cell r="C697" t="str">
            <v>BSL</v>
          </cell>
        </row>
        <row r="698">
          <cell r="A698" t="str">
            <v>BUDGE BUDGE COMPANY LTD</v>
          </cell>
          <cell r="B698">
            <v>538789</v>
          </cell>
          <cell r="C698" t="str">
            <v>Not Listed</v>
          </cell>
        </row>
        <row r="699">
          <cell r="A699" t="str">
            <v>BULLISH BONDS &amp; HOLDINGS LTD</v>
          </cell>
          <cell r="B699">
            <v>540006</v>
          </cell>
          <cell r="C699" t="str">
            <v>Not Listed</v>
          </cell>
        </row>
        <row r="700">
          <cell r="A700" t="str">
            <v>BURNPUR CEMENT LTD</v>
          </cell>
          <cell r="B700">
            <v>532931</v>
          </cell>
          <cell r="C700" t="str">
            <v>BURNPUR</v>
          </cell>
        </row>
        <row r="701">
          <cell r="A701" t="str">
            <v>BUTTERFLY GANDHIMATHI APPLIANCES LTD</v>
          </cell>
          <cell r="B701">
            <v>517421</v>
          </cell>
          <cell r="C701" t="str">
            <v>BUTTERFLY</v>
          </cell>
        </row>
        <row r="702">
          <cell r="A702" t="str">
            <v>BWL LTD</v>
          </cell>
          <cell r="B702">
            <v>504643</v>
          </cell>
          <cell r="C702" t="str">
            <v>Not Listed</v>
          </cell>
        </row>
        <row r="703">
          <cell r="A703" t="str">
            <v>C &amp; C CONSTRUCTIONS LTD</v>
          </cell>
          <cell r="B703">
            <v>532813</v>
          </cell>
          <cell r="C703" t="str">
            <v>CANDC</v>
          </cell>
        </row>
        <row r="704">
          <cell r="A704" t="str">
            <v>C J GELATINE PRODUCTS LTD</v>
          </cell>
          <cell r="B704">
            <v>507515</v>
          </cell>
          <cell r="C704" t="str">
            <v>Not Listed</v>
          </cell>
        </row>
        <row r="705">
          <cell r="A705" t="str">
            <v>CADILA HEALTHCARE LTD</v>
          </cell>
          <cell r="B705">
            <v>532321</v>
          </cell>
          <cell r="C705" t="str">
            <v>CADILAHC</v>
          </cell>
        </row>
        <row r="706">
          <cell r="A706" t="str">
            <v>CADSYS (INDIA) LTD</v>
          </cell>
          <cell r="B706" t="str">
            <v>Not Listed</v>
          </cell>
          <cell r="C706" t="str">
            <v>CADSYS</v>
          </cell>
        </row>
        <row r="707">
          <cell r="A707" t="str">
            <v>CADSYS INDIA LTD</v>
          </cell>
          <cell r="B707" t="str">
            <v>Not Listed</v>
          </cell>
          <cell r="C707" t="str">
            <v>CADSYS</v>
          </cell>
        </row>
        <row r="708">
          <cell r="A708" t="str">
            <v>CALCOM VISION LTD</v>
          </cell>
          <cell r="B708">
            <v>517236</v>
          </cell>
          <cell r="C708" t="str">
            <v>Not Listed</v>
          </cell>
        </row>
        <row r="709">
          <cell r="A709" t="str">
            <v>CALIFORNIA SOFTWARE COMPANY LTD</v>
          </cell>
          <cell r="B709">
            <v>532386</v>
          </cell>
          <cell r="C709" t="str">
            <v>CALSOFT</v>
          </cell>
        </row>
        <row r="710">
          <cell r="A710" t="str">
            <v>CAMBRIDGE TECHNOLOGY ENTERPRISES LTD</v>
          </cell>
          <cell r="B710">
            <v>532801</v>
          </cell>
          <cell r="C710" t="str">
            <v>CTE</v>
          </cell>
        </row>
        <row r="711">
          <cell r="A711" t="str">
            <v>CAMEX LTD</v>
          </cell>
          <cell r="B711">
            <v>524440</v>
          </cell>
          <cell r="C711" t="str">
            <v>Not Listed</v>
          </cell>
        </row>
        <row r="712">
          <cell r="A712" t="str">
            <v>CAMLIN FINE SCIENCES LTD</v>
          </cell>
          <cell r="B712">
            <v>532834</v>
          </cell>
          <cell r="C712" t="str">
            <v>CAMLINFINE</v>
          </cell>
        </row>
        <row r="713">
          <cell r="A713" t="str">
            <v>CAMSON BIO TECHNOLOGIES LTD</v>
          </cell>
          <cell r="B713">
            <v>538858</v>
          </cell>
          <cell r="C713" t="str">
            <v>Not Listed</v>
          </cell>
        </row>
        <row r="714">
          <cell r="A714" t="str">
            <v>CAMSON SEEDS LTD</v>
          </cell>
          <cell r="B714">
            <v>540071</v>
          </cell>
          <cell r="C714" t="str">
            <v>Not Listed</v>
          </cell>
        </row>
        <row r="715">
          <cell r="A715" t="str">
            <v>CAN FIN HOMES LTD</v>
          </cell>
          <cell r="B715">
            <v>511196</v>
          </cell>
          <cell r="C715" t="str">
            <v>CANFINHOME</v>
          </cell>
        </row>
        <row r="716">
          <cell r="A716" t="str">
            <v>CANARA BANK</v>
          </cell>
          <cell r="B716">
            <v>532483</v>
          </cell>
          <cell r="C716" t="str">
            <v>CANBK</v>
          </cell>
        </row>
        <row r="717">
          <cell r="A717" t="str">
            <v>CANOPY FINANCE LTD</v>
          </cell>
          <cell r="B717">
            <v>539304</v>
          </cell>
          <cell r="C717" t="str">
            <v>Not Listed</v>
          </cell>
        </row>
        <row r="718">
          <cell r="A718" t="str">
            <v>CANTABIL RETAIL (INDIA) LTD</v>
          </cell>
          <cell r="B718">
            <v>533267</v>
          </cell>
          <cell r="C718" t="str">
            <v>CANTABIL</v>
          </cell>
        </row>
        <row r="719">
          <cell r="A719" t="str">
            <v>CANTABIL RETAIL INDIA LTD</v>
          </cell>
          <cell r="B719">
            <v>533267</v>
          </cell>
          <cell r="C719" t="str">
            <v>CANTABIL</v>
          </cell>
        </row>
        <row r="720">
          <cell r="A720" t="str">
            <v>CAPACIT'E INFRAPROJECTS LTD</v>
          </cell>
          <cell r="B720">
            <v>540710</v>
          </cell>
          <cell r="C720" t="str">
            <v>CAPACITE</v>
          </cell>
        </row>
        <row r="721">
          <cell r="A721" t="str">
            <v>CAPFIN (INDIA) LTD</v>
          </cell>
          <cell r="B721">
            <v>539198</v>
          </cell>
          <cell r="C721" t="str">
            <v>Not Listed</v>
          </cell>
        </row>
        <row r="722">
          <cell r="A722" t="str">
            <v>CAPFIN INDIA LTD</v>
          </cell>
          <cell r="B722">
            <v>539198</v>
          </cell>
          <cell r="C722" t="str">
            <v>Not Listed</v>
          </cell>
        </row>
        <row r="723">
          <cell r="A723" t="str">
            <v>CAPITAL FIRST LTD</v>
          </cell>
          <cell r="B723">
            <v>532938</v>
          </cell>
          <cell r="C723" t="str">
            <v>CAPF</v>
          </cell>
        </row>
        <row r="724">
          <cell r="A724" t="str">
            <v>CAPITAL INDIA FINANCE LTD</v>
          </cell>
          <cell r="B724">
            <v>530879</v>
          </cell>
          <cell r="C724" t="str">
            <v>Not Listed</v>
          </cell>
        </row>
        <row r="725">
          <cell r="A725" t="str">
            <v>CAPITAL TRADE LINKS LTD</v>
          </cell>
          <cell r="B725">
            <v>538476</v>
          </cell>
          <cell r="C725" t="str">
            <v>Not Listed</v>
          </cell>
        </row>
        <row r="726">
          <cell r="A726" t="str">
            <v>CAPITAL TRUST LTD</v>
          </cell>
          <cell r="B726">
            <v>511505</v>
          </cell>
          <cell r="C726" t="str">
            <v>CAPTRUST</v>
          </cell>
        </row>
        <row r="727">
          <cell r="A727" t="str">
            <v>CAPLIN POINT LABORATORIES LTD</v>
          </cell>
          <cell r="B727">
            <v>524742</v>
          </cell>
          <cell r="C727" t="str">
            <v>CAPLIPOINT</v>
          </cell>
        </row>
        <row r="728">
          <cell r="A728" t="str">
            <v>CAPRI GLOBAL CAPITAL LTD</v>
          </cell>
          <cell r="B728">
            <v>531595</v>
          </cell>
          <cell r="C728" t="str">
            <v>CGCL</v>
          </cell>
        </row>
        <row r="729">
          <cell r="A729" t="str">
            <v>CAPRICORN SYSTEMS GLOBAL SOLUTIONS LTD</v>
          </cell>
          <cell r="B729">
            <v>512169</v>
          </cell>
          <cell r="C729" t="str">
            <v>Not Listed</v>
          </cell>
        </row>
        <row r="730">
          <cell r="A730" t="str">
            <v>CAPRIHANS (INDIA) LTD</v>
          </cell>
          <cell r="B730">
            <v>509486</v>
          </cell>
          <cell r="C730" t="str">
            <v>Not Listed</v>
          </cell>
        </row>
        <row r="731">
          <cell r="A731" t="str">
            <v>CAPRIHANS INDIA LTD</v>
          </cell>
          <cell r="B731">
            <v>509486</v>
          </cell>
          <cell r="C731" t="str">
            <v>Not Listed</v>
          </cell>
        </row>
        <row r="732">
          <cell r="A732" t="str">
            <v>CAPROLACTAM CHEMICALS LTD</v>
          </cell>
          <cell r="B732">
            <v>507486</v>
          </cell>
          <cell r="C732" t="str">
            <v>Not Listed</v>
          </cell>
        </row>
        <row r="733">
          <cell r="A733" t="str">
            <v>CAPTAIN PIPES LTD</v>
          </cell>
          <cell r="B733">
            <v>538817</v>
          </cell>
          <cell r="C733" t="str">
            <v>Not Listed</v>
          </cell>
        </row>
        <row r="734">
          <cell r="A734" t="str">
            <v>CAPTAIN POLYPLAST LTD</v>
          </cell>
          <cell r="B734">
            <v>536974</v>
          </cell>
          <cell r="C734" t="str">
            <v>Not Listed</v>
          </cell>
        </row>
        <row r="735">
          <cell r="A735" t="str">
            <v>CAPTAIN TECHNOCAST LTD</v>
          </cell>
          <cell r="B735">
            <v>540652</v>
          </cell>
          <cell r="C735" t="str">
            <v>Not Listed</v>
          </cell>
        </row>
        <row r="736">
          <cell r="A736" t="str">
            <v>CARBORUNDUM UNIVERSAL LTD</v>
          </cell>
          <cell r="B736">
            <v>513375</v>
          </cell>
          <cell r="C736" t="str">
            <v>CARBORUNIV</v>
          </cell>
        </row>
        <row r="737">
          <cell r="A737" t="str">
            <v>CARE RATINGS LTD</v>
          </cell>
          <cell r="B737">
            <v>534804</v>
          </cell>
          <cell r="C737" t="str">
            <v>CARERATING</v>
          </cell>
        </row>
        <row r="738">
          <cell r="A738" t="str">
            <v>CAREER POINT LTD</v>
          </cell>
          <cell r="B738">
            <v>533260</v>
          </cell>
          <cell r="C738" t="str">
            <v>CAREERP</v>
          </cell>
        </row>
        <row r="739">
          <cell r="A739" t="str">
            <v>CARNATION INDUSTRIES LTD</v>
          </cell>
          <cell r="B739">
            <v>530609</v>
          </cell>
          <cell r="C739" t="str">
            <v>Not Listed</v>
          </cell>
        </row>
        <row r="740">
          <cell r="A740" t="str">
            <v>CASTEX TECHNOLOGIES LTD</v>
          </cell>
          <cell r="B740">
            <v>532282</v>
          </cell>
          <cell r="C740" t="str">
            <v>CASTEXTECH</v>
          </cell>
        </row>
        <row r="741">
          <cell r="A741" t="str">
            <v>CASTROL (INDIA) LTD</v>
          </cell>
          <cell r="B741">
            <v>500870</v>
          </cell>
          <cell r="C741" t="str">
            <v>CASTROLIND</v>
          </cell>
        </row>
        <row r="742">
          <cell r="A742" t="str">
            <v>CASTROL INDIA LTD</v>
          </cell>
          <cell r="B742">
            <v>500870</v>
          </cell>
          <cell r="C742" t="str">
            <v>CASTROLIND</v>
          </cell>
        </row>
        <row r="743">
          <cell r="A743" t="str">
            <v>CAT TECHNOLOGIES LTD</v>
          </cell>
          <cell r="B743">
            <v>531682</v>
          </cell>
          <cell r="C743" t="str">
            <v>Not Listed</v>
          </cell>
        </row>
        <row r="744">
          <cell r="A744" t="str">
            <v>CATVISION LTD</v>
          </cell>
          <cell r="B744">
            <v>531158</v>
          </cell>
          <cell r="C744" t="str">
            <v>Not Listed</v>
          </cell>
        </row>
        <row r="745">
          <cell r="A745" t="str">
            <v>CCL INTERNATIONAL LTD</v>
          </cell>
          <cell r="B745">
            <v>531900</v>
          </cell>
          <cell r="C745" t="str">
            <v>Not Listed</v>
          </cell>
        </row>
        <row r="746">
          <cell r="A746" t="str">
            <v>CCL PRODUCTS (INDIA) LTD</v>
          </cell>
          <cell r="B746">
            <v>519600</v>
          </cell>
          <cell r="C746" t="str">
            <v>CCL</v>
          </cell>
        </row>
        <row r="747">
          <cell r="A747" t="str">
            <v>CCL PRODUCTS INDIA LTD</v>
          </cell>
          <cell r="B747">
            <v>519600</v>
          </cell>
          <cell r="C747" t="str">
            <v>CCL</v>
          </cell>
        </row>
        <row r="748">
          <cell r="A748" t="str">
            <v>CEAT LTD</v>
          </cell>
          <cell r="B748">
            <v>500878</v>
          </cell>
          <cell r="C748" t="str">
            <v>CEATLTD</v>
          </cell>
        </row>
        <row r="749">
          <cell r="A749" t="str">
            <v>CEEJAY FINANCE LTD</v>
          </cell>
          <cell r="B749">
            <v>530789</v>
          </cell>
          <cell r="C749" t="str">
            <v>Not Listed</v>
          </cell>
        </row>
        <row r="750">
          <cell r="A750" t="str">
            <v>CEENIK EXPORTS (INDIA) LTD</v>
          </cell>
          <cell r="B750">
            <v>531119</v>
          </cell>
          <cell r="C750" t="str">
            <v>Not Listed</v>
          </cell>
        </row>
        <row r="751">
          <cell r="A751" t="str">
            <v>CEENIK EXPORTS INDIA LTD</v>
          </cell>
          <cell r="B751">
            <v>531119</v>
          </cell>
          <cell r="C751" t="str">
            <v>Not Listed</v>
          </cell>
        </row>
        <row r="752">
          <cell r="A752" t="str">
            <v>CEETA INDUSTRIES LTD</v>
          </cell>
          <cell r="B752">
            <v>514171</v>
          </cell>
          <cell r="C752" t="str">
            <v>Not Listed</v>
          </cell>
        </row>
        <row r="753">
          <cell r="A753" t="str">
            <v>CEINSYS TECH LTD</v>
          </cell>
          <cell r="B753">
            <v>538734</v>
          </cell>
          <cell r="C753" t="str">
            <v>Not Listed</v>
          </cell>
        </row>
        <row r="754">
          <cell r="A754" t="str">
            <v>CELEBRITY FASHIONS LTD</v>
          </cell>
          <cell r="B754">
            <v>532695</v>
          </cell>
          <cell r="C754" t="str">
            <v>CELEBRITY</v>
          </cell>
        </row>
        <row r="755">
          <cell r="A755" t="str">
            <v>CELESTIAL BIOLABS LTD</v>
          </cell>
          <cell r="B755">
            <v>532871</v>
          </cell>
          <cell r="C755" t="str">
            <v>CELESTIAL</v>
          </cell>
        </row>
        <row r="756">
          <cell r="A756" t="str">
            <v>CELLA SPACE LTD</v>
          </cell>
          <cell r="B756">
            <v>532701</v>
          </cell>
          <cell r="C756" t="str">
            <v>Not Listed</v>
          </cell>
        </row>
        <row r="757">
          <cell r="A757" t="str">
            <v>CENLUB INDUSTRIES LTD</v>
          </cell>
          <cell r="B757">
            <v>522251</v>
          </cell>
          <cell r="C757" t="str">
            <v>Not Listed</v>
          </cell>
        </row>
        <row r="758">
          <cell r="A758" t="str">
            <v>CENTENIAL SURGICAL SUTURE LTD</v>
          </cell>
          <cell r="B758">
            <v>531380</v>
          </cell>
          <cell r="C758" t="str">
            <v>Not Listed</v>
          </cell>
        </row>
        <row r="759">
          <cell r="A759" t="str">
            <v>CENTRAL BANK OF INDIA</v>
          </cell>
          <cell r="B759">
            <v>532885</v>
          </cell>
          <cell r="C759" t="str">
            <v>CENTRALBK</v>
          </cell>
        </row>
        <row r="760">
          <cell r="A760" t="str">
            <v>CENTRAL DEPOSITORY SERVICES (INDIA) LTD</v>
          </cell>
          <cell r="B760" t="str">
            <v>Not Listed</v>
          </cell>
          <cell r="C760" t="str">
            <v>CDSL</v>
          </cell>
        </row>
        <row r="761">
          <cell r="A761" t="str">
            <v>CENTRAL DEPOSITORY SERVICES INDIA LTD</v>
          </cell>
          <cell r="B761" t="str">
            <v>Not Listed</v>
          </cell>
          <cell r="C761" t="str">
            <v>CDSL</v>
          </cell>
        </row>
        <row r="762">
          <cell r="A762" t="str">
            <v>CENTRAL PROVINCES RAILWAYS CO LTD</v>
          </cell>
          <cell r="B762">
            <v>501827</v>
          </cell>
          <cell r="C762" t="str">
            <v>Not Listed</v>
          </cell>
        </row>
        <row r="763">
          <cell r="A763" t="str">
            <v>CENTRUM CAPITAL LTD</v>
          </cell>
          <cell r="B763">
            <v>501150</v>
          </cell>
          <cell r="C763" t="str">
            <v>CENTRUM</v>
          </cell>
        </row>
        <row r="764">
          <cell r="A764" t="str">
            <v>CENTUM ELECTRONICS LTD</v>
          </cell>
          <cell r="B764">
            <v>517544</v>
          </cell>
          <cell r="C764" t="str">
            <v>CENTUM</v>
          </cell>
        </row>
        <row r="765">
          <cell r="A765" t="str">
            <v>CENTURY ENKA LTD</v>
          </cell>
          <cell r="B765">
            <v>500280</v>
          </cell>
          <cell r="C765" t="str">
            <v>CENTENKA</v>
          </cell>
        </row>
        <row r="766">
          <cell r="A766" t="str">
            <v>CENTURY EXTRUSIONS LTD</v>
          </cell>
          <cell r="B766">
            <v>500083</v>
          </cell>
          <cell r="C766" t="str">
            <v>CENTEXT</v>
          </cell>
        </row>
        <row r="767">
          <cell r="A767" t="str">
            <v>CENTURY PLYBOARDS (INDIA) LTD</v>
          </cell>
          <cell r="B767">
            <v>532548</v>
          </cell>
          <cell r="C767" t="str">
            <v>CENTURYPLY</v>
          </cell>
        </row>
        <row r="768">
          <cell r="A768" t="str">
            <v>CENTURY PLYBOARDS INDIA LTD</v>
          </cell>
          <cell r="B768">
            <v>532548</v>
          </cell>
          <cell r="C768" t="str">
            <v>CENTURYPLY</v>
          </cell>
        </row>
        <row r="769">
          <cell r="A769" t="str">
            <v>CENTURY TEXTILES &amp; INDUSTRIES LTD</v>
          </cell>
          <cell r="B769">
            <v>500040</v>
          </cell>
          <cell r="C769" t="str">
            <v>CENTURYTEX</v>
          </cell>
        </row>
        <row r="770">
          <cell r="A770" t="str">
            <v>CENTURY TWENTYFIRST PORTFOLIO LTD</v>
          </cell>
          <cell r="B770">
            <v>530881</v>
          </cell>
          <cell r="C770" t="str">
            <v>Not Listed</v>
          </cell>
        </row>
        <row r="771">
          <cell r="A771" t="str">
            <v>CERA SANITARYWARE LTD</v>
          </cell>
          <cell r="B771">
            <v>532443</v>
          </cell>
          <cell r="C771" t="str">
            <v>CERA</v>
          </cell>
        </row>
        <row r="772">
          <cell r="A772" t="str">
            <v>CEREBRA INTEGRATED TECHNOLOGIES LTD</v>
          </cell>
          <cell r="B772">
            <v>532413</v>
          </cell>
          <cell r="C772" t="str">
            <v>CEREBRAINT</v>
          </cell>
        </row>
        <row r="773">
          <cell r="A773" t="str">
            <v>CES LTD</v>
          </cell>
          <cell r="B773">
            <v>512341</v>
          </cell>
          <cell r="C773" t="str">
            <v>Not Listed</v>
          </cell>
        </row>
        <row r="774">
          <cell r="A774" t="str">
            <v>CESC LTD</v>
          </cell>
          <cell r="B774">
            <v>500084</v>
          </cell>
          <cell r="C774" t="str">
            <v>CESC</v>
          </cell>
        </row>
        <row r="775">
          <cell r="A775" t="str">
            <v>CESC Ventures LTD</v>
          </cell>
          <cell r="B775" t="str">
            <v>Not Listed</v>
          </cell>
          <cell r="C775" t="str">
            <v>CESCVENT</v>
          </cell>
        </row>
        <row r="776">
          <cell r="A776" t="str">
            <v>CESC Ventures Ltd</v>
          </cell>
          <cell r="B776">
            <v>542333</v>
          </cell>
          <cell r="C776" t="str">
            <v>CESCVENTURE</v>
          </cell>
        </row>
        <row r="777">
          <cell r="A777" t="str">
            <v>CG POWER AND INDUSTRIAL SOLUTIONS LTD</v>
          </cell>
          <cell r="B777">
            <v>500093</v>
          </cell>
          <cell r="C777" t="str">
            <v>CGPOWER</v>
          </cell>
        </row>
        <row r="778">
          <cell r="A778" t="str">
            <v>CG-VAK SOFTWARE &amp; EXPORTS LTD</v>
          </cell>
          <cell r="B778">
            <v>531489</v>
          </cell>
          <cell r="C778" t="str">
            <v>Not Listed</v>
          </cell>
        </row>
        <row r="779">
          <cell r="A779" t="str">
            <v>CHADHA PAPERS LTD</v>
          </cell>
          <cell r="B779">
            <v>531946</v>
          </cell>
          <cell r="C779" t="str">
            <v>Not Listed</v>
          </cell>
        </row>
        <row r="780">
          <cell r="A780" t="str">
            <v>Chalet Hotels Ltd</v>
          </cell>
          <cell r="B780">
            <v>542399</v>
          </cell>
          <cell r="C780" t="str">
            <v>CHALET</v>
          </cell>
        </row>
        <row r="781">
          <cell r="A781" t="str">
            <v>CHAMAK HOLDINGS LTD</v>
          </cell>
          <cell r="B781">
            <v>539600</v>
          </cell>
          <cell r="C781" t="str">
            <v>Not Listed</v>
          </cell>
        </row>
        <row r="782">
          <cell r="A782" t="str">
            <v>CHAMAN LAL SETIA EXPORTS LTD</v>
          </cell>
          <cell r="B782">
            <v>530307</v>
          </cell>
          <cell r="C782" t="str">
            <v>Not Listed</v>
          </cell>
        </row>
        <row r="783">
          <cell r="A783" t="str">
            <v>CHAMBAL BREWERIES &amp; DISTILLERIES LTD</v>
          </cell>
          <cell r="B783">
            <v>512301</v>
          </cell>
          <cell r="C783" t="str">
            <v>Not Listed</v>
          </cell>
        </row>
        <row r="784">
          <cell r="A784" t="str">
            <v>CHAMBAL FERTILIZERS &amp; CHEMICALS LTD</v>
          </cell>
          <cell r="B784">
            <v>500085</v>
          </cell>
          <cell r="C784" t="str">
            <v>CHAMBLFERT</v>
          </cell>
        </row>
        <row r="785">
          <cell r="A785" t="str">
            <v>Chandni Machines Ltd</v>
          </cell>
          <cell r="B785">
            <v>542627</v>
          </cell>
          <cell r="C785" t="str">
            <v>CHANDNIMACH</v>
          </cell>
        </row>
        <row r="786">
          <cell r="A786" t="str">
            <v>CHANDNI TEXTILES ENGINEERING IND  LTD</v>
          </cell>
          <cell r="B786">
            <v>522292</v>
          </cell>
          <cell r="C786" t="str">
            <v>Not Listed</v>
          </cell>
        </row>
        <row r="787">
          <cell r="A787" t="str">
            <v>CHANDRA PRABHU INTERNATIONAL LTD</v>
          </cell>
          <cell r="B787">
            <v>530309</v>
          </cell>
          <cell r="C787" t="str">
            <v>Not Listed</v>
          </cell>
        </row>
        <row r="788">
          <cell r="A788" t="str">
            <v>CHANDRIMA MERCANTILES LTD</v>
          </cell>
          <cell r="B788">
            <v>540829</v>
          </cell>
          <cell r="C788" t="str">
            <v>Not Listed</v>
          </cell>
        </row>
        <row r="789">
          <cell r="A789" t="str">
            <v>CHANNEL NINE ENTERTAINMENT LTD</v>
          </cell>
          <cell r="B789">
            <v>535142</v>
          </cell>
          <cell r="C789" t="str">
            <v>Not Listed</v>
          </cell>
        </row>
        <row r="790">
          <cell r="A790" t="str">
            <v>CHARMS INDUSTRIES LTD</v>
          </cell>
          <cell r="B790">
            <v>531327</v>
          </cell>
          <cell r="C790" t="str">
            <v>Not Listed</v>
          </cell>
        </row>
        <row r="791">
          <cell r="A791" t="str">
            <v>CHARTERED CAPITAL &amp; INVESTMENT LTD</v>
          </cell>
          <cell r="B791">
            <v>511696</v>
          </cell>
          <cell r="C791" t="str">
            <v>Not Listed</v>
          </cell>
        </row>
        <row r="792">
          <cell r="A792" t="str">
            <v>CHARTERED LOGISTICS LTD</v>
          </cell>
          <cell r="B792">
            <v>531977</v>
          </cell>
          <cell r="C792" t="str">
            <v>Not Listed</v>
          </cell>
        </row>
        <row r="793">
          <cell r="A793" t="str">
            <v>CHASE BRIGHT STEEL LTD</v>
          </cell>
          <cell r="B793">
            <v>504671</v>
          </cell>
          <cell r="C793" t="str">
            <v>Not Listed</v>
          </cell>
        </row>
        <row r="794">
          <cell r="A794" t="str">
            <v>CHD CHEMICALS LTD</v>
          </cell>
          <cell r="B794">
            <v>539800</v>
          </cell>
          <cell r="C794" t="str">
            <v>Not Listed</v>
          </cell>
        </row>
        <row r="795">
          <cell r="A795" t="str">
            <v>CHD DEVELOPERS LTD</v>
          </cell>
          <cell r="B795">
            <v>526917</v>
          </cell>
          <cell r="C795" t="str">
            <v>Not Listed</v>
          </cell>
        </row>
        <row r="796">
          <cell r="A796" t="str">
            <v>CHEMBOND CHEMICALS LTD</v>
          </cell>
          <cell r="B796">
            <v>530871</v>
          </cell>
          <cell r="C796" t="str">
            <v>Not Listed</v>
          </cell>
        </row>
        <row r="797">
          <cell r="A797" t="str">
            <v>CHEMCRUX ENTERPRISES LTD</v>
          </cell>
          <cell r="B797">
            <v>540395</v>
          </cell>
          <cell r="C797" t="str">
            <v>Not Listed</v>
          </cell>
        </row>
        <row r="798">
          <cell r="A798" t="str">
            <v>CHEMFAB ALKALIS LTD</v>
          </cell>
          <cell r="B798">
            <v>541269</v>
          </cell>
          <cell r="C798" t="str">
            <v>CHEMFAB</v>
          </cell>
        </row>
        <row r="799">
          <cell r="A799" t="str">
            <v>CHEMIESYNTH VAPI LTD</v>
          </cell>
          <cell r="B799">
            <v>539230</v>
          </cell>
          <cell r="C799" t="str">
            <v>Not Listed</v>
          </cell>
        </row>
        <row r="800">
          <cell r="A800" t="str">
            <v>CHEMO PHARMA LABORATORIES LTD</v>
          </cell>
          <cell r="B800">
            <v>506365</v>
          </cell>
          <cell r="C800" t="str">
            <v>Not Listed</v>
          </cell>
        </row>
        <row r="801">
          <cell r="A801" t="str">
            <v>CHEMTECH INDUSTRIAL VALVES LTD</v>
          </cell>
          <cell r="B801">
            <v>537326</v>
          </cell>
          <cell r="C801" t="str">
            <v>Not Listed</v>
          </cell>
        </row>
        <row r="802">
          <cell r="A802" t="str">
            <v>CHENNAI FERROUS INDUSTRIES LTD</v>
          </cell>
          <cell r="B802">
            <v>539011</v>
          </cell>
          <cell r="C802" t="str">
            <v>Not Listed</v>
          </cell>
        </row>
        <row r="803">
          <cell r="A803" t="str">
            <v>CHENNAI MEENAKSHI MULTISPECIALITY HOSPITAL LTD</v>
          </cell>
          <cell r="B803">
            <v>523489</v>
          </cell>
          <cell r="C803" t="str">
            <v>Not Listed</v>
          </cell>
        </row>
        <row r="804">
          <cell r="A804" t="str">
            <v>CHENNAI PETROLEUM CORPORATION LTD</v>
          </cell>
          <cell r="B804">
            <v>500110</v>
          </cell>
          <cell r="C804" t="str">
            <v>CHENNPETRO</v>
          </cell>
        </row>
        <row r="805">
          <cell r="A805" t="str">
            <v>CHEVIOT CO LTD</v>
          </cell>
          <cell r="B805">
            <v>526817</v>
          </cell>
          <cell r="C805" t="str">
            <v>Not Listed</v>
          </cell>
        </row>
        <row r="806">
          <cell r="A806" t="str">
            <v>CHITRADURGA SPINTEX LTD</v>
          </cell>
          <cell r="B806">
            <v>521244</v>
          </cell>
          <cell r="C806" t="str">
            <v>Not Listed</v>
          </cell>
        </row>
        <row r="807">
          <cell r="A807" t="str">
            <v>CHL LTD</v>
          </cell>
          <cell r="B807">
            <v>532992</v>
          </cell>
          <cell r="C807" t="str">
            <v>Not Listed</v>
          </cell>
        </row>
        <row r="808">
          <cell r="A808" t="str">
            <v>CHOICE INTERNATIONAL LTD</v>
          </cell>
          <cell r="B808">
            <v>531358</v>
          </cell>
          <cell r="C808" t="str">
            <v>Not Listed</v>
          </cell>
        </row>
        <row r="809">
          <cell r="A809" t="str">
            <v>CHOKSI IMAGING LTD</v>
          </cell>
          <cell r="B809">
            <v>530427</v>
          </cell>
          <cell r="C809" t="str">
            <v>Not Listed</v>
          </cell>
        </row>
        <row r="810">
          <cell r="A810" t="str">
            <v>CHOKSI LABORATORIES LTD</v>
          </cell>
          <cell r="B810">
            <v>526546</v>
          </cell>
          <cell r="C810" t="str">
            <v>Not Listed</v>
          </cell>
        </row>
        <row r="811">
          <cell r="A811" t="str">
            <v>Cholamandalam Financial Holdings LTD</v>
          </cell>
          <cell r="B811">
            <v>511243</v>
          </cell>
          <cell r="C811" t="str">
            <v>CHOLAHLDNG</v>
          </cell>
        </row>
        <row r="812">
          <cell r="A812" t="str">
            <v>CHOLAMANDALAM INVESTMENT AND FINANCE COMPANY LTD</v>
          </cell>
          <cell r="B812">
            <v>511243</v>
          </cell>
          <cell r="C812" t="str">
            <v>CHOLAFIN</v>
          </cell>
        </row>
        <row r="813">
          <cell r="A813" t="str">
            <v>CHORDIA FOOD PRODUCTS LTD</v>
          </cell>
          <cell r="B813">
            <v>519475</v>
          </cell>
          <cell r="C813" t="str">
            <v>Not Listed</v>
          </cell>
        </row>
        <row r="814">
          <cell r="A814" t="str">
            <v>CHOTHANI FOODS LTD</v>
          </cell>
          <cell r="B814">
            <v>540681</v>
          </cell>
          <cell r="C814" t="str">
            <v>Not Listed</v>
          </cell>
        </row>
        <row r="815">
          <cell r="A815" t="str">
            <v>CHOWGULE STEAMSHIPS LTD</v>
          </cell>
          <cell r="B815">
            <v>501833</v>
          </cell>
          <cell r="C815" t="str">
            <v>Not Listed</v>
          </cell>
        </row>
        <row r="816">
          <cell r="A816" t="str">
            <v>CHPL INDUSTRIES LTD</v>
          </cell>
          <cell r="B816">
            <v>539335</v>
          </cell>
          <cell r="C816" t="str">
            <v>Not Listed</v>
          </cell>
        </row>
        <row r="817">
          <cell r="A817" t="str">
            <v>CHROMATIC (INDIA) LTD</v>
          </cell>
          <cell r="B817">
            <v>530191</v>
          </cell>
          <cell r="C817" t="str">
            <v>CHROMATIC</v>
          </cell>
        </row>
        <row r="818">
          <cell r="A818" t="str">
            <v>CHROMATIC INDIA LTD</v>
          </cell>
          <cell r="B818">
            <v>530191</v>
          </cell>
          <cell r="C818" t="str">
            <v>CHROMATIC</v>
          </cell>
        </row>
        <row r="819">
          <cell r="A819" t="str">
            <v>CIAN AGRO INDUSTRIES &amp; INFRASTRUCTURE LTD</v>
          </cell>
          <cell r="B819">
            <v>519477</v>
          </cell>
          <cell r="C819" t="str">
            <v>Not Listed</v>
          </cell>
        </row>
        <row r="820">
          <cell r="A820" t="str">
            <v>Cian Healthcare Ltd</v>
          </cell>
          <cell r="B820">
            <v>542678</v>
          </cell>
          <cell r="C820" t="str">
            <v>CHCL</v>
          </cell>
        </row>
        <row r="821">
          <cell r="A821" t="str">
            <v>CIGNITI TECHNOLOGIES LTD</v>
          </cell>
          <cell r="B821">
            <v>534758</v>
          </cell>
          <cell r="C821" t="str">
            <v>CIGNITITEC</v>
          </cell>
        </row>
        <row r="822">
          <cell r="A822" t="str">
            <v>CIL NOVA PETROCHEMICALS LTD</v>
          </cell>
          <cell r="B822">
            <v>533407</v>
          </cell>
          <cell r="C822" t="str">
            <v>CNOVAPETRO</v>
          </cell>
        </row>
        <row r="823">
          <cell r="A823" t="str">
            <v>CIL SECURITIES LTD</v>
          </cell>
          <cell r="B823">
            <v>530829</v>
          </cell>
          <cell r="C823" t="str">
            <v>Not Listed</v>
          </cell>
        </row>
        <row r="824">
          <cell r="A824" t="str">
            <v>CIMMCO LTD</v>
          </cell>
          <cell r="B824">
            <v>505230</v>
          </cell>
          <cell r="C824" t="str">
            <v>CIMMCO</v>
          </cell>
        </row>
        <row r="825">
          <cell r="A825" t="str">
            <v>CINDRELLA FINANCIAL SERVICES LTD</v>
          </cell>
          <cell r="B825">
            <v>531283</v>
          </cell>
          <cell r="C825" t="str">
            <v>Not Listed</v>
          </cell>
        </row>
        <row r="826">
          <cell r="A826" t="str">
            <v>CINDRELLA HOTELS LTD</v>
          </cell>
          <cell r="B826">
            <v>526373</v>
          </cell>
          <cell r="C826" t="str">
            <v>Not Listed</v>
          </cell>
        </row>
        <row r="827">
          <cell r="A827" t="str">
            <v>CINELINE (INDIA) LTD</v>
          </cell>
          <cell r="B827">
            <v>532807</v>
          </cell>
          <cell r="C827" t="str">
            <v>CINELINE</v>
          </cell>
        </row>
        <row r="828">
          <cell r="A828" t="str">
            <v>CINELINE INDIA LTD</v>
          </cell>
          <cell r="B828">
            <v>532807</v>
          </cell>
          <cell r="C828" t="str">
            <v>CINELINE</v>
          </cell>
        </row>
        <row r="829">
          <cell r="A829" t="str">
            <v>CINERAD COMMUNICATIONS LTD</v>
          </cell>
          <cell r="B829">
            <v>530457</v>
          </cell>
          <cell r="C829" t="str">
            <v>Not Listed</v>
          </cell>
        </row>
        <row r="830">
          <cell r="A830" t="str">
            <v>CINEVISTA LTD</v>
          </cell>
          <cell r="B830">
            <v>532324</v>
          </cell>
          <cell r="C830" t="str">
            <v>CINEVISTA</v>
          </cell>
        </row>
        <row r="831">
          <cell r="A831" t="str">
            <v>CIPLA LTD</v>
          </cell>
          <cell r="B831">
            <v>500087</v>
          </cell>
          <cell r="C831" t="str">
            <v>CIPLA</v>
          </cell>
        </row>
        <row r="832">
          <cell r="A832" t="str">
            <v>CISTRO TELELINK LTD</v>
          </cell>
          <cell r="B832">
            <v>531775</v>
          </cell>
          <cell r="C832" t="str">
            <v>Not Listed</v>
          </cell>
        </row>
        <row r="833">
          <cell r="A833" t="str">
            <v>CITADEL REALTY AND DEVELOPERS LTD</v>
          </cell>
          <cell r="B833">
            <v>502445</v>
          </cell>
          <cell r="C833" t="str">
            <v>Not Listed</v>
          </cell>
        </row>
        <row r="834">
          <cell r="A834" t="str">
            <v>CITIPORT FINANCIAL SERVICES LTD</v>
          </cell>
          <cell r="B834">
            <v>531235</v>
          </cell>
          <cell r="C834" t="str">
            <v>Not Listed</v>
          </cell>
        </row>
        <row r="835">
          <cell r="A835" t="str">
            <v>CITIZEN INFOLINE LTD</v>
          </cell>
          <cell r="B835">
            <v>538786</v>
          </cell>
          <cell r="C835" t="str">
            <v>Not Listed</v>
          </cell>
        </row>
        <row r="836">
          <cell r="A836" t="str">
            <v>CITY ONLINE SERVICES LTD</v>
          </cell>
          <cell r="B836">
            <v>538674</v>
          </cell>
          <cell r="C836" t="str">
            <v>Not Listed</v>
          </cell>
        </row>
        <row r="837">
          <cell r="A837" t="str">
            <v>CITY UNION BANK LTD</v>
          </cell>
          <cell r="B837">
            <v>532210</v>
          </cell>
          <cell r="C837" t="str">
            <v>CUB</v>
          </cell>
        </row>
        <row r="838">
          <cell r="A838" t="str">
            <v>CITYMAN LTD</v>
          </cell>
          <cell r="B838">
            <v>521210</v>
          </cell>
          <cell r="C838" t="str">
            <v>Not Listed</v>
          </cell>
        </row>
        <row r="839">
          <cell r="A839" t="str">
            <v>CITYON SYSTEMS (INDIA) LTD</v>
          </cell>
          <cell r="B839">
            <v>780013</v>
          </cell>
          <cell r="C839" t="str">
            <v>Not Listed</v>
          </cell>
        </row>
        <row r="840">
          <cell r="A840" t="str">
            <v>CITYON SYSTEMS INDIA LTD</v>
          </cell>
          <cell r="B840">
            <v>780013</v>
          </cell>
          <cell r="C840" t="str">
            <v>Not Listed</v>
          </cell>
        </row>
        <row r="841">
          <cell r="A841" t="str">
            <v>CKP LEISURE LTD</v>
          </cell>
          <cell r="B841" t="str">
            <v>Not Listed</v>
          </cell>
          <cell r="C841" t="str">
            <v>CKPLEISURE</v>
          </cell>
        </row>
        <row r="842">
          <cell r="A842" t="str">
            <v>CKP PRODUCTS LTD</v>
          </cell>
          <cell r="B842" t="str">
            <v>Not Listed</v>
          </cell>
          <cell r="C842" t="str">
            <v>CKPPRODUCT</v>
          </cell>
        </row>
        <row r="843">
          <cell r="A843" t="str">
            <v>CL EDUCATE LTD</v>
          </cell>
          <cell r="B843">
            <v>540403</v>
          </cell>
          <cell r="C843" t="str">
            <v>CLEDUCATE</v>
          </cell>
        </row>
        <row r="844">
          <cell r="A844" t="str">
            <v>CLARIANT CHEMICALS (INDIA) LTD</v>
          </cell>
          <cell r="B844">
            <v>506390</v>
          </cell>
          <cell r="C844" t="str">
            <v>CLN(INDIA)</v>
          </cell>
        </row>
        <row r="845">
          <cell r="A845" t="str">
            <v>CLARIANT CHEMICALS INDIA LTD</v>
          </cell>
          <cell r="B845">
            <v>506390</v>
          </cell>
          <cell r="C845" t="str">
            <v>CLNINDIA</v>
          </cell>
        </row>
        <row r="846">
          <cell r="A846" t="str">
            <v>CLASSIC ELECTRICALS LTD</v>
          </cell>
          <cell r="B846">
            <v>512213</v>
          </cell>
          <cell r="C846" t="str">
            <v>Not Listed</v>
          </cell>
        </row>
        <row r="847">
          <cell r="A847" t="str">
            <v>CLASSIC FILAMENTS LTD</v>
          </cell>
          <cell r="B847">
            <v>540310</v>
          </cell>
          <cell r="C847" t="str">
            <v>Not Listed</v>
          </cell>
        </row>
        <row r="848">
          <cell r="A848" t="str">
            <v>CLASSIC GLOBAL FINANCE &amp; CAPITAL LTD</v>
          </cell>
          <cell r="B848">
            <v>538433</v>
          </cell>
          <cell r="C848" t="str">
            <v>Not Listed</v>
          </cell>
        </row>
        <row r="849">
          <cell r="A849" t="str">
            <v>CLASSIC LEASING &amp; FINANCE LTD</v>
          </cell>
          <cell r="B849">
            <v>540481</v>
          </cell>
          <cell r="C849" t="str">
            <v>Not Listed</v>
          </cell>
        </row>
        <row r="850">
          <cell r="A850" t="str">
            <v>CLIO INFOTECH LTD</v>
          </cell>
          <cell r="B850">
            <v>530839</v>
          </cell>
          <cell r="C850" t="str">
            <v>Not Listed</v>
          </cell>
        </row>
        <row r="851">
          <cell r="A851" t="str">
            <v>CMI FPE LTD</v>
          </cell>
          <cell r="B851">
            <v>500147</v>
          </cell>
          <cell r="C851" t="str">
            <v>Not Listed</v>
          </cell>
        </row>
        <row r="852">
          <cell r="A852" t="str">
            <v>CMI LTD</v>
          </cell>
          <cell r="B852">
            <v>517330</v>
          </cell>
          <cell r="C852" t="str">
            <v>CMICABLES</v>
          </cell>
        </row>
        <row r="853">
          <cell r="A853" t="str">
            <v>CMM INFRAPROJECTS LTD</v>
          </cell>
          <cell r="B853" t="str">
            <v>Not Listed</v>
          </cell>
          <cell r="C853" t="str">
            <v>CMMIPL</v>
          </cell>
        </row>
        <row r="854">
          <cell r="A854" t="str">
            <v>CNI RESEARCH LTD</v>
          </cell>
          <cell r="B854">
            <v>512018</v>
          </cell>
          <cell r="C854" t="str">
            <v>Not Listed</v>
          </cell>
        </row>
        <row r="855">
          <cell r="A855" t="str">
            <v>COAL (INDIA) LTD</v>
          </cell>
          <cell r="B855">
            <v>533278</v>
          </cell>
          <cell r="C855" t="str">
            <v>COAL(INDIA)</v>
          </cell>
        </row>
        <row r="856">
          <cell r="A856" t="str">
            <v>COAL INDIA LTD</v>
          </cell>
          <cell r="B856">
            <v>533278</v>
          </cell>
          <cell r="C856" t="str">
            <v>COALINDIA</v>
          </cell>
        </row>
        <row r="857">
          <cell r="A857" t="str">
            <v>COASTAL CORPORATION LTD</v>
          </cell>
          <cell r="B857">
            <v>501831</v>
          </cell>
          <cell r="C857" t="str">
            <v>Not Listed</v>
          </cell>
        </row>
        <row r="858">
          <cell r="A858" t="str">
            <v>COASTAL ROADWAYS LTD</v>
          </cell>
          <cell r="B858">
            <v>520131</v>
          </cell>
          <cell r="C858" t="str">
            <v>Not Listed</v>
          </cell>
        </row>
        <row r="859">
          <cell r="A859" t="str">
            <v>COCHIN MALABAR ESTATES &amp; INDUSTRIES LTD</v>
          </cell>
          <cell r="B859">
            <v>508571</v>
          </cell>
          <cell r="C859" t="str">
            <v>Not Listed</v>
          </cell>
        </row>
        <row r="860">
          <cell r="A860" t="str">
            <v>COCHIN MINERALS &amp; RUTILE LTD</v>
          </cell>
          <cell r="B860">
            <v>513353</v>
          </cell>
          <cell r="C860" t="str">
            <v>Not Listed</v>
          </cell>
        </row>
        <row r="861">
          <cell r="A861" t="str">
            <v>COCHIN SHIPYARD LTD</v>
          </cell>
          <cell r="B861">
            <v>540678</v>
          </cell>
          <cell r="C861" t="str">
            <v>COCHINSHIP</v>
          </cell>
        </row>
        <row r="862">
          <cell r="A862" t="str">
            <v>COFFEE DAY ENTERPRISES LTD</v>
          </cell>
          <cell r="B862">
            <v>539436</v>
          </cell>
          <cell r="C862" t="str">
            <v>COFFEEDAY</v>
          </cell>
        </row>
        <row r="863">
          <cell r="A863" t="str">
            <v>COLGATE PALMOLIVE (INDIA) LTD</v>
          </cell>
          <cell r="B863">
            <v>500830</v>
          </cell>
          <cell r="C863" t="str">
            <v>COLPAL</v>
          </cell>
        </row>
        <row r="864">
          <cell r="A864" t="str">
            <v>COLGATE PALMOLIVE INDIA LTD</v>
          </cell>
          <cell r="B864">
            <v>500830</v>
          </cell>
          <cell r="C864" t="str">
            <v>COLPAL</v>
          </cell>
        </row>
        <row r="865">
          <cell r="A865" t="str">
            <v>COLINZ LABORATORIES LTD</v>
          </cell>
          <cell r="B865">
            <v>531210</v>
          </cell>
          <cell r="C865" t="str">
            <v>Not Listed</v>
          </cell>
        </row>
        <row r="866">
          <cell r="A866" t="str">
            <v>COLORCHIPS NEW MEDIA LTD</v>
          </cell>
          <cell r="B866">
            <v>540023</v>
          </cell>
          <cell r="C866" t="str">
            <v>Not Listed</v>
          </cell>
        </row>
        <row r="867">
          <cell r="A867" t="str">
            <v>COMBAT DRUGS LTD</v>
          </cell>
          <cell r="B867">
            <v>524752</v>
          </cell>
          <cell r="C867" t="str">
            <v>Not Listed</v>
          </cell>
        </row>
        <row r="868">
          <cell r="A868" t="str">
            <v>COMFORT COMMOTRADE LTD</v>
          </cell>
          <cell r="B868">
            <v>534691</v>
          </cell>
          <cell r="C868" t="str">
            <v>Not Listed</v>
          </cell>
        </row>
        <row r="869">
          <cell r="A869" t="str">
            <v>COMFORT FINCAP LTD</v>
          </cell>
          <cell r="B869">
            <v>535267</v>
          </cell>
          <cell r="C869" t="str">
            <v>Not Listed</v>
          </cell>
        </row>
        <row r="870">
          <cell r="A870" t="str">
            <v>COMFORT INTECH LTD</v>
          </cell>
          <cell r="B870">
            <v>531216</v>
          </cell>
          <cell r="C870" t="str">
            <v>Not Listed</v>
          </cell>
        </row>
        <row r="871">
          <cell r="A871" t="str">
            <v>COMMERCIAL ENGINEERS &amp; BODY BUILDERS CO LTD</v>
          </cell>
          <cell r="B871">
            <v>533272</v>
          </cell>
          <cell r="C871" t="str">
            <v>CEBBCO</v>
          </cell>
        </row>
        <row r="872">
          <cell r="A872" t="str">
            <v>COMMERCIAL SYN BAGS LTD</v>
          </cell>
          <cell r="B872">
            <v>539986</v>
          </cell>
          <cell r="C872" t="str">
            <v>Not Listed</v>
          </cell>
        </row>
        <row r="873">
          <cell r="A873" t="str">
            <v>COMMEX TECHNOLOGY LTD</v>
          </cell>
          <cell r="B873">
            <v>532342</v>
          </cell>
          <cell r="C873" t="str">
            <v>Not Listed</v>
          </cell>
        </row>
        <row r="874">
          <cell r="A874" t="str">
            <v>COMPETENT AUTOMOBILES CO LTD</v>
          </cell>
          <cell r="B874">
            <v>531041</v>
          </cell>
          <cell r="C874" t="str">
            <v>Not Listed</v>
          </cell>
        </row>
        <row r="875">
          <cell r="A875" t="str">
            <v>COMPUAGE INFOCOM LTD</v>
          </cell>
          <cell r="B875">
            <v>532456</v>
          </cell>
          <cell r="C875" t="str">
            <v>COMPINFO</v>
          </cell>
        </row>
        <row r="876">
          <cell r="A876" t="str">
            <v>COMPUCOM SOFTWARE LTD</v>
          </cell>
          <cell r="B876">
            <v>532339</v>
          </cell>
          <cell r="C876" t="str">
            <v>COMPUSOFT</v>
          </cell>
        </row>
        <row r="877">
          <cell r="A877" t="str">
            <v>COMPUTER POINT LTD</v>
          </cell>
          <cell r="B877">
            <v>507833</v>
          </cell>
          <cell r="C877" t="str">
            <v>Not Listed</v>
          </cell>
        </row>
        <row r="878">
          <cell r="A878" t="str">
            <v>CONART ENGINEERS LTD</v>
          </cell>
          <cell r="B878">
            <v>522231</v>
          </cell>
          <cell r="C878" t="str">
            <v>Not Listed</v>
          </cell>
        </row>
        <row r="879">
          <cell r="A879" t="str">
            <v>CONCORD DRUGS LTD</v>
          </cell>
          <cell r="B879">
            <v>538965</v>
          </cell>
          <cell r="C879" t="str">
            <v>Not Listed</v>
          </cell>
        </row>
        <row r="880">
          <cell r="A880" t="str">
            <v>CONCRETE CREDIT LTD</v>
          </cell>
          <cell r="B880">
            <v>539266</v>
          </cell>
          <cell r="C880" t="str">
            <v>Not Listed</v>
          </cell>
        </row>
        <row r="881">
          <cell r="A881" t="str">
            <v>CONFIDENCE FINANCE AND TRADING LTD</v>
          </cell>
          <cell r="B881">
            <v>504340</v>
          </cell>
          <cell r="C881" t="str">
            <v>Not Listed</v>
          </cell>
        </row>
        <row r="882">
          <cell r="A882" t="str">
            <v>Confidence Futuristic Energetech Ltd</v>
          </cell>
          <cell r="B882">
            <v>539991</v>
          </cell>
          <cell r="C882" t="str">
            <v>CFEL</v>
          </cell>
        </row>
        <row r="883">
          <cell r="A883" t="str">
            <v>CONFIDENCE PETROLEUM (INDIA) LTD</v>
          </cell>
          <cell r="B883">
            <v>526829</v>
          </cell>
          <cell r="C883" t="str">
            <v>Not Listed</v>
          </cell>
        </row>
        <row r="884">
          <cell r="A884" t="str">
            <v>Confidence Petroleum India LTD</v>
          </cell>
          <cell r="B884">
            <v>526829</v>
          </cell>
          <cell r="C884" t="str">
            <v>CONFIPET</v>
          </cell>
        </row>
        <row r="885">
          <cell r="A885" t="str">
            <v>CONFIDENCE PETROLEUM INDIA LTD</v>
          </cell>
          <cell r="B885">
            <v>526829</v>
          </cell>
          <cell r="C885" t="str">
            <v>Not Listed</v>
          </cell>
        </row>
        <row r="886">
          <cell r="A886" t="str">
            <v>CONSECUTIVE INVESTMENT &amp; TRADING COMPANY LTD</v>
          </cell>
          <cell r="B886">
            <v>539091</v>
          </cell>
          <cell r="C886" t="str">
            <v>Not Listed</v>
          </cell>
        </row>
        <row r="887">
          <cell r="A887" t="str">
            <v>CONSOLIDATED CONSTRUCTION CONSORTIUM LTD</v>
          </cell>
          <cell r="B887">
            <v>532902</v>
          </cell>
          <cell r="C887" t="str">
            <v>CCCL</v>
          </cell>
        </row>
        <row r="888">
          <cell r="A888" t="str">
            <v>CONSOLIDATED FINVEST &amp; HOLDINGS LTD</v>
          </cell>
          <cell r="B888" t="str">
            <v>Not Listed</v>
          </cell>
          <cell r="C888" t="str">
            <v>CONSOFINVT</v>
          </cell>
        </row>
        <row r="889">
          <cell r="A889" t="str">
            <v>CONTAINER CORPORATION OF (INDIA) LTD</v>
          </cell>
          <cell r="B889">
            <v>531344</v>
          </cell>
          <cell r="C889" t="str">
            <v>CONCOR</v>
          </cell>
        </row>
        <row r="890">
          <cell r="A890" t="str">
            <v>CONTAINER CORPORATION OF INDIA LTD</v>
          </cell>
          <cell r="B890">
            <v>531344</v>
          </cell>
          <cell r="C890" t="str">
            <v>CONCOR</v>
          </cell>
        </row>
        <row r="891">
          <cell r="A891" t="str">
            <v>CONTAINERWAY INTERNATIONAL LTD</v>
          </cell>
          <cell r="B891">
            <v>540597</v>
          </cell>
          <cell r="C891" t="str">
            <v>Not Listed</v>
          </cell>
        </row>
        <row r="892">
          <cell r="A892" t="str">
            <v>CONTIL (INDIA) LTD</v>
          </cell>
          <cell r="B892">
            <v>531067</v>
          </cell>
          <cell r="C892" t="str">
            <v>Not Listed</v>
          </cell>
        </row>
        <row r="893">
          <cell r="A893" t="str">
            <v>CONTIL INDIA LTD</v>
          </cell>
          <cell r="B893">
            <v>531067</v>
          </cell>
          <cell r="C893" t="str">
            <v>Not Listed</v>
          </cell>
        </row>
        <row r="894">
          <cell r="A894" t="str">
            <v>CONTINENTAL CHEMICALS LTD</v>
          </cell>
          <cell r="B894">
            <v>506935</v>
          </cell>
          <cell r="C894" t="str">
            <v>Not Listed</v>
          </cell>
        </row>
        <row r="895">
          <cell r="A895" t="str">
            <v>CONTINENTAL CONTROLS LTD</v>
          </cell>
          <cell r="B895">
            <v>531460</v>
          </cell>
          <cell r="C895" t="str">
            <v>Not Listed</v>
          </cell>
        </row>
        <row r="896">
          <cell r="A896" t="str">
            <v>CONTINENTAL PETROLEUMS LTD</v>
          </cell>
          <cell r="B896">
            <v>523232</v>
          </cell>
          <cell r="C896" t="str">
            <v>Not Listed</v>
          </cell>
        </row>
        <row r="897">
          <cell r="A897" t="str">
            <v>CONTINENTAL SECURITIES LTD</v>
          </cell>
          <cell r="B897">
            <v>538868</v>
          </cell>
          <cell r="C897" t="str">
            <v>Not Listed</v>
          </cell>
        </row>
        <row r="898">
          <cell r="A898" t="str">
            <v>CONTINENTAL SEEDS AND CHEMICALS LTD</v>
          </cell>
          <cell r="B898" t="str">
            <v>Not Listed</v>
          </cell>
          <cell r="C898" t="str">
            <v>CONTI</v>
          </cell>
        </row>
        <row r="899">
          <cell r="A899" t="str">
            <v>CONTROL PRINT LTD</v>
          </cell>
          <cell r="B899">
            <v>522295</v>
          </cell>
          <cell r="C899" t="str">
            <v>CONTROLPR</v>
          </cell>
        </row>
        <row r="900">
          <cell r="A900" t="str">
            <v>CORAL INDIA FINANCE &amp; HOUSING LTD</v>
          </cell>
          <cell r="B900">
            <v>531556</v>
          </cell>
          <cell r="C900" t="str">
            <v>CORALFINAC</v>
          </cell>
        </row>
        <row r="901">
          <cell r="A901" t="str">
            <v>CORAL LABORATORIES LTD</v>
          </cell>
          <cell r="B901">
            <v>524506</v>
          </cell>
          <cell r="C901" t="str">
            <v>Not Listed</v>
          </cell>
        </row>
        <row r="902">
          <cell r="A902" t="str">
            <v>CORAL NEWSPRINTS LTD.</v>
          </cell>
          <cell r="B902">
            <v>530755</v>
          </cell>
          <cell r="C902" t="str">
            <v>CORNE</v>
          </cell>
        </row>
        <row r="903">
          <cell r="A903" t="str">
            <v>CORDS CABLE INDUSTRIES LTD</v>
          </cell>
          <cell r="B903">
            <v>532941</v>
          </cell>
          <cell r="C903" t="str">
            <v>CORDSCABLE</v>
          </cell>
        </row>
        <row r="904">
          <cell r="A904" t="str">
            <v>COROMANDEL AGRO PRODUCTS &amp; OILS LTD</v>
          </cell>
          <cell r="B904">
            <v>507543</v>
          </cell>
          <cell r="C904" t="str">
            <v>Not Listed</v>
          </cell>
        </row>
        <row r="905">
          <cell r="A905" t="str">
            <v>COROMANDEL ENGINEERING COMPANY LTD</v>
          </cell>
          <cell r="B905">
            <v>533167</v>
          </cell>
          <cell r="C905" t="str">
            <v>Not Listed</v>
          </cell>
        </row>
        <row r="906">
          <cell r="A906" t="str">
            <v>COROMANDEL INTERNATIONAL LTD</v>
          </cell>
          <cell r="B906">
            <v>506395</v>
          </cell>
          <cell r="C906" t="str">
            <v>COROMANDEL</v>
          </cell>
        </row>
        <row r="907">
          <cell r="A907" t="str">
            <v>CORPORATE COURIER AND CARGO LTD</v>
          </cell>
          <cell r="B907">
            <v>526737</v>
          </cell>
          <cell r="C907" t="str">
            <v>Not Listed</v>
          </cell>
        </row>
        <row r="908">
          <cell r="A908" t="str">
            <v>CORPORATE MERCHANT BANKERS LTD</v>
          </cell>
          <cell r="B908">
            <v>540199</v>
          </cell>
          <cell r="C908" t="str">
            <v>Not Listed</v>
          </cell>
        </row>
        <row r="909">
          <cell r="A909" t="str">
            <v>CORPORATION BANK</v>
          </cell>
          <cell r="B909">
            <v>532179</v>
          </cell>
          <cell r="C909" t="str">
            <v>CORPBANK</v>
          </cell>
        </row>
        <row r="910">
          <cell r="A910" t="str">
            <v>COSBOARD INDUSTRIES LTD</v>
          </cell>
          <cell r="B910">
            <v>530859</v>
          </cell>
          <cell r="C910" t="str">
            <v>Not Listed</v>
          </cell>
        </row>
        <row r="911">
          <cell r="A911" t="str">
            <v>COSCO (INDIA) LTD</v>
          </cell>
          <cell r="B911">
            <v>530545</v>
          </cell>
          <cell r="C911" t="str">
            <v>Not Listed</v>
          </cell>
        </row>
        <row r="912">
          <cell r="A912" t="str">
            <v>COSCO INDIA LTD</v>
          </cell>
          <cell r="B912">
            <v>530545</v>
          </cell>
          <cell r="C912" t="str">
            <v>Not Listed</v>
          </cell>
        </row>
        <row r="913">
          <cell r="A913" t="str">
            <v>COSMO FERRITES LTD</v>
          </cell>
          <cell r="B913">
            <v>523100</v>
          </cell>
          <cell r="C913" t="str">
            <v>Not Listed</v>
          </cell>
        </row>
        <row r="914">
          <cell r="A914" t="str">
            <v>COSMO FILMS LTD</v>
          </cell>
          <cell r="B914">
            <v>508814</v>
          </cell>
          <cell r="C914" t="str">
            <v>COSMOFILMS</v>
          </cell>
        </row>
        <row r="915">
          <cell r="A915" t="str">
            <v>COSYN LTD</v>
          </cell>
          <cell r="B915">
            <v>538922</v>
          </cell>
          <cell r="C915" t="str">
            <v>Not Listed</v>
          </cell>
        </row>
        <row r="916">
          <cell r="A916" t="str">
            <v>COUNTRY CLUB HOSPITALITY &amp; HOLIDAYS LTD</v>
          </cell>
          <cell r="B916">
            <v>526550</v>
          </cell>
          <cell r="C916" t="str">
            <v>CCHHL</v>
          </cell>
        </row>
        <row r="917">
          <cell r="A917" t="str">
            <v>COUNTRY CONDO'S LTD</v>
          </cell>
          <cell r="B917">
            <v>531624</v>
          </cell>
          <cell r="C917" t="str">
            <v>COUNCODOS</v>
          </cell>
        </row>
        <row r="918">
          <cell r="A918" t="str">
            <v>COVENTRY COIL-O-MATIC HARYANA LTD</v>
          </cell>
          <cell r="B918">
            <v>523415</v>
          </cell>
          <cell r="C918" t="str">
            <v>Not Listed</v>
          </cell>
        </row>
        <row r="919">
          <cell r="A919" t="str">
            <v>COVIDH TECHNOLOGIES LTD</v>
          </cell>
          <cell r="B919">
            <v>534920</v>
          </cell>
          <cell r="C919" t="str">
            <v>Not Listed</v>
          </cell>
        </row>
        <row r="920">
          <cell r="A920" t="str">
            <v>COX &amp; KINGS LTD</v>
          </cell>
          <cell r="B920">
            <v>533144</v>
          </cell>
          <cell r="C920" t="str">
            <v>COX&amp;KINGS</v>
          </cell>
        </row>
        <row r="921">
          <cell r="A921" t="str">
            <v>Cox &amp;amp; Kings Financial Service Ltd</v>
          </cell>
          <cell r="B921">
            <v>542641</v>
          </cell>
          <cell r="C921" t="str">
            <v>CKFSL</v>
          </cell>
        </row>
        <row r="922">
          <cell r="A922" t="str">
            <v>CRANE INFRASTRUCTURE LTD</v>
          </cell>
          <cell r="B922">
            <v>538770</v>
          </cell>
          <cell r="C922" t="str">
            <v>Not Listed</v>
          </cell>
        </row>
        <row r="923">
          <cell r="A923" t="str">
            <v>CRANES SOFTWARE INTERNATIONAL LTD</v>
          </cell>
          <cell r="B923">
            <v>512093</v>
          </cell>
          <cell r="C923" t="str">
            <v>Not Listed</v>
          </cell>
        </row>
        <row r="924">
          <cell r="A924" t="str">
            <v>CRANEX LTD</v>
          </cell>
          <cell r="B924">
            <v>522001</v>
          </cell>
          <cell r="C924" t="str">
            <v>Not Listed</v>
          </cell>
        </row>
        <row r="925">
          <cell r="A925" t="str">
            <v>CRAVATEX LTD</v>
          </cell>
          <cell r="B925">
            <v>509472</v>
          </cell>
          <cell r="C925" t="str">
            <v>Not Listed</v>
          </cell>
        </row>
        <row r="926">
          <cell r="A926" t="str">
            <v>CRAZY INFOTECH LTD</v>
          </cell>
          <cell r="B926">
            <v>524388</v>
          </cell>
          <cell r="C926" t="str">
            <v>Not Listed</v>
          </cell>
        </row>
        <row r="927">
          <cell r="A927" t="str">
            <v>CREATIVE CASTINGS LTD</v>
          </cell>
          <cell r="B927">
            <v>539527</v>
          </cell>
          <cell r="C927" t="str">
            <v>Not Listed</v>
          </cell>
        </row>
        <row r="928">
          <cell r="A928" t="str">
            <v>CREATIVE EYE LTD</v>
          </cell>
          <cell r="B928">
            <v>532392</v>
          </cell>
          <cell r="C928" t="str">
            <v>CREATIVEYE</v>
          </cell>
        </row>
        <row r="929">
          <cell r="A929" t="str">
            <v>CREATIVE PERIPHERALS AND DISTRIBUTION LTD</v>
          </cell>
          <cell r="B929" t="str">
            <v>Not Listed</v>
          </cell>
          <cell r="C929" t="str">
            <v>CREATIVE</v>
          </cell>
        </row>
        <row r="930">
          <cell r="A930" t="str">
            <v>CREDITACCESS GRAMEEN LTD</v>
          </cell>
          <cell r="B930">
            <v>541770</v>
          </cell>
          <cell r="C930" t="str">
            <v>CREDITACC</v>
          </cell>
        </row>
        <row r="931">
          <cell r="A931" t="str">
            <v>CRESCENT LEASING LTD</v>
          </cell>
          <cell r="B931">
            <v>539131</v>
          </cell>
          <cell r="C931" t="str">
            <v>Not Listed</v>
          </cell>
        </row>
        <row r="932">
          <cell r="A932" t="str">
            <v>CRESSANDA SOLUTIONS LTD</v>
          </cell>
          <cell r="B932">
            <v>512379</v>
          </cell>
          <cell r="C932" t="str">
            <v>Not Listed</v>
          </cell>
        </row>
        <row r="933">
          <cell r="A933" t="str">
            <v>CREST VENTURES LTD</v>
          </cell>
          <cell r="B933">
            <v>511413</v>
          </cell>
          <cell r="C933" t="str">
            <v>CREST</v>
          </cell>
        </row>
        <row r="934">
          <cell r="A934" t="str">
            <v>CRESTCHEM LTD</v>
          </cell>
          <cell r="B934">
            <v>526269</v>
          </cell>
          <cell r="C934" t="str">
            <v>Not Listed</v>
          </cell>
        </row>
        <row r="935">
          <cell r="A935" t="str">
            <v>CRIMSON METAL ENGINEERING COMPANY LTD</v>
          </cell>
          <cell r="B935">
            <v>526977</v>
          </cell>
          <cell r="C935" t="str">
            <v>Not Listed</v>
          </cell>
        </row>
        <row r="936">
          <cell r="A936" t="str">
            <v>CRISIL LTD</v>
          </cell>
          <cell r="B936">
            <v>500092</v>
          </cell>
          <cell r="C936" t="str">
            <v>CRISIL</v>
          </cell>
        </row>
        <row r="937">
          <cell r="A937" t="str">
            <v>CROMPTON GREAVES CONSUMER ELECTRICALS LTD</v>
          </cell>
          <cell r="B937">
            <v>539876</v>
          </cell>
          <cell r="C937" t="str">
            <v>CROMPTON</v>
          </cell>
        </row>
        <row r="938">
          <cell r="A938" t="str">
            <v>CROWN LIFTERS LTD</v>
          </cell>
          <cell r="B938" t="str">
            <v>Not Listed</v>
          </cell>
          <cell r="C938" t="str">
            <v>CROWN</v>
          </cell>
        </row>
        <row r="939">
          <cell r="A939" t="str">
            <v>CROWN TOURS LTD</v>
          </cell>
          <cell r="B939">
            <v>538521</v>
          </cell>
          <cell r="C939" t="str">
            <v>Not Listed</v>
          </cell>
        </row>
        <row r="940">
          <cell r="A940" t="str">
            <v>CRP RISK MANAGEMENT LTD</v>
          </cell>
          <cell r="B940">
            <v>540903</v>
          </cell>
          <cell r="C940" t="str">
            <v>Not Listed</v>
          </cell>
        </row>
        <row r="941">
          <cell r="A941" t="str">
            <v>CSL FINANCE LTD</v>
          </cell>
          <cell r="B941">
            <v>530067</v>
          </cell>
          <cell r="C941" t="str">
            <v>Not Listed</v>
          </cell>
        </row>
        <row r="942">
          <cell r="A942" t="str">
            <v>CUBEX TUBINGS LTD</v>
          </cell>
          <cell r="B942">
            <v>526027</v>
          </cell>
          <cell r="C942" t="str">
            <v>CUBEXTUB</v>
          </cell>
        </row>
        <row r="943">
          <cell r="A943" t="str">
            <v>CUBICAL FINANCIAL SERVICES LTD</v>
          </cell>
          <cell r="B943">
            <v>511710</v>
          </cell>
          <cell r="C943" t="str">
            <v>Not Listed</v>
          </cell>
        </row>
        <row r="944">
          <cell r="A944" t="str">
            <v>CUMMINS (INDIA) LTD</v>
          </cell>
          <cell r="B944">
            <v>500480</v>
          </cell>
          <cell r="C944" t="str">
            <v>CUMMINSIND</v>
          </cell>
        </row>
        <row r="945">
          <cell r="A945" t="str">
            <v>CUMMINS INDIA LTD</v>
          </cell>
          <cell r="B945">
            <v>500480</v>
          </cell>
          <cell r="C945" t="str">
            <v>CUMMINSIND</v>
          </cell>
        </row>
        <row r="946">
          <cell r="A946" t="str">
            <v>CUPID LTD</v>
          </cell>
          <cell r="B946">
            <v>530843</v>
          </cell>
          <cell r="C946" t="str">
            <v>CUPID</v>
          </cell>
        </row>
        <row r="947">
          <cell r="A947" t="str">
            <v>CURA TECHNOLOGIES LTD</v>
          </cell>
          <cell r="B947">
            <v>532332</v>
          </cell>
          <cell r="C947" t="str">
            <v>CURATECH</v>
          </cell>
        </row>
        <row r="948">
          <cell r="A948" t="str">
            <v>CYBELE INDUSTRIES LTD</v>
          </cell>
          <cell r="B948">
            <v>531472</v>
          </cell>
          <cell r="C948" t="str">
            <v>Not Listed</v>
          </cell>
        </row>
        <row r="949">
          <cell r="A949" t="str">
            <v>CYBER MEDIA (INDIA) LTD</v>
          </cell>
          <cell r="B949">
            <v>532640</v>
          </cell>
          <cell r="C949" t="str">
            <v>CYBERMEDIA</v>
          </cell>
        </row>
        <row r="950">
          <cell r="A950" t="str">
            <v>CYBER MEDIA INDIA LTD</v>
          </cell>
          <cell r="B950">
            <v>532640</v>
          </cell>
          <cell r="C950" t="str">
            <v>CYBERMEDIA</v>
          </cell>
        </row>
        <row r="951">
          <cell r="A951" t="str">
            <v>CYBERMATE INFOTEK LTD</v>
          </cell>
          <cell r="B951">
            <v>532271</v>
          </cell>
          <cell r="C951" t="str">
            <v>Not Listed</v>
          </cell>
        </row>
        <row r="952">
          <cell r="A952" t="str">
            <v>CYBERTECH SYSTEMS AND SOFTWARE LTD</v>
          </cell>
          <cell r="B952">
            <v>532173</v>
          </cell>
          <cell r="C952" t="str">
            <v>CYBERTECH</v>
          </cell>
        </row>
        <row r="953">
          <cell r="A953" t="str">
            <v>CYIENT LTD</v>
          </cell>
          <cell r="B953">
            <v>532175</v>
          </cell>
          <cell r="C953" t="str">
            <v>CYIENT</v>
          </cell>
        </row>
        <row r="954">
          <cell r="A954" t="str">
            <v>D B CORP LTD</v>
          </cell>
          <cell r="B954">
            <v>533151</v>
          </cell>
          <cell r="C954" t="str">
            <v>DBCORP</v>
          </cell>
        </row>
        <row r="955">
          <cell r="A955" t="str">
            <v>D B REALTY LTD</v>
          </cell>
          <cell r="B955">
            <v>533160</v>
          </cell>
          <cell r="C955" t="str">
            <v>DBREALTY</v>
          </cell>
        </row>
        <row r="956">
          <cell r="A956" t="str">
            <v>D P ABHUSHAN LTD</v>
          </cell>
          <cell r="B956" t="str">
            <v>Not Listed</v>
          </cell>
          <cell r="C956" t="str">
            <v>DPABHUSHAN</v>
          </cell>
        </row>
        <row r="957">
          <cell r="A957" t="str">
            <v>D P WIRES LTD</v>
          </cell>
          <cell r="B957" t="str">
            <v>Not Listed</v>
          </cell>
          <cell r="C957" t="str">
            <v>DPWIRES</v>
          </cell>
        </row>
        <row r="958">
          <cell r="A958" t="str">
            <v>D&amp;H (INDIA) LTD</v>
          </cell>
          <cell r="B958">
            <v>517514</v>
          </cell>
          <cell r="C958" t="str">
            <v>Not Listed</v>
          </cell>
        </row>
        <row r="959">
          <cell r="A959" t="str">
            <v>D&amp;H INDIA LTD</v>
          </cell>
          <cell r="B959">
            <v>517514</v>
          </cell>
          <cell r="C959" t="str">
            <v>Not Listed</v>
          </cell>
        </row>
        <row r="960">
          <cell r="A960" t="str">
            <v>DABUR (INDIA) LTD</v>
          </cell>
          <cell r="B960">
            <v>500096</v>
          </cell>
          <cell r="C960" t="str">
            <v>DABUR</v>
          </cell>
        </row>
        <row r="961">
          <cell r="A961" t="str">
            <v>DABUR INDIA LTD</v>
          </cell>
          <cell r="B961">
            <v>500096</v>
          </cell>
          <cell r="C961" t="str">
            <v>DABUR</v>
          </cell>
        </row>
        <row r="962">
          <cell r="A962" t="str">
            <v>DAI-ICHI KARKARIA LTD</v>
          </cell>
          <cell r="B962">
            <v>526821</v>
          </cell>
          <cell r="C962" t="str">
            <v>Not Listed</v>
          </cell>
        </row>
        <row r="963">
          <cell r="A963" t="str">
            <v>DAIKAFFIL CHEMICALS (INDIA) LTD</v>
          </cell>
          <cell r="B963">
            <v>530825</v>
          </cell>
          <cell r="C963" t="str">
            <v>Not Listed</v>
          </cell>
        </row>
        <row r="964">
          <cell r="A964" t="str">
            <v>DAIKAFFIL CHEMICALS INDIA LTD</v>
          </cell>
          <cell r="B964">
            <v>530825</v>
          </cell>
          <cell r="C964" t="str">
            <v>Not Listed</v>
          </cell>
        </row>
        <row r="965">
          <cell r="A965" t="str">
            <v>DALAL STREET INVESTMENTS LTD</v>
          </cell>
          <cell r="B965">
            <v>501148</v>
          </cell>
          <cell r="C965" t="str">
            <v>Not Listed</v>
          </cell>
        </row>
        <row r="966">
          <cell r="A966" t="str">
            <v>Dalmia Bharat Ltd</v>
          </cell>
          <cell r="B966">
            <v>542216</v>
          </cell>
          <cell r="C966" t="str">
            <v>DALBHARAT</v>
          </cell>
        </row>
        <row r="967">
          <cell r="A967" t="str">
            <v>DALMIA BHARAT SUGAR AND INDUSTRIES LTD</v>
          </cell>
          <cell r="B967">
            <v>500097</v>
          </cell>
          <cell r="C967" t="str">
            <v>DALMIASUG</v>
          </cell>
        </row>
        <row r="968">
          <cell r="A968" t="str">
            <v>DALMIA INDUSTRIAL DEVELOPMENT LTD</v>
          </cell>
          <cell r="B968">
            <v>539900</v>
          </cell>
          <cell r="C968" t="str">
            <v>Not Listed</v>
          </cell>
        </row>
        <row r="969">
          <cell r="A969" t="str">
            <v>DAMODAR INDUSTRIES LTD</v>
          </cell>
          <cell r="B969">
            <v>521220</v>
          </cell>
          <cell r="C969" t="str">
            <v>DAMODARIND</v>
          </cell>
        </row>
        <row r="970">
          <cell r="A970" t="str">
            <v>DANGEE DUMS LTD</v>
          </cell>
          <cell r="B970" t="str">
            <v>Not Listed</v>
          </cell>
          <cell r="C970" t="str">
            <v>DANGEE</v>
          </cell>
        </row>
        <row r="971">
          <cell r="A971" t="str">
            <v>DANLAW TECHNOLOGIES (INDIA) LTD</v>
          </cell>
          <cell r="B971">
            <v>532329</v>
          </cell>
          <cell r="C971" t="str">
            <v>Not Listed</v>
          </cell>
        </row>
        <row r="972">
          <cell r="A972" t="str">
            <v>DANLAW TECHNOLOGIES INDIA LTD</v>
          </cell>
          <cell r="B972">
            <v>532329</v>
          </cell>
          <cell r="C972" t="str">
            <v>Not Listed</v>
          </cell>
        </row>
        <row r="973">
          <cell r="A973" t="str">
            <v>DANUBE INDUSTRIES LTD</v>
          </cell>
          <cell r="B973">
            <v>540361</v>
          </cell>
          <cell r="C973" t="str">
            <v>Not Listed</v>
          </cell>
        </row>
        <row r="974">
          <cell r="A974" t="str">
            <v>DARJEELING ROPEWAY COMPANY LTD</v>
          </cell>
          <cell r="B974">
            <v>539770</v>
          </cell>
          <cell r="C974" t="str">
            <v>Not Listed</v>
          </cell>
        </row>
        <row r="975">
          <cell r="A975" t="str">
            <v>DARSHAN ORNA LTD</v>
          </cell>
          <cell r="B975">
            <v>539884</v>
          </cell>
          <cell r="C975" t="str">
            <v>Not Listed</v>
          </cell>
        </row>
        <row r="976">
          <cell r="A976" t="str">
            <v>DATAMATICS GLOBAL SERVICES LTD</v>
          </cell>
          <cell r="B976">
            <v>532528</v>
          </cell>
          <cell r="C976" t="str">
            <v>DATAMATICS</v>
          </cell>
        </row>
        <row r="977">
          <cell r="A977" t="str">
            <v>DAULAT SECURITIES LTD</v>
          </cell>
          <cell r="B977">
            <v>530171</v>
          </cell>
          <cell r="C977" t="str">
            <v>Not Listed</v>
          </cell>
        </row>
        <row r="978">
          <cell r="A978" t="str">
            <v>DB INTERNATIONAL STOCK BROKERS LTD</v>
          </cell>
          <cell r="B978">
            <v>530393</v>
          </cell>
          <cell r="C978" t="str">
            <v>DBSTOCKBRO</v>
          </cell>
        </row>
        <row r="979">
          <cell r="A979" t="str">
            <v>DCB BANK LTD</v>
          </cell>
          <cell r="B979">
            <v>532772</v>
          </cell>
          <cell r="C979" t="str">
            <v>DCBBANK</v>
          </cell>
        </row>
        <row r="980">
          <cell r="A980" t="str">
            <v>DCM FINANCIAL SERVICES LTD</v>
          </cell>
          <cell r="B980">
            <v>511611</v>
          </cell>
          <cell r="C980" t="str">
            <v>DCMFINSERV</v>
          </cell>
        </row>
        <row r="981">
          <cell r="A981" t="str">
            <v>DCM LTD</v>
          </cell>
          <cell r="B981">
            <v>502820</v>
          </cell>
          <cell r="C981" t="str">
            <v>DCM</v>
          </cell>
        </row>
        <row r="982">
          <cell r="A982" t="str">
            <v>DCM SHRIRAM INDUSTRIES LTD</v>
          </cell>
          <cell r="B982">
            <v>523369</v>
          </cell>
          <cell r="C982" t="str">
            <v>Not Listed</v>
          </cell>
        </row>
        <row r="983">
          <cell r="A983" t="str">
            <v>DCM SHRIRAM LTD</v>
          </cell>
          <cell r="B983">
            <v>523367</v>
          </cell>
          <cell r="C983" t="str">
            <v>DCMSHRIRAM</v>
          </cell>
        </row>
        <row r="984">
          <cell r="A984" t="str">
            <v>DCW LTD</v>
          </cell>
          <cell r="B984">
            <v>500117</v>
          </cell>
          <cell r="C984" t="str">
            <v>DCW</v>
          </cell>
        </row>
        <row r="985">
          <cell r="A985" t="str">
            <v>DE NORA (INDIA) LTD</v>
          </cell>
          <cell r="B985">
            <v>590031</v>
          </cell>
          <cell r="C985" t="str">
            <v>DENORA</v>
          </cell>
        </row>
        <row r="986">
          <cell r="A986" t="str">
            <v>DE NORA INDIA LTD</v>
          </cell>
          <cell r="B986">
            <v>590031</v>
          </cell>
          <cell r="C986" t="str">
            <v>DENORA</v>
          </cell>
        </row>
        <row r="987">
          <cell r="A987" t="str">
            <v>DEBOCK SALES AND MARKETING LTD</v>
          </cell>
          <cell r="B987" t="str">
            <v>Not Listed</v>
          </cell>
          <cell r="C987" t="str">
            <v>DSML</v>
          </cell>
        </row>
        <row r="988">
          <cell r="A988" t="str">
            <v>DECCAN BEARINGS LTD</v>
          </cell>
          <cell r="B988">
            <v>505703</v>
          </cell>
          <cell r="C988" t="str">
            <v>Not Listed</v>
          </cell>
        </row>
        <row r="989">
          <cell r="A989" t="str">
            <v>DECCAN CEMENTS LTD</v>
          </cell>
          <cell r="B989">
            <v>502137</v>
          </cell>
          <cell r="C989" t="str">
            <v>DECCANCE</v>
          </cell>
        </row>
        <row r="990">
          <cell r="A990" t="str">
            <v>DECCAN GOLD MINES LTD</v>
          </cell>
          <cell r="B990">
            <v>512068</v>
          </cell>
          <cell r="C990" t="str">
            <v>Not Listed</v>
          </cell>
        </row>
        <row r="991">
          <cell r="A991" t="str">
            <v>Deccan Health Care Ltd</v>
          </cell>
          <cell r="B991">
            <v>542248</v>
          </cell>
          <cell r="C991" t="str">
            <v>DECCAN</v>
          </cell>
        </row>
        <row r="992">
          <cell r="A992" t="str">
            <v>DECCAN POLYPACKS LTD</v>
          </cell>
          <cell r="B992">
            <v>531989</v>
          </cell>
          <cell r="C992" t="str">
            <v>Not Listed</v>
          </cell>
        </row>
        <row r="993">
          <cell r="A993" t="str">
            <v>DECILLION FINANCE LTD</v>
          </cell>
          <cell r="B993">
            <v>539190</v>
          </cell>
          <cell r="C993" t="str">
            <v>Not Listed</v>
          </cell>
        </row>
        <row r="994">
          <cell r="A994" t="str">
            <v>DECO-MICA LTD</v>
          </cell>
          <cell r="B994">
            <v>531227</v>
          </cell>
          <cell r="C994" t="str">
            <v>Not Listed</v>
          </cell>
        </row>
        <row r="995">
          <cell r="A995" t="str">
            <v>DECOROUS INVESTMENT &amp; TRADING CO LTD</v>
          </cell>
          <cell r="B995">
            <v>539405</v>
          </cell>
          <cell r="C995" t="str">
            <v>Not Listed</v>
          </cell>
        </row>
        <row r="996">
          <cell r="A996" t="str">
            <v>DEEP DIAMOND (INDIA) LTD</v>
          </cell>
          <cell r="B996">
            <v>539559</v>
          </cell>
          <cell r="C996" t="str">
            <v>Not Listed</v>
          </cell>
        </row>
        <row r="997">
          <cell r="A997" t="str">
            <v>DEEP DIAMOND INDIA LTD</v>
          </cell>
          <cell r="B997">
            <v>539559</v>
          </cell>
          <cell r="C997" t="str">
            <v>Not Listed</v>
          </cell>
        </row>
        <row r="998">
          <cell r="A998" t="str">
            <v>DEEP INDUSTRIES LTD</v>
          </cell>
          <cell r="B998">
            <v>532760</v>
          </cell>
          <cell r="C998" t="str">
            <v>DEEPIND</v>
          </cell>
        </row>
        <row r="999">
          <cell r="A999" t="str">
            <v>DEEP POLYMERS LTD</v>
          </cell>
          <cell r="B999">
            <v>541778</v>
          </cell>
          <cell r="C999" t="str">
            <v>Not Listed</v>
          </cell>
        </row>
        <row r="1000">
          <cell r="A1000" t="str">
            <v>DEEPAK FERTILIZERS AND PETROCHEMICALS CORPORATION LTD</v>
          </cell>
          <cell r="B1000">
            <v>500645</v>
          </cell>
          <cell r="C1000" t="str">
            <v>DEEPAKFERT</v>
          </cell>
        </row>
        <row r="1001">
          <cell r="A1001" t="str">
            <v>DEEPAK NITRITE LTD</v>
          </cell>
          <cell r="B1001">
            <v>506401</v>
          </cell>
          <cell r="C1001" t="str">
            <v>DEEPAKNTR</v>
          </cell>
        </row>
        <row r="1002">
          <cell r="A1002" t="str">
            <v>DEEPAK SPINNERS LTD</v>
          </cell>
          <cell r="B1002">
            <v>514030</v>
          </cell>
          <cell r="C1002" t="str">
            <v>Not Listed</v>
          </cell>
        </row>
        <row r="1003">
          <cell r="A1003" t="str">
            <v>DEEPTI ALLOY STEEL LTD</v>
          </cell>
          <cell r="B1003">
            <v>539455</v>
          </cell>
          <cell r="C1003" t="str">
            <v>Not Listed</v>
          </cell>
        </row>
        <row r="1004">
          <cell r="A1004" t="str">
            <v>DEKSON CASTINGS LTD</v>
          </cell>
          <cell r="B1004">
            <v>780006</v>
          </cell>
          <cell r="C1004" t="str">
            <v>Not Listed</v>
          </cell>
        </row>
        <row r="1005">
          <cell r="A1005" t="str">
            <v>DELTA CORP LTD</v>
          </cell>
          <cell r="B1005">
            <v>532848</v>
          </cell>
          <cell r="C1005" t="str">
            <v>DELTACORP</v>
          </cell>
        </row>
        <row r="1006">
          <cell r="A1006" t="str">
            <v>DELTA INDUSTRIAL RESOURCES LTD</v>
          </cell>
          <cell r="B1006">
            <v>539596</v>
          </cell>
          <cell r="C1006" t="str">
            <v>Not Listed</v>
          </cell>
        </row>
        <row r="1007">
          <cell r="A1007" t="str">
            <v>DELTA MAGNETS LTD</v>
          </cell>
          <cell r="B1007">
            <v>504286</v>
          </cell>
          <cell r="C1007" t="str">
            <v>DELTAMAGNT</v>
          </cell>
        </row>
        <row r="1008">
          <cell r="A1008" t="str">
            <v>DELTON CABLES LTD</v>
          </cell>
          <cell r="B1008">
            <v>504240</v>
          </cell>
          <cell r="C1008" t="str">
            <v>Not Listed</v>
          </cell>
        </row>
        <row r="1009">
          <cell r="A1009" t="str">
            <v>DELTRON LTD</v>
          </cell>
          <cell r="B1009">
            <v>504256</v>
          </cell>
          <cell r="C1009" t="str">
            <v>Not Listed</v>
          </cell>
        </row>
        <row r="1010">
          <cell r="A1010" t="str">
            <v>DEN NETWORKS LTD</v>
          </cell>
          <cell r="B1010">
            <v>533137</v>
          </cell>
          <cell r="C1010" t="str">
            <v>DEN</v>
          </cell>
        </row>
        <row r="1011">
          <cell r="A1011" t="str">
            <v>DENA BANK</v>
          </cell>
          <cell r="B1011">
            <v>532121</v>
          </cell>
          <cell r="C1011" t="str">
            <v>DENABANK</v>
          </cell>
        </row>
        <row r="1012">
          <cell r="A1012" t="str">
            <v>DENIS CHEM LAB LTD</v>
          </cell>
          <cell r="B1012">
            <v>537536</v>
          </cell>
          <cell r="C1012" t="str">
            <v>Not Listed</v>
          </cell>
        </row>
        <row r="1013">
          <cell r="A1013" t="str">
            <v>DESH RAKSHAK AUSHDHALAYA LTD</v>
          </cell>
          <cell r="B1013">
            <v>531521</v>
          </cell>
          <cell r="C1013" t="str">
            <v>Not Listed</v>
          </cell>
        </row>
        <row r="1014">
          <cell r="A1014" t="str">
            <v>DEV INFORMATION TECHNOLOGY LTD</v>
          </cell>
          <cell r="B1014" t="str">
            <v>Not Listed</v>
          </cell>
          <cell r="C1014" t="str">
            <v>DEVIT</v>
          </cell>
        </row>
        <row r="1015">
          <cell r="A1015" t="str">
            <v>DEVHARI EXPORTS (INDIA) LTD</v>
          </cell>
          <cell r="B1015">
            <v>539197</v>
          </cell>
          <cell r="C1015" t="str">
            <v>Not Listed</v>
          </cell>
        </row>
        <row r="1016">
          <cell r="A1016" t="str">
            <v>DEVHARI EXPORTS INDIA LTD</v>
          </cell>
          <cell r="B1016">
            <v>539197</v>
          </cell>
          <cell r="C1016" t="str">
            <v>Not Listed</v>
          </cell>
        </row>
        <row r="1017">
          <cell r="A1017" t="str">
            <v>DEVINE IMPEX LTD</v>
          </cell>
          <cell r="B1017">
            <v>531585</v>
          </cell>
          <cell r="C1017" t="str">
            <v>Not Listed</v>
          </cell>
        </row>
        <row r="1018">
          <cell r="A1018" t="str">
            <v>DEVINSU TRADING LTD</v>
          </cell>
          <cell r="B1018">
            <v>512445</v>
          </cell>
          <cell r="C1018" t="str">
            <v>Not Listed</v>
          </cell>
        </row>
        <row r="1019">
          <cell r="A1019" t="str">
            <v>DEVKI LEASING &amp; FINANCE LTD</v>
          </cell>
          <cell r="B1019">
            <v>530765</v>
          </cell>
          <cell r="C1019" t="str">
            <v>Not Listed</v>
          </cell>
        </row>
        <row r="1020">
          <cell r="A1020" t="str">
            <v>DEVOTED CONSTRUCTION LTD</v>
          </cell>
          <cell r="B1020">
            <v>542002</v>
          </cell>
          <cell r="C1020" t="str">
            <v>Not Listed</v>
          </cell>
        </row>
        <row r="1021">
          <cell r="A1021" t="str">
            <v>DEWAN HOUSING FINANCE CORPORATION LTD</v>
          </cell>
          <cell r="B1021">
            <v>511072</v>
          </cell>
          <cell r="C1021" t="str">
            <v>DHFL</v>
          </cell>
        </row>
        <row r="1022">
          <cell r="A1022" t="str">
            <v>DFM FOODS LTD</v>
          </cell>
          <cell r="B1022">
            <v>519588</v>
          </cell>
          <cell r="C1022" t="str">
            <v>DFMFOODS</v>
          </cell>
        </row>
        <row r="1023">
          <cell r="A1023" t="str">
            <v>DHABRIYA POLYWOOD LTD</v>
          </cell>
          <cell r="B1023">
            <v>538715</v>
          </cell>
          <cell r="C1023" t="str">
            <v>Not Listed</v>
          </cell>
        </row>
        <row r="1024">
          <cell r="A1024" t="str">
            <v>DHAMPUR SUGAR MILLS LTD</v>
          </cell>
          <cell r="B1024">
            <v>500119</v>
          </cell>
          <cell r="C1024" t="str">
            <v>DHAMPURSUG</v>
          </cell>
        </row>
        <row r="1025">
          <cell r="A1025" t="str">
            <v>DHAMPURE SPECIALITY SUGARS LTD</v>
          </cell>
          <cell r="B1025">
            <v>531923</v>
          </cell>
          <cell r="C1025" t="str">
            <v>Not Listed</v>
          </cell>
        </row>
        <row r="1026">
          <cell r="A1026" t="str">
            <v>DHANADA CORPORATION LTD</v>
          </cell>
          <cell r="B1026">
            <v>531198</v>
          </cell>
          <cell r="C1026" t="str">
            <v>Not Listed</v>
          </cell>
        </row>
        <row r="1027">
          <cell r="A1027" t="str">
            <v>DHANALAXMI ROTO SPINNERS LTD</v>
          </cell>
          <cell r="B1027">
            <v>521216</v>
          </cell>
          <cell r="C1027" t="str">
            <v>Not Listed</v>
          </cell>
        </row>
        <row r="1028">
          <cell r="A1028" t="str">
            <v>Dhanashree Electronics Ltd</v>
          </cell>
          <cell r="B1028">
            <v>542679</v>
          </cell>
          <cell r="C1028" t="str">
            <v>DEL</v>
          </cell>
        </row>
        <row r="1029">
          <cell r="A1029" t="str">
            <v>DHANLAXMI BANK LTD</v>
          </cell>
          <cell r="B1029">
            <v>532180</v>
          </cell>
          <cell r="C1029" t="str">
            <v>DHANBANK</v>
          </cell>
        </row>
        <row r="1030">
          <cell r="A1030" t="str">
            <v>DHANLAXMI COTEX LTD</v>
          </cell>
          <cell r="B1030">
            <v>512485</v>
          </cell>
          <cell r="C1030" t="str">
            <v>Not Listed</v>
          </cell>
        </row>
        <row r="1031">
          <cell r="A1031" t="str">
            <v>DHANLAXMI FABRICS LTD</v>
          </cell>
          <cell r="B1031">
            <v>521151</v>
          </cell>
          <cell r="C1031" t="str">
            <v>Not Listed</v>
          </cell>
        </row>
        <row r="1032">
          <cell r="A1032" t="str">
            <v>DHANLEELA INVESTMENTS &amp; TRADING COMPANY LTD</v>
          </cell>
          <cell r="B1032">
            <v>503637</v>
          </cell>
          <cell r="C1032" t="str">
            <v>Not Listed</v>
          </cell>
        </row>
        <row r="1033">
          <cell r="A1033" t="str">
            <v>DHANUKA AGRITECH LTD</v>
          </cell>
          <cell r="B1033">
            <v>507717</v>
          </cell>
          <cell r="C1033" t="str">
            <v>DHANUKA</v>
          </cell>
        </row>
        <row r="1034">
          <cell r="A1034" t="str">
            <v>DHANUKA COMMERCIAL LTD</v>
          </cell>
          <cell r="B1034">
            <v>538446</v>
          </cell>
          <cell r="C1034" t="str">
            <v>Not Listed</v>
          </cell>
        </row>
        <row r="1035">
          <cell r="A1035" t="str">
            <v>DHANUKA REALTY LTD</v>
          </cell>
          <cell r="B1035" t="str">
            <v>Not Listed</v>
          </cell>
          <cell r="C1035" t="str">
            <v>DRL</v>
          </cell>
        </row>
        <row r="1036">
          <cell r="A1036" t="str">
            <v>DHANVANTRI JEEVAN REKHA LTD</v>
          </cell>
          <cell r="B1036">
            <v>531043</v>
          </cell>
          <cell r="C1036" t="str">
            <v>Not Listed</v>
          </cell>
        </row>
        <row r="1037">
          <cell r="A1037" t="str">
            <v>DHANVARSHA FINVEST LTD</v>
          </cell>
          <cell r="B1037">
            <v>540268</v>
          </cell>
          <cell r="C1037" t="str">
            <v>Not Listed</v>
          </cell>
        </row>
        <row r="1038">
          <cell r="A1038" t="str">
            <v>DHARAMSI MORARJI CHEMICAL CO LTD</v>
          </cell>
          <cell r="B1038">
            <v>506405</v>
          </cell>
          <cell r="C1038" t="str">
            <v>Not Listed</v>
          </cell>
        </row>
        <row r="1039">
          <cell r="A1039" t="str">
            <v>DHARANI FINANCE LTD</v>
          </cell>
          <cell r="B1039">
            <v>511451</v>
          </cell>
          <cell r="C1039" t="str">
            <v>Not Listed</v>
          </cell>
        </row>
        <row r="1040">
          <cell r="A1040" t="str">
            <v>DHARANI SUGARS &amp; CHEMICALS LTD</v>
          </cell>
          <cell r="B1040">
            <v>507442</v>
          </cell>
          <cell r="C1040" t="str">
            <v>DHARSUGAR</v>
          </cell>
        </row>
        <row r="1041">
          <cell r="A1041" t="str">
            <v>DHENU BUILDCON INFRA LTD</v>
          </cell>
          <cell r="B1041">
            <v>501945</v>
          </cell>
          <cell r="C1041" t="str">
            <v>Not Listed</v>
          </cell>
        </row>
        <row r="1042">
          <cell r="A1042" t="str">
            <v>DHOOT INDUSTRIAL FINANCE LTD</v>
          </cell>
          <cell r="B1042">
            <v>526971</v>
          </cell>
          <cell r="C1042" t="str">
            <v>Not Listed</v>
          </cell>
        </row>
        <row r="1043">
          <cell r="A1043" t="str">
            <v>DHP (INDIA) LTD</v>
          </cell>
          <cell r="B1043">
            <v>531306</v>
          </cell>
          <cell r="C1043" t="str">
            <v>Not Listed</v>
          </cell>
        </row>
        <row r="1044">
          <cell r="A1044" t="str">
            <v>DHP INDIA LTD</v>
          </cell>
          <cell r="B1044">
            <v>531306</v>
          </cell>
          <cell r="C1044" t="str">
            <v>Not Listed</v>
          </cell>
        </row>
        <row r="1045">
          <cell r="A1045" t="str">
            <v>DHRUV CONSULTANCY SERVICES LTD</v>
          </cell>
          <cell r="B1045">
            <v>541302</v>
          </cell>
          <cell r="C1045" t="str">
            <v>Not Listed</v>
          </cell>
        </row>
        <row r="1046">
          <cell r="A1046" t="str">
            <v>DHRUV ESTATES LTD</v>
          </cell>
          <cell r="B1046">
            <v>507886</v>
          </cell>
          <cell r="C1046" t="str">
            <v>Not Listed</v>
          </cell>
        </row>
        <row r="1047">
          <cell r="A1047" t="str">
            <v>DHRUV WELLNESS LTD</v>
          </cell>
          <cell r="B1047">
            <v>540695</v>
          </cell>
          <cell r="C1047" t="str">
            <v>Not Listed</v>
          </cell>
        </row>
        <row r="1048">
          <cell r="A1048" t="str">
            <v>DHRUVA CAPITAL SERVICES LTD</v>
          </cell>
          <cell r="B1048">
            <v>531237</v>
          </cell>
          <cell r="C1048" t="str">
            <v>Not Listed</v>
          </cell>
        </row>
        <row r="1049">
          <cell r="A1049" t="str">
            <v>DHUNSERI INVESTMENTS LTD</v>
          </cell>
          <cell r="B1049">
            <v>533336</v>
          </cell>
          <cell r="C1049" t="str">
            <v>DHUNINV</v>
          </cell>
        </row>
        <row r="1050">
          <cell r="A1050" t="str">
            <v>DHUNSERI PETROCHEM LTD</v>
          </cell>
          <cell r="B1050">
            <v>523736</v>
          </cell>
          <cell r="C1050" t="str">
            <v>DPL</v>
          </cell>
        </row>
        <row r="1051">
          <cell r="A1051" t="str">
            <v>DHUNSERI TEA &amp; INDUSTRIES LTD</v>
          </cell>
          <cell r="B1051">
            <v>538902</v>
          </cell>
          <cell r="C1051" t="str">
            <v>DTIL</v>
          </cell>
        </row>
        <row r="1052">
          <cell r="A1052" t="str">
            <v>Dhunseri Ventures LTD</v>
          </cell>
          <cell r="B1052" t="str">
            <v>Not Listed</v>
          </cell>
          <cell r="C1052" t="str">
            <v>DVL</v>
          </cell>
        </row>
        <row r="1053">
          <cell r="A1053" t="str">
            <v>DIAMANT INFRASTRUCTURE LTD</v>
          </cell>
          <cell r="B1053">
            <v>508860</v>
          </cell>
          <cell r="C1053" t="str">
            <v>Not Listed</v>
          </cell>
        </row>
        <row r="1054">
          <cell r="A1054" t="str">
            <v>DIAMINES &amp; CHEMICALS LTD</v>
          </cell>
          <cell r="B1054">
            <v>500120</v>
          </cell>
          <cell r="C1054" t="str">
            <v>Not Listed</v>
          </cell>
        </row>
        <row r="1055">
          <cell r="A1055" t="str">
            <v>DIAMOND POWER INFRA LTD</v>
          </cell>
          <cell r="B1055">
            <v>522163</v>
          </cell>
          <cell r="C1055" t="str">
            <v>DIAPOWER</v>
          </cell>
        </row>
        <row r="1056">
          <cell r="A1056" t="str">
            <v>DIANA TEA CO LTD</v>
          </cell>
          <cell r="B1056">
            <v>530959</v>
          </cell>
          <cell r="C1056" t="str">
            <v>Not Listed</v>
          </cell>
        </row>
        <row r="1057">
          <cell r="A1057" t="str">
            <v>DIC (INDIA) LTD</v>
          </cell>
          <cell r="B1057">
            <v>500089</v>
          </cell>
          <cell r="C1057" t="str">
            <v>DICIND</v>
          </cell>
        </row>
        <row r="1058">
          <cell r="A1058" t="str">
            <v>DIC INDIA LTD</v>
          </cell>
          <cell r="B1058">
            <v>500089</v>
          </cell>
          <cell r="C1058" t="str">
            <v>DICIND</v>
          </cell>
        </row>
        <row r="1059">
          <cell r="A1059" t="str">
            <v>DIGGI MULTITRADE LTD</v>
          </cell>
          <cell r="B1059">
            <v>540811</v>
          </cell>
          <cell r="C1059" t="str">
            <v>Not Listed</v>
          </cell>
        </row>
        <row r="1060">
          <cell r="A1060" t="str">
            <v>Digicontent Ltd</v>
          </cell>
          <cell r="B1060">
            <v>542685</v>
          </cell>
          <cell r="C1060" t="str">
            <v>DGCONTENT</v>
          </cell>
        </row>
        <row r="1061">
          <cell r="A1061" t="str">
            <v>DIGJAM LTD</v>
          </cell>
          <cell r="B1061">
            <v>539979</v>
          </cell>
          <cell r="C1061" t="str">
            <v>DIGJAMLTD</v>
          </cell>
        </row>
        <row r="1062">
          <cell r="A1062" t="str">
            <v>DIKSAT TRANSWORLD LTD</v>
          </cell>
          <cell r="B1062">
            <v>540151</v>
          </cell>
          <cell r="C1062" t="str">
            <v>Not Listed</v>
          </cell>
        </row>
        <row r="1063">
          <cell r="A1063" t="str">
            <v>Diksha Greens Ltd</v>
          </cell>
          <cell r="B1063">
            <v>542155</v>
          </cell>
          <cell r="C1063" t="str">
            <v>DGL</v>
          </cell>
        </row>
        <row r="1064">
          <cell r="A1064" t="str">
            <v>DIL LTD</v>
          </cell>
          <cell r="B1064">
            <v>506414</v>
          </cell>
          <cell r="C1064" t="str">
            <v>Not Listed</v>
          </cell>
        </row>
        <row r="1065">
          <cell r="A1065" t="str">
            <v>DILIGENT INDUSTRIES LTD</v>
          </cell>
          <cell r="B1065">
            <v>531153</v>
          </cell>
          <cell r="C1065" t="str">
            <v>Not Listed</v>
          </cell>
        </row>
        <row r="1066">
          <cell r="A1066" t="str">
            <v>DILIGENT MEDIA CORPORATION LTD</v>
          </cell>
          <cell r="B1066">
            <v>540789</v>
          </cell>
          <cell r="C1066" t="str">
            <v>DNAMEDIA</v>
          </cell>
        </row>
        <row r="1067">
          <cell r="A1067" t="str">
            <v>DILIP BUILDCON LTD</v>
          </cell>
          <cell r="B1067">
            <v>540047</v>
          </cell>
          <cell r="C1067" t="str">
            <v>DBL</v>
          </cell>
        </row>
        <row r="1068">
          <cell r="A1068" t="str">
            <v>DION GLOBAL SOLUTIONS LTD</v>
          </cell>
          <cell r="B1068">
            <v>526927</v>
          </cell>
          <cell r="C1068" t="str">
            <v>Not Listed</v>
          </cell>
        </row>
        <row r="1069">
          <cell r="A1069" t="str">
            <v>DISA (INDIA) LTD</v>
          </cell>
          <cell r="B1069">
            <v>500068</v>
          </cell>
          <cell r="C1069" t="str">
            <v>Not Listed</v>
          </cell>
        </row>
        <row r="1070">
          <cell r="A1070" t="str">
            <v>DISA INDIA LTD</v>
          </cell>
          <cell r="B1070">
            <v>500068</v>
          </cell>
          <cell r="C1070" t="str">
            <v>Not Listed</v>
          </cell>
        </row>
        <row r="1071">
          <cell r="A1071" t="str">
            <v>DISH TV (INDIA) LTD</v>
          </cell>
          <cell r="B1071">
            <v>532839</v>
          </cell>
          <cell r="C1071" t="str">
            <v>DISHTV</v>
          </cell>
        </row>
        <row r="1072">
          <cell r="A1072" t="str">
            <v>DISH TV INDIA LTD</v>
          </cell>
          <cell r="B1072">
            <v>532839</v>
          </cell>
          <cell r="C1072" t="str">
            <v>DISHTV</v>
          </cell>
        </row>
        <row r="1073">
          <cell r="A1073" t="str">
            <v>DISHA RESOURCES LTD</v>
          </cell>
          <cell r="B1073">
            <v>531553</v>
          </cell>
          <cell r="C1073" t="str">
            <v>Not Listed</v>
          </cell>
        </row>
        <row r="1074">
          <cell r="A1074" t="str">
            <v>DISHMAN CARBOGEN AMCIS LTD</v>
          </cell>
          <cell r="B1074">
            <v>540701</v>
          </cell>
          <cell r="C1074" t="str">
            <v>DCAL</v>
          </cell>
        </row>
        <row r="1075">
          <cell r="A1075" t="str">
            <v>DIVINUS FABRICS LTD</v>
          </cell>
          <cell r="B1075">
            <v>538432</v>
          </cell>
          <cell r="C1075" t="str">
            <v>Not Listed</v>
          </cell>
        </row>
        <row r="1076">
          <cell r="A1076" t="str">
            <v>DIVI'S LABORATORIES LTD</v>
          </cell>
          <cell r="B1076">
            <v>532488</v>
          </cell>
          <cell r="C1076" t="str">
            <v>DIVISLAB</v>
          </cell>
        </row>
        <row r="1077">
          <cell r="A1077" t="str">
            <v>DIVYA JYOTI INDUSTRIES LTD</v>
          </cell>
          <cell r="B1077">
            <v>526285</v>
          </cell>
          <cell r="C1077" t="str">
            <v>Not Listed</v>
          </cell>
        </row>
        <row r="1078">
          <cell r="A1078" t="str">
            <v>DIVYASHAKTI GRANITES LTD</v>
          </cell>
          <cell r="B1078">
            <v>526315</v>
          </cell>
          <cell r="C1078" t="str">
            <v>Not Listed</v>
          </cell>
        </row>
        <row r="1079">
          <cell r="A1079" t="str">
            <v>DIXON TECHNOLOGIES (INDIA) LTD</v>
          </cell>
          <cell r="B1079">
            <v>540699</v>
          </cell>
          <cell r="C1079" t="str">
            <v>DIXON</v>
          </cell>
        </row>
        <row r="1080">
          <cell r="A1080" t="str">
            <v>DIXON TECHNOLOGIES INDIA LTD</v>
          </cell>
          <cell r="B1080">
            <v>540699</v>
          </cell>
          <cell r="C1080" t="str">
            <v>DIXON</v>
          </cell>
        </row>
        <row r="1081">
          <cell r="A1081" t="str">
            <v>DLF LTD</v>
          </cell>
          <cell r="B1081">
            <v>532868</v>
          </cell>
          <cell r="C1081" t="str">
            <v>DLF</v>
          </cell>
        </row>
        <row r="1082">
          <cell r="A1082" t="str">
            <v>D-LINK (INDIA) LTD</v>
          </cell>
          <cell r="B1082">
            <v>533146</v>
          </cell>
          <cell r="C1082" t="str">
            <v>DLINK(INDIA)</v>
          </cell>
        </row>
        <row r="1083">
          <cell r="A1083" t="str">
            <v>D-LINK INDIA LTD</v>
          </cell>
          <cell r="B1083">
            <v>533146</v>
          </cell>
          <cell r="C1083" t="str">
            <v>DLINKINDIA</v>
          </cell>
        </row>
        <row r="1084">
          <cell r="A1084" t="str">
            <v>DOLAT INVESTMENTS LTD</v>
          </cell>
          <cell r="B1084">
            <v>505526</v>
          </cell>
          <cell r="C1084" t="str">
            <v>Not Listed</v>
          </cell>
        </row>
        <row r="1085">
          <cell r="A1085" t="str">
            <v>DOLFIN RUBBERS LTD</v>
          </cell>
          <cell r="B1085">
            <v>542013</v>
          </cell>
          <cell r="C1085" t="str">
            <v>Not Listed</v>
          </cell>
        </row>
        <row r="1086">
          <cell r="A1086" t="str">
            <v>DOLLAR INDUSTRIES LTD</v>
          </cell>
          <cell r="B1086">
            <v>541403</v>
          </cell>
          <cell r="C1086" t="str">
            <v>DOLLAR</v>
          </cell>
        </row>
        <row r="1087">
          <cell r="A1087" t="str">
            <v>DOLPHIN MEDICAL SERVICES LTD</v>
          </cell>
          <cell r="B1087">
            <v>526504</v>
          </cell>
          <cell r="C1087" t="str">
            <v>Not Listed</v>
          </cell>
        </row>
        <row r="1088">
          <cell r="A1088" t="str">
            <v>DOLPHIN OFFSHORE ENTERPRISES (INDIA) LTD</v>
          </cell>
          <cell r="B1088">
            <v>522261</v>
          </cell>
          <cell r="C1088" t="str">
            <v>DOLPHINOFF</v>
          </cell>
        </row>
        <row r="1089">
          <cell r="A1089" t="str">
            <v>DOLPHIN OFFSHORE ENTERPRISES INDIA LTD</v>
          </cell>
          <cell r="B1089">
            <v>522261</v>
          </cell>
          <cell r="C1089" t="str">
            <v>DOLPHINOFF</v>
          </cell>
        </row>
        <row r="1090">
          <cell r="A1090" t="str">
            <v>DONEAR INDUSTRIES LTD</v>
          </cell>
          <cell r="B1090">
            <v>512519</v>
          </cell>
          <cell r="C1090" t="str">
            <v>DONEAR</v>
          </cell>
        </row>
        <row r="1091">
          <cell r="A1091" t="str">
            <v>DPSC LTD</v>
          </cell>
          <cell r="B1091" t="str">
            <v>Not Listed</v>
          </cell>
          <cell r="C1091" t="str">
            <v>DPSCLTD</v>
          </cell>
        </row>
        <row r="1092">
          <cell r="A1092" t="str">
            <v>DQ ENTERTAINMENT INTERNATIONAL LTD</v>
          </cell>
          <cell r="B1092">
            <v>533176</v>
          </cell>
          <cell r="C1092" t="str">
            <v>DQE</v>
          </cell>
        </row>
        <row r="1093">
          <cell r="A1093" t="str">
            <v>DR AGARWALS EYE HOSPITAL LTD</v>
          </cell>
          <cell r="B1093">
            <v>526783</v>
          </cell>
          <cell r="C1093" t="str">
            <v>Not Listed</v>
          </cell>
        </row>
        <row r="1094">
          <cell r="A1094" t="str">
            <v>DR HABEEBULLAH LIFE SCIENCES LTD</v>
          </cell>
          <cell r="B1094">
            <v>539267</v>
          </cell>
          <cell r="C1094" t="str">
            <v>Not Listed</v>
          </cell>
        </row>
        <row r="1095">
          <cell r="A1095" t="str">
            <v>DR LAL PATH LABS LTD</v>
          </cell>
          <cell r="B1095">
            <v>539524</v>
          </cell>
          <cell r="C1095" t="str">
            <v>LALPATHLAB</v>
          </cell>
        </row>
        <row r="1096">
          <cell r="A1096" t="str">
            <v>DR LALCHANDANI LABS LTD</v>
          </cell>
          <cell r="B1096">
            <v>541299</v>
          </cell>
          <cell r="C1096" t="str">
            <v>Not Listed</v>
          </cell>
        </row>
        <row r="1097">
          <cell r="A1097" t="str">
            <v>DR REDDY'S LABORATORIES LTD</v>
          </cell>
          <cell r="B1097">
            <v>500124</v>
          </cell>
          <cell r="C1097" t="str">
            <v>DRREDDY</v>
          </cell>
        </row>
        <row r="1098">
          <cell r="A1098" t="str">
            <v>DRA CONSULTANTS LTD</v>
          </cell>
          <cell r="B1098">
            <v>540144</v>
          </cell>
          <cell r="C1098" t="str">
            <v>Not Listed</v>
          </cell>
        </row>
        <row r="1099">
          <cell r="A1099" t="str">
            <v>DREDGING CORPORATION OF (INDIA) LTD</v>
          </cell>
          <cell r="B1099">
            <v>523618</v>
          </cell>
          <cell r="C1099" t="str">
            <v>DREDGECORP</v>
          </cell>
        </row>
        <row r="1100">
          <cell r="A1100" t="str">
            <v>DREDGING CORPORATION OF INDIA LTD</v>
          </cell>
          <cell r="B1100">
            <v>523618</v>
          </cell>
          <cell r="C1100" t="str">
            <v>DREDGECORP</v>
          </cell>
        </row>
        <row r="1101">
          <cell r="A1101" t="str">
            <v>DUCON INFRATECHNOLOGIES LTD</v>
          </cell>
          <cell r="B1101">
            <v>534674</v>
          </cell>
          <cell r="C1101" t="str">
            <v>DUCON</v>
          </cell>
        </row>
        <row r="1102">
          <cell r="A1102" t="str">
            <v>DUGAR HOUSING DEVELOPMENTS LTD</v>
          </cell>
          <cell r="B1102">
            <v>511634</v>
          </cell>
          <cell r="C1102" t="str">
            <v>Not Listed</v>
          </cell>
        </row>
        <row r="1103">
          <cell r="A1103" t="str">
            <v>DUKE OFFSHORE LTD</v>
          </cell>
          <cell r="B1103">
            <v>531471</v>
          </cell>
          <cell r="C1103" t="str">
            <v>Not Listed</v>
          </cell>
        </row>
        <row r="1104">
          <cell r="A1104" t="str">
            <v>DUNCAN ENGINEERING LTD</v>
          </cell>
          <cell r="B1104">
            <v>504908</v>
          </cell>
          <cell r="C1104" t="str">
            <v>Not Listed</v>
          </cell>
        </row>
        <row r="1105">
          <cell r="A1105" t="str">
            <v>DUROPACK LTD</v>
          </cell>
          <cell r="B1105">
            <v>526355</v>
          </cell>
          <cell r="C1105" t="str">
            <v>Not Listed</v>
          </cell>
        </row>
        <row r="1106">
          <cell r="A1106" t="str">
            <v>DUTRON POLYMERS LTD</v>
          </cell>
          <cell r="B1106">
            <v>517437</v>
          </cell>
          <cell r="C1106" t="str">
            <v>Not Listed</v>
          </cell>
        </row>
        <row r="1107">
          <cell r="A1107" t="str">
            <v>DWARIKESH SUGAR INDUSTRIES LTD</v>
          </cell>
          <cell r="B1107">
            <v>532610</v>
          </cell>
          <cell r="C1107" t="str">
            <v>DWARKESH</v>
          </cell>
        </row>
        <row r="1108">
          <cell r="A1108" t="str">
            <v>Dwitiya Trading Ltd</v>
          </cell>
          <cell r="B1108">
            <v>538608</v>
          </cell>
          <cell r="C1108" t="str">
            <v>DWITIYA</v>
          </cell>
        </row>
        <row r="1109">
          <cell r="A1109" t="str">
            <v>DYNACONS SYSTEMS &amp; SOLUTIONS LTD</v>
          </cell>
          <cell r="B1109">
            <v>532365</v>
          </cell>
          <cell r="C1109" t="str">
            <v>DSSL</v>
          </cell>
        </row>
        <row r="1110">
          <cell r="A1110" t="str">
            <v>DYNAMATIC TECHNOLOGIES LTD</v>
          </cell>
          <cell r="B1110">
            <v>505242</v>
          </cell>
          <cell r="C1110" t="str">
            <v>DYNAMATECH</v>
          </cell>
        </row>
        <row r="1111">
          <cell r="A1111" t="str">
            <v>DYNAMIC ARCHISTRUCTURES LTD</v>
          </cell>
          <cell r="B1111">
            <v>539681</v>
          </cell>
          <cell r="C1111" t="str">
            <v>Not Listed</v>
          </cell>
        </row>
        <row r="1112">
          <cell r="A1112" t="str">
            <v>DYNAMIC CABLES LTD</v>
          </cell>
          <cell r="B1112">
            <v>540795</v>
          </cell>
          <cell r="C1112" t="str">
            <v>Not Listed</v>
          </cell>
        </row>
        <row r="1113">
          <cell r="A1113" t="str">
            <v>DYNAMIC INDUSTRIES LTD</v>
          </cell>
          <cell r="B1113">
            <v>524818</v>
          </cell>
          <cell r="C1113" t="str">
            <v>Not Listed</v>
          </cell>
        </row>
        <row r="1114">
          <cell r="A1114" t="str">
            <v>DYNAMIC PORTFOLIO MANAGEMENT &amp; SERVICES LTD</v>
          </cell>
          <cell r="B1114">
            <v>530779</v>
          </cell>
          <cell r="C1114" t="str">
            <v>Not Listed</v>
          </cell>
        </row>
        <row r="1115">
          <cell r="A1115" t="str">
            <v>DYNAVISION LTD</v>
          </cell>
          <cell r="B1115">
            <v>517238</v>
          </cell>
          <cell r="C1115" t="str">
            <v>Not Listed</v>
          </cell>
        </row>
        <row r="1116">
          <cell r="A1116" t="str">
            <v>DYNEMIC PRODUCTS LTD</v>
          </cell>
          <cell r="B1116">
            <v>532707</v>
          </cell>
          <cell r="C1116" t="str">
            <v>DYNPRO</v>
          </cell>
        </row>
        <row r="1117">
          <cell r="A1117" t="str">
            <v>E COM INFOTECH I LTD</v>
          </cell>
          <cell r="B1117">
            <v>531533</v>
          </cell>
          <cell r="C1117" t="str">
            <v>Not Listed</v>
          </cell>
        </row>
        <row r="1118">
          <cell r="A1118" t="str">
            <v>E2E NETWORKS LTD</v>
          </cell>
          <cell r="B1118" t="str">
            <v>Not Listed</v>
          </cell>
          <cell r="C1118" t="str">
            <v>E2E</v>
          </cell>
        </row>
        <row r="1119">
          <cell r="A1119" t="str">
            <v>EAST BUILDTECH LTD</v>
          </cell>
          <cell r="B1119">
            <v>507917</v>
          </cell>
          <cell r="C1119" t="str">
            <v>Not Listed</v>
          </cell>
        </row>
        <row r="1120">
          <cell r="A1120" t="str">
            <v>EAST COAST STEEL LTD</v>
          </cell>
          <cell r="B1120">
            <v>520081</v>
          </cell>
          <cell r="C1120" t="str">
            <v>Not Listed</v>
          </cell>
        </row>
        <row r="1121">
          <cell r="A1121" t="str">
            <v>EAST INDIA SECURITIES LTD</v>
          </cell>
          <cell r="B1121">
            <v>541053</v>
          </cell>
          <cell r="C1121" t="str">
            <v>Not Listed</v>
          </cell>
        </row>
        <row r="1122">
          <cell r="A1122" t="str">
            <v>EASTERN SILK INDUSTRIES LTD</v>
          </cell>
          <cell r="B1122">
            <v>590022</v>
          </cell>
          <cell r="C1122" t="str">
            <v>EASTSILK</v>
          </cell>
        </row>
        <row r="1123">
          <cell r="A1123" t="str">
            <v>EASTERN TREADS LTD</v>
          </cell>
          <cell r="B1123">
            <v>531346</v>
          </cell>
          <cell r="C1123" t="str">
            <v>Not Listed</v>
          </cell>
        </row>
        <row r="1124">
          <cell r="A1124" t="str">
            <v>EASUN REYROLLE LTD</v>
          </cell>
          <cell r="B1124">
            <v>532751</v>
          </cell>
          <cell r="C1124" t="str">
            <v>EASUNREYRL</v>
          </cell>
        </row>
        <row r="1125">
          <cell r="A1125" t="str">
            <v>ECE INDUSTRIES LTD</v>
          </cell>
          <cell r="B1125" t="str">
            <v>Not Listed</v>
          </cell>
          <cell r="C1125" t="str">
            <v>ECEIND</v>
          </cell>
        </row>
        <row r="1126">
          <cell r="A1126" t="str">
            <v>ECLERX SERVICES LTD</v>
          </cell>
          <cell r="B1126">
            <v>532927</v>
          </cell>
          <cell r="C1126" t="str">
            <v>ECLERX</v>
          </cell>
        </row>
        <row r="1127">
          <cell r="A1127" t="str">
            <v>ECO FRIENDLY FOOD PROCESSING PARK LTD</v>
          </cell>
          <cell r="B1127">
            <v>534839</v>
          </cell>
          <cell r="C1127" t="str">
            <v>Not Listed</v>
          </cell>
        </row>
        <row r="1128">
          <cell r="A1128" t="str">
            <v>ECO RECYCLING LTD</v>
          </cell>
          <cell r="B1128">
            <v>530643</v>
          </cell>
          <cell r="C1128" t="str">
            <v>Not Listed</v>
          </cell>
        </row>
        <row r="1129">
          <cell r="A1129" t="str">
            <v>ECOBOARD INDUSTRIES LTD</v>
          </cell>
          <cell r="B1129">
            <v>523732</v>
          </cell>
          <cell r="C1129" t="str">
            <v>Not Listed</v>
          </cell>
        </row>
        <row r="1130">
          <cell r="A1130" t="str">
            <v>ECONO TRADE (INDIA) LTD</v>
          </cell>
          <cell r="B1130">
            <v>538708</v>
          </cell>
          <cell r="C1130" t="str">
            <v>Not Listed</v>
          </cell>
        </row>
        <row r="1131">
          <cell r="A1131" t="str">
            <v>ECONO TRADE INDIA LTD</v>
          </cell>
          <cell r="B1131">
            <v>538708</v>
          </cell>
          <cell r="C1131" t="str">
            <v>Not Listed</v>
          </cell>
        </row>
        <row r="1132">
          <cell r="A1132" t="str">
            <v>ECOPLAST LTD</v>
          </cell>
          <cell r="B1132">
            <v>526703</v>
          </cell>
          <cell r="C1132" t="str">
            <v>Not Listed</v>
          </cell>
        </row>
        <row r="1133">
          <cell r="A1133" t="str">
            <v>ECS BIZTECH LTD</v>
          </cell>
          <cell r="B1133">
            <v>540063</v>
          </cell>
          <cell r="C1133" t="str">
            <v>Not Listed</v>
          </cell>
        </row>
        <row r="1134">
          <cell r="A1134" t="str">
            <v>EDELWEISS FINANCIAL SERVICES LTD</v>
          </cell>
          <cell r="B1134">
            <v>532922</v>
          </cell>
          <cell r="C1134" t="str">
            <v>EDELWEISS</v>
          </cell>
        </row>
        <row r="1135">
          <cell r="A1135" t="str">
            <v>EDUCOMP SOLUTIONS LTD</v>
          </cell>
          <cell r="B1135">
            <v>532696</v>
          </cell>
          <cell r="C1135" t="str">
            <v>EDUCOMP</v>
          </cell>
        </row>
        <row r="1136">
          <cell r="A1136" t="str">
            <v>EDUEXEL INFOTAINMENT LTD</v>
          </cell>
          <cell r="B1136">
            <v>526483</v>
          </cell>
          <cell r="C1136" t="str">
            <v>Not Listed</v>
          </cell>
        </row>
        <row r="1137">
          <cell r="A1137" t="str">
            <v>EDYNAMICS SOLUTIONS LTD</v>
          </cell>
          <cell r="B1137">
            <v>535694</v>
          </cell>
          <cell r="C1137" t="str">
            <v>Not Listed</v>
          </cell>
        </row>
        <row r="1138">
          <cell r="A1138" t="str">
            <v>EICHER MOTORS LTD</v>
          </cell>
          <cell r="B1138">
            <v>505200</v>
          </cell>
          <cell r="C1138" t="str">
            <v>EICHERMOT</v>
          </cell>
        </row>
        <row r="1139">
          <cell r="A1139" t="str">
            <v>EID PARRY (INDIA) LTD</v>
          </cell>
          <cell r="B1139">
            <v>500125</v>
          </cell>
          <cell r="C1139" t="str">
            <v>EIDPARRY</v>
          </cell>
        </row>
        <row r="1140">
          <cell r="A1140" t="str">
            <v>EID PARRY INDIA LTD</v>
          </cell>
          <cell r="B1140">
            <v>500125</v>
          </cell>
          <cell r="C1140" t="str">
            <v>EIDPARRY</v>
          </cell>
        </row>
        <row r="1141">
          <cell r="A1141" t="str">
            <v>EIH ASSOCIATED HOTELS LTD</v>
          </cell>
          <cell r="B1141">
            <v>523127</v>
          </cell>
          <cell r="C1141" t="str">
            <v>EIHAHOTELS</v>
          </cell>
        </row>
        <row r="1142">
          <cell r="A1142" t="str">
            <v>EIH LTD</v>
          </cell>
          <cell r="B1142">
            <v>500840</v>
          </cell>
          <cell r="C1142" t="str">
            <v>EIHOTEL</v>
          </cell>
        </row>
        <row r="1143">
          <cell r="A1143" t="str">
            <v>EIMCO ELECON (INDIA) LTD</v>
          </cell>
          <cell r="B1143">
            <v>523708</v>
          </cell>
          <cell r="C1143" t="str">
            <v>EIMCOELECO</v>
          </cell>
        </row>
        <row r="1144">
          <cell r="A1144" t="str">
            <v>EIMCO ELECON INDIA LTD</v>
          </cell>
          <cell r="B1144">
            <v>523708</v>
          </cell>
          <cell r="C1144" t="str">
            <v>EIMCOELECO</v>
          </cell>
        </row>
        <row r="1145">
          <cell r="A1145" t="str">
            <v>Ejecta Marketing Ltd</v>
          </cell>
          <cell r="B1145">
            <v>538653</v>
          </cell>
          <cell r="C1145" t="str">
            <v>EML</v>
          </cell>
        </row>
        <row r="1146">
          <cell r="A1146" t="str">
            <v>EKAM LEASING &amp; FINANCE CO LTD</v>
          </cell>
          <cell r="B1146">
            <v>530581</v>
          </cell>
          <cell r="C1146" t="str">
            <v>Not Listed</v>
          </cell>
        </row>
        <row r="1147">
          <cell r="A1147" t="str">
            <v>E-LAND APPAREL LTD</v>
          </cell>
          <cell r="B1147">
            <v>532820</v>
          </cell>
          <cell r="C1147" t="str">
            <v>ELAND</v>
          </cell>
        </row>
        <row r="1148">
          <cell r="A1148" t="str">
            <v>ELANGO INDUSTRIES LTD</v>
          </cell>
          <cell r="B1148">
            <v>513452</v>
          </cell>
          <cell r="C1148" t="str">
            <v>Not Listed</v>
          </cell>
        </row>
        <row r="1149">
          <cell r="A1149" t="str">
            <v>ELANTAS BECK (INDIA) LTD</v>
          </cell>
          <cell r="B1149">
            <v>500123</v>
          </cell>
          <cell r="C1149" t="str">
            <v>Not Listed</v>
          </cell>
        </row>
        <row r="1150">
          <cell r="A1150" t="str">
            <v>ELANTAS BECK INDIA LTD</v>
          </cell>
          <cell r="B1150">
            <v>500123</v>
          </cell>
          <cell r="C1150" t="str">
            <v>Not Listed</v>
          </cell>
        </row>
        <row r="1151">
          <cell r="A1151" t="str">
            <v>ELCID INVESTMENTS LTD</v>
          </cell>
          <cell r="B1151">
            <v>503681</v>
          </cell>
          <cell r="C1151" t="str">
            <v>Not Listed</v>
          </cell>
        </row>
        <row r="1152">
          <cell r="A1152" t="str">
            <v>ELDECO HOUSING &amp; INDUSTRIES LTD</v>
          </cell>
          <cell r="B1152">
            <v>523329</v>
          </cell>
          <cell r="C1152" t="str">
            <v>Not Listed</v>
          </cell>
        </row>
        <row r="1153">
          <cell r="A1153" t="str">
            <v>ELECON ENGINEERING COMPANY LTD</v>
          </cell>
          <cell r="B1153">
            <v>505700</v>
          </cell>
          <cell r="C1153" t="str">
            <v>ELECON</v>
          </cell>
        </row>
        <row r="1154">
          <cell r="A1154" t="str">
            <v>ELECTROSTEEL CASTINGS LTD</v>
          </cell>
          <cell r="B1154">
            <v>500128</v>
          </cell>
          <cell r="C1154" t="str">
            <v>ELECTCAST</v>
          </cell>
        </row>
        <row r="1155">
          <cell r="A1155" t="str">
            <v>ELECTROSTEEL STEELS LTD</v>
          </cell>
          <cell r="B1155">
            <v>533264</v>
          </cell>
          <cell r="C1155" t="str">
            <v>ELECTROSL</v>
          </cell>
        </row>
        <row r="1156">
          <cell r="A1156" t="str">
            <v>ELECTROTHERM (INDIA) LTD</v>
          </cell>
          <cell r="B1156">
            <v>526608</v>
          </cell>
          <cell r="C1156" t="str">
            <v>ELECTHERM</v>
          </cell>
        </row>
        <row r="1157">
          <cell r="A1157" t="str">
            <v>ELECTROTHERM INDIA LTD</v>
          </cell>
          <cell r="B1157">
            <v>526608</v>
          </cell>
          <cell r="C1157" t="str">
            <v>ELECTHERM</v>
          </cell>
        </row>
        <row r="1158">
          <cell r="A1158" t="str">
            <v>ELEGANT FLORICULTURE &amp; AGROTECH (INDIA) LTD</v>
          </cell>
          <cell r="B1158">
            <v>526473</v>
          </cell>
          <cell r="C1158" t="str">
            <v>Not Listed</v>
          </cell>
        </row>
        <row r="1159">
          <cell r="A1159" t="str">
            <v>ELEGANT FLORICULTURE &amp; AGROTECH INDIA LTD</v>
          </cell>
          <cell r="B1159">
            <v>526473</v>
          </cell>
          <cell r="C1159" t="str">
            <v>Not Listed</v>
          </cell>
        </row>
        <row r="1160">
          <cell r="A1160" t="str">
            <v>ELEGANT MARBLES &amp; GRANI INDUSTRIES LTD</v>
          </cell>
          <cell r="B1160">
            <v>526705</v>
          </cell>
          <cell r="C1160" t="str">
            <v>Not Listed</v>
          </cell>
        </row>
        <row r="1161">
          <cell r="A1161" t="str">
            <v>ELGI EQUIPMENTS LTD</v>
          </cell>
          <cell r="B1161">
            <v>522074</v>
          </cell>
          <cell r="C1161" t="str">
            <v>ELGIEQUIP</v>
          </cell>
        </row>
        <row r="1162">
          <cell r="A1162" t="str">
            <v>ELGI RUBBER COMPANY LTD</v>
          </cell>
          <cell r="B1162" t="str">
            <v>Not Listed</v>
          </cell>
          <cell r="C1162" t="str">
            <v>ELGIRUBCO</v>
          </cell>
        </row>
        <row r="1163">
          <cell r="A1163" t="str">
            <v>ELIXIR CAPITAL LTD</v>
          </cell>
          <cell r="B1163">
            <v>531278</v>
          </cell>
          <cell r="C1163" t="str">
            <v>Not Listed</v>
          </cell>
        </row>
        <row r="1164">
          <cell r="A1164" t="str">
            <v>ELNET TECHNOLOGIES LTD</v>
          </cell>
          <cell r="B1164">
            <v>517477</v>
          </cell>
          <cell r="C1164" t="str">
            <v>Not Listed</v>
          </cell>
        </row>
        <row r="1165">
          <cell r="A1165" t="str">
            <v>ELPRO INTERNATIONAL LTD</v>
          </cell>
          <cell r="B1165">
            <v>504000</v>
          </cell>
          <cell r="C1165" t="str">
            <v>Not Listed</v>
          </cell>
        </row>
        <row r="1166">
          <cell r="A1166" t="str">
            <v>EMA (INDIA) LTD</v>
          </cell>
          <cell r="B1166">
            <v>522027</v>
          </cell>
          <cell r="C1166" t="str">
            <v>Not Listed</v>
          </cell>
        </row>
        <row r="1167">
          <cell r="A1167" t="str">
            <v>EMA INDIA LTD</v>
          </cell>
          <cell r="B1167">
            <v>522027</v>
          </cell>
          <cell r="C1167" t="str">
            <v>Not Listed</v>
          </cell>
        </row>
        <row r="1168">
          <cell r="A1168" t="str">
            <v>EMAMI LTD</v>
          </cell>
          <cell r="B1168">
            <v>531162</v>
          </cell>
          <cell r="C1168" t="str">
            <v>EMAMILTD</v>
          </cell>
        </row>
        <row r="1169">
          <cell r="A1169" t="str">
            <v>Emami Paper Mills LTD</v>
          </cell>
          <cell r="B1169" t="str">
            <v>Not Listed</v>
          </cell>
          <cell r="C1169" t="str">
            <v>EMAMIPAP</v>
          </cell>
        </row>
        <row r="1170">
          <cell r="A1170" t="str">
            <v>EMAMI PAPER MILLS LTD</v>
          </cell>
          <cell r="B1170">
            <v>533208</v>
          </cell>
          <cell r="C1170" t="str">
            <v>Not Listed</v>
          </cell>
        </row>
        <row r="1171">
          <cell r="A1171" t="str">
            <v>EMAMI REALTY LTD</v>
          </cell>
          <cell r="B1171">
            <v>533218</v>
          </cell>
          <cell r="C1171" t="str">
            <v>EMAMIREAL</v>
          </cell>
        </row>
        <row r="1172">
          <cell r="A1172" t="str">
            <v>Embassy Office Parks REIT</v>
          </cell>
          <cell r="B1172">
            <v>542602</v>
          </cell>
          <cell r="C1172" t="str">
            <v>EMBASSY</v>
          </cell>
        </row>
        <row r="1173">
          <cell r="A1173" t="str">
            <v>EMCO LTD</v>
          </cell>
          <cell r="B1173">
            <v>504008</v>
          </cell>
          <cell r="C1173" t="str">
            <v>EMCO</v>
          </cell>
        </row>
        <row r="1174">
          <cell r="A1174" t="str">
            <v>EMERALD LEASING FINANCE &amp; INVESTMENT COMPANY LTD</v>
          </cell>
          <cell r="B1174">
            <v>538882</v>
          </cell>
          <cell r="C1174" t="str">
            <v>Not Listed</v>
          </cell>
        </row>
        <row r="1175">
          <cell r="A1175" t="str">
            <v>EMERALD LEISURES LTD</v>
          </cell>
          <cell r="B1175">
            <v>507265</v>
          </cell>
          <cell r="C1175" t="str">
            <v>Not Listed</v>
          </cell>
        </row>
        <row r="1176">
          <cell r="A1176" t="str">
            <v>EMGEE CABLES &amp; COMMUNICATIONS LTD</v>
          </cell>
          <cell r="B1176">
            <v>530333</v>
          </cell>
          <cell r="C1176" t="str">
            <v>Not Listed</v>
          </cell>
        </row>
        <row r="1177">
          <cell r="A1177" t="str">
            <v>EMKAY GLOBAL FINANCIAL SERVICES LTD</v>
          </cell>
          <cell r="B1177">
            <v>532737</v>
          </cell>
          <cell r="C1177" t="str">
            <v>EMKAY</v>
          </cell>
        </row>
        <row r="1178">
          <cell r="A1178" t="str">
            <v>EMKAY TAPS AND CUTTING TOOLS LTD</v>
          </cell>
          <cell r="B1178" t="str">
            <v>Not Listed</v>
          </cell>
          <cell r="C1178" t="str">
            <v>EMKAYTOOLS</v>
          </cell>
        </row>
        <row r="1179">
          <cell r="A1179" t="str">
            <v>EMMBI INDUSTRIES LTD</v>
          </cell>
          <cell r="B1179">
            <v>533161</v>
          </cell>
          <cell r="C1179" t="str">
            <v>EMMBI</v>
          </cell>
        </row>
        <row r="1180">
          <cell r="A1180" t="str">
            <v>EMMESSAR BIOTECH &amp; NUTRITION LTD</v>
          </cell>
          <cell r="B1180">
            <v>524768</v>
          </cell>
          <cell r="C1180" t="str">
            <v>Not Listed</v>
          </cell>
        </row>
        <row r="1181">
          <cell r="A1181" t="str">
            <v>EMMSONS INTERNATIONAL LTD</v>
          </cell>
          <cell r="B1181">
            <v>532038</v>
          </cell>
          <cell r="C1181" t="str">
            <v>Not Listed</v>
          </cell>
        </row>
        <row r="1182">
          <cell r="A1182" t="str">
            <v>EMPEE DISTILLERIES LTD</v>
          </cell>
          <cell r="B1182">
            <v>532920</v>
          </cell>
          <cell r="C1182" t="str">
            <v>EDL</v>
          </cell>
        </row>
        <row r="1183">
          <cell r="A1183" t="str">
            <v>EMPEE SUGARS &amp; CHEMICALS LTD</v>
          </cell>
          <cell r="B1183">
            <v>500132</v>
          </cell>
          <cell r="C1183" t="str">
            <v>Not Listed</v>
          </cell>
        </row>
        <row r="1184">
          <cell r="A1184" t="str">
            <v>EMPIRE INDUSTRIES LTD</v>
          </cell>
          <cell r="B1184">
            <v>509525</v>
          </cell>
          <cell r="C1184" t="str">
            <v>Not Listed</v>
          </cell>
        </row>
        <row r="1185">
          <cell r="A1185" t="str">
            <v>EMPOWER (INDIA) LTD</v>
          </cell>
          <cell r="B1185">
            <v>504351</v>
          </cell>
          <cell r="C1185" t="str">
            <v>Not Listed</v>
          </cell>
        </row>
        <row r="1186">
          <cell r="A1186" t="str">
            <v>EMPOWER INDIA LTD</v>
          </cell>
          <cell r="B1186">
            <v>504351</v>
          </cell>
          <cell r="C1186" t="str">
            <v>Not Listed</v>
          </cell>
        </row>
        <row r="1187">
          <cell r="A1187" t="str">
            <v>ENBEE TRADE &amp; FINANCE LTD</v>
          </cell>
          <cell r="B1187">
            <v>512441</v>
          </cell>
          <cell r="C1187" t="str">
            <v>Not Listed</v>
          </cell>
        </row>
        <row r="1188">
          <cell r="A1188" t="str">
            <v>ENCASH ENTERTAINMENT LTD</v>
          </cell>
          <cell r="B1188">
            <v>538684</v>
          </cell>
          <cell r="C1188" t="str">
            <v>Not Listed</v>
          </cell>
        </row>
        <row r="1189">
          <cell r="A1189" t="str">
            <v>ENDURANCE TECHNOLOGIES LTD</v>
          </cell>
          <cell r="B1189">
            <v>540153</v>
          </cell>
          <cell r="C1189" t="str">
            <v>ENDURANCE</v>
          </cell>
        </row>
        <row r="1190">
          <cell r="A1190" t="str">
            <v>ENERGY DEVELOPMENT COMPANY LTD</v>
          </cell>
          <cell r="B1190">
            <v>532219</v>
          </cell>
          <cell r="C1190" t="str">
            <v>ENERGYDEV</v>
          </cell>
        </row>
        <row r="1191">
          <cell r="A1191" t="str">
            <v>ENGINEERS (INDIA) LTD</v>
          </cell>
          <cell r="B1191">
            <v>532178</v>
          </cell>
          <cell r="C1191" t="str">
            <v>ENGINERSIN</v>
          </cell>
        </row>
        <row r="1192">
          <cell r="A1192" t="str">
            <v>ENGINEERS INDIA LTD</v>
          </cell>
          <cell r="B1192">
            <v>532178</v>
          </cell>
          <cell r="C1192" t="str">
            <v>ENGINERSIN</v>
          </cell>
        </row>
        <row r="1193">
          <cell r="A1193" t="str">
            <v>ENKEI WHEELS (INDIA) LTD</v>
          </cell>
          <cell r="B1193">
            <v>533477</v>
          </cell>
          <cell r="C1193" t="str">
            <v>Not Listed</v>
          </cell>
        </row>
        <row r="1194">
          <cell r="A1194" t="str">
            <v>ENKEI WHEELS INDIA LTD</v>
          </cell>
          <cell r="B1194">
            <v>533477</v>
          </cell>
          <cell r="C1194" t="str">
            <v>Not Listed</v>
          </cell>
        </row>
        <row r="1195">
          <cell r="A1195" t="str">
            <v>ENTERPRISE INTERNATIONAL LTD</v>
          </cell>
          <cell r="B1195">
            <v>526574</v>
          </cell>
          <cell r="C1195" t="str">
            <v>Not Listed</v>
          </cell>
        </row>
        <row r="1196">
          <cell r="A1196" t="str">
            <v>ENTERTAINMENT NETWORK (INDIA) LTD</v>
          </cell>
          <cell r="B1196">
            <v>532700</v>
          </cell>
          <cell r="C1196" t="str">
            <v>ENIL</v>
          </cell>
        </row>
        <row r="1197">
          <cell r="A1197" t="str">
            <v>ENTERTAINMENT NETWORK INDIA LTD</v>
          </cell>
          <cell r="B1197">
            <v>532700</v>
          </cell>
          <cell r="C1197" t="str">
            <v>ENIL</v>
          </cell>
        </row>
        <row r="1198">
          <cell r="A1198" t="str">
            <v>ENVAIR ELECTRODYNE LTD</v>
          </cell>
          <cell r="B1198">
            <v>500246</v>
          </cell>
          <cell r="C1198" t="str">
            <v>Not Listed</v>
          </cell>
        </row>
        <row r="1199">
          <cell r="A1199" t="str">
            <v>EON ELECTRIC LTD</v>
          </cell>
          <cell r="B1199">
            <v>532658</v>
          </cell>
          <cell r="C1199" t="str">
            <v>EON</v>
          </cell>
        </row>
        <row r="1200">
          <cell r="A1200" t="str">
            <v>EPC INDUSTRIE LTD</v>
          </cell>
          <cell r="B1200">
            <v>523754</v>
          </cell>
          <cell r="C1200" t="str">
            <v>Not Listed</v>
          </cell>
        </row>
        <row r="1201">
          <cell r="A1201" t="str">
            <v>EPIC ENERGY LTD</v>
          </cell>
          <cell r="B1201">
            <v>530407</v>
          </cell>
          <cell r="C1201" t="str">
            <v>Not Listed</v>
          </cell>
        </row>
        <row r="1202">
          <cell r="A1202" t="str">
            <v>EPSOM PROPERTIES LTD</v>
          </cell>
          <cell r="B1202">
            <v>531155</v>
          </cell>
          <cell r="C1202" t="str">
            <v>Not Listed</v>
          </cell>
        </row>
        <row r="1203">
          <cell r="A1203" t="str">
            <v>EQUITAS HOLDINGS LTD</v>
          </cell>
          <cell r="B1203">
            <v>539844</v>
          </cell>
          <cell r="C1203" t="str">
            <v>EQUITAS</v>
          </cell>
        </row>
        <row r="1204">
          <cell r="A1204" t="str">
            <v>ERIS LIFESCIENCES LTD</v>
          </cell>
          <cell r="B1204">
            <v>540596</v>
          </cell>
          <cell r="C1204" t="str">
            <v>ERIS</v>
          </cell>
        </row>
        <row r="1205">
          <cell r="A1205" t="str">
            <v>EROS INTERNATIONAL MEDIA LTD</v>
          </cell>
          <cell r="B1205">
            <v>533261</v>
          </cell>
          <cell r="C1205" t="str">
            <v>EROSMEDIA</v>
          </cell>
        </row>
        <row r="1206">
          <cell r="A1206" t="str">
            <v>ERP SOFT SYSTEMS LTD</v>
          </cell>
          <cell r="B1206">
            <v>530909</v>
          </cell>
          <cell r="C1206" t="str">
            <v>Not Listed</v>
          </cell>
        </row>
        <row r="1207">
          <cell r="A1207" t="str">
            <v>ESAAR (INDIA) LTD</v>
          </cell>
          <cell r="B1207">
            <v>531502</v>
          </cell>
          <cell r="C1207" t="str">
            <v>Not Listed</v>
          </cell>
        </row>
        <row r="1208">
          <cell r="A1208" t="str">
            <v>ESAAR INDIA LTD</v>
          </cell>
          <cell r="B1208">
            <v>531502</v>
          </cell>
          <cell r="C1208" t="str">
            <v>Not Listed</v>
          </cell>
        </row>
        <row r="1209">
          <cell r="A1209" t="str">
            <v>ESAB (INDIA) LTD</v>
          </cell>
          <cell r="B1209">
            <v>500133</v>
          </cell>
          <cell r="C1209" t="str">
            <v>ESAB(INDIA)</v>
          </cell>
        </row>
        <row r="1210">
          <cell r="A1210" t="str">
            <v>ESAB INDIA LTD</v>
          </cell>
          <cell r="B1210">
            <v>500133</v>
          </cell>
          <cell r="C1210" t="str">
            <v>ESABINDIA</v>
          </cell>
        </row>
        <row r="1211">
          <cell r="A1211" t="str">
            <v>ESCORP ASSET MANAGEMENT LTD</v>
          </cell>
          <cell r="B1211">
            <v>540455</v>
          </cell>
          <cell r="C1211" t="str">
            <v>Not Listed</v>
          </cell>
        </row>
        <row r="1212">
          <cell r="A1212" t="str">
            <v>ESCORTS FINANCE LTD</v>
          </cell>
          <cell r="B1212">
            <v>511716</v>
          </cell>
          <cell r="C1212" t="str">
            <v>Not Listed</v>
          </cell>
        </row>
        <row r="1213">
          <cell r="A1213" t="str">
            <v>ESCORTS LTD</v>
          </cell>
          <cell r="B1213">
            <v>500495</v>
          </cell>
          <cell r="C1213" t="str">
            <v>ESCORTS</v>
          </cell>
        </row>
        <row r="1214">
          <cell r="A1214" t="str">
            <v>ESHA MEDIA RESEARCH LTD</v>
          </cell>
          <cell r="B1214">
            <v>531259</v>
          </cell>
          <cell r="C1214" t="str">
            <v>Not Listed</v>
          </cell>
        </row>
        <row r="1215">
          <cell r="A1215" t="str">
            <v>ESKAY K'N'IT (INDIA) LTD</v>
          </cell>
          <cell r="B1215">
            <v>514118</v>
          </cell>
          <cell r="C1215" t="str">
            <v>Not Listed</v>
          </cell>
        </row>
        <row r="1216">
          <cell r="A1216" t="str">
            <v>ESKAY K'N'IT INDIA LTD</v>
          </cell>
          <cell r="B1216">
            <v>514118</v>
          </cell>
          <cell r="C1216" t="str">
            <v>Not Listed</v>
          </cell>
        </row>
        <row r="1217">
          <cell r="A1217" t="str">
            <v>ESS DEE ALUMINIUM LTD</v>
          </cell>
          <cell r="B1217">
            <v>532787</v>
          </cell>
          <cell r="C1217" t="str">
            <v>ESSDEE</v>
          </cell>
        </row>
        <row r="1218">
          <cell r="A1218" t="str">
            <v>ESSAR SECURITIES LTD</v>
          </cell>
          <cell r="B1218">
            <v>533149</v>
          </cell>
          <cell r="C1218" t="str">
            <v>Not Listed</v>
          </cell>
        </row>
        <row r="1219">
          <cell r="A1219" t="str">
            <v>ESSAR SHIPPING LTD</v>
          </cell>
          <cell r="B1219">
            <v>533704</v>
          </cell>
          <cell r="C1219" t="str">
            <v>ESSARSHPNG</v>
          </cell>
        </row>
        <row r="1220">
          <cell r="A1220" t="str">
            <v>ESSEL PROPACK LTD</v>
          </cell>
          <cell r="B1220">
            <v>500135</v>
          </cell>
          <cell r="C1220" t="str">
            <v>ESSELPACK</v>
          </cell>
        </row>
        <row r="1221">
          <cell r="A1221" t="str">
            <v>ESTEEM BIO ORGANIC FOOD PROCESSING  LTD</v>
          </cell>
          <cell r="B1221">
            <v>534927</v>
          </cell>
          <cell r="C1221" t="str">
            <v>Not Listed</v>
          </cell>
        </row>
        <row r="1222">
          <cell r="A1222" t="str">
            <v>ESTER INDUSTRIES LTD</v>
          </cell>
          <cell r="B1222">
            <v>500136</v>
          </cell>
          <cell r="C1222" t="str">
            <v>ESTER</v>
          </cell>
        </row>
        <row r="1223">
          <cell r="A1223" t="str">
            <v>ETT LTD</v>
          </cell>
          <cell r="B1223">
            <v>537707</v>
          </cell>
          <cell r="C1223" t="str">
            <v>Not Listed</v>
          </cell>
        </row>
        <row r="1224">
          <cell r="A1224" t="str">
            <v>EUREKA INDUSTRIES LTD</v>
          </cell>
          <cell r="B1224">
            <v>521137</v>
          </cell>
          <cell r="C1224" t="str">
            <v>Not Listed</v>
          </cell>
        </row>
        <row r="1225">
          <cell r="A1225" t="str">
            <v>EURO ASIA EXPORTS LTD</v>
          </cell>
          <cell r="B1225">
            <v>530929</v>
          </cell>
          <cell r="C1225" t="str">
            <v>Not Listed</v>
          </cell>
        </row>
        <row r="1226">
          <cell r="A1226" t="str">
            <v>EURO CERAMICS LTD</v>
          </cell>
          <cell r="B1226">
            <v>532823</v>
          </cell>
          <cell r="C1226" t="str">
            <v>EUROCERA</v>
          </cell>
        </row>
        <row r="1227">
          <cell r="A1227" t="str">
            <v>EURO INDIA FRESH FOODS LTD</v>
          </cell>
          <cell r="B1227" t="str">
            <v>Not Listed</v>
          </cell>
          <cell r="C1227" t="str">
            <v>EIFFL</v>
          </cell>
        </row>
        <row r="1228">
          <cell r="A1228" t="str">
            <v>EURO MULTIVISION LTD</v>
          </cell>
          <cell r="B1228">
            <v>533109</v>
          </cell>
          <cell r="C1228" t="str">
            <v>EUROMULTI</v>
          </cell>
        </row>
        <row r="1229">
          <cell r="A1229" t="str">
            <v>EUROTEX INDUSTRIES &amp; EXPORTS LTD</v>
          </cell>
          <cell r="B1229">
            <v>521014</v>
          </cell>
          <cell r="C1229" t="str">
            <v>Not Listed</v>
          </cell>
        </row>
        <row r="1230">
          <cell r="A1230" t="str">
            <v>Eurotex Industries and Exports LTD</v>
          </cell>
          <cell r="B1230" t="str">
            <v>Not Listed</v>
          </cell>
          <cell r="C1230" t="str">
            <v>EUROTEXIND</v>
          </cell>
        </row>
        <row r="1231">
          <cell r="A1231" t="str">
            <v>Evans Electric Ltd</v>
          </cell>
          <cell r="B1231">
            <v>542668</v>
          </cell>
          <cell r="C1231" t="str">
            <v>EVANS</v>
          </cell>
        </row>
        <row r="1232">
          <cell r="A1232" t="str">
            <v>EVEREADY INDUSTRIES (INDIA) LTD</v>
          </cell>
          <cell r="B1232">
            <v>531508</v>
          </cell>
          <cell r="C1232" t="str">
            <v>EVEREADY</v>
          </cell>
        </row>
        <row r="1233">
          <cell r="A1233" t="str">
            <v>EVEREADY INDUSTRIES INDIA LTD</v>
          </cell>
          <cell r="B1233">
            <v>531508</v>
          </cell>
          <cell r="C1233" t="str">
            <v>EVEREADY</v>
          </cell>
        </row>
        <row r="1234">
          <cell r="A1234" t="str">
            <v>EVEREST INDUSTRIES LTD</v>
          </cell>
          <cell r="B1234">
            <v>508906</v>
          </cell>
          <cell r="C1234" t="str">
            <v>EVERESTIND</v>
          </cell>
        </row>
        <row r="1235">
          <cell r="A1235" t="str">
            <v>EVEREST KANTO CYLINDER LTD</v>
          </cell>
          <cell r="B1235">
            <v>532684</v>
          </cell>
          <cell r="C1235" t="str">
            <v>EKC</v>
          </cell>
        </row>
        <row r="1236">
          <cell r="A1236" t="str">
            <v>EVEREST ORGANICS LTD</v>
          </cell>
          <cell r="B1236">
            <v>524790</v>
          </cell>
          <cell r="C1236" t="str">
            <v>Not Listed</v>
          </cell>
        </row>
        <row r="1237">
          <cell r="A1237" t="str">
            <v>EVERGREEN TEXTILES LTD</v>
          </cell>
          <cell r="B1237">
            <v>514060</v>
          </cell>
          <cell r="C1237" t="str">
            <v>Not Listed</v>
          </cell>
        </row>
        <row r="1238">
          <cell r="A1238" t="str">
            <v>EVERLON SYNTHETICS LTD</v>
          </cell>
          <cell r="B1238">
            <v>514358</v>
          </cell>
          <cell r="C1238" t="str">
            <v>Not Listed</v>
          </cell>
        </row>
        <row r="1239">
          <cell r="A1239" t="str">
            <v>EXCEL CROP CARE LTD</v>
          </cell>
          <cell r="B1239">
            <v>532511</v>
          </cell>
          <cell r="C1239" t="str">
            <v>EXCELCROP</v>
          </cell>
        </row>
        <row r="1240">
          <cell r="A1240" t="str">
            <v>EXCEL INDUSTRIES LTD</v>
          </cell>
          <cell r="B1240">
            <v>500650</v>
          </cell>
          <cell r="C1240" t="str">
            <v>EXCELINDUS</v>
          </cell>
        </row>
        <row r="1241">
          <cell r="A1241" t="str">
            <v>EXCEL REALTY N INFRA LTD</v>
          </cell>
          <cell r="B1241">
            <v>533090</v>
          </cell>
          <cell r="C1241" t="str">
            <v>EXCEL</v>
          </cell>
        </row>
        <row r="1242">
          <cell r="A1242" t="str">
            <v>EXIDE INDUSTRIES LTD</v>
          </cell>
          <cell r="B1242">
            <v>500086</v>
          </cell>
          <cell r="C1242" t="str">
            <v>EXIDEIND</v>
          </cell>
        </row>
        <row r="1243">
          <cell r="A1243" t="str">
            <v>Expleo Solutions LTD</v>
          </cell>
          <cell r="B1243" t="str">
            <v>Not Listed</v>
          </cell>
          <cell r="C1243" t="str">
            <v>EXPLEOSOL</v>
          </cell>
        </row>
        <row r="1244">
          <cell r="A1244" t="str">
            <v>EXPLICIT FINANCE LTD</v>
          </cell>
          <cell r="B1244">
            <v>530571</v>
          </cell>
          <cell r="C1244" t="str">
            <v>Not Listed</v>
          </cell>
        </row>
        <row r="1245">
          <cell r="A1245" t="str">
            <v>EXPO GAS CONTAINERS LTD</v>
          </cell>
          <cell r="B1245">
            <v>526614</v>
          </cell>
          <cell r="C1245" t="str">
            <v>Not Listed</v>
          </cell>
        </row>
        <row r="1246">
          <cell r="A1246" t="str">
            <v>F MEC INTERNATIONAL FINANCIAL SERVICES LTD</v>
          </cell>
          <cell r="B1246">
            <v>539552</v>
          </cell>
          <cell r="C1246" t="str">
            <v>Not Listed</v>
          </cell>
        </row>
        <row r="1247">
          <cell r="A1247" t="str">
            <v>FACOR ALLOYS LTD</v>
          </cell>
          <cell r="B1247">
            <v>532656</v>
          </cell>
          <cell r="C1247" t="str">
            <v>Not Listed</v>
          </cell>
        </row>
        <row r="1248">
          <cell r="A1248" t="str">
            <v>FAIR DEAL FILAMENTS LTD</v>
          </cell>
          <cell r="B1248">
            <v>514474</v>
          </cell>
          <cell r="C1248" t="str">
            <v>Not Listed</v>
          </cell>
        </row>
        <row r="1249">
          <cell r="A1249" t="str">
            <v>FAIRCHEM SPECIALITY LTD</v>
          </cell>
          <cell r="B1249">
            <v>530117</v>
          </cell>
          <cell r="C1249" t="str">
            <v>FAIRCHEM</v>
          </cell>
        </row>
        <row r="1250">
          <cell r="A1250" t="str">
            <v>FAZE THREE LTD</v>
          </cell>
          <cell r="B1250">
            <v>530079</v>
          </cell>
          <cell r="C1250" t="str">
            <v>Not Listed</v>
          </cell>
        </row>
        <row r="1251">
          <cell r="A1251" t="str">
            <v>FCS SOFTWARE SOLUTIONS LTD</v>
          </cell>
          <cell r="B1251">
            <v>532666</v>
          </cell>
          <cell r="C1251" t="str">
            <v>FCSSOFT</v>
          </cell>
        </row>
        <row r="1252">
          <cell r="A1252" t="str">
            <v>FDC LTD</v>
          </cell>
          <cell r="B1252">
            <v>531599</v>
          </cell>
          <cell r="C1252" t="str">
            <v>FDC</v>
          </cell>
        </row>
        <row r="1253">
          <cell r="A1253" t="str">
            <v>FEDERAL-MOGUL GOETZE (INDIA) LTD</v>
          </cell>
          <cell r="B1253">
            <v>505744</v>
          </cell>
          <cell r="C1253" t="str">
            <v>FMGOETZE</v>
          </cell>
        </row>
        <row r="1254">
          <cell r="A1254" t="str">
            <v>FEDERAL-MOGUL GOETZE INDIA LTD</v>
          </cell>
          <cell r="B1254">
            <v>505744</v>
          </cell>
          <cell r="C1254" t="str">
            <v>FMGOETZE</v>
          </cell>
        </row>
        <row r="1255">
          <cell r="A1255" t="str">
            <v>FELIX INDUSTRIES LTD</v>
          </cell>
          <cell r="B1255" t="str">
            <v>Not Listed</v>
          </cell>
          <cell r="C1255" t="str">
            <v>FELIX</v>
          </cell>
        </row>
        <row r="1256">
          <cell r="A1256" t="str">
            <v>FENOPLAST LTD</v>
          </cell>
          <cell r="B1256">
            <v>526689</v>
          </cell>
          <cell r="C1256" t="str">
            <v>Not Listed</v>
          </cell>
        </row>
        <row r="1257">
          <cell r="A1257" t="str">
            <v>FERRO ALLOYS CORPORATION LTD</v>
          </cell>
          <cell r="B1257">
            <v>500141</v>
          </cell>
          <cell r="C1257" t="str">
            <v>Not Listed</v>
          </cell>
        </row>
        <row r="1258">
          <cell r="A1258" t="str">
            <v>FERTILIZERS AND CHEMICALS TRAVANCORE LTD</v>
          </cell>
          <cell r="B1258">
            <v>590024</v>
          </cell>
          <cell r="C1258" t="str">
            <v>FACT</v>
          </cell>
        </row>
        <row r="1259">
          <cell r="A1259" t="str">
            <v>FERVENT SYNERGIES LTD</v>
          </cell>
          <cell r="B1259">
            <v>533896</v>
          </cell>
          <cell r="C1259" t="str">
            <v>Not Listed</v>
          </cell>
        </row>
        <row r="1260">
          <cell r="A1260" t="str">
            <v>FGP LTD</v>
          </cell>
          <cell r="B1260">
            <v>500142</v>
          </cell>
          <cell r="C1260" t="str">
            <v>Not Listed</v>
          </cell>
        </row>
        <row r="1261">
          <cell r="A1261" t="str">
            <v>FIBERWEB (INDIA) LTD</v>
          </cell>
          <cell r="B1261">
            <v>507910</v>
          </cell>
          <cell r="C1261" t="str">
            <v>Not Listed</v>
          </cell>
        </row>
        <row r="1262">
          <cell r="A1262" t="str">
            <v>FIBERWEB INDIA LTD</v>
          </cell>
          <cell r="B1262">
            <v>507910</v>
          </cell>
          <cell r="C1262" t="str">
            <v>Not Listed</v>
          </cell>
        </row>
        <row r="1263">
          <cell r="A1263" t="str">
            <v>FIEM INDUSTRIES LTD</v>
          </cell>
          <cell r="B1263">
            <v>532768</v>
          </cell>
          <cell r="C1263" t="str">
            <v>FIEMIND</v>
          </cell>
        </row>
        <row r="1264">
          <cell r="A1264" t="str">
            <v>FILATEX (INDIA) LTD</v>
          </cell>
          <cell r="B1264">
            <v>526227</v>
          </cell>
          <cell r="C1264" t="str">
            <v>FILATEX</v>
          </cell>
        </row>
        <row r="1265">
          <cell r="A1265" t="str">
            <v>FILATEX FASHIONS LTD</v>
          </cell>
          <cell r="B1265">
            <v>532022</v>
          </cell>
          <cell r="C1265" t="str">
            <v>Not Listed</v>
          </cell>
        </row>
        <row r="1266">
          <cell r="A1266" t="str">
            <v>FILATEX INDIA LTD</v>
          </cell>
          <cell r="B1266">
            <v>526227</v>
          </cell>
          <cell r="C1266" t="str">
            <v>FILATEX</v>
          </cell>
        </row>
        <row r="1267">
          <cell r="A1267" t="str">
            <v>FILTRA CONSULTANTS AND ENGINEERS LTD</v>
          </cell>
          <cell r="B1267">
            <v>539098</v>
          </cell>
          <cell r="C1267" t="str">
            <v>Not Listed</v>
          </cell>
        </row>
        <row r="1268">
          <cell r="A1268" t="str">
            <v>FINE ORGANIC INDUSTRIES LTD</v>
          </cell>
          <cell r="B1268">
            <v>541557</v>
          </cell>
          <cell r="C1268" t="str">
            <v>FINEORG</v>
          </cell>
        </row>
        <row r="1269">
          <cell r="A1269" t="str">
            <v>FINE-LINE CIRCUITS LTD.</v>
          </cell>
          <cell r="B1269">
            <v>517264</v>
          </cell>
          <cell r="C1269" t="str">
            <v>FINELINE</v>
          </cell>
        </row>
        <row r="1270">
          <cell r="A1270" t="str">
            <v>FINEOTEX CHEMICAL LTD</v>
          </cell>
          <cell r="B1270">
            <v>533333</v>
          </cell>
          <cell r="C1270" t="str">
            <v>FCL</v>
          </cell>
        </row>
        <row r="1271">
          <cell r="A1271" t="str">
            <v>FINKURVE FINANCIAL SERVICES LTD</v>
          </cell>
          <cell r="B1271">
            <v>508954</v>
          </cell>
          <cell r="C1271" t="str">
            <v>Not Listed</v>
          </cell>
        </row>
        <row r="1272">
          <cell r="A1272" t="str">
            <v>FINOLEX CABLES LTD</v>
          </cell>
          <cell r="B1272">
            <v>500144</v>
          </cell>
          <cell r="C1272" t="str">
            <v>FINCABLES</v>
          </cell>
        </row>
        <row r="1273">
          <cell r="A1273" t="str">
            <v>FINOLEX INDUSTRIES LTD</v>
          </cell>
          <cell r="B1273">
            <v>500940</v>
          </cell>
          <cell r="C1273" t="str">
            <v>FINPIPE</v>
          </cell>
        </row>
        <row r="1274">
          <cell r="A1274" t="str">
            <v>FIRST CUSTODIAN FUND (INDIA) LTD</v>
          </cell>
          <cell r="B1274">
            <v>511122</v>
          </cell>
          <cell r="C1274" t="str">
            <v>Not Listed</v>
          </cell>
        </row>
        <row r="1275">
          <cell r="A1275" t="str">
            <v>FIRST CUSTODIAN FUND INDIA LTD</v>
          </cell>
          <cell r="B1275">
            <v>511122</v>
          </cell>
          <cell r="C1275" t="str">
            <v>Not Listed</v>
          </cell>
        </row>
        <row r="1276">
          <cell r="A1276" t="str">
            <v>FIRSTOBJECT TECHNOLOGIES LTD</v>
          </cell>
          <cell r="B1276">
            <v>532379</v>
          </cell>
          <cell r="C1276" t="str">
            <v>Not Listed</v>
          </cell>
        </row>
        <row r="1277">
          <cell r="A1277" t="str">
            <v>FIRSTSOURCE SOLUTIONS LTD</v>
          </cell>
          <cell r="B1277">
            <v>532809</v>
          </cell>
          <cell r="C1277" t="str">
            <v>FSL</v>
          </cell>
        </row>
        <row r="1278">
          <cell r="A1278" t="str">
            <v>FISCHER CHEMIC LTD</v>
          </cell>
          <cell r="B1278">
            <v>524743</v>
          </cell>
          <cell r="C1278" t="str">
            <v>Not Listed</v>
          </cell>
        </row>
        <row r="1279">
          <cell r="A1279" t="str">
            <v>FIVE CORE ELECTRONICS LTD</v>
          </cell>
          <cell r="B1279" t="str">
            <v>Not Listed</v>
          </cell>
          <cell r="C1279" t="str">
            <v>FIVECORE</v>
          </cell>
        </row>
        <row r="1280">
          <cell r="A1280" t="str">
            <v>FIVE CORE EXIM LTD</v>
          </cell>
          <cell r="B1280">
            <v>530885</v>
          </cell>
          <cell r="C1280" t="str">
            <v>Not Listed</v>
          </cell>
        </row>
        <row r="1281">
          <cell r="A1281" t="str">
            <v>FIVE X TRADECOM LTD</v>
          </cell>
          <cell r="B1281">
            <v>536751</v>
          </cell>
          <cell r="C1281" t="str">
            <v>Not Listed</v>
          </cell>
        </row>
        <row r="1282">
          <cell r="A1282" t="str">
            <v>FLEX FOODS LTD</v>
          </cell>
          <cell r="B1282">
            <v>523672</v>
          </cell>
          <cell r="C1282" t="str">
            <v>Not Listed</v>
          </cell>
        </row>
        <row r="1283">
          <cell r="A1283" t="str">
            <v>FLEXITUFF VENTURES INTERNATIONAL LTD</v>
          </cell>
          <cell r="B1283">
            <v>533638</v>
          </cell>
          <cell r="C1283" t="str">
            <v>FLEXITUFF</v>
          </cell>
        </row>
        <row r="1284">
          <cell r="A1284" t="str">
            <v>FLORA CORPORATION LTD</v>
          </cell>
          <cell r="B1284">
            <v>540267</v>
          </cell>
          <cell r="C1284" t="str">
            <v>Not Listed</v>
          </cell>
        </row>
        <row r="1285">
          <cell r="A1285" t="str">
            <v>FLORA TEXTILES LTD</v>
          </cell>
          <cell r="B1285">
            <v>530705</v>
          </cell>
          <cell r="C1285" t="str">
            <v>Not Listed</v>
          </cell>
        </row>
        <row r="1286">
          <cell r="A1286" t="str">
            <v>FLORENCE INVESTECH LTD</v>
          </cell>
          <cell r="B1286">
            <v>532518</v>
          </cell>
          <cell r="C1286" t="str">
            <v>Not Listed</v>
          </cell>
        </row>
        <row r="1287">
          <cell r="A1287" t="str">
            <v>FLUIDOMAT LTD</v>
          </cell>
          <cell r="B1287">
            <v>522017</v>
          </cell>
          <cell r="C1287" t="str">
            <v>Not Listed</v>
          </cell>
        </row>
        <row r="1288">
          <cell r="A1288" t="str">
            <v>FOCUS INDUSTRIAL RESOURCES LTD</v>
          </cell>
          <cell r="B1288">
            <v>534757</v>
          </cell>
          <cell r="C1288" t="str">
            <v>Not Listed</v>
          </cell>
        </row>
        <row r="1289">
          <cell r="A1289" t="str">
            <v>FOCUS LIGHTING AND FIXTURES LTD</v>
          </cell>
          <cell r="B1289" t="str">
            <v>Not Listed</v>
          </cell>
          <cell r="C1289" t="str">
            <v>FOCUS</v>
          </cell>
        </row>
        <row r="1290">
          <cell r="A1290" t="str">
            <v>FOCUS SUITES SOLUTIONS &amp; SERVICES LTD</v>
          </cell>
          <cell r="B1290">
            <v>540945</v>
          </cell>
          <cell r="C1290" t="str">
            <v>Not Listed</v>
          </cell>
        </row>
        <row r="1291">
          <cell r="A1291" t="str">
            <v>FOMENTO RESORTS &amp; HOTELS LTD</v>
          </cell>
          <cell r="B1291">
            <v>503831</v>
          </cell>
          <cell r="C1291" t="str">
            <v>Not Listed</v>
          </cell>
        </row>
        <row r="1292">
          <cell r="A1292" t="str">
            <v>FOODS &amp; INNS LTD</v>
          </cell>
          <cell r="B1292">
            <v>507552</v>
          </cell>
          <cell r="C1292" t="str">
            <v>Not Listed</v>
          </cell>
        </row>
        <row r="1293">
          <cell r="A1293" t="str">
            <v>FORBES &amp; COMPANY LTD</v>
          </cell>
          <cell r="B1293">
            <v>502865</v>
          </cell>
          <cell r="C1293" t="str">
            <v>Not Listed</v>
          </cell>
        </row>
        <row r="1294">
          <cell r="A1294" t="str">
            <v>FORCE MOTORS LTD</v>
          </cell>
          <cell r="B1294">
            <v>500033</v>
          </cell>
          <cell r="C1294" t="str">
            <v>Not Listed</v>
          </cell>
        </row>
        <row r="1295">
          <cell r="A1295" t="str">
            <v>FORTIS HEALTHCARE LTD</v>
          </cell>
          <cell r="B1295">
            <v>532843</v>
          </cell>
          <cell r="C1295" t="str">
            <v>FORTIS</v>
          </cell>
        </row>
        <row r="1296">
          <cell r="A1296" t="str">
            <v>FORTIS MALAR HOSPITALS LTD</v>
          </cell>
          <cell r="B1296">
            <v>523696</v>
          </cell>
          <cell r="C1296" t="str">
            <v>Not Listed</v>
          </cell>
        </row>
        <row r="1297">
          <cell r="A1297" t="str">
            <v>FORTUNE INTERNATIONAL LTD</v>
          </cell>
          <cell r="B1297">
            <v>530213</v>
          </cell>
          <cell r="C1297" t="str">
            <v>Not Listed</v>
          </cell>
        </row>
        <row r="1298">
          <cell r="A1298" t="str">
            <v>FOSECO (INDIA) LTD</v>
          </cell>
          <cell r="B1298">
            <v>500150</v>
          </cell>
          <cell r="C1298" t="str">
            <v>FOSECOIND</v>
          </cell>
        </row>
        <row r="1299">
          <cell r="A1299" t="str">
            <v>FOSECO INDIA LTD</v>
          </cell>
          <cell r="B1299">
            <v>500150</v>
          </cell>
          <cell r="C1299" t="str">
            <v>FOSECOIND</v>
          </cell>
        </row>
        <row r="1300">
          <cell r="A1300" t="str">
            <v>FOUNDRY FUEL PRODUCTS LTD</v>
          </cell>
          <cell r="B1300">
            <v>513579</v>
          </cell>
          <cell r="C1300" t="str">
            <v>Not Listed</v>
          </cell>
        </row>
        <row r="1301">
          <cell r="A1301" t="str">
            <v>FOURTH DIMENSION SOLUTIONS LTD</v>
          </cell>
          <cell r="B1301" t="str">
            <v>Not Listed</v>
          </cell>
          <cell r="C1301" t="str">
            <v>FOURTHDIM</v>
          </cell>
        </row>
        <row r="1302">
          <cell r="A1302" t="str">
            <v>FOURTH GENERATION INFORMATION SYSTEMS LTD</v>
          </cell>
          <cell r="B1302">
            <v>532403</v>
          </cell>
          <cell r="C1302" t="str">
            <v>Not Listed</v>
          </cell>
        </row>
        <row r="1303">
          <cell r="A1303" t="str">
            <v>FRANKLIN INDUSTRIES LTD</v>
          </cell>
          <cell r="B1303">
            <v>540190</v>
          </cell>
          <cell r="C1303" t="str">
            <v>Not Listed</v>
          </cell>
        </row>
        <row r="1304">
          <cell r="A1304" t="str">
            <v>FRANKLIN LEASING AND FINANCE LTD</v>
          </cell>
          <cell r="B1304">
            <v>539839</v>
          </cell>
          <cell r="C1304" t="str">
            <v>Not Listed</v>
          </cell>
        </row>
        <row r="1305">
          <cell r="A1305" t="str">
            <v>Fraser and Company Ltd</v>
          </cell>
          <cell r="B1305">
            <v>539032</v>
          </cell>
          <cell r="C1305" t="str">
            <v>FRASER</v>
          </cell>
        </row>
        <row r="1306">
          <cell r="A1306" t="str">
            <v>FREDUN PHARMACEUTICALS LTD</v>
          </cell>
          <cell r="B1306">
            <v>539730</v>
          </cell>
          <cell r="C1306" t="str">
            <v>Not Listed</v>
          </cell>
        </row>
        <row r="1307">
          <cell r="A1307" t="str">
            <v>FRESHTROP FRUITS LTD</v>
          </cell>
          <cell r="B1307">
            <v>530077</v>
          </cell>
          <cell r="C1307" t="str">
            <v>Not Listed</v>
          </cell>
        </row>
        <row r="1308">
          <cell r="A1308" t="str">
            <v>FRONTIER CAPITAL LTD</v>
          </cell>
          <cell r="B1308">
            <v>508980</v>
          </cell>
          <cell r="C1308" t="str">
            <v>Not Listed</v>
          </cell>
        </row>
        <row r="1309">
          <cell r="A1309" t="str">
            <v>FRONTIER SPRINGS LTD</v>
          </cell>
          <cell r="B1309">
            <v>522195</v>
          </cell>
          <cell r="C1309" t="str">
            <v>Not Listed</v>
          </cell>
        </row>
        <row r="1310">
          <cell r="A1310" t="str">
            <v>FRONTLINE BUSINESS SOLUTIONS LTD.</v>
          </cell>
          <cell r="B1310">
            <v>521167</v>
          </cell>
          <cell r="C1310" t="str">
            <v>FRONTBUSS</v>
          </cell>
        </row>
        <row r="1311">
          <cell r="A1311" t="str">
            <v>FRONTLINE CORPORATION LTD</v>
          </cell>
          <cell r="B1311">
            <v>532042</v>
          </cell>
          <cell r="C1311" t="str">
            <v>Not Listed</v>
          </cell>
        </row>
        <row r="1312">
          <cell r="A1312" t="str">
            <v>FRONTLINE SECURITIES LTD</v>
          </cell>
          <cell r="B1312">
            <v>533213</v>
          </cell>
          <cell r="C1312" t="str">
            <v>Not Listed</v>
          </cell>
        </row>
        <row r="1313">
          <cell r="A1313" t="str">
            <v>FRUITION VENTURE LTD</v>
          </cell>
          <cell r="B1313">
            <v>538568</v>
          </cell>
          <cell r="C1313" t="str">
            <v>Not Listed</v>
          </cell>
        </row>
        <row r="1314">
          <cell r="A1314" t="str">
            <v>FUNNY SOFTWARE LTD</v>
          </cell>
          <cell r="B1314">
            <v>539169</v>
          </cell>
          <cell r="C1314" t="str">
            <v>Not Listed</v>
          </cell>
        </row>
        <row r="1315">
          <cell r="A1315" t="str">
            <v>FUTURE CONSUMER LTD</v>
          </cell>
          <cell r="B1315">
            <v>533400</v>
          </cell>
          <cell r="C1315" t="str">
            <v>FCONSUMER</v>
          </cell>
        </row>
        <row r="1316">
          <cell r="A1316" t="str">
            <v>FUTURE ENTERPRISES LTD</v>
          </cell>
          <cell r="B1316">
            <v>523574</v>
          </cell>
          <cell r="C1316" t="str">
            <v>FEL</v>
          </cell>
        </row>
        <row r="1317">
          <cell r="A1317" t="str">
            <v>FUTURE ENTERPRISES LTD</v>
          </cell>
          <cell r="B1317">
            <v>570002</v>
          </cell>
          <cell r="C1317" t="str">
            <v>FELDVR</v>
          </cell>
        </row>
        <row r="1318">
          <cell r="A1318" t="str">
            <v>FUTURE LIFESTYLE FASHIONS LTD</v>
          </cell>
          <cell r="B1318">
            <v>536507</v>
          </cell>
          <cell r="C1318" t="str">
            <v>FLFL</v>
          </cell>
        </row>
        <row r="1319">
          <cell r="A1319" t="str">
            <v>FUTURE MARKET NETWORKS LTD</v>
          </cell>
          <cell r="B1319">
            <v>533296</v>
          </cell>
          <cell r="C1319" t="str">
            <v>FMNL</v>
          </cell>
        </row>
        <row r="1320">
          <cell r="A1320" t="str">
            <v>FUTURE RETAIL LTD</v>
          </cell>
          <cell r="B1320">
            <v>540064</v>
          </cell>
          <cell r="C1320" t="str">
            <v>FRETAIL</v>
          </cell>
        </row>
        <row r="1321">
          <cell r="A1321" t="str">
            <v>FUTURE SUPPLY CHAIN SOLUTIONS LTD</v>
          </cell>
          <cell r="B1321">
            <v>540798</v>
          </cell>
          <cell r="C1321" t="str">
            <v>FSC</v>
          </cell>
        </row>
        <row r="1322">
          <cell r="A1322" t="str">
            <v>FUTURISTIC SECURITIES LTD</v>
          </cell>
          <cell r="B1322">
            <v>523113</v>
          </cell>
          <cell r="C1322" t="str">
            <v>Not Listed</v>
          </cell>
        </row>
        <row r="1323">
          <cell r="A1323" t="str">
            <v>FUTURISTIC SOLUTIONS LTD</v>
          </cell>
          <cell r="B1323">
            <v>534063</v>
          </cell>
          <cell r="C1323" t="str">
            <v>Not Listed</v>
          </cell>
        </row>
        <row r="1324">
          <cell r="A1324" t="str">
            <v>G D TRADING &amp; AGENCIES LTD</v>
          </cell>
          <cell r="B1324">
            <v>504346</v>
          </cell>
          <cell r="C1324" t="str">
            <v>Not Listed</v>
          </cell>
        </row>
        <row r="1325">
          <cell r="A1325" t="str">
            <v>G G DANDEKAR MACHINE WORKS LTD</v>
          </cell>
          <cell r="B1325">
            <v>505250</v>
          </cell>
          <cell r="C1325" t="str">
            <v>Not Listed</v>
          </cell>
        </row>
        <row r="1326">
          <cell r="A1326" t="str">
            <v>G G ENGINEERING LTD</v>
          </cell>
          <cell r="B1326">
            <v>540614</v>
          </cell>
          <cell r="C1326" t="str">
            <v>Not Listed</v>
          </cell>
        </row>
        <row r="1327">
          <cell r="A1327" t="str">
            <v>G K CONSULTANTS LTD</v>
          </cell>
          <cell r="B1327">
            <v>531758</v>
          </cell>
          <cell r="C1327" t="str">
            <v>Not Listed</v>
          </cell>
        </row>
        <row r="1328">
          <cell r="A1328" t="str">
            <v>G S AUTO INTERNATIONAL LTD</v>
          </cell>
          <cell r="B1328">
            <v>513059</v>
          </cell>
          <cell r="C1328" t="str">
            <v>Not Listed</v>
          </cell>
        </row>
        <row r="1329">
          <cell r="A1329" t="str">
            <v>G. K. P. Printing &amp;amp; Packaging Ltd</v>
          </cell>
          <cell r="B1329">
            <v>542666</v>
          </cell>
          <cell r="C1329" t="str">
            <v>GKP</v>
          </cell>
        </row>
        <row r="1330">
          <cell r="A1330" t="str">
            <v>GABRIEL (INDIA) LTD</v>
          </cell>
          <cell r="B1330">
            <v>505714</v>
          </cell>
          <cell r="C1330" t="str">
            <v>GABRIEL</v>
          </cell>
        </row>
        <row r="1331">
          <cell r="A1331" t="str">
            <v>GABRIEL INDIA LTD</v>
          </cell>
          <cell r="B1331">
            <v>505714</v>
          </cell>
          <cell r="C1331" t="str">
            <v>GABRIEL</v>
          </cell>
        </row>
        <row r="1332">
          <cell r="A1332" t="str">
            <v>GAGAN GASES LTD.</v>
          </cell>
          <cell r="B1332">
            <v>524624</v>
          </cell>
          <cell r="C1332" t="str">
            <v>GAGAN</v>
          </cell>
        </row>
        <row r="1333">
          <cell r="A1333" t="str">
            <v>GAGAN POLYCOT (INDIA) LTD</v>
          </cell>
          <cell r="B1333">
            <v>531196</v>
          </cell>
          <cell r="C1333" t="str">
            <v>Not Listed</v>
          </cell>
        </row>
        <row r="1334">
          <cell r="A1334" t="str">
            <v>GAGAN POLYCOT INDIA LTD</v>
          </cell>
          <cell r="B1334">
            <v>531196</v>
          </cell>
          <cell r="C1334" t="str">
            <v>Not Listed</v>
          </cell>
        </row>
        <row r="1335">
          <cell r="A1335" t="str">
            <v>GAIL (INDIA) LTD</v>
          </cell>
          <cell r="B1335">
            <v>532155</v>
          </cell>
          <cell r="C1335" t="str">
            <v>GAIL</v>
          </cell>
        </row>
        <row r="1336">
          <cell r="A1336" t="str">
            <v>GAIL INDIA LTD</v>
          </cell>
          <cell r="B1336">
            <v>532155</v>
          </cell>
          <cell r="C1336" t="str">
            <v>GAIL</v>
          </cell>
        </row>
        <row r="1337">
          <cell r="A1337" t="str">
            <v>GAJANAN SECURITIES SERVICES LTD</v>
          </cell>
          <cell r="B1337">
            <v>538609</v>
          </cell>
          <cell r="C1337" t="str">
            <v>Not Listed</v>
          </cell>
        </row>
        <row r="1338">
          <cell r="A1338" t="str">
            <v>GAJRA BEVEL GEARS LTD</v>
          </cell>
          <cell r="B1338">
            <v>505711</v>
          </cell>
          <cell r="C1338" t="str">
            <v>Not Listed</v>
          </cell>
        </row>
        <row r="1339">
          <cell r="A1339" t="str">
            <v>GALA GLOBAL PRODUCTS LTD</v>
          </cell>
          <cell r="B1339">
            <v>539228</v>
          </cell>
          <cell r="C1339" t="str">
            <v>Not Listed</v>
          </cell>
        </row>
        <row r="1340">
          <cell r="A1340" t="str">
            <v>GALADA FINANCE LTD</v>
          </cell>
          <cell r="B1340">
            <v>538881</v>
          </cell>
          <cell r="C1340" t="str">
            <v>Not Listed</v>
          </cell>
        </row>
        <row r="1341">
          <cell r="A1341" t="str">
            <v>GALADA POWER &amp; TELECOMMUNICATION LTD</v>
          </cell>
          <cell r="B1341">
            <v>504697</v>
          </cell>
          <cell r="C1341" t="str">
            <v>Not Listed</v>
          </cell>
        </row>
        <row r="1342">
          <cell r="A1342" t="str">
            <v>GALAXY AGRICO EXPORTS LTD</v>
          </cell>
          <cell r="B1342">
            <v>531911</v>
          </cell>
          <cell r="C1342" t="str">
            <v>Not Listed</v>
          </cell>
        </row>
        <row r="1343">
          <cell r="A1343" t="str">
            <v>GALAXY BEARINGS LTD</v>
          </cell>
          <cell r="B1343">
            <v>526073</v>
          </cell>
          <cell r="C1343" t="str">
            <v>Not Listed</v>
          </cell>
        </row>
        <row r="1344">
          <cell r="A1344" t="str">
            <v>GALAXY ENTERTAINMENT CORPORATION LTD</v>
          </cell>
          <cell r="B1344">
            <v>506186</v>
          </cell>
          <cell r="C1344" t="str">
            <v>Not Listed</v>
          </cell>
        </row>
        <row r="1345">
          <cell r="A1345" t="str">
            <v>GALAXY SURFACTANTS LTD</v>
          </cell>
          <cell r="B1345">
            <v>540935</v>
          </cell>
          <cell r="C1345" t="str">
            <v>GALAXYSURF</v>
          </cell>
        </row>
        <row r="1346">
          <cell r="A1346" t="str">
            <v>GALLANTT ISPAT LTD</v>
          </cell>
          <cell r="B1346">
            <v>533265</v>
          </cell>
          <cell r="C1346" t="str">
            <v>GALLISPAT</v>
          </cell>
        </row>
        <row r="1347">
          <cell r="A1347" t="str">
            <v>GALLANTT METAL LTD</v>
          </cell>
          <cell r="B1347">
            <v>532726</v>
          </cell>
          <cell r="C1347" t="str">
            <v>GALLANTT</v>
          </cell>
        </row>
        <row r="1348">
          <cell r="A1348" t="str">
            <v>GALLOPS ENTERPRISE LTD.</v>
          </cell>
          <cell r="B1348">
            <v>531902</v>
          </cell>
          <cell r="C1348" t="str">
            <v>GALLOPENT</v>
          </cell>
        </row>
        <row r="1349">
          <cell r="A1349" t="str">
            <v>GAMMON INFRASTRUCTURE PROJECTS LTD</v>
          </cell>
          <cell r="B1349">
            <v>532959</v>
          </cell>
          <cell r="C1349" t="str">
            <v>GAMMNINFRA</v>
          </cell>
        </row>
        <row r="1350">
          <cell r="A1350" t="str">
            <v>GANDHI SPECIAL TUBES LTD</v>
          </cell>
          <cell r="B1350">
            <v>513108</v>
          </cell>
          <cell r="C1350" t="str">
            <v>GANDHITUBE</v>
          </cell>
        </row>
        <row r="1351">
          <cell r="A1351" t="str">
            <v>GANESH BENZOPLAST LTD</v>
          </cell>
          <cell r="B1351">
            <v>500153</v>
          </cell>
          <cell r="C1351" t="str">
            <v>Not Listed</v>
          </cell>
        </row>
        <row r="1352">
          <cell r="A1352" t="str">
            <v>GANESH FILMS (INDIA) LTD</v>
          </cell>
          <cell r="B1352">
            <v>541703</v>
          </cell>
          <cell r="C1352" t="str">
            <v>Not Listed</v>
          </cell>
        </row>
        <row r="1353">
          <cell r="A1353" t="str">
            <v>GANESH FILMS INDIA LTD</v>
          </cell>
          <cell r="B1353">
            <v>541703</v>
          </cell>
          <cell r="C1353" t="str">
            <v>Not Listed</v>
          </cell>
        </row>
        <row r="1354">
          <cell r="A1354" t="str">
            <v>GANESH HOLDINGS LTD</v>
          </cell>
          <cell r="B1354">
            <v>504397</v>
          </cell>
          <cell r="C1354" t="str">
            <v>Not Listed</v>
          </cell>
        </row>
        <row r="1355">
          <cell r="A1355" t="str">
            <v>GANESH HOUSING CORPORATION LTD</v>
          </cell>
          <cell r="B1355">
            <v>526367</v>
          </cell>
          <cell r="C1355" t="str">
            <v>GANESHHOUC</v>
          </cell>
        </row>
        <row r="1356">
          <cell r="A1356" t="str">
            <v>GANESHA ECOSPHERE LTD</v>
          </cell>
          <cell r="B1356">
            <v>514167</v>
          </cell>
          <cell r="C1356" t="str">
            <v>GANECOS</v>
          </cell>
        </row>
        <row r="1357">
          <cell r="A1357" t="str">
            <v>GANGA FORGING LTD</v>
          </cell>
          <cell r="B1357" t="str">
            <v>Not Listed</v>
          </cell>
          <cell r="C1357" t="str">
            <v>GANGAFORGE</v>
          </cell>
        </row>
        <row r="1358">
          <cell r="A1358" t="str">
            <v>GANGA PAPERS (INDIA) LTD</v>
          </cell>
          <cell r="B1358">
            <v>531813</v>
          </cell>
          <cell r="C1358" t="str">
            <v>Not Listed</v>
          </cell>
        </row>
        <row r="1359">
          <cell r="A1359" t="str">
            <v>GANGA PAPERS INDIA LTD</v>
          </cell>
          <cell r="B1359">
            <v>531813</v>
          </cell>
          <cell r="C1359" t="str">
            <v>Not Listed</v>
          </cell>
        </row>
        <row r="1360">
          <cell r="A1360" t="str">
            <v>GANGA PHARMACEUTICALS LTD</v>
          </cell>
          <cell r="B1360">
            <v>539680</v>
          </cell>
          <cell r="C1360" t="str">
            <v>Not Listed</v>
          </cell>
        </row>
        <row r="1361">
          <cell r="A1361" t="str">
            <v>GANGES SECURITIES LTD</v>
          </cell>
          <cell r="B1361">
            <v>540647</v>
          </cell>
          <cell r="C1361" t="str">
            <v>GANGESSECU</v>
          </cell>
        </row>
        <row r="1362">
          <cell r="A1362" t="str">
            <v>GANGOTRI TEXTILES LTD</v>
          </cell>
          <cell r="B1362">
            <v>521176</v>
          </cell>
          <cell r="C1362" t="str">
            <v>GANGOTRI</v>
          </cell>
        </row>
        <row r="1363">
          <cell r="A1363" t="str">
            <v>GANON PRODUCTS LTD</v>
          </cell>
          <cell r="B1363">
            <v>512443</v>
          </cell>
          <cell r="C1363" t="str">
            <v>Not Listed</v>
          </cell>
        </row>
        <row r="1364">
          <cell r="A1364" t="str">
            <v>GARBI FINVEST LTD</v>
          </cell>
          <cell r="B1364">
            <v>539492</v>
          </cell>
          <cell r="C1364" t="str">
            <v>Not Listed</v>
          </cell>
        </row>
        <row r="1365">
          <cell r="A1365" t="str">
            <v>GARDEN REACH SHIPBUILDERS &amp; ENGINEERS LTD</v>
          </cell>
          <cell r="B1365">
            <v>542011</v>
          </cell>
          <cell r="C1365" t="str">
            <v>GRSE</v>
          </cell>
        </row>
        <row r="1366">
          <cell r="A1366" t="str">
            <v>GARDEN SILK MILLS LTD</v>
          </cell>
          <cell r="B1366">
            <v>500155</v>
          </cell>
          <cell r="C1366" t="str">
            <v>GARDENSILK</v>
          </cell>
        </row>
        <row r="1367">
          <cell r="A1367" t="str">
            <v>GARG FURNACE LTD</v>
          </cell>
          <cell r="B1367">
            <v>530615</v>
          </cell>
          <cell r="C1367" t="str">
            <v>Not Listed</v>
          </cell>
        </row>
        <row r="1368">
          <cell r="A1368" t="str">
            <v>GARNET CONSTRUCTION LTD</v>
          </cell>
          <cell r="B1368">
            <v>526727</v>
          </cell>
          <cell r="C1368" t="str">
            <v>Not Listed</v>
          </cell>
        </row>
        <row r="1369">
          <cell r="A1369" t="str">
            <v>GARNET INTERNATIONAL LTD</v>
          </cell>
          <cell r="B1369">
            <v>512493</v>
          </cell>
          <cell r="C1369" t="str">
            <v>Not Listed</v>
          </cell>
        </row>
        <row r="1370">
          <cell r="A1370" t="str">
            <v>GARODIA CHEMICALS LTD</v>
          </cell>
          <cell r="B1370">
            <v>530161</v>
          </cell>
          <cell r="C1370" t="str">
            <v>Not Listed</v>
          </cell>
        </row>
        <row r="1371">
          <cell r="A1371" t="str">
            <v>GARV INDUSTRIES LTD</v>
          </cell>
          <cell r="B1371">
            <v>541276</v>
          </cell>
          <cell r="C1371" t="str">
            <v>Not Listed</v>
          </cell>
        </row>
        <row r="1372">
          <cell r="A1372" t="str">
            <v>GARWARE MARINE INDUSTRIES LTD</v>
          </cell>
          <cell r="B1372">
            <v>509563</v>
          </cell>
          <cell r="C1372" t="str">
            <v>Not Listed</v>
          </cell>
        </row>
        <row r="1373">
          <cell r="A1373" t="str">
            <v>GARWARE POLYESTER LTD</v>
          </cell>
          <cell r="B1373">
            <v>500655</v>
          </cell>
          <cell r="C1373" t="str">
            <v>Not Listed</v>
          </cell>
        </row>
        <row r="1374">
          <cell r="A1374" t="str">
            <v>GARWARE SYNTHETICS LTD</v>
          </cell>
          <cell r="B1374">
            <v>514400</v>
          </cell>
          <cell r="C1374" t="str">
            <v>Not Listed</v>
          </cell>
        </row>
        <row r="1375">
          <cell r="A1375" t="str">
            <v>GARWARE TECHNICAL FIBRES LTD</v>
          </cell>
          <cell r="B1375">
            <v>509557</v>
          </cell>
          <cell r="C1375" t="str">
            <v>GARFIBRES</v>
          </cell>
        </row>
        <row r="1376">
          <cell r="A1376" t="str">
            <v>GATEWAY DISTRIPARKS LTD</v>
          </cell>
          <cell r="B1376">
            <v>532622</v>
          </cell>
          <cell r="C1376" t="str">
            <v>GDL</v>
          </cell>
        </row>
        <row r="1377">
          <cell r="A1377" t="str">
            <v>GATI LTD</v>
          </cell>
          <cell r="B1377">
            <v>532345</v>
          </cell>
          <cell r="C1377" t="str">
            <v>GATI</v>
          </cell>
        </row>
        <row r="1378">
          <cell r="A1378" t="str">
            <v>GAURAV MERCANTILES LTD</v>
          </cell>
          <cell r="B1378">
            <v>539515</v>
          </cell>
          <cell r="C1378" t="str">
            <v>Not Listed</v>
          </cell>
        </row>
        <row r="1379">
          <cell r="A1379" t="str">
            <v>GAUTAM EXIM LTD</v>
          </cell>
          <cell r="B1379">
            <v>540613</v>
          </cell>
          <cell r="C1379" t="str">
            <v>Not Listed</v>
          </cell>
        </row>
        <row r="1380">
          <cell r="A1380" t="str">
            <v>GAUTAM GEMS LTD</v>
          </cell>
          <cell r="B1380">
            <v>540936</v>
          </cell>
          <cell r="C1380" t="str">
            <v>Not Listed</v>
          </cell>
        </row>
        <row r="1381">
          <cell r="A1381" t="str">
            <v>GAYATRI BIOORGANICS LTD</v>
          </cell>
          <cell r="B1381">
            <v>524564</v>
          </cell>
          <cell r="C1381" t="str">
            <v>Not Listed</v>
          </cell>
        </row>
        <row r="1382">
          <cell r="A1382" t="str">
            <v>GAYATRI HIGHWAYS LTD</v>
          </cell>
          <cell r="B1382">
            <v>541546</v>
          </cell>
          <cell r="C1382" t="str">
            <v>GAYAHWS</v>
          </cell>
        </row>
        <row r="1383">
          <cell r="A1383" t="str">
            <v>GAYATRI PROJECTS LTD</v>
          </cell>
          <cell r="B1383">
            <v>532767</v>
          </cell>
          <cell r="C1383" t="str">
            <v>GAYAPROJ</v>
          </cell>
        </row>
        <row r="1384">
          <cell r="A1384" t="str">
            <v>GAYATRI SUGARS LTD</v>
          </cell>
          <cell r="B1384">
            <v>532183</v>
          </cell>
          <cell r="C1384" t="str">
            <v>Not Listed</v>
          </cell>
        </row>
        <row r="1385">
          <cell r="A1385" t="str">
            <v>GBL INDUSTRIES LTD</v>
          </cell>
          <cell r="B1385">
            <v>539009</v>
          </cell>
          <cell r="C1385" t="str">
            <v>Not Listed</v>
          </cell>
        </row>
        <row r="1386">
          <cell r="A1386" t="str">
            <v>GCM CAPITAL ADVISORS LTD</v>
          </cell>
          <cell r="B1386">
            <v>538319</v>
          </cell>
          <cell r="C1386" t="str">
            <v>Not Listed</v>
          </cell>
        </row>
        <row r="1387">
          <cell r="A1387" t="str">
            <v>GCM COMMODITY &amp; DERIVATIVES LTD</v>
          </cell>
          <cell r="B1387">
            <v>535917</v>
          </cell>
          <cell r="C1387" t="str">
            <v>Not Listed</v>
          </cell>
        </row>
        <row r="1388">
          <cell r="A1388" t="str">
            <v>GCM SECURITIES LTD</v>
          </cell>
          <cell r="B1388">
            <v>535431</v>
          </cell>
          <cell r="C1388" t="str">
            <v>Not Listed</v>
          </cell>
        </row>
        <row r="1389">
          <cell r="A1389" t="str">
            <v>GDL LEASING &amp; FINANCE LTD</v>
          </cell>
          <cell r="B1389">
            <v>530855</v>
          </cell>
          <cell r="C1389" t="str">
            <v>Not Listed</v>
          </cell>
        </row>
        <row r="1390">
          <cell r="A1390" t="str">
            <v>GE POWER (INDIA) LTD</v>
          </cell>
          <cell r="B1390">
            <v>532309</v>
          </cell>
          <cell r="C1390" t="str">
            <v>GEPIL</v>
          </cell>
        </row>
        <row r="1391">
          <cell r="A1391" t="str">
            <v>GE POWER INDIA LTD</v>
          </cell>
          <cell r="B1391">
            <v>532309</v>
          </cell>
          <cell r="C1391" t="str">
            <v>GEPIL</v>
          </cell>
        </row>
        <row r="1392">
          <cell r="A1392" t="str">
            <v>GE T&amp;D (INDIA) LTD</v>
          </cell>
          <cell r="B1392">
            <v>522275</v>
          </cell>
          <cell r="C1392" t="str">
            <v>GET&amp;D</v>
          </cell>
        </row>
        <row r="1393">
          <cell r="A1393" t="str">
            <v>GE T&amp;D INDIA LTD</v>
          </cell>
          <cell r="B1393">
            <v>522275</v>
          </cell>
          <cell r="C1393" t="str">
            <v>GET&amp;D</v>
          </cell>
        </row>
        <row r="1394">
          <cell r="A1394" t="str">
            <v>GEE LTD</v>
          </cell>
          <cell r="B1394">
            <v>504028</v>
          </cell>
          <cell r="C1394" t="str">
            <v>Not Listed</v>
          </cell>
        </row>
        <row r="1395">
          <cell r="A1395" t="str">
            <v>GEECEE VENTURES LTD</v>
          </cell>
          <cell r="B1395">
            <v>532764</v>
          </cell>
          <cell r="C1395" t="str">
            <v>GEECEE</v>
          </cell>
        </row>
        <row r="1396">
          <cell r="A1396" t="str">
            <v>GEEFCEE FINANCE LTD</v>
          </cell>
          <cell r="B1396">
            <v>530389</v>
          </cell>
          <cell r="C1396" t="str">
            <v>Not Listed</v>
          </cell>
        </row>
        <row r="1397">
          <cell r="A1397" t="str">
            <v>GEEKAY WIRES LTD</v>
          </cell>
          <cell r="B1397" t="str">
            <v>Not Listed</v>
          </cell>
          <cell r="C1397" t="str">
            <v>GEEKAYWIRE</v>
          </cell>
        </row>
        <row r="1398">
          <cell r="A1398" t="str">
            <v>GEETANJALI CREDIT AND CAPITAL LTD</v>
          </cell>
          <cell r="B1398">
            <v>539486</v>
          </cell>
          <cell r="C1398" t="str">
            <v>Not Listed</v>
          </cell>
        </row>
        <row r="1399">
          <cell r="A1399" t="str">
            <v>GEM SPINNERS (INDIA) LTD</v>
          </cell>
          <cell r="B1399">
            <v>521133</v>
          </cell>
          <cell r="C1399" t="str">
            <v>Not Listed</v>
          </cell>
        </row>
        <row r="1400">
          <cell r="A1400" t="str">
            <v>GEM SPINNERS INDIA LTD</v>
          </cell>
          <cell r="B1400">
            <v>521133</v>
          </cell>
          <cell r="C1400" t="str">
            <v>Not Listed</v>
          </cell>
        </row>
        <row r="1401">
          <cell r="A1401" t="str">
            <v>GEMINI COMMUNICATION LTD</v>
          </cell>
          <cell r="B1401">
            <v>532318</v>
          </cell>
          <cell r="C1401" t="str">
            <v>GEMINI</v>
          </cell>
        </row>
        <row r="1402">
          <cell r="A1402" t="str">
            <v>GEMSTONE INVESTMENTS LTD</v>
          </cell>
          <cell r="B1402">
            <v>531137</v>
          </cell>
          <cell r="C1402" t="str">
            <v>Not Listed</v>
          </cell>
        </row>
        <row r="1403">
          <cell r="A1403" t="str">
            <v>GENERA AGRI CORP LTD</v>
          </cell>
          <cell r="B1403">
            <v>541999</v>
          </cell>
          <cell r="C1403" t="str">
            <v>Not Listed</v>
          </cell>
        </row>
        <row r="1404">
          <cell r="A1404" t="str">
            <v>GENERAL INSURANCE CORPORATION OF INDIA</v>
          </cell>
          <cell r="B1404">
            <v>540755</v>
          </cell>
          <cell r="C1404" t="str">
            <v>GICRE</v>
          </cell>
        </row>
        <row r="1405">
          <cell r="A1405" t="str">
            <v>GENERIC ENGINEERING CONSTRUCTION AND PROJECTS LTD</v>
          </cell>
          <cell r="B1405">
            <v>539407</v>
          </cell>
          <cell r="C1405" t="str">
            <v>Not Listed</v>
          </cell>
        </row>
        <row r="1406">
          <cell r="A1406" t="str">
            <v>GENESIS IBRC (INDIA) LTD</v>
          </cell>
          <cell r="B1406">
            <v>514336</v>
          </cell>
          <cell r="C1406" t="str">
            <v>Not Listed</v>
          </cell>
        </row>
        <row r="1407">
          <cell r="A1407" t="str">
            <v>GENESIS IBRC INDIA LTD</v>
          </cell>
          <cell r="B1407">
            <v>514336</v>
          </cell>
          <cell r="C1407" t="str">
            <v>Not Listed</v>
          </cell>
        </row>
        <row r="1408">
          <cell r="A1408" t="str">
            <v>GENESYS INTERNATIONAL CORPORATION LTD</v>
          </cell>
          <cell r="B1408">
            <v>506109</v>
          </cell>
          <cell r="C1408" t="str">
            <v>GENESYS</v>
          </cell>
        </row>
        <row r="1409">
          <cell r="A1409" t="str">
            <v>GENNEX LABORATORIES LTD</v>
          </cell>
          <cell r="B1409">
            <v>531739</v>
          </cell>
          <cell r="C1409" t="str">
            <v>Not Listed</v>
          </cell>
        </row>
        <row r="1410">
          <cell r="A1410" t="str">
            <v>GENOMIC VALLEY BIOTECH LTD</v>
          </cell>
          <cell r="B1410">
            <v>539206</v>
          </cell>
          <cell r="C1410" t="str">
            <v>Not Listed</v>
          </cell>
        </row>
        <row r="1411">
          <cell r="A1411" t="str">
            <v>GENUS PAPER &amp; BOARDS LTD</v>
          </cell>
          <cell r="B1411">
            <v>538961</v>
          </cell>
          <cell r="C1411" t="str">
            <v>GENUSPAPER</v>
          </cell>
        </row>
        <row r="1412">
          <cell r="A1412" t="str">
            <v>GENUS POWER INFRASTRUCTURES LTD</v>
          </cell>
          <cell r="B1412">
            <v>530343</v>
          </cell>
          <cell r="C1412" t="str">
            <v>GENUSPOWER</v>
          </cell>
        </row>
        <row r="1413">
          <cell r="A1413" t="str">
            <v>GEOJIT FINANCIAL SERVICES LTD</v>
          </cell>
          <cell r="B1413">
            <v>532285</v>
          </cell>
          <cell r="C1413" t="str">
            <v>GEOJITFSL</v>
          </cell>
        </row>
        <row r="1414">
          <cell r="A1414" t="str">
            <v>GHCL LTD</v>
          </cell>
          <cell r="B1414">
            <v>500171</v>
          </cell>
          <cell r="C1414" t="str">
            <v>GHCL</v>
          </cell>
        </row>
        <row r="1415">
          <cell r="A1415" t="str">
            <v>GI ENGINEERING SOLUTIONS LTD</v>
          </cell>
          <cell r="B1415">
            <v>533048</v>
          </cell>
          <cell r="C1415" t="str">
            <v>GISOLUTION</v>
          </cell>
        </row>
        <row r="1416">
          <cell r="A1416" t="str">
            <v>GIC HOUSING FINANCE LTD</v>
          </cell>
          <cell r="B1416">
            <v>511676</v>
          </cell>
          <cell r="C1416" t="str">
            <v>GICHSGFIN</v>
          </cell>
        </row>
        <row r="1417">
          <cell r="A1417" t="str">
            <v>GILADA FINANCE &amp; INVESTMENTS LTD</v>
          </cell>
          <cell r="B1417">
            <v>538788</v>
          </cell>
          <cell r="C1417" t="str">
            <v>Not Listed</v>
          </cell>
        </row>
        <row r="1418">
          <cell r="A1418" t="str">
            <v>GILLANDERS ARBUTHNOT &amp; COMPANY LTD</v>
          </cell>
          <cell r="B1418">
            <v>532716</v>
          </cell>
          <cell r="C1418" t="str">
            <v>GILLANDERS</v>
          </cell>
        </row>
        <row r="1419">
          <cell r="A1419" t="str">
            <v>GILLETTE (INDIA) LTD</v>
          </cell>
          <cell r="B1419">
            <v>507815</v>
          </cell>
          <cell r="C1419" t="str">
            <v>GILLETTE</v>
          </cell>
        </row>
        <row r="1420">
          <cell r="A1420" t="str">
            <v>GILLETTE INDIA LTD</v>
          </cell>
          <cell r="B1420">
            <v>507815</v>
          </cell>
          <cell r="C1420" t="str">
            <v>GILLETTE</v>
          </cell>
        </row>
        <row r="1421">
          <cell r="A1421" t="str">
            <v>GINI SILK MILLS LTD</v>
          </cell>
          <cell r="B1421">
            <v>531744</v>
          </cell>
          <cell r="C1421" t="str">
            <v>Not Listed</v>
          </cell>
        </row>
        <row r="1422">
          <cell r="A1422" t="str">
            <v>GINNI FILAMENTS LTD</v>
          </cell>
          <cell r="B1422">
            <v>590025</v>
          </cell>
          <cell r="C1422" t="str">
            <v>GINNIFILA</v>
          </cell>
        </row>
        <row r="1423">
          <cell r="A1423" t="str">
            <v>GIRDHARILAL SUGAR &amp; ALLIED INDUSTRIES LTD</v>
          </cell>
          <cell r="B1423">
            <v>507506</v>
          </cell>
          <cell r="C1423" t="str">
            <v>Not Listed</v>
          </cell>
        </row>
        <row r="1424">
          <cell r="A1424" t="str">
            <v>GIRIRAJ CIVIL DEVELOPERS LTD</v>
          </cell>
          <cell r="B1424" t="str">
            <v>Not Listed</v>
          </cell>
          <cell r="C1424" t="str">
            <v>GIRIRAJ</v>
          </cell>
        </row>
        <row r="1425">
          <cell r="A1425" t="str">
            <v>GITA RENEWABLE ENERGY LTD</v>
          </cell>
          <cell r="B1425">
            <v>539013</v>
          </cell>
          <cell r="C1425" t="str">
            <v>Not Listed</v>
          </cell>
        </row>
        <row r="1426">
          <cell r="A1426" t="str">
            <v>GKB OPHTHALMICS LTD</v>
          </cell>
          <cell r="B1426">
            <v>533212</v>
          </cell>
          <cell r="C1426" t="str">
            <v>Not Listed</v>
          </cell>
        </row>
        <row r="1427">
          <cell r="A1427" t="str">
            <v>GKW LTD</v>
          </cell>
          <cell r="B1427" t="str">
            <v>Not Listed</v>
          </cell>
          <cell r="C1427" t="str">
            <v>GKWLIMITED</v>
          </cell>
        </row>
        <row r="1428">
          <cell r="A1428" t="str">
            <v>GLANCE FINANCE LTD</v>
          </cell>
          <cell r="B1428">
            <v>531199</v>
          </cell>
          <cell r="C1428" t="str">
            <v>Not Listed</v>
          </cell>
        </row>
        <row r="1429">
          <cell r="A1429" t="str">
            <v>GLAXOSMITHKLINE CONSUMER HEALTHCARE LTD</v>
          </cell>
          <cell r="B1429">
            <v>500676</v>
          </cell>
          <cell r="C1429" t="str">
            <v>GSKCONS</v>
          </cell>
        </row>
        <row r="1430">
          <cell r="A1430" t="str">
            <v>GLAXOSMITHKLINE PHARMACEUTICALS LTD</v>
          </cell>
          <cell r="B1430">
            <v>500660</v>
          </cell>
          <cell r="C1430" t="str">
            <v>GLAXO</v>
          </cell>
        </row>
        <row r="1431">
          <cell r="A1431" t="str">
            <v>Gleam Fabmat Ltd</v>
          </cell>
          <cell r="B1431">
            <v>542477</v>
          </cell>
          <cell r="C1431" t="str">
            <v>GLEAM</v>
          </cell>
        </row>
        <row r="1432">
          <cell r="A1432" t="str">
            <v>GLENMARK PHARMACEUTICALS LTD</v>
          </cell>
          <cell r="B1432">
            <v>532296</v>
          </cell>
          <cell r="C1432" t="str">
            <v>GLENMARK</v>
          </cell>
        </row>
        <row r="1433">
          <cell r="A1433" t="str">
            <v>GLITTEK GRANITES LTD</v>
          </cell>
          <cell r="B1433">
            <v>513528</v>
          </cell>
          <cell r="C1433" t="str">
            <v>Not Listed</v>
          </cell>
        </row>
        <row r="1434">
          <cell r="A1434" t="str">
            <v>GLOBAL CAPITAL MARKETS LTD</v>
          </cell>
          <cell r="B1434">
            <v>530263</v>
          </cell>
          <cell r="C1434" t="str">
            <v>Not Listed</v>
          </cell>
        </row>
        <row r="1435">
          <cell r="A1435" t="str">
            <v>GLOBAL EDUCATION LTD</v>
          </cell>
          <cell r="B1435" t="str">
            <v>Not Listed</v>
          </cell>
          <cell r="C1435" t="str">
            <v>GLOBAL</v>
          </cell>
        </row>
        <row r="1436">
          <cell r="A1436" t="str">
            <v>GLOBAL INFRATECH &amp; FINANCE LTD</v>
          </cell>
          <cell r="B1436">
            <v>531463</v>
          </cell>
          <cell r="C1436" t="str">
            <v>Not Listed</v>
          </cell>
        </row>
        <row r="1437">
          <cell r="A1437" t="str">
            <v>GLOBAL LAND MASTERS CORPORATION LTD</v>
          </cell>
          <cell r="B1437">
            <v>531479</v>
          </cell>
          <cell r="C1437" t="str">
            <v>Not Listed</v>
          </cell>
        </row>
        <row r="1438">
          <cell r="A1438" t="str">
            <v>GLOBAL OFFSHORE SERVICES LTD</v>
          </cell>
          <cell r="B1438">
            <v>501848</v>
          </cell>
          <cell r="C1438" t="str">
            <v>GLOBOFFS</v>
          </cell>
        </row>
        <row r="1439">
          <cell r="A1439" t="str">
            <v>GLOBAL VECTRA HELICORP LTD</v>
          </cell>
          <cell r="B1439">
            <v>532773</v>
          </cell>
          <cell r="C1439" t="str">
            <v>GLOBALVECT</v>
          </cell>
        </row>
        <row r="1440">
          <cell r="A1440" t="str">
            <v>GLOBALSPACE TECHNOLOGIES LTD</v>
          </cell>
          <cell r="B1440">
            <v>540654</v>
          </cell>
          <cell r="C1440" t="str">
            <v>Not Listed</v>
          </cell>
        </row>
        <row r="1441">
          <cell r="A1441" t="str">
            <v>GLOBE COMMERCIALS LTD</v>
          </cell>
          <cell r="B1441">
            <v>540266</v>
          </cell>
          <cell r="C1441" t="str">
            <v>Not Listed</v>
          </cell>
        </row>
        <row r="1442">
          <cell r="A1442" t="str">
            <v>GLOBE INTERNATIONAL CARRIERS LTD</v>
          </cell>
          <cell r="B1442" t="str">
            <v>Not Listed</v>
          </cell>
          <cell r="C1442" t="str">
            <v>GICL</v>
          </cell>
        </row>
        <row r="1443">
          <cell r="A1443" t="str">
            <v>GLOBE TEXTILES (INDIA) LTD</v>
          </cell>
          <cell r="B1443" t="str">
            <v>Not Listed</v>
          </cell>
          <cell r="C1443" t="str">
            <v>GLOBE</v>
          </cell>
        </row>
        <row r="1444">
          <cell r="A1444" t="str">
            <v>GLOBE TEXTILES INDIA LTD</v>
          </cell>
          <cell r="B1444" t="str">
            <v>Not Listed</v>
          </cell>
          <cell r="C1444" t="str">
            <v>GLOBE</v>
          </cell>
        </row>
        <row r="1445">
          <cell r="A1445" t="str">
            <v>GLOBUS CONSTRUCTORS &amp; DEVELOPERS LTD</v>
          </cell>
          <cell r="B1445">
            <v>526025</v>
          </cell>
          <cell r="C1445" t="str">
            <v>Not Listed</v>
          </cell>
        </row>
        <row r="1446">
          <cell r="A1446" t="str">
            <v>GLOBUS CORPORATION LTD.-$</v>
          </cell>
          <cell r="B1446">
            <v>531904</v>
          </cell>
          <cell r="C1446" t="str">
            <v>GLOBUSCOR</v>
          </cell>
        </row>
        <row r="1447">
          <cell r="A1447" t="str">
            <v>GLOBUS SPIRITS LTD</v>
          </cell>
          <cell r="B1447">
            <v>533104</v>
          </cell>
          <cell r="C1447" t="str">
            <v>GLOBUSSPR</v>
          </cell>
        </row>
        <row r="1448">
          <cell r="A1448" t="str">
            <v>Gloster Ltd</v>
          </cell>
          <cell r="B1448">
            <v>542351</v>
          </cell>
          <cell r="C1448" t="str">
            <v>GLOSTERLTD</v>
          </cell>
        </row>
        <row r="1449">
          <cell r="A1449" t="str">
            <v>GM BREWERIES LTD</v>
          </cell>
          <cell r="B1449">
            <v>507488</v>
          </cell>
          <cell r="C1449" t="str">
            <v>GMBREW</v>
          </cell>
        </row>
        <row r="1450">
          <cell r="A1450" t="str">
            <v>GMM PFAUDLER LTD</v>
          </cell>
          <cell r="B1450">
            <v>505255</v>
          </cell>
          <cell r="C1450" t="str">
            <v>GMMPFAUDLR</v>
          </cell>
        </row>
        <row r="1451">
          <cell r="A1451" t="str">
            <v>GMR INFRASTRUCTURE LTD</v>
          </cell>
          <cell r="B1451">
            <v>532754</v>
          </cell>
          <cell r="C1451" t="str">
            <v>GMRINFRA</v>
          </cell>
        </row>
        <row r="1452">
          <cell r="A1452" t="str">
            <v>GNA AXLES LTD</v>
          </cell>
          <cell r="B1452">
            <v>540124</v>
          </cell>
          <cell r="C1452" t="str">
            <v>GNA</v>
          </cell>
        </row>
        <row r="1453">
          <cell r="A1453" t="str">
            <v>GOA CARBON LTD</v>
          </cell>
          <cell r="B1453">
            <v>509567</v>
          </cell>
          <cell r="C1453" t="str">
            <v>GOACARBON</v>
          </cell>
        </row>
        <row r="1454">
          <cell r="A1454" t="str">
            <v>GOCL CORPORATION LTD</v>
          </cell>
          <cell r="B1454">
            <v>506480</v>
          </cell>
          <cell r="C1454" t="str">
            <v>GOCLCORP</v>
          </cell>
        </row>
        <row r="1455">
          <cell r="A1455" t="str">
            <v>GODAVARI DRUGS LTD</v>
          </cell>
          <cell r="B1455">
            <v>530317</v>
          </cell>
          <cell r="C1455" t="str">
            <v>Not Listed</v>
          </cell>
        </row>
        <row r="1456">
          <cell r="A1456" t="str">
            <v>GODAWARI POWER AND ISPAT LTD</v>
          </cell>
          <cell r="B1456">
            <v>532734</v>
          </cell>
          <cell r="C1456" t="str">
            <v>GPIL</v>
          </cell>
        </row>
        <row r="1457">
          <cell r="A1457" t="str">
            <v>GODFREY PHILLIPS (INDIA) LTD</v>
          </cell>
          <cell r="B1457">
            <v>500163</v>
          </cell>
          <cell r="C1457" t="str">
            <v>GODFRYPHLP</v>
          </cell>
        </row>
        <row r="1458">
          <cell r="A1458" t="str">
            <v>GODFREY PHILLIPS INDIA LTD</v>
          </cell>
          <cell r="B1458">
            <v>500163</v>
          </cell>
          <cell r="C1458" t="str">
            <v>GODFRYPHLP</v>
          </cell>
        </row>
        <row r="1459">
          <cell r="A1459" t="str">
            <v>GODHA CABCON &amp; INSULATION LTD</v>
          </cell>
          <cell r="B1459" t="str">
            <v>Not Listed</v>
          </cell>
          <cell r="C1459" t="str">
            <v>GODHA</v>
          </cell>
        </row>
        <row r="1460">
          <cell r="A1460" t="str">
            <v>GODREJ AGROVET LTD</v>
          </cell>
          <cell r="B1460">
            <v>540743</v>
          </cell>
          <cell r="C1460" t="str">
            <v>GODREJAGRO</v>
          </cell>
        </row>
        <row r="1461">
          <cell r="A1461" t="str">
            <v>GODREJ CONSUMER PRODUCTS LTD</v>
          </cell>
          <cell r="B1461">
            <v>532424</v>
          </cell>
          <cell r="C1461" t="str">
            <v>GODREJCP</v>
          </cell>
        </row>
        <row r="1462">
          <cell r="A1462" t="str">
            <v>GODREJ INDUSTRIES LTD</v>
          </cell>
          <cell r="B1462">
            <v>500164</v>
          </cell>
          <cell r="C1462" t="str">
            <v>GODREJIND</v>
          </cell>
        </row>
        <row r="1463">
          <cell r="A1463" t="str">
            <v>GODREJ PROPERTIES LTD</v>
          </cell>
          <cell r="B1463">
            <v>533150</v>
          </cell>
          <cell r="C1463" t="str">
            <v>GODREJPROP</v>
          </cell>
        </row>
        <row r="1464">
          <cell r="A1464" t="str">
            <v>GOENKA BUSINESS &amp; FINANCE LTD</v>
          </cell>
          <cell r="B1464">
            <v>538787</v>
          </cell>
          <cell r="C1464" t="str">
            <v>Not Listed</v>
          </cell>
        </row>
        <row r="1465">
          <cell r="A1465" t="str">
            <v>GOENKA DIAMOND AND JEWELS LTD</v>
          </cell>
          <cell r="B1465">
            <v>533189</v>
          </cell>
          <cell r="C1465" t="str">
            <v>GOENKA</v>
          </cell>
        </row>
        <row r="1466">
          <cell r="A1466" t="str">
            <v>GOGIA CAPITAL SERVICES LTD</v>
          </cell>
          <cell r="B1466">
            <v>531600</v>
          </cell>
          <cell r="C1466" t="str">
            <v>Not Listed</v>
          </cell>
        </row>
        <row r="1467">
          <cell r="A1467" t="str">
            <v>GOKAK TEXTILES LTD</v>
          </cell>
          <cell r="B1467">
            <v>532957</v>
          </cell>
          <cell r="C1467" t="str">
            <v>Not Listed</v>
          </cell>
        </row>
        <row r="1468">
          <cell r="A1468" t="str">
            <v>GOKALDAS EXPORTS LTD</v>
          </cell>
          <cell r="B1468">
            <v>532630</v>
          </cell>
          <cell r="C1468" t="str">
            <v>GOKEX</v>
          </cell>
        </row>
        <row r="1469">
          <cell r="A1469" t="str">
            <v>GOKUL AGRO RESOURCES LTD</v>
          </cell>
          <cell r="B1469">
            <v>539725</v>
          </cell>
          <cell r="C1469" t="str">
            <v>GOKULAGRO</v>
          </cell>
        </row>
        <row r="1470">
          <cell r="A1470" t="str">
            <v>GOKUL REFOILS AND SOLVENT LTD</v>
          </cell>
          <cell r="B1470">
            <v>532980</v>
          </cell>
          <cell r="C1470" t="str">
            <v>GOKUL</v>
          </cell>
        </row>
        <row r="1471">
          <cell r="A1471" t="str">
            <v>GOKUL SOLUTIONS LTD</v>
          </cell>
          <cell r="B1471">
            <v>780012</v>
          </cell>
          <cell r="C1471" t="str">
            <v>Not Listed</v>
          </cell>
        </row>
        <row r="1472">
          <cell r="A1472" t="str">
            <v>GOLD COIN HEALTH FOODS LTD</v>
          </cell>
          <cell r="B1472">
            <v>538542</v>
          </cell>
          <cell r="C1472" t="str">
            <v>Not Listed</v>
          </cell>
        </row>
        <row r="1473">
          <cell r="A1473" t="str">
            <v>Gold Line International Finvest Ltd</v>
          </cell>
          <cell r="B1473">
            <v>538180</v>
          </cell>
          <cell r="C1473" t="str">
            <v>GOLDLINE</v>
          </cell>
        </row>
        <row r="1474">
          <cell r="A1474" t="str">
            <v>GOLDCREST CORPORATION LTD</v>
          </cell>
          <cell r="B1474">
            <v>505576</v>
          </cell>
          <cell r="C1474" t="str">
            <v>Not Listed</v>
          </cell>
        </row>
        <row r="1475">
          <cell r="A1475" t="str">
            <v>GOLDEN CARPETS LTD</v>
          </cell>
          <cell r="B1475">
            <v>531928</v>
          </cell>
          <cell r="C1475" t="str">
            <v>Not Listed</v>
          </cell>
        </row>
        <row r="1476">
          <cell r="A1476" t="str">
            <v>GOLDEN CREST EDUCATION &amp; SERVICES LTD</v>
          </cell>
          <cell r="B1476">
            <v>540062</v>
          </cell>
          <cell r="C1476" t="str">
            <v>Not Listed</v>
          </cell>
        </row>
        <row r="1477">
          <cell r="A1477" t="str">
            <v>GOLDEN GOENKA FINCORP LTD</v>
          </cell>
          <cell r="B1477">
            <v>530579</v>
          </cell>
          <cell r="C1477" t="str">
            <v>Not Listed</v>
          </cell>
        </row>
        <row r="1478">
          <cell r="A1478" t="str">
            <v>GOLDEN TOBACCO LTD</v>
          </cell>
          <cell r="B1478">
            <v>500151</v>
          </cell>
          <cell r="C1478" t="str">
            <v>GOLDENTOBC</v>
          </cell>
        </row>
        <row r="1479">
          <cell r="A1479" t="str">
            <v>GOLDIAM INTERNATIONAL LTD</v>
          </cell>
          <cell r="B1479">
            <v>526729</v>
          </cell>
          <cell r="C1479" t="str">
            <v>GOLDIAM</v>
          </cell>
        </row>
        <row r="1480">
          <cell r="A1480" t="str">
            <v>GOLDSTAR POWER LTD</v>
          </cell>
          <cell r="B1480" t="str">
            <v>Not Listed</v>
          </cell>
          <cell r="C1480" t="str">
            <v>GOLDSTAR</v>
          </cell>
        </row>
        <row r="1481">
          <cell r="A1481" t="str">
            <v>GOLDSTONE TECHNOLOGIES LTD</v>
          </cell>
          <cell r="B1481">
            <v>531439</v>
          </cell>
          <cell r="C1481" t="str">
            <v>GOLDTECH</v>
          </cell>
        </row>
        <row r="1482">
          <cell r="A1482" t="str">
            <v>GOLECHHA GLOBAL FINANCE LTD</v>
          </cell>
          <cell r="B1482">
            <v>531360</v>
          </cell>
          <cell r="C1482" t="str">
            <v>Not Listed</v>
          </cell>
        </row>
        <row r="1483">
          <cell r="A1483" t="str">
            <v>GOLKONDA ALUMINIUM EXTRUSIONS LTD</v>
          </cell>
          <cell r="B1483">
            <v>513309</v>
          </cell>
          <cell r="C1483" t="str">
            <v>Not Listed</v>
          </cell>
        </row>
        <row r="1484">
          <cell r="A1484" t="str">
            <v>GOLKUNDA DIAMONDS &amp; JEWELLERY LTD</v>
          </cell>
          <cell r="B1484">
            <v>523676</v>
          </cell>
          <cell r="C1484" t="str">
            <v>Not Listed</v>
          </cell>
        </row>
        <row r="1485">
          <cell r="A1485" t="str">
            <v>GOODLUCK (INDIA) LTD</v>
          </cell>
          <cell r="B1485">
            <v>530655</v>
          </cell>
          <cell r="C1485" t="str">
            <v>GOODLUCK</v>
          </cell>
        </row>
        <row r="1486">
          <cell r="A1486" t="str">
            <v>GOODLUCK INDIA LTD</v>
          </cell>
          <cell r="B1486">
            <v>530655</v>
          </cell>
          <cell r="C1486" t="str">
            <v>GOODLUCK</v>
          </cell>
        </row>
        <row r="1487">
          <cell r="A1487" t="str">
            <v>GOODRICKE GROUP LTD</v>
          </cell>
          <cell r="B1487">
            <v>500166</v>
          </cell>
          <cell r="C1487" t="str">
            <v>Not Listed</v>
          </cell>
        </row>
        <row r="1488">
          <cell r="A1488" t="str">
            <v>GOODYEAR (INDIA) LTD</v>
          </cell>
          <cell r="B1488">
            <v>500168</v>
          </cell>
          <cell r="C1488" t="str">
            <v>Not Listed</v>
          </cell>
        </row>
        <row r="1489">
          <cell r="A1489" t="str">
            <v>GOODYEAR INDIA LTD</v>
          </cell>
          <cell r="B1489">
            <v>500168</v>
          </cell>
          <cell r="C1489" t="str">
            <v>Not Listed</v>
          </cell>
        </row>
        <row r="1490">
          <cell r="A1490" t="str">
            <v>GOPAL IRON &amp; STEELS CO GUJARAT LTD</v>
          </cell>
          <cell r="B1490">
            <v>531913</v>
          </cell>
          <cell r="C1490" t="str">
            <v>Not Listed</v>
          </cell>
        </row>
        <row r="1491">
          <cell r="A1491" t="str">
            <v>GOPALA POLYPLAST LTD</v>
          </cell>
          <cell r="B1491">
            <v>526717</v>
          </cell>
          <cell r="C1491" t="str">
            <v>Not Listed</v>
          </cell>
        </row>
        <row r="1492">
          <cell r="A1492" t="str">
            <v>GORANI INDUSTRIES LTD</v>
          </cell>
          <cell r="B1492">
            <v>531608</v>
          </cell>
          <cell r="C1492" t="str">
            <v>Not Listed</v>
          </cell>
        </row>
        <row r="1493">
          <cell r="A1493" t="str">
            <v>GOTHI PLASCON (INDIA) LTD</v>
          </cell>
          <cell r="B1493">
            <v>531111</v>
          </cell>
          <cell r="C1493" t="str">
            <v>Not Listed</v>
          </cell>
        </row>
        <row r="1494">
          <cell r="A1494" t="str">
            <v>GOTHI PLASCON INDIA LTD</v>
          </cell>
          <cell r="B1494">
            <v>531111</v>
          </cell>
          <cell r="C1494" t="str">
            <v>Not Listed</v>
          </cell>
        </row>
        <row r="1495">
          <cell r="A1495" t="str">
            <v>GOVIND RUBBER LTD</v>
          </cell>
          <cell r="B1495">
            <v>509148</v>
          </cell>
          <cell r="C1495" t="str">
            <v>Not Listed</v>
          </cell>
        </row>
        <row r="1496">
          <cell r="A1496" t="str">
            <v>GOWRA LEASING &amp; FINANCE LTD</v>
          </cell>
          <cell r="B1496">
            <v>530709</v>
          </cell>
          <cell r="C1496" t="str">
            <v>Not Listed</v>
          </cell>
        </row>
        <row r="1497">
          <cell r="A1497" t="str">
            <v>GOYAL ASSOCIATES LTD</v>
          </cell>
          <cell r="B1497">
            <v>530663</v>
          </cell>
          <cell r="C1497" t="str">
            <v>Not Listed</v>
          </cell>
        </row>
        <row r="1498">
          <cell r="A1498" t="str">
            <v>GP PETROLEUMS LTD</v>
          </cell>
          <cell r="B1498">
            <v>532543</v>
          </cell>
          <cell r="C1498" t="str">
            <v>GULFPETRO</v>
          </cell>
        </row>
        <row r="1499">
          <cell r="A1499" t="str">
            <v>GPT INFRAPROJECTS LTD</v>
          </cell>
          <cell r="B1499">
            <v>533761</v>
          </cell>
          <cell r="C1499" t="str">
            <v>GPTINFRA</v>
          </cell>
        </row>
        <row r="1500">
          <cell r="A1500" t="str">
            <v>GRACIOUS SOFTWARE LTD</v>
          </cell>
          <cell r="B1500">
            <v>780002</v>
          </cell>
          <cell r="C1500" t="str">
            <v>Not Listed</v>
          </cell>
        </row>
        <row r="1501">
          <cell r="A1501" t="str">
            <v>GRADIENTE INFOTAINMENT LTD</v>
          </cell>
          <cell r="B1501">
            <v>590126</v>
          </cell>
          <cell r="C1501" t="str">
            <v>Not Listed</v>
          </cell>
        </row>
        <row r="1502">
          <cell r="A1502" t="str">
            <v>GRANDEUR PRODUCTS LTD</v>
          </cell>
          <cell r="B1502">
            <v>539235</v>
          </cell>
          <cell r="C1502" t="str">
            <v>Not Listed</v>
          </cell>
        </row>
        <row r="1503">
          <cell r="A1503" t="str">
            <v>GRANULES (INDIA) LTD</v>
          </cell>
          <cell r="B1503">
            <v>532482</v>
          </cell>
          <cell r="C1503" t="str">
            <v>GRANULES</v>
          </cell>
        </row>
        <row r="1504">
          <cell r="A1504" t="str">
            <v>GRANULES INDIA LTD</v>
          </cell>
          <cell r="B1504">
            <v>532482</v>
          </cell>
          <cell r="C1504" t="str">
            <v>GRANULES</v>
          </cell>
        </row>
        <row r="1505">
          <cell r="A1505" t="str">
            <v>GRAPHITE (INDIA) LTD</v>
          </cell>
          <cell r="B1505">
            <v>509488</v>
          </cell>
          <cell r="C1505" t="str">
            <v>GRAPHITE</v>
          </cell>
        </row>
        <row r="1506">
          <cell r="A1506" t="str">
            <v>GRAPHITE INDIA LTD</v>
          </cell>
          <cell r="B1506">
            <v>509488</v>
          </cell>
          <cell r="C1506" t="str">
            <v>GRAPHITE</v>
          </cell>
        </row>
        <row r="1507">
          <cell r="A1507" t="str">
            <v>GRASIM INDUSTRIES LTD</v>
          </cell>
          <cell r="B1507">
            <v>500300</v>
          </cell>
          <cell r="C1507" t="str">
            <v>GRASIM</v>
          </cell>
        </row>
        <row r="1508">
          <cell r="A1508" t="str">
            <v>GRATEX INDUSTRIES LTD</v>
          </cell>
          <cell r="B1508">
            <v>526751</v>
          </cell>
          <cell r="C1508" t="str">
            <v>Not Listed</v>
          </cell>
        </row>
        <row r="1509">
          <cell r="A1509" t="str">
            <v>GRAUER &amp; WEIL (INDIA) LTD</v>
          </cell>
          <cell r="B1509">
            <v>505710</v>
          </cell>
          <cell r="C1509" t="str">
            <v>Not Listed</v>
          </cell>
        </row>
        <row r="1510">
          <cell r="A1510" t="str">
            <v>GRAUER &amp; WEIL INDIA LTD</v>
          </cell>
          <cell r="B1510">
            <v>505710</v>
          </cell>
          <cell r="C1510" t="str">
            <v>Not Listed</v>
          </cell>
        </row>
        <row r="1511">
          <cell r="A1511" t="str">
            <v>GRAVISS HOSPITALITY LTD</v>
          </cell>
          <cell r="B1511">
            <v>509546</v>
          </cell>
          <cell r="C1511" t="str">
            <v>Not Listed</v>
          </cell>
        </row>
        <row r="1512">
          <cell r="A1512" t="str">
            <v>GRAVITA (INDIA) LTD</v>
          </cell>
          <cell r="B1512">
            <v>533282</v>
          </cell>
          <cell r="C1512" t="str">
            <v>GRAVITA</v>
          </cell>
        </row>
        <row r="1513">
          <cell r="A1513" t="str">
            <v>GRAVITA INDIA LTD</v>
          </cell>
          <cell r="B1513">
            <v>533282</v>
          </cell>
          <cell r="C1513" t="str">
            <v>GRAVITA</v>
          </cell>
        </row>
        <row r="1514">
          <cell r="A1514" t="str">
            <v>GRAVITY (INDIA) LTD</v>
          </cell>
          <cell r="B1514">
            <v>532015</v>
          </cell>
          <cell r="C1514" t="str">
            <v>Not Listed</v>
          </cell>
        </row>
        <row r="1515">
          <cell r="A1515" t="str">
            <v>GRAVITY INDIA LTD</v>
          </cell>
          <cell r="B1515">
            <v>532015</v>
          </cell>
          <cell r="C1515" t="str">
            <v>Not Listed</v>
          </cell>
        </row>
        <row r="1516">
          <cell r="A1516" t="str">
            <v>GREAVES COTTON LTD</v>
          </cell>
          <cell r="B1516">
            <v>501455</v>
          </cell>
          <cell r="C1516" t="str">
            <v>GREAVESCOT</v>
          </cell>
        </row>
        <row r="1517">
          <cell r="A1517" t="str">
            <v>GREENCREST FINANCIAL SERVICES LTD</v>
          </cell>
          <cell r="B1517">
            <v>531737</v>
          </cell>
          <cell r="C1517" t="str">
            <v>Not Listed</v>
          </cell>
        </row>
        <row r="1518">
          <cell r="A1518" t="str">
            <v>GREENLAM INDUSTRIES LTD</v>
          </cell>
          <cell r="B1518">
            <v>538979</v>
          </cell>
          <cell r="C1518" t="str">
            <v>GREENLAM</v>
          </cell>
        </row>
        <row r="1519">
          <cell r="A1519" t="str">
            <v>GREENPLY INDUSTRIES LTD</v>
          </cell>
          <cell r="B1519">
            <v>526797</v>
          </cell>
          <cell r="C1519" t="str">
            <v>GREENPLY</v>
          </cell>
        </row>
        <row r="1520">
          <cell r="A1520" t="str">
            <v>GRETEX INDUSTRIES LTD</v>
          </cell>
          <cell r="B1520" t="str">
            <v>Not Listed</v>
          </cell>
          <cell r="C1520" t="str">
            <v>GRETEX</v>
          </cell>
        </row>
        <row r="1521">
          <cell r="A1521" t="str">
            <v>GREYCELLS EDUCATION LTD</v>
          </cell>
          <cell r="B1521">
            <v>508918</v>
          </cell>
          <cell r="C1521" t="str">
            <v>Not Listed</v>
          </cell>
        </row>
        <row r="1522">
          <cell r="A1522" t="str">
            <v>GRINDWELL NORTON LTD</v>
          </cell>
          <cell r="B1522">
            <v>506076</v>
          </cell>
          <cell r="C1522" t="str">
            <v>GRINDWELL</v>
          </cell>
        </row>
        <row r="1523">
          <cell r="A1523" t="str">
            <v>GRM OVERSEAS LTD</v>
          </cell>
          <cell r="B1523">
            <v>531449</v>
          </cell>
          <cell r="C1523" t="str">
            <v>Not Listed</v>
          </cell>
        </row>
        <row r="1524">
          <cell r="A1524" t="str">
            <v>GROMO TRADE &amp; CONSULTANCY LTD</v>
          </cell>
          <cell r="B1524">
            <v>501314</v>
          </cell>
          <cell r="C1524" t="str">
            <v>Not Listed</v>
          </cell>
        </row>
        <row r="1525">
          <cell r="A1525" t="str">
            <v>GROVY (INDIA) LTD</v>
          </cell>
          <cell r="B1525">
            <v>539522</v>
          </cell>
          <cell r="C1525" t="str">
            <v>Not Listed</v>
          </cell>
        </row>
        <row r="1526">
          <cell r="A1526" t="str">
            <v>GROVY INDIA LTD</v>
          </cell>
          <cell r="B1526">
            <v>539522</v>
          </cell>
          <cell r="C1526" t="str">
            <v>Not Listed</v>
          </cell>
        </row>
        <row r="1527">
          <cell r="A1527" t="str">
            <v>GRP LTD</v>
          </cell>
          <cell r="B1527">
            <v>509152</v>
          </cell>
          <cell r="C1527" t="str">
            <v>GRPLTD</v>
          </cell>
        </row>
        <row r="1528">
          <cell r="A1528" t="str">
            <v>GRUH FINANCE LTD</v>
          </cell>
          <cell r="B1528">
            <v>511288</v>
          </cell>
          <cell r="C1528" t="str">
            <v>GRUH</v>
          </cell>
        </row>
        <row r="1529">
          <cell r="A1529" t="str">
            <v>GSB FINANCE LTD</v>
          </cell>
          <cell r="B1529">
            <v>511543</v>
          </cell>
          <cell r="C1529" t="str">
            <v>Not Listed</v>
          </cell>
        </row>
        <row r="1530">
          <cell r="A1530" t="str">
            <v>GSL NOVA PETROCHEMICALS LTD</v>
          </cell>
          <cell r="B1530">
            <v>530605</v>
          </cell>
          <cell r="C1530" t="str">
            <v>Not Listed</v>
          </cell>
        </row>
        <row r="1531">
          <cell r="A1531" t="str">
            <v>GSL SECURITIES LTD</v>
          </cell>
          <cell r="B1531">
            <v>530469</v>
          </cell>
          <cell r="C1531" t="str">
            <v>Not Listed</v>
          </cell>
        </row>
        <row r="1532">
          <cell r="A1532" t="str">
            <v>GSS INFOTECH LTD</v>
          </cell>
          <cell r="B1532">
            <v>532951</v>
          </cell>
          <cell r="C1532" t="str">
            <v>GSS</v>
          </cell>
        </row>
        <row r="1533">
          <cell r="A1533" t="str">
            <v>G-TECH INFO-TRAINING LTD</v>
          </cell>
          <cell r="B1533">
            <v>532139</v>
          </cell>
          <cell r="C1533" t="str">
            <v>Not Listed</v>
          </cell>
        </row>
        <row r="1534">
          <cell r="A1534" t="str">
            <v>GTL INFRASTRUCTURE LTD</v>
          </cell>
          <cell r="B1534">
            <v>532775</v>
          </cell>
          <cell r="C1534" t="str">
            <v>GTLINFRA</v>
          </cell>
        </row>
        <row r="1535">
          <cell r="A1535" t="str">
            <v>GTL LTD</v>
          </cell>
          <cell r="B1535">
            <v>500160</v>
          </cell>
          <cell r="C1535" t="str">
            <v>GTL</v>
          </cell>
        </row>
        <row r="1536">
          <cell r="A1536" t="str">
            <v>GTN INDUSTRIES LTD</v>
          </cell>
          <cell r="B1536">
            <v>500170</v>
          </cell>
          <cell r="C1536" t="str">
            <v>GTNIND</v>
          </cell>
        </row>
        <row r="1537">
          <cell r="A1537" t="str">
            <v>GTN TEXTILES LTD</v>
          </cell>
          <cell r="B1537">
            <v>532744</v>
          </cell>
          <cell r="C1537" t="str">
            <v>GTNTEX</v>
          </cell>
        </row>
        <row r="1538">
          <cell r="A1538" t="str">
            <v>GTPL HATHWAY LTD</v>
          </cell>
          <cell r="B1538">
            <v>540602</v>
          </cell>
          <cell r="C1538" t="str">
            <v>GTPL</v>
          </cell>
        </row>
        <row r="1539">
          <cell r="A1539" t="str">
            <v>GTV ENGINEERING LTD</v>
          </cell>
          <cell r="B1539">
            <v>539479</v>
          </cell>
          <cell r="C1539" t="str">
            <v>Not Listed</v>
          </cell>
        </row>
        <row r="1540">
          <cell r="A1540" t="str">
            <v>GUFIC BIOSCIENCES LTD</v>
          </cell>
          <cell r="B1540">
            <v>509079</v>
          </cell>
          <cell r="C1540" t="str">
            <v>GUFICBIO</v>
          </cell>
        </row>
        <row r="1541">
          <cell r="A1541" t="str">
            <v>GUJARAT ALKALIES AND CHEMICALS LTD</v>
          </cell>
          <cell r="B1541">
            <v>530001</v>
          </cell>
          <cell r="C1541" t="str">
            <v>GUJALKALI</v>
          </cell>
        </row>
        <row r="1542">
          <cell r="A1542" t="str">
            <v>GUJARAT AMBUJA EXPORTS LTD</v>
          </cell>
          <cell r="B1542">
            <v>524226</v>
          </cell>
          <cell r="C1542" t="str">
            <v>GAEL</v>
          </cell>
        </row>
        <row r="1543">
          <cell r="A1543" t="str">
            <v>GUJARAT APOLLO INDUSTRIES LTD</v>
          </cell>
          <cell r="B1543">
            <v>522217</v>
          </cell>
          <cell r="C1543" t="str">
            <v>GUJAPOLLO</v>
          </cell>
        </row>
        <row r="1544">
          <cell r="A1544" t="str">
            <v>GUJARAT BOROSIL LTD</v>
          </cell>
          <cell r="B1544">
            <v>523768</v>
          </cell>
          <cell r="C1544" t="str">
            <v>Not Listed</v>
          </cell>
        </row>
        <row r="1545">
          <cell r="A1545" t="str">
            <v>GUJARAT CONTAINERS LTD</v>
          </cell>
          <cell r="B1545">
            <v>513507</v>
          </cell>
          <cell r="C1545" t="str">
            <v>Not Listed</v>
          </cell>
        </row>
        <row r="1546">
          <cell r="A1546" t="str">
            <v>GUJARAT COTEX LTD</v>
          </cell>
          <cell r="B1546">
            <v>514386</v>
          </cell>
          <cell r="C1546" t="str">
            <v>Not Listed</v>
          </cell>
        </row>
        <row r="1547">
          <cell r="A1547" t="str">
            <v>GUJARAT CRAFT INDUSTRIES LTD</v>
          </cell>
          <cell r="B1547">
            <v>526965</v>
          </cell>
          <cell r="C1547" t="str">
            <v>Not Listed</v>
          </cell>
        </row>
        <row r="1548">
          <cell r="A1548" t="str">
            <v>GUJARAT CREDIT CORPORATION LTD</v>
          </cell>
          <cell r="B1548">
            <v>511441</v>
          </cell>
          <cell r="C1548" t="str">
            <v>Not Listed</v>
          </cell>
        </row>
        <row r="1549">
          <cell r="A1549" t="str">
            <v>GUJARAT FLUOROCHEMICALS LTD</v>
          </cell>
          <cell r="B1549">
            <v>500173</v>
          </cell>
          <cell r="C1549" t="str">
            <v>GUJFLUORO</v>
          </cell>
        </row>
        <row r="1550">
          <cell r="A1550" t="str">
            <v>GUJARAT FOILS LTD</v>
          </cell>
          <cell r="B1550">
            <v>531410</v>
          </cell>
          <cell r="C1550" t="str">
            <v>Not Listed</v>
          </cell>
        </row>
        <row r="1551">
          <cell r="A1551" t="str">
            <v>GUJARAT GAS LTD</v>
          </cell>
          <cell r="B1551">
            <v>539336</v>
          </cell>
          <cell r="C1551" t="str">
            <v>GUJGASLTD</v>
          </cell>
        </row>
        <row r="1552">
          <cell r="A1552" t="str">
            <v>GUJARAT HOTELS LTD</v>
          </cell>
          <cell r="B1552">
            <v>507960</v>
          </cell>
          <cell r="C1552" t="str">
            <v>Not Listed</v>
          </cell>
        </row>
        <row r="1553">
          <cell r="A1553" t="str">
            <v>GUJARAT HY-SPIN LTD</v>
          </cell>
          <cell r="B1553">
            <v>540938</v>
          </cell>
          <cell r="C1553" t="str">
            <v>Not Listed</v>
          </cell>
        </row>
        <row r="1554">
          <cell r="A1554" t="str">
            <v>GUJARAT INDUSTRIES POWER COMPANY LTD</v>
          </cell>
          <cell r="B1554">
            <v>517300</v>
          </cell>
          <cell r="C1554" t="str">
            <v>GIPCL</v>
          </cell>
        </row>
        <row r="1555">
          <cell r="A1555" t="str">
            <v>GUJARAT INTRUX LTD</v>
          </cell>
          <cell r="B1555">
            <v>517372</v>
          </cell>
          <cell r="C1555" t="str">
            <v>Not Listed</v>
          </cell>
        </row>
        <row r="1556">
          <cell r="A1556" t="str">
            <v>GUJARAT INVESTA LTD</v>
          </cell>
          <cell r="B1556">
            <v>531341</v>
          </cell>
          <cell r="C1556" t="str">
            <v>Not Listed</v>
          </cell>
        </row>
        <row r="1557">
          <cell r="A1557" t="str">
            <v>GUJARAT LEASE FINANCING LTD</v>
          </cell>
          <cell r="B1557">
            <v>500174</v>
          </cell>
          <cell r="C1557" t="str">
            <v>GLFL</v>
          </cell>
        </row>
        <row r="1558">
          <cell r="A1558" t="str">
            <v>GUJARAT MEDITECH LTD</v>
          </cell>
          <cell r="B1558">
            <v>524754</v>
          </cell>
          <cell r="C1558" t="str">
            <v>Not Listed</v>
          </cell>
        </row>
        <row r="1559">
          <cell r="A1559" t="str">
            <v>GUJARAT METALLIC COAL &amp; COKE LTD</v>
          </cell>
          <cell r="B1559">
            <v>531881</v>
          </cell>
          <cell r="C1559" t="str">
            <v>Not Listed</v>
          </cell>
        </row>
        <row r="1560">
          <cell r="A1560" t="str">
            <v>GUJARAT MINERAL DEVELOPMENT CORPORATION LTD</v>
          </cell>
          <cell r="B1560">
            <v>532181</v>
          </cell>
          <cell r="C1560" t="str">
            <v>GMDCLTD</v>
          </cell>
        </row>
        <row r="1561">
          <cell r="A1561" t="str">
            <v>GUJARAT NARMADA VALLEY FERTILIZERS AND CHEMICALS LTD</v>
          </cell>
          <cell r="B1561">
            <v>500670</v>
          </cell>
          <cell r="C1561" t="str">
            <v>GNFC</v>
          </cell>
        </row>
        <row r="1562">
          <cell r="A1562" t="str">
            <v>GUJARAT NATURAL RESOURCES LTD</v>
          </cell>
          <cell r="B1562">
            <v>513536</v>
          </cell>
          <cell r="C1562" t="str">
            <v>Not Listed</v>
          </cell>
        </row>
        <row r="1563">
          <cell r="A1563" t="str">
            <v>GUJARAT PETROSYNTHESE LTD</v>
          </cell>
          <cell r="B1563">
            <v>506858</v>
          </cell>
          <cell r="C1563" t="str">
            <v>Not Listed</v>
          </cell>
        </row>
        <row r="1564">
          <cell r="A1564" t="str">
            <v>GUJARAT PIPAVAV PORT LTD</v>
          </cell>
          <cell r="B1564">
            <v>533248</v>
          </cell>
          <cell r="C1564" t="str">
            <v>GPPL</v>
          </cell>
        </row>
        <row r="1565">
          <cell r="A1565" t="str">
            <v>GUJARAT POLY ELECTRONICS LTD</v>
          </cell>
          <cell r="B1565">
            <v>517288</v>
          </cell>
          <cell r="C1565" t="str">
            <v>Not Listed</v>
          </cell>
        </row>
        <row r="1566">
          <cell r="A1566" t="str">
            <v>GUJARAT RAFFIA INDUSTRIES LTD</v>
          </cell>
          <cell r="B1566">
            <v>523836</v>
          </cell>
          <cell r="C1566" t="str">
            <v>GUJRAFFIA</v>
          </cell>
        </row>
        <row r="1567">
          <cell r="A1567" t="str">
            <v>GUJARAT SIDHEE CEMENT LTD</v>
          </cell>
          <cell r="B1567">
            <v>518029</v>
          </cell>
          <cell r="C1567" t="str">
            <v>GSCLCEMENT</v>
          </cell>
        </row>
        <row r="1568">
          <cell r="A1568" t="str">
            <v>GUJARAT STATE FERTILIZERS &amp; CHEMICALS LTD</v>
          </cell>
          <cell r="B1568">
            <v>500690</v>
          </cell>
          <cell r="C1568" t="str">
            <v>GSFC</v>
          </cell>
        </row>
        <row r="1569">
          <cell r="A1569" t="str">
            <v>GUJARAT STATE FINANCIAL CORPORATION LTD</v>
          </cell>
          <cell r="B1569">
            <v>532160</v>
          </cell>
          <cell r="C1569" t="str">
            <v>Not Listed</v>
          </cell>
        </row>
        <row r="1570">
          <cell r="A1570" t="str">
            <v>GUJARAT STATE PETRONET LTD</v>
          </cell>
          <cell r="B1570">
            <v>532702</v>
          </cell>
          <cell r="C1570" t="str">
            <v>GSPL</v>
          </cell>
        </row>
        <row r="1571">
          <cell r="A1571" t="str">
            <v>GUJARAT TERCE LABORATORIES LTD</v>
          </cell>
          <cell r="B1571">
            <v>524314</v>
          </cell>
          <cell r="C1571" t="str">
            <v>Not Listed</v>
          </cell>
        </row>
        <row r="1572">
          <cell r="A1572" t="str">
            <v>GUJARAT THEMIS BIOSYN LTD</v>
          </cell>
          <cell r="B1572">
            <v>506879</v>
          </cell>
          <cell r="C1572" t="str">
            <v>Not Listed</v>
          </cell>
        </row>
        <row r="1573">
          <cell r="A1573" t="str">
            <v>GUJARAT TOOLROOM LTD</v>
          </cell>
          <cell r="B1573">
            <v>513337</v>
          </cell>
          <cell r="C1573" t="str">
            <v>Not Listed</v>
          </cell>
        </row>
        <row r="1574">
          <cell r="A1574" t="str">
            <v>GUJCHEM DISTILLERS (INDIA) LTD</v>
          </cell>
          <cell r="B1574">
            <v>506640</v>
          </cell>
          <cell r="C1574" t="str">
            <v>Not Listed</v>
          </cell>
        </row>
        <row r="1575">
          <cell r="A1575" t="str">
            <v>GUJCHEM DISTILLERS INDIA LTD</v>
          </cell>
          <cell r="B1575">
            <v>506640</v>
          </cell>
          <cell r="C1575" t="str">
            <v>Not Listed</v>
          </cell>
        </row>
        <row r="1576">
          <cell r="A1576" t="str">
            <v>GULF OIL LUBRICANTS (INDIA) LTD</v>
          </cell>
          <cell r="B1576">
            <v>538567</v>
          </cell>
          <cell r="C1576" t="str">
            <v>GULFOILLUB</v>
          </cell>
        </row>
        <row r="1577">
          <cell r="A1577" t="str">
            <v>GULF OIL LUBRICANTS INDIA LTD</v>
          </cell>
          <cell r="B1577">
            <v>538567</v>
          </cell>
          <cell r="C1577" t="str">
            <v>GULFOILLUB</v>
          </cell>
        </row>
        <row r="1578">
          <cell r="A1578" t="str">
            <v>GULSHAN CHEMFILL LTD</v>
          </cell>
          <cell r="B1578">
            <v>532425</v>
          </cell>
          <cell r="C1578" t="str">
            <v>Not Listed</v>
          </cell>
        </row>
        <row r="1579">
          <cell r="A1579" t="str">
            <v>GULSHAN POLYOLS LTD</v>
          </cell>
          <cell r="B1579">
            <v>532457</v>
          </cell>
          <cell r="C1579" t="str">
            <v>GULPOLY</v>
          </cell>
        </row>
        <row r="1580">
          <cell r="A1580" t="str">
            <v>GV FILMS LTD</v>
          </cell>
          <cell r="B1580">
            <v>523277</v>
          </cell>
          <cell r="C1580" t="str">
            <v>Not Listed</v>
          </cell>
        </row>
        <row r="1581">
          <cell r="A1581" t="str">
            <v>GVK POWER &amp; INFRASTRUCTURE LTD</v>
          </cell>
          <cell r="B1581">
            <v>532708</v>
          </cell>
          <cell r="C1581" t="str">
            <v>GVKPIL</v>
          </cell>
        </row>
        <row r="1582">
          <cell r="A1582" t="str">
            <v>GYAN DEVELOPERS &amp; BUILDERS LTD</v>
          </cell>
          <cell r="B1582">
            <v>530141</v>
          </cell>
          <cell r="C1582" t="str">
            <v>Not Listed</v>
          </cell>
        </row>
        <row r="1583">
          <cell r="A1583" t="str">
            <v>GYSCOAL ALLOYS LTD</v>
          </cell>
          <cell r="B1583">
            <v>533275</v>
          </cell>
          <cell r="C1583" t="str">
            <v>GAL</v>
          </cell>
        </row>
        <row r="1584">
          <cell r="A1584" t="str">
            <v>H G INFRA ENGINEERING LTD</v>
          </cell>
          <cell r="B1584">
            <v>541019</v>
          </cell>
          <cell r="C1584" t="str">
            <v>HGINFRA</v>
          </cell>
        </row>
        <row r="1585">
          <cell r="A1585" t="str">
            <v>H K  TRADE INTERNATIONAL LTD</v>
          </cell>
          <cell r="B1585">
            <v>539337</v>
          </cell>
          <cell r="C1585" t="str">
            <v>Not Listed</v>
          </cell>
        </row>
        <row r="1586">
          <cell r="A1586" t="str">
            <v>H P COTTON TEXTILE MILLS LTD</v>
          </cell>
          <cell r="B1586">
            <v>502873</v>
          </cell>
          <cell r="C1586" t="str">
            <v>Not Listed</v>
          </cell>
        </row>
        <row r="1587">
          <cell r="A1587" t="str">
            <v>H S (INDIA) LTD</v>
          </cell>
          <cell r="B1587">
            <v>532145</v>
          </cell>
          <cell r="C1587" t="str">
            <v>Not Listed</v>
          </cell>
        </row>
        <row r="1588">
          <cell r="A1588" t="str">
            <v>H S INDIA LTD</v>
          </cell>
          <cell r="B1588">
            <v>532145</v>
          </cell>
          <cell r="C1588" t="str">
            <v>Not Listed</v>
          </cell>
        </row>
        <row r="1589">
          <cell r="A1589" t="str">
            <v>HALDER VENTURE LTD</v>
          </cell>
          <cell r="B1589">
            <v>539854</v>
          </cell>
          <cell r="C1589" t="str">
            <v>Not Listed</v>
          </cell>
        </row>
        <row r="1590">
          <cell r="A1590" t="str">
            <v>HALDYN GLASS LTD</v>
          </cell>
          <cell r="B1590">
            <v>515147</v>
          </cell>
          <cell r="C1590" t="str">
            <v>Not Listed</v>
          </cell>
        </row>
        <row r="1591">
          <cell r="A1591" t="str">
            <v>HARDCASTLE &amp; WAUD MFG CO LTD</v>
          </cell>
          <cell r="B1591">
            <v>509597</v>
          </cell>
          <cell r="C1591" t="str">
            <v>Not Listed</v>
          </cell>
        </row>
        <row r="1592">
          <cell r="A1592" t="str">
            <v>HARI GOVIND INTERNATIONAL LTD</v>
          </cell>
          <cell r="B1592">
            <v>531971</v>
          </cell>
          <cell r="C1592" t="str">
            <v>Not Listed</v>
          </cell>
        </row>
        <row r="1593">
          <cell r="A1593" t="str">
            <v>HARIA APPARELS LTD</v>
          </cell>
          <cell r="B1593">
            <v>538081</v>
          </cell>
          <cell r="C1593" t="str">
            <v>Not Listed</v>
          </cell>
        </row>
        <row r="1594">
          <cell r="A1594" t="str">
            <v>HARIA EXPORTS LTD</v>
          </cell>
          <cell r="B1594">
            <v>512604</v>
          </cell>
          <cell r="C1594" t="str">
            <v>Not Listed</v>
          </cell>
        </row>
        <row r="1595">
          <cell r="A1595" t="str">
            <v>Harish Textile Engineers Ltd</v>
          </cell>
          <cell r="B1595">
            <v>542682</v>
          </cell>
          <cell r="C1595" t="str">
            <v>HARISH</v>
          </cell>
        </row>
        <row r="1596">
          <cell r="A1596" t="str">
            <v>HARITA SEATING SYSTEMS LTD</v>
          </cell>
          <cell r="B1596">
            <v>590043</v>
          </cell>
          <cell r="C1596" t="str">
            <v>HARITASEAT</v>
          </cell>
        </row>
        <row r="1597">
          <cell r="A1597" t="str">
            <v>HARIYANA METALS LTD</v>
          </cell>
          <cell r="B1597">
            <v>506024</v>
          </cell>
          <cell r="C1597" t="str">
            <v>Not Listed</v>
          </cell>
        </row>
        <row r="1598">
          <cell r="A1598" t="str">
            <v>HARIYANA SHIP BREAKERS LTD</v>
          </cell>
          <cell r="B1598">
            <v>526931</v>
          </cell>
          <cell r="C1598" t="str">
            <v>Not Listed</v>
          </cell>
        </row>
        <row r="1599">
          <cell r="A1599" t="str">
            <v>HARMONY CAPITAL SERVICES LTD</v>
          </cell>
          <cell r="B1599">
            <v>530055</v>
          </cell>
          <cell r="C1599" t="str">
            <v>Not Listed</v>
          </cell>
        </row>
        <row r="1600">
          <cell r="A1600" t="str">
            <v>HARRISONS MALAYALAM LTD</v>
          </cell>
          <cell r="B1600">
            <v>500467</v>
          </cell>
          <cell r="C1600" t="str">
            <v>HARRMALAYA</v>
          </cell>
        </row>
        <row r="1601">
          <cell r="A1601" t="str">
            <v>HARYANA CAPFIN LTD</v>
          </cell>
          <cell r="B1601">
            <v>532855</v>
          </cell>
          <cell r="C1601" t="str">
            <v>Not Listed</v>
          </cell>
        </row>
        <row r="1602">
          <cell r="A1602" t="str">
            <v>HARYANA FINANCIAL CORPORATION LTD</v>
          </cell>
          <cell r="B1602">
            <v>530927</v>
          </cell>
          <cell r="C1602" t="str">
            <v>Not Listed</v>
          </cell>
        </row>
        <row r="1603">
          <cell r="A1603" t="str">
            <v>HARYANA LEATHER CHEMICALS LTD</v>
          </cell>
          <cell r="B1603">
            <v>524080</v>
          </cell>
          <cell r="C1603" t="str">
            <v>Not Listed</v>
          </cell>
        </row>
        <row r="1604">
          <cell r="A1604" t="str">
            <v>HAS LIFESTYLE LTD</v>
          </cell>
          <cell r="B1604">
            <v>780014</v>
          </cell>
          <cell r="C1604" t="str">
            <v>Not Listed</v>
          </cell>
        </row>
        <row r="1605">
          <cell r="A1605" t="str">
            <v>HASTI FINANCE LTD</v>
          </cell>
          <cell r="B1605">
            <v>531387</v>
          </cell>
          <cell r="C1605" t="str">
            <v>Not Listed</v>
          </cell>
        </row>
        <row r="1606">
          <cell r="A1606" t="str">
            <v>HATHWAY BHAWANI CABLETEL &amp;amp; DATACOM LTD.</v>
          </cell>
          <cell r="B1606">
            <v>509073</v>
          </cell>
          <cell r="C1606" t="str">
            <v>HATHWAYB</v>
          </cell>
        </row>
        <row r="1607">
          <cell r="A1607" t="str">
            <v>HATHWAY CABLE &amp; DATACOM LTD</v>
          </cell>
          <cell r="B1607">
            <v>533162</v>
          </cell>
          <cell r="C1607" t="str">
            <v>HATHWAY</v>
          </cell>
        </row>
        <row r="1608">
          <cell r="A1608" t="str">
            <v>HATSUN AGRO PRODUCT LTD</v>
          </cell>
          <cell r="B1608">
            <v>531531</v>
          </cell>
          <cell r="C1608" t="str">
            <v>HATSUN</v>
          </cell>
        </row>
        <row r="1609">
          <cell r="A1609" t="str">
            <v>HAVELLS (INDIA) LTD</v>
          </cell>
          <cell r="B1609">
            <v>517354</v>
          </cell>
          <cell r="C1609" t="str">
            <v>HAVELLS</v>
          </cell>
        </row>
        <row r="1610">
          <cell r="A1610" t="str">
            <v>HAVELLS INDIA LTD</v>
          </cell>
          <cell r="B1610">
            <v>517354</v>
          </cell>
          <cell r="C1610" t="str">
            <v>HAVELLS</v>
          </cell>
        </row>
        <row r="1611">
          <cell r="A1611" t="str">
            <v>HAWA ENGINEERS LTD</v>
          </cell>
          <cell r="B1611">
            <v>539176</v>
          </cell>
          <cell r="C1611" t="str">
            <v>Not Listed</v>
          </cell>
        </row>
        <row r="1612">
          <cell r="A1612" t="str">
            <v>HAWKINS COOKERS LTD</v>
          </cell>
          <cell r="B1612">
            <v>508486</v>
          </cell>
          <cell r="C1612" t="str">
            <v>Not Listed</v>
          </cell>
        </row>
        <row r="1613">
          <cell r="A1613" t="str">
            <v>HAZOOR MULTI PROJECTS LTD</v>
          </cell>
          <cell r="B1613">
            <v>532467</v>
          </cell>
          <cell r="C1613" t="str">
            <v>Not Listed</v>
          </cell>
        </row>
        <row r="1614">
          <cell r="A1614" t="str">
            <v>HB ESTATE DEVELOPERS LTD</v>
          </cell>
          <cell r="B1614">
            <v>532334</v>
          </cell>
          <cell r="C1614" t="str">
            <v>Not Listed</v>
          </cell>
        </row>
        <row r="1615">
          <cell r="A1615" t="str">
            <v>HB LEASING &amp; FINANCE CO LTD</v>
          </cell>
          <cell r="B1615">
            <v>508956</v>
          </cell>
          <cell r="C1615" t="str">
            <v>Not Listed</v>
          </cell>
        </row>
        <row r="1616">
          <cell r="A1616" t="str">
            <v>HB PORTFOLIO LTD</v>
          </cell>
          <cell r="B1616">
            <v>532333</v>
          </cell>
          <cell r="C1616" t="str">
            <v>Not Listed</v>
          </cell>
        </row>
        <row r="1617">
          <cell r="A1617" t="str">
            <v>HB STOCKHOLDINGS LTD</v>
          </cell>
          <cell r="B1617">
            <v>532216</v>
          </cell>
          <cell r="C1617" t="str">
            <v>HBSL</v>
          </cell>
        </row>
        <row r="1618">
          <cell r="A1618" t="str">
            <v>HBL POWER SYSTEMS LTD</v>
          </cell>
          <cell r="B1618">
            <v>517271</v>
          </cell>
          <cell r="C1618" t="str">
            <v>HBLPOWER</v>
          </cell>
        </row>
        <row r="1619">
          <cell r="A1619" t="str">
            <v>HCKK VENTURES LTD</v>
          </cell>
          <cell r="B1619">
            <v>539224</v>
          </cell>
          <cell r="C1619" t="str">
            <v>Not Listed</v>
          </cell>
        </row>
        <row r="1620">
          <cell r="A1620" t="str">
            <v>HCL INFOSYSTEMS LTD</v>
          </cell>
          <cell r="B1620">
            <v>500179</v>
          </cell>
          <cell r="C1620" t="str">
            <v>HCL-INSYS</v>
          </cell>
        </row>
        <row r="1621">
          <cell r="A1621" t="str">
            <v>HCL TECHNOLOGIES LTD</v>
          </cell>
          <cell r="B1621">
            <v>532281</v>
          </cell>
          <cell r="C1621" t="str">
            <v>HCLTECH</v>
          </cell>
        </row>
        <row r="1622">
          <cell r="A1622" t="str">
            <v>HDFC ASSET MANAGEMENT COMPANY LTD</v>
          </cell>
          <cell r="B1622">
            <v>541729</v>
          </cell>
          <cell r="C1622" t="str">
            <v>HDFCAMC</v>
          </cell>
        </row>
        <row r="1623">
          <cell r="A1623" t="str">
            <v>HDFC BANK LTD</v>
          </cell>
          <cell r="B1623">
            <v>500180</v>
          </cell>
          <cell r="C1623" t="str">
            <v>HDFCBANK</v>
          </cell>
        </row>
        <row r="1624">
          <cell r="A1624" t="str">
            <v>HDFC Mutual Fund - HDFC Gold Exchange Traded Fund</v>
          </cell>
          <cell r="B1624">
            <v>533230</v>
          </cell>
          <cell r="C1624" t="str">
            <v>HDFCMFGETF</v>
          </cell>
        </row>
        <row r="1625">
          <cell r="A1625" t="str">
            <v>HDFC STANDARD LIFE INSURANCE COMPANY LTD</v>
          </cell>
          <cell r="B1625">
            <v>540777</v>
          </cell>
          <cell r="C1625" t="str">
            <v>HDFCLIFE</v>
          </cell>
        </row>
        <row r="1626">
          <cell r="A1626" t="str">
            <v>HEALTHCARE GLOBAL ENTERPRISES LTD</v>
          </cell>
          <cell r="B1626">
            <v>539787</v>
          </cell>
          <cell r="C1626" t="str">
            <v>HCG</v>
          </cell>
        </row>
        <row r="1627">
          <cell r="A1627" t="str">
            <v>HEALTHY INVESTMENTS LTD</v>
          </cell>
          <cell r="B1627">
            <v>503689</v>
          </cell>
          <cell r="C1627" t="str">
            <v>Not Listed</v>
          </cell>
        </row>
        <row r="1628">
          <cell r="A1628" t="str">
            <v>HEC INFRA PROJECTS LTD</v>
          </cell>
          <cell r="B1628" t="str">
            <v>Not Listed</v>
          </cell>
          <cell r="C1628" t="str">
            <v>HECPROJECT</v>
          </cell>
        </row>
        <row r="1629">
          <cell r="A1629" t="str">
            <v>HEERA ISPAT LTD</v>
          </cell>
          <cell r="B1629">
            <v>526967</v>
          </cell>
          <cell r="C1629" t="str">
            <v>Not Listed</v>
          </cell>
        </row>
        <row r="1630">
          <cell r="A1630" t="str">
            <v>HEG LTD</v>
          </cell>
          <cell r="B1630">
            <v>509631</v>
          </cell>
          <cell r="C1630" t="str">
            <v>HEG</v>
          </cell>
        </row>
        <row r="1631">
          <cell r="A1631" t="str">
            <v>HEIDELBERGCEMENT (INDIA) LTD</v>
          </cell>
          <cell r="B1631">
            <v>500292</v>
          </cell>
          <cell r="C1631" t="str">
            <v>HEIDELBERG</v>
          </cell>
        </row>
        <row r="1632">
          <cell r="A1632" t="str">
            <v>HEIDELBERGCEMENT INDIA LTD</v>
          </cell>
          <cell r="B1632">
            <v>500292</v>
          </cell>
          <cell r="C1632" t="str">
            <v>HEIDELBERG</v>
          </cell>
        </row>
        <row r="1633">
          <cell r="A1633" t="str">
            <v>Helpage Finlease Ltd</v>
          </cell>
          <cell r="B1633">
            <v>539174</v>
          </cell>
          <cell r="C1633" t="str">
            <v>HELPAGE</v>
          </cell>
        </row>
        <row r="1634">
          <cell r="A1634" t="str">
            <v>HEM HOLDINGS &amp; TRADING LTD</v>
          </cell>
          <cell r="B1634">
            <v>505520</v>
          </cell>
          <cell r="C1634" t="str">
            <v>Not Listed</v>
          </cell>
        </row>
        <row r="1635">
          <cell r="A1635" t="str">
            <v>HEMANG RESOURCES LTD</v>
          </cell>
          <cell r="B1635">
            <v>531178</v>
          </cell>
          <cell r="C1635" t="str">
            <v>Not Listed</v>
          </cell>
        </row>
        <row r="1636">
          <cell r="A1636" t="str">
            <v>HEMO ORGANIC LTD</v>
          </cell>
          <cell r="B1636">
            <v>524590</v>
          </cell>
          <cell r="C1636" t="str">
            <v>Not Listed</v>
          </cell>
        </row>
        <row r="1637">
          <cell r="A1637" t="str">
            <v>HERCULES HOISTS LTD</v>
          </cell>
          <cell r="B1637">
            <v>505720</v>
          </cell>
          <cell r="C1637" t="str">
            <v>HERCULES</v>
          </cell>
        </row>
        <row r="1638">
          <cell r="A1638" t="str">
            <v>HERITAGE FOODS LTD</v>
          </cell>
          <cell r="B1638">
            <v>519552</v>
          </cell>
          <cell r="C1638" t="str">
            <v>HERITGFOOD</v>
          </cell>
        </row>
        <row r="1639">
          <cell r="A1639" t="str">
            <v>HERO MOTOCORP LTD</v>
          </cell>
          <cell r="B1639">
            <v>500182</v>
          </cell>
          <cell r="C1639" t="str">
            <v>HEROMOTOCO</v>
          </cell>
        </row>
        <row r="1640">
          <cell r="A1640" t="str">
            <v>HESTER BIOSCIENCES LTD</v>
          </cell>
          <cell r="B1640">
            <v>524669</v>
          </cell>
          <cell r="C1640" t="str">
            <v>HESTERBIO</v>
          </cell>
        </row>
        <row r="1641">
          <cell r="A1641" t="str">
            <v>HEXA TRADEX LTD</v>
          </cell>
          <cell r="B1641">
            <v>534328</v>
          </cell>
          <cell r="C1641" t="str">
            <v>HEXATRADEX</v>
          </cell>
        </row>
        <row r="1642">
          <cell r="A1642" t="str">
            <v>HEXAWARE TECHNOLOGIES LTD</v>
          </cell>
          <cell r="B1642">
            <v>532129</v>
          </cell>
          <cell r="C1642" t="str">
            <v>HEXAWARE</v>
          </cell>
        </row>
        <row r="1643">
          <cell r="A1643" t="str">
            <v>HIGH ENERGY BATTERIES (INDIA) LTD</v>
          </cell>
          <cell r="B1643">
            <v>504176</v>
          </cell>
          <cell r="C1643" t="str">
            <v>Not Listed</v>
          </cell>
        </row>
        <row r="1644">
          <cell r="A1644" t="str">
            <v>HIGH ENERGY BATTERIES INDIA LTD</v>
          </cell>
          <cell r="B1644">
            <v>504176</v>
          </cell>
          <cell r="C1644" t="str">
            <v>Not Listed</v>
          </cell>
        </row>
        <row r="1645">
          <cell r="A1645" t="str">
            <v>HIGH GROUND ENTERPRISE LTD</v>
          </cell>
          <cell r="B1645">
            <v>517080</v>
          </cell>
          <cell r="C1645" t="str">
            <v>HIGHGROUND</v>
          </cell>
        </row>
        <row r="1646">
          <cell r="A1646" t="str">
            <v>HIGH STREET FILATEX LTD</v>
          </cell>
          <cell r="B1646">
            <v>531301</v>
          </cell>
          <cell r="C1646" t="str">
            <v>Not Listed</v>
          </cell>
        </row>
        <row r="1647">
          <cell r="A1647" t="str">
            <v>HIKAL LTD</v>
          </cell>
          <cell r="B1647">
            <v>524735</v>
          </cell>
          <cell r="C1647" t="str">
            <v>HIKAL</v>
          </cell>
        </row>
        <row r="1648">
          <cell r="A1648" t="str">
            <v>Hi-Klass Trading and Investment Ltd</v>
          </cell>
          <cell r="B1648">
            <v>542332</v>
          </cell>
          <cell r="C1648" t="str">
            <v>HIKLASS</v>
          </cell>
        </row>
        <row r="1649">
          <cell r="A1649" t="str">
            <v>HIL LTD</v>
          </cell>
          <cell r="B1649">
            <v>509675</v>
          </cell>
          <cell r="C1649" t="str">
            <v>HIL</v>
          </cell>
        </row>
        <row r="1650">
          <cell r="A1650" t="str">
            <v>HILTON METAL FORGING LTD</v>
          </cell>
          <cell r="B1650">
            <v>532847</v>
          </cell>
          <cell r="C1650" t="str">
            <v>HILTON</v>
          </cell>
        </row>
        <row r="1651">
          <cell r="A1651" t="str">
            <v>HIM TEKNOFORGE LTD</v>
          </cell>
          <cell r="B1651">
            <v>505712</v>
          </cell>
          <cell r="C1651" t="str">
            <v>Not Listed</v>
          </cell>
        </row>
        <row r="1652">
          <cell r="A1652" t="str">
            <v>HIMACHAL FIBRES LTD</v>
          </cell>
          <cell r="B1652">
            <v>514010</v>
          </cell>
          <cell r="C1652" t="str">
            <v>Not Listed</v>
          </cell>
        </row>
        <row r="1653">
          <cell r="A1653" t="str">
            <v>HIMACHAL FUTURISTIC COMMUNICATIONS LTD</v>
          </cell>
          <cell r="B1653">
            <v>500183</v>
          </cell>
          <cell r="C1653" t="str">
            <v>HFCL</v>
          </cell>
        </row>
        <row r="1654">
          <cell r="A1654" t="str">
            <v>HIMADRI SPECIALITY CHEMICAL LTD</v>
          </cell>
          <cell r="B1654">
            <v>500184</v>
          </cell>
          <cell r="C1654" t="str">
            <v>HSCL</v>
          </cell>
        </row>
        <row r="1655">
          <cell r="A1655" t="str">
            <v>HIMALAYA FOOD INTERNATIONAL LTD</v>
          </cell>
          <cell r="B1655">
            <v>526899</v>
          </cell>
          <cell r="C1655" t="str">
            <v>Not Listed</v>
          </cell>
        </row>
        <row r="1656">
          <cell r="A1656" t="str">
            <v>HIMALAYA GRANITES LTD</v>
          </cell>
          <cell r="B1656">
            <v>513723</v>
          </cell>
          <cell r="C1656" t="str">
            <v>Not Listed</v>
          </cell>
        </row>
        <row r="1657">
          <cell r="A1657" t="str">
            <v>HIMALCHULI FOOD PRODUCTS LTD</v>
          </cell>
          <cell r="B1657">
            <v>511169</v>
          </cell>
          <cell r="C1657" t="str">
            <v>Not Listed</v>
          </cell>
        </row>
        <row r="1658">
          <cell r="A1658" t="str">
            <v>HIMATSINGKA SEIDE LTD</v>
          </cell>
          <cell r="B1658">
            <v>514043</v>
          </cell>
          <cell r="C1658" t="str">
            <v>HIMATSEIDE</v>
          </cell>
        </row>
        <row r="1659">
          <cell r="A1659" t="str">
            <v>HIND ALUMINIUM INDUSTRIES LTD</v>
          </cell>
          <cell r="B1659">
            <v>531979</v>
          </cell>
          <cell r="C1659" t="str">
            <v>Not Listed</v>
          </cell>
        </row>
        <row r="1660">
          <cell r="A1660" t="str">
            <v>HIND COMMERCE LTD</v>
          </cell>
          <cell r="B1660">
            <v>538652</v>
          </cell>
          <cell r="C1660" t="str">
            <v>Not Listed</v>
          </cell>
        </row>
        <row r="1661">
          <cell r="A1661" t="str">
            <v>HIND RECTIFIERS LTD</v>
          </cell>
          <cell r="B1661">
            <v>504036</v>
          </cell>
          <cell r="C1661" t="str">
            <v>HIRECT</v>
          </cell>
        </row>
        <row r="1662">
          <cell r="A1662" t="str">
            <v>HIND SECURITIES &amp; CREDITS LTD</v>
          </cell>
          <cell r="B1662">
            <v>539114</v>
          </cell>
          <cell r="C1662" t="str">
            <v>Not Listed</v>
          </cell>
        </row>
        <row r="1663">
          <cell r="A1663" t="str">
            <v>HIND SYNTEX LTD</v>
          </cell>
          <cell r="B1663">
            <v>503881</v>
          </cell>
          <cell r="C1663" t="str">
            <v>HINDSYNTEX</v>
          </cell>
        </row>
        <row r="1664">
          <cell r="A1664" t="str">
            <v>HINDALCO INDUSTRIES LTD</v>
          </cell>
          <cell r="B1664">
            <v>500440</v>
          </cell>
          <cell r="C1664" t="str">
            <v>HINDALCO</v>
          </cell>
        </row>
        <row r="1665">
          <cell r="A1665" t="str">
            <v>HINDCON CHEMICALS LTD</v>
          </cell>
          <cell r="B1665" t="str">
            <v>Not Listed</v>
          </cell>
          <cell r="C1665" t="str">
            <v>HINDCON</v>
          </cell>
        </row>
        <row r="1666">
          <cell r="A1666" t="str">
            <v>HINDOOSTAN MILLS LTD</v>
          </cell>
          <cell r="B1666">
            <v>509895</v>
          </cell>
          <cell r="C1666" t="str">
            <v>Not Listed</v>
          </cell>
        </row>
        <row r="1667">
          <cell r="A1667" t="str">
            <v>HINDUJA GLOBAL SOLUTIONS LTD</v>
          </cell>
          <cell r="B1667">
            <v>532859</v>
          </cell>
          <cell r="C1667" t="str">
            <v>HGS</v>
          </cell>
        </row>
        <row r="1668">
          <cell r="A1668" t="str">
            <v>HINDUJA VENTURES LTD</v>
          </cell>
          <cell r="B1668">
            <v>500189</v>
          </cell>
          <cell r="C1668" t="str">
            <v>HINDUJAVEN</v>
          </cell>
        </row>
        <row r="1669">
          <cell r="A1669" t="str">
            <v>HINDUSTAN ADHESIVES LTD</v>
          </cell>
          <cell r="B1669">
            <v>514428</v>
          </cell>
          <cell r="C1669" t="str">
            <v>Not Listed</v>
          </cell>
        </row>
        <row r="1670">
          <cell r="A1670" t="str">
            <v>HINDUSTAN AERONAUTICS LTD</v>
          </cell>
          <cell r="B1670">
            <v>541154</v>
          </cell>
          <cell r="C1670" t="str">
            <v>HAL</v>
          </cell>
        </row>
        <row r="1671">
          <cell r="A1671" t="str">
            <v>HINDUSTAN APPLIANCES LTD</v>
          </cell>
          <cell r="B1671">
            <v>531918</v>
          </cell>
          <cell r="C1671" t="str">
            <v>Not Listed</v>
          </cell>
        </row>
        <row r="1672">
          <cell r="A1672" t="str">
            <v>HINDUSTAN BIO SCIENCES LTD.</v>
          </cell>
          <cell r="B1672">
            <v>532041</v>
          </cell>
          <cell r="C1672" t="str">
            <v>HINDBIO</v>
          </cell>
        </row>
        <row r="1673">
          <cell r="A1673" t="str">
            <v>HINDUSTAN COMPOSITES LTD</v>
          </cell>
          <cell r="B1673">
            <v>509635</v>
          </cell>
          <cell r="C1673" t="str">
            <v>HINDCOMPOS</v>
          </cell>
        </row>
        <row r="1674">
          <cell r="A1674" t="str">
            <v>HINDUSTAN CONSTRUCTION COMPANY LTD</v>
          </cell>
          <cell r="B1674">
            <v>500185</v>
          </cell>
          <cell r="C1674" t="str">
            <v>HCC</v>
          </cell>
        </row>
        <row r="1675">
          <cell r="A1675" t="str">
            <v>HINDUSTAN COPPER LTD</v>
          </cell>
          <cell r="B1675">
            <v>513599</v>
          </cell>
          <cell r="C1675" t="str">
            <v>HINDCOPPER</v>
          </cell>
        </row>
        <row r="1676">
          <cell r="A1676" t="str">
            <v>HINDUSTAN EVEREST TOOLS LTD.</v>
          </cell>
          <cell r="B1676">
            <v>505725</v>
          </cell>
          <cell r="C1676" t="str">
            <v>HINDEVER</v>
          </cell>
        </row>
        <row r="1677">
          <cell r="A1677" t="str">
            <v>HINDUSTAN FLUOROCARBONS LTD</v>
          </cell>
          <cell r="B1677">
            <v>524013</v>
          </cell>
          <cell r="C1677" t="str">
            <v>Not Listed</v>
          </cell>
        </row>
        <row r="1678">
          <cell r="A1678" t="str">
            <v>HINDUSTAN FOODS LTD</v>
          </cell>
          <cell r="B1678">
            <v>519126</v>
          </cell>
          <cell r="C1678" t="str">
            <v>Not Listed</v>
          </cell>
        </row>
        <row r="1679">
          <cell r="A1679" t="str">
            <v>HINDUSTAN HARDY SPICER LTD</v>
          </cell>
          <cell r="B1679">
            <v>505893</v>
          </cell>
          <cell r="C1679" t="str">
            <v>Not Listed</v>
          </cell>
        </row>
        <row r="1680">
          <cell r="A1680" t="str">
            <v>HINDUSTAN HOUSING CO LTD</v>
          </cell>
          <cell r="B1680">
            <v>509650</v>
          </cell>
          <cell r="C1680" t="str">
            <v>Not Listed</v>
          </cell>
        </row>
        <row r="1681">
          <cell r="A1681" t="str">
            <v>HINDUSTAN MEDIA VENTURES LTD</v>
          </cell>
          <cell r="B1681">
            <v>533217</v>
          </cell>
          <cell r="C1681" t="str">
            <v>HMVL</v>
          </cell>
        </row>
        <row r="1682">
          <cell r="A1682" t="str">
            <v>HINDUSTAN MOTORS LTD</v>
          </cell>
          <cell r="B1682">
            <v>500500</v>
          </cell>
          <cell r="C1682" t="str">
            <v>HINDMOTORS</v>
          </cell>
        </row>
        <row r="1683">
          <cell r="A1683" t="str">
            <v>HINDUSTAN OIL EXPLORATION COMPANY LTD</v>
          </cell>
          <cell r="B1683">
            <v>500186</v>
          </cell>
          <cell r="C1683" t="str">
            <v>HINDOILEXP</v>
          </cell>
        </row>
        <row r="1684">
          <cell r="A1684" t="str">
            <v>HINDUSTAN ORGANIC CHEMICALS LTD</v>
          </cell>
          <cell r="B1684">
            <v>500449</v>
          </cell>
          <cell r="C1684" t="str">
            <v>Not Listed</v>
          </cell>
        </row>
        <row r="1685">
          <cell r="A1685" t="str">
            <v>HINDUSTAN PETROLEUM CORPORATION LTD</v>
          </cell>
          <cell r="B1685">
            <v>500104</v>
          </cell>
          <cell r="C1685" t="str">
            <v>HINDPETRO</v>
          </cell>
        </row>
        <row r="1686">
          <cell r="A1686" t="str">
            <v>HINDUSTAN TIN WORKS LTD</v>
          </cell>
          <cell r="B1686">
            <v>530315</v>
          </cell>
          <cell r="C1686" t="str">
            <v>Not Listed</v>
          </cell>
        </row>
        <row r="1687">
          <cell r="A1687" t="str">
            <v>HINDUSTAN UNILEVER LTD</v>
          </cell>
          <cell r="B1687">
            <v>500696</v>
          </cell>
          <cell r="C1687" t="str">
            <v>HINDUNILVR</v>
          </cell>
        </row>
        <row r="1688">
          <cell r="A1688" t="str">
            <v>HINDUSTAN WIRES LTD</v>
          </cell>
          <cell r="B1688">
            <v>504713</v>
          </cell>
          <cell r="C1688" t="str">
            <v>Not Listed</v>
          </cell>
        </row>
        <row r="1689">
          <cell r="A1689" t="str">
            <v>HINDUSTAN ZINC LTD</v>
          </cell>
          <cell r="B1689">
            <v>500188</v>
          </cell>
          <cell r="C1689" t="str">
            <v>HINDZINC</v>
          </cell>
        </row>
        <row r="1690">
          <cell r="A1690" t="str">
            <v>HINDUSTHAN NATIONAL GLASS &amp; INDUSTRIES LTD</v>
          </cell>
          <cell r="B1690">
            <v>515145</v>
          </cell>
          <cell r="C1690" t="str">
            <v>HINDNATGLS</v>
          </cell>
        </row>
        <row r="1691">
          <cell r="A1691" t="str">
            <v>HINDUSTHAN UDYOG LTD</v>
          </cell>
          <cell r="B1691">
            <v>513039</v>
          </cell>
          <cell r="C1691" t="str">
            <v>Not Listed</v>
          </cell>
        </row>
        <row r="1692">
          <cell r="A1692" t="str">
            <v>HINDUSTHAN URBAN INFRASTRUCTURE LTD</v>
          </cell>
          <cell r="B1692">
            <v>539984</v>
          </cell>
          <cell r="C1692" t="str">
            <v>Not Listed</v>
          </cell>
        </row>
        <row r="1693">
          <cell r="A1693" t="str">
            <v>HIPOLIN LTD</v>
          </cell>
          <cell r="B1693">
            <v>530853</v>
          </cell>
          <cell r="C1693" t="str">
            <v>Not Listed</v>
          </cell>
        </row>
        <row r="1694">
          <cell r="A1694" t="str">
            <v>HIRA AUTOMOBILES LTD</v>
          </cell>
          <cell r="B1694">
            <v>531743</v>
          </cell>
          <cell r="C1694" t="str">
            <v>Not Listed</v>
          </cell>
        </row>
        <row r="1695">
          <cell r="A1695" t="str">
            <v>HISAR METAL INDUSTRIES LTD</v>
          </cell>
          <cell r="B1695">
            <v>590018</v>
          </cell>
          <cell r="C1695" t="str">
            <v>HISARMETAL</v>
          </cell>
        </row>
        <row r="1696">
          <cell r="A1696" t="str">
            <v>HISAR SPINNING MILLS LTD</v>
          </cell>
          <cell r="B1696">
            <v>521068</v>
          </cell>
          <cell r="C1696" t="str">
            <v>Not Listed</v>
          </cell>
        </row>
        <row r="1697">
          <cell r="A1697" t="str">
            <v>HIT KIT GLOBAL SOLUTIONS LTD</v>
          </cell>
          <cell r="B1697">
            <v>532359</v>
          </cell>
          <cell r="C1697" t="str">
            <v>Not Listed</v>
          </cell>
        </row>
        <row r="1698">
          <cell r="A1698" t="str">
            <v>HITECH CORPORATION LTD</v>
          </cell>
          <cell r="B1698">
            <v>526217</v>
          </cell>
          <cell r="C1698" t="str">
            <v>HITECHCORP</v>
          </cell>
        </row>
        <row r="1699">
          <cell r="A1699" t="str">
            <v>HI-TECH PIPES LTD</v>
          </cell>
          <cell r="B1699" t="str">
            <v>Not Listed</v>
          </cell>
          <cell r="C1699" t="str">
            <v>HITECH</v>
          </cell>
        </row>
        <row r="1700">
          <cell r="A1700" t="str">
            <v>Hi-Tech Winding Systems Ltd</v>
          </cell>
          <cell r="B1700">
            <v>541627</v>
          </cell>
          <cell r="C1700" t="str">
            <v>HITECHWIND</v>
          </cell>
        </row>
        <row r="1701">
          <cell r="A1701" t="str">
            <v>HITTCO TOOLS LTD</v>
          </cell>
          <cell r="B1701">
            <v>531661</v>
          </cell>
          <cell r="C1701" t="str">
            <v>Not Listed</v>
          </cell>
        </row>
        <row r="1702">
          <cell r="A1702" t="str">
            <v>HMT LTD</v>
          </cell>
          <cell r="B1702">
            <v>500191</v>
          </cell>
          <cell r="C1702" t="str">
            <v>HMT</v>
          </cell>
        </row>
        <row r="1703">
          <cell r="A1703" t="str">
            <v>HONDA SIEL POWER PRODUCTS LTD</v>
          </cell>
          <cell r="B1703">
            <v>522064</v>
          </cell>
          <cell r="C1703" t="str">
            <v>HONDAPOWER</v>
          </cell>
        </row>
        <row r="1704">
          <cell r="A1704" t="str">
            <v>HONEYWELL AUTOMATION (INDIA) LTD</v>
          </cell>
          <cell r="B1704">
            <v>517174</v>
          </cell>
          <cell r="C1704" t="str">
            <v>HONAUT</v>
          </cell>
        </row>
        <row r="1705">
          <cell r="A1705" t="str">
            <v>HONEYWELL AUTOMATION INDIA LTD</v>
          </cell>
          <cell r="B1705">
            <v>517174</v>
          </cell>
          <cell r="C1705" t="str">
            <v>HONAUT</v>
          </cell>
        </row>
        <row r="1706">
          <cell r="A1706" t="str">
            <v>HOTEL LEELA VENTURE LTD</v>
          </cell>
          <cell r="B1706">
            <v>500193</v>
          </cell>
          <cell r="C1706" t="str">
            <v>HOTELEELA</v>
          </cell>
        </row>
        <row r="1707">
          <cell r="A1707" t="str">
            <v>HOTEL RUGBY LTD</v>
          </cell>
          <cell r="B1707">
            <v>526683</v>
          </cell>
          <cell r="C1707" t="str">
            <v>HOTELRUGBY</v>
          </cell>
        </row>
        <row r="1708">
          <cell r="A1708" t="str">
            <v>HOUSING &amp; URBAN DEVELOPMENT CORPORATION LTD</v>
          </cell>
          <cell r="B1708">
            <v>540530</v>
          </cell>
          <cell r="C1708" t="str">
            <v>HUDCO</v>
          </cell>
        </row>
        <row r="1709">
          <cell r="A1709" t="str">
            <v>HOUSING DEVELOPMENT AND INFRASTRUCTURE LTD</v>
          </cell>
          <cell r="B1709">
            <v>532873</v>
          </cell>
          <cell r="C1709" t="str">
            <v>HDIL</v>
          </cell>
        </row>
        <row r="1710">
          <cell r="A1710" t="str">
            <v>HOUSING DEVELOPMENT FINANCE CORPORATION LTD</v>
          </cell>
          <cell r="B1710">
            <v>500010</v>
          </cell>
          <cell r="C1710" t="str">
            <v>HDFC</v>
          </cell>
        </row>
        <row r="1711">
          <cell r="A1711" t="str">
            <v>HOV SERVICES LTD</v>
          </cell>
          <cell r="B1711">
            <v>532761</v>
          </cell>
          <cell r="C1711" t="str">
            <v>HOVS</v>
          </cell>
        </row>
        <row r="1712">
          <cell r="A1712" t="str">
            <v>HOWARD HOTELS LTD</v>
          </cell>
          <cell r="B1712">
            <v>526761</v>
          </cell>
          <cell r="C1712" t="str">
            <v>Not Listed</v>
          </cell>
        </row>
        <row r="1713">
          <cell r="A1713" t="str">
            <v>HPC BIOSCIENCES LTD</v>
          </cell>
          <cell r="B1713">
            <v>535217</v>
          </cell>
          <cell r="C1713" t="str">
            <v>Not Listed</v>
          </cell>
        </row>
        <row r="1714">
          <cell r="A1714" t="str">
            <v>HPL ELECTRIC &amp; POWER LTD</v>
          </cell>
          <cell r="B1714">
            <v>540136</v>
          </cell>
          <cell r="C1714" t="str">
            <v>HPL</v>
          </cell>
        </row>
        <row r="1715">
          <cell r="A1715" t="str">
            <v>HRB FLORICULTURE LTD</v>
          </cell>
          <cell r="B1715">
            <v>531724</v>
          </cell>
          <cell r="C1715" t="str">
            <v>Not Listed</v>
          </cell>
        </row>
        <row r="1716">
          <cell r="A1716" t="str">
            <v>HSIL LTD</v>
          </cell>
          <cell r="B1716">
            <v>500187</v>
          </cell>
          <cell r="C1716" t="str">
            <v>HSIL</v>
          </cell>
        </row>
        <row r="1717">
          <cell r="A1717" t="str">
            <v>HT MEDIA LTD</v>
          </cell>
          <cell r="B1717">
            <v>532662</v>
          </cell>
          <cell r="C1717" t="str">
            <v>HTMEDIA</v>
          </cell>
        </row>
        <row r="1718">
          <cell r="A1718" t="str">
            <v>HUBTOWN LTD</v>
          </cell>
          <cell r="B1718">
            <v>532799</v>
          </cell>
          <cell r="C1718" t="str">
            <v>HUBTOWN</v>
          </cell>
        </row>
        <row r="1719">
          <cell r="A1719" t="str">
            <v>HUHTAMAKI PPL LTD</v>
          </cell>
          <cell r="B1719">
            <v>509820</v>
          </cell>
          <cell r="C1719" t="str">
            <v>PAPERPROD</v>
          </cell>
        </row>
        <row r="1720">
          <cell r="A1720" t="str">
            <v>Humming Bird Education Ltd</v>
          </cell>
          <cell r="B1720">
            <v>542592</v>
          </cell>
          <cell r="C1720" t="str">
            <v>HBEL</v>
          </cell>
        </row>
        <row r="1721">
          <cell r="A1721" t="str">
            <v>HUSYS CONSULTING LTD</v>
          </cell>
          <cell r="B1721" t="str">
            <v>Not Listed</v>
          </cell>
          <cell r="C1721" t="str">
            <v>HUSYSLTD</v>
          </cell>
        </row>
        <row r="1722">
          <cell r="A1722" t="str">
            <v>HYPERSOFT TECHNOLOGIES LTD</v>
          </cell>
          <cell r="B1722">
            <v>539724</v>
          </cell>
          <cell r="C1722" t="str">
            <v>Not Listed</v>
          </cell>
        </row>
        <row r="1723">
          <cell r="A1723" t="str">
            <v>IB INFOTECH ENTERPRISES LTD</v>
          </cell>
          <cell r="B1723">
            <v>519463</v>
          </cell>
          <cell r="C1723" t="str">
            <v>Not Listed</v>
          </cell>
        </row>
        <row r="1724">
          <cell r="A1724" t="str">
            <v>ICE MAKE REFRIGERATION LTD</v>
          </cell>
          <cell r="B1724" t="str">
            <v>Not Listed</v>
          </cell>
          <cell r="C1724" t="str">
            <v>ICEMAKE</v>
          </cell>
        </row>
        <row r="1725">
          <cell r="A1725" t="str">
            <v>ICICI BANK LTD</v>
          </cell>
          <cell r="B1725">
            <v>532174</v>
          </cell>
          <cell r="C1725" t="str">
            <v>ICICIBANK</v>
          </cell>
        </row>
        <row r="1726">
          <cell r="A1726" t="str">
            <v>ICICI LOMBARD GENERAL INSURANCE COMPANY LTD</v>
          </cell>
          <cell r="B1726">
            <v>540716</v>
          </cell>
          <cell r="C1726" t="str">
            <v>ICICIGI</v>
          </cell>
        </row>
        <row r="1727">
          <cell r="A1727" t="str">
            <v>ICICI Prudential Gold ETF</v>
          </cell>
          <cell r="B1727">
            <v>533244</v>
          </cell>
          <cell r="C1727" t="str">
            <v>ICICIGOLD</v>
          </cell>
        </row>
        <row r="1728">
          <cell r="A1728" t="str">
            <v>ICICI PRUDENTIAL LIFE INSURANCE COMPANY LTD</v>
          </cell>
          <cell r="B1728">
            <v>540133</v>
          </cell>
          <cell r="C1728" t="str">
            <v>ICICIPRULI</v>
          </cell>
        </row>
        <row r="1729">
          <cell r="A1729" t="str">
            <v>ICICI Prudential Sensex ETF</v>
          </cell>
          <cell r="B1729">
            <v>555555</v>
          </cell>
          <cell r="C1729" t="str">
            <v>ICICISENSX</v>
          </cell>
        </row>
        <row r="1730">
          <cell r="A1730" t="str">
            <v>ICICI SECURITIES LTD</v>
          </cell>
          <cell r="B1730">
            <v>541179</v>
          </cell>
          <cell r="C1730" t="str">
            <v>ISEC</v>
          </cell>
        </row>
        <row r="1731">
          <cell r="A1731" t="str">
            <v>ICRA LTD</v>
          </cell>
          <cell r="B1731">
            <v>532835</v>
          </cell>
          <cell r="C1731" t="str">
            <v>ICRA</v>
          </cell>
        </row>
        <row r="1732">
          <cell r="A1732" t="str">
            <v>ICSA (INDIA) LTD</v>
          </cell>
          <cell r="B1732">
            <v>531524</v>
          </cell>
          <cell r="C1732" t="str">
            <v>ICSA</v>
          </cell>
        </row>
        <row r="1733">
          <cell r="A1733" t="str">
            <v>ICSA INDIA LTD</v>
          </cell>
          <cell r="B1733">
            <v>531524</v>
          </cell>
          <cell r="C1733" t="str">
            <v>ICSA</v>
          </cell>
        </row>
        <row r="1734">
          <cell r="A1734" t="str">
            <v>IDBI BANK LTD</v>
          </cell>
          <cell r="B1734">
            <v>500116</v>
          </cell>
          <cell r="C1734" t="str">
            <v>IDBI</v>
          </cell>
        </row>
        <row r="1735">
          <cell r="A1735" t="str">
            <v>IDFC BANK LTD</v>
          </cell>
          <cell r="B1735">
            <v>539437</v>
          </cell>
          <cell r="C1735" t="str">
            <v>IDFCBANK</v>
          </cell>
        </row>
        <row r="1736">
          <cell r="A1736" t="str">
            <v>IDFC First Bank LTD</v>
          </cell>
          <cell r="B1736" t="str">
            <v>Not Listed</v>
          </cell>
          <cell r="C1736" t="str">
            <v>IDFCFIRSTB</v>
          </cell>
        </row>
        <row r="1737">
          <cell r="A1737" t="str">
            <v>IDFC LTD</v>
          </cell>
          <cell r="B1737">
            <v>532659</v>
          </cell>
          <cell r="C1737" t="str">
            <v>IDFC</v>
          </cell>
        </row>
        <row r="1738">
          <cell r="A1738" t="str">
            <v>IFB AGRO INDUSTRIES LTD</v>
          </cell>
          <cell r="B1738">
            <v>507438</v>
          </cell>
          <cell r="C1738" t="str">
            <v>IFBAGRO</v>
          </cell>
        </row>
        <row r="1739">
          <cell r="A1739" t="str">
            <v>IFB INDUSTRIES LTD</v>
          </cell>
          <cell r="B1739">
            <v>505726</v>
          </cell>
          <cell r="C1739" t="str">
            <v>IFBIND</v>
          </cell>
        </row>
        <row r="1740">
          <cell r="A1740" t="str">
            <v>IFCI LTD</v>
          </cell>
          <cell r="B1740">
            <v>500106</v>
          </cell>
          <cell r="C1740" t="str">
            <v>IFCI</v>
          </cell>
        </row>
        <row r="1741">
          <cell r="A1741" t="str">
            <v>IFGL REFRACTORIES LTD</v>
          </cell>
          <cell r="B1741">
            <v>540774</v>
          </cell>
          <cell r="C1741" t="str">
            <v>IFGLEXPOR</v>
          </cell>
        </row>
        <row r="1742">
          <cell r="A1742" t="str">
            <v>IFL ENTERPRISES LTD</v>
          </cell>
          <cell r="B1742">
            <v>540377</v>
          </cell>
          <cell r="C1742" t="str">
            <v>Not Listed</v>
          </cell>
        </row>
        <row r="1743">
          <cell r="A1743" t="str">
            <v>IFM IMPEX GLOBAL LTD</v>
          </cell>
          <cell r="B1743">
            <v>522289</v>
          </cell>
          <cell r="C1743" t="str">
            <v>Not Listed</v>
          </cell>
        </row>
        <row r="1744">
          <cell r="A1744" t="str">
            <v>IG PETROCHEMICALS LTD</v>
          </cell>
          <cell r="B1744">
            <v>500199</v>
          </cell>
          <cell r="C1744" t="str">
            <v>IGPL</v>
          </cell>
        </row>
        <row r="1745">
          <cell r="A1745" t="str">
            <v>IGARASHI MOTORS (INDIA) LTD</v>
          </cell>
          <cell r="B1745">
            <v>517380</v>
          </cell>
          <cell r="C1745" t="str">
            <v>IGARASHI</v>
          </cell>
        </row>
        <row r="1746">
          <cell r="A1746" t="str">
            <v>IGARASHI MOTORS INDIA LTD</v>
          </cell>
          <cell r="B1746">
            <v>517380</v>
          </cell>
          <cell r="C1746" t="str">
            <v>IGARASHI</v>
          </cell>
        </row>
        <row r="1747">
          <cell r="A1747" t="str">
            <v>IGC INDUSTRIES LTD</v>
          </cell>
          <cell r="B1747">
            <v>539449</v>
          </cell>
          <cell r="C1747" t="str">
            <v>Not Listed</v>
          </cell>
        </row>
        <row r="1748">
          <cell r="A1748" t="str">
            <v>IIFL HOLDINGS LTD</v>
          </cell>
          <cell r="B1748">
            <v>532636</v>
          </cell>
          <cell r="C1748" t="str">
            <v>IIFL</v>
          </cell>
        </row>
        <row r="1749">
          <cell r="A1749" t="str">
            <v>IITL PROJECTS LTD</v>
          </cell>
          <cell r="B1749">
            <v>531968</v>
          </cell>
          <cell r="C1749" t="str">
            <v>IITLPROJ</v>
          </cell>
        </row>
        <row r="1750">
          <cell r="A1750" t="str">
            <v>IKAB SECURITIES &amp; INVESTMENT LTD</v>
          </cell>
          <cell r="B1750">
            <v>514238</v>
          </cell>
          <cell r="C1750" t="str">
            <v>Not Listed</v>
          </cell>
        </row>
        <row r="1751">
          <cell r="A1751" t="str">
            <v>IKF TECHNOLOGIES LTD</v>
          </cell>
          <cell r="B1751">
            <v>532414</v>
          </cell>
          <cell r="C1751" t="str">
            <v>Not Listed</v>
          </cell>
        </row>
        <row r="1752">
          <cell r="A1752" t="str">
            <v>IL&amp;FS ENGINEERING AND CONSTRUCTION COMPANY LTD</v>
          </cell>
          <cell r="B1752">
            <v>532907</v>
          </cell>
          <cell r="C1752" t="str">
            <v>IL&amp;FSENGG</v>
          </cell>
        </row>
        <row r="1753">
          <cell r="A1753" t="str">
            <v>IL&amp;FS INVESTMENT MANAGERS LTD</v>
          </cell>
          <cell r="B1753">
            <v>511208</v>
          </cell>
          <cell r="C1753" t="str">
            <v>IVC</v>
          </cell>
        </row>
        <row r="1754">
          <cell r="A1754" t="str">
            <v>IL&amp;FS TRANSPORTATION NETWORKS LTD</v>
          </cell>
          <cell r="B1754">
            <v>533177</v>
          </cell>
          <cell r="C1754" t="str">
            <v>IL&amp;FSTRANS</v>
          </cell>
        </row>
        <row r="1755">
          <cell r="A1755" t="str">
            <v>IM+ CAPITALS LTD</v>
          </cell>
          <cell r="B1755">
            <v>511628</v>
          </cell>
          <cell r="C1755" t="str">
            <v>Not Listed</v>
          </cell>
        </row>
        <row r="1756">
          <cell r="A1756" t="str">
            <v>IMC FINANCE LTD</v>
          </cell>
          <cell r="B1756">
            <v>505539</v>
          </cell>
          <cell r="C1756" t="str">
            <v>Not Listed</v>
          </cell>
        </row>
        <row r="1757">
          <cell r="A1757" t="str">
            <v>IMEC SERVICES LTD</v>
          </cell>
          <cell r="B1757">
            <v>513295</v>
          </cell>
          <cell r="C1757" t="str">
            <v>Not Listed</v>
          </cell>
        </row>
        <row r="1758">
          <cell r="A1758" t="str">
            <v>IMP POWERS LTD</v>
          </cell>
          <cell r="B1758">
            <v>517571</v>
          </cell>
          <cell r="C1758" t="str">
            <v>INDLMETER</v>
          </cell>
        </row>
        <row r="1759">
          <cell r="A1759" t="str">
            <v>IMPEX FERRO TECH LTD</v>
          </cell>
          <cell r="B1759">
            <v>532614</v>
          </cell>
          <cell r="C1759" t="str">
            <v>IMPEXFERRO</v>
          </cell>
        </row>
        <row r="1760">
          <cell r="A1760" t="str">
            <v>INANI MARBLES &amp; INDUSTRIES LTD</v>
          </cell>
          <cell r="B1760">
            <v>531129</v>
          </cell>
          <cell r="C1760" t="str">
            <v>Not Listed</v>
          </cell>
        </row>
        <row r="1761">
          <cell r="A1761" t="str">
            <v>INANI SECURITIES LTD</v>
          </cell>
          <cell r="B1761">
            <v>531672</v>
          </cell>
          <cell r="C1761" t="str">
            <v>Not Listed</v>
          </cell>
        </row>
        <row r="1762">
          <cell r="A1762" t="str">
            <v>INCAP LTD</v>
          </cell>
          <cell r="B1762">
            <v>517370</v>
          </cell>
          <cell r="C1762" t="str">
            <v>Not Listed</v>
          </cell>
        </row>
        <row r="1763">
          <cell r="A1763" t="str">
            <v>INCEPTUM ENTERPRISES LTD</v>
          </cell>
          <cell r="B1763">
            <v>538541</v>
          </cell>
          <cell r="C1763" t="str">
            <v>Not Listed</v>
          </cell>
        </row>
        <row r="1764">
          <cell r="A1764" t="str">
            <v>INCON ENGINEERS LTD</v>
          </cell>
          <cell r="B1764">
            <v>531594</v>
          </cell>
          <cell r="C1764" t="str">
            <v>Not Listed</v>
          </cell>
        </row>
        <row r="1765">
          <cell r="A1765" t="str">
            <v>IND BANK HOUSING LTD</v>
          </cell>
          <cell r="B1765">
            <v>523465</v>
          </cell>
          <cell r="C1765" t="str">
            <v>Not Listed</v>
          </cell>
        </row>
        <row r="1766">
          <cell r="A1766" t="str">
            <v>IND RENEWABLE ENERGY LTD</v>
          </cell>
          <cell r="B1766">
            <v>536709</v>
          </cell>
          <cell r="C1766" t="str">
            <v>Not Listed</v>
          </cell>
        </row>
        <row r="1767">
          <cell r="A1767" t="str">
            <v>INDAG RUBBER LTD</v>
          </cell>
          <cell r="B1767">
            <v>509162</v>
          </cell>
          <cell r="C1767" t="str">
            <v>Not Listed</v>
          </cell>
        </row>
        <row r="1768">
          <cell r="A1768" t="str">
            <v>IND-AGIV COMMERCE LTD</v>
          </cell>
          <cell r="B1768">
            <v>517077</v>
          </cell>
          <cell r="C1768" t="str">
            <v>Not Listed</v>
          </cell>
        </row>
        <row r="1769">
          <cell r="A1769" t="str">
            <v>INDBANK MERCHANT BANKING SERVICES LTD</v>
          </cell>
          <cell r="B1769">
            <v>511473</v>
          </cell>
          <cell r="C1769" t="str">
            <v>INDBANK</v>
          </cell>
        </row>
        <row r="1770">
          <cell r="A1770" t="str">
            <v>INDERGIRI FINANCE LTD</v>
          </cell>
          <cell r="B1770">
            <v>531505</v>
          </cell>
          <cell r="C1770" t="str">
            <v>Not Listed</v>
          </cell>
        </row>
        <row r="1771">
          <cell r="A1771" t="str">
            <v>INDIA CEMENTS CAPITAL LTD</v>
          </cell>
          <cell r="B1771">
            <v>511355</v>
          </cell>
          <cell r="C1771" t="str">
            <v>Not Listed</v>
          </cell>
        </row>
        <row r="1772">
          <cell r="A1772" t="str">
            <v>INDIA FINSEC LTD</v>
          </cell>
          <cell r="B1772">
            <v>535667</v>
          </cell>
          <cell r="C1772" t="str">
            <v>Not Listed</v>
          </cell>
        </row>
        <row r="1773">
          <cell r="A1773" t="str">
            <v>INDIA GELATINE &amp; CHEMICALS LTD</v>
          </cell>
          <cell r="B1773">
            <v>531253</v>
          </cell>
          <cell r="C1773" t="str">
            <v>Not Listed</v>
          </cell>
        </row>
        <row r="1774">
          <cell r="A1774" t="str">
            <v>INDIA GLYCOLS LTD</v>
          </cell>
          <cell r="B1774">
            <v>500201</v>
          </cell>
          <cell r="C1774" t="str">
            <v>INDIAGLYCO</v>
          </cell>
        </row>
        <row r="1775">
          <cell r="A1775" t="str">
            <v>INDIA GREEN REALITY LTD</v>
          </cell>
          <cell r="B1775">
            <v>540152</v>
          </cell>
          <cell r="C1775" t="str">
            <v>Not Listed</v>
          </cell>
        </row>
        <row r="1776">
          <cell r="A1776" t="str">
            <v>India Grid Trust</v>
          </cell>
          <cell r="B1776">
            <v>540565</v>
          </cell>
          <cell r="C1776" t="str">
            <v>INDIGRID</v>
          </cell>
        </row>
        <row r="1777">
          <cell r="A1777" t="str">
            <v>INDIA HOME LOAN LTD</v>
          </cell>
          <cell r="B1777">
            <v>530979</v>
          </cell>
          <cell r="C1777" t="str">
            <v>Not Listed</v>
          </cell>
        </row>
        <row r="1778">
          <cell r="A1778" t="str">
            <v>INDIA INFRASPACE LTD</v>
          </cell>
          <cell r="B1778">
            <v>531343</v>
          </cell>
          <cell r="C1778" t="str">
            <v>Not Listed</v>
          </cell>
        </row>
        <row r="1779">
          <cell r="A1779" t="str">
            <v>INDIA MOTOR PARTS AND ACCESSORIES LTD</v>
          </cell>
          <cell r="B1779">
            <v>590065</v>
          </cell>
          <cell r="C1779" t="str">
            <v>IMPAL</v>
          </cell>
        </row>
        <row r="1780">
          <cell r="A1780" t="str">
            <v>INDIA NIPPON ELECTRICALS LTD</v>
          </cell>
          <cell r="B1780">
            <v>532240</v>
          </cell>
          <cell r="C1780" t="str">
            <v>INDNIPPON</v>
          </cell>
        </row>
        <row r="1781">
          <cell r="A1781" t="str">
            <v>INDIA STEEL WORKS LTD</v>
          </cell>
          <cell r="B1781">
            <v>513361</v>
          </cell>
          <cell r="C1781" t="str">
            <v>Not Listed</v>
          </cell>
        </row>
        <row r="1782">
          <cell r="A1782" t="str">
            <v>INDIA TOURISM DEVELOPMENT CORPORATION LTD</v>
          </cell>
          <cell r="B1782">
            <v>532189</v>
          </cell>
          <cell r="C1782" t="str">
            <v>ITDC</v>
          </cell>
        </row>
        <row r="1783">
          <cell r="A1783" t="str">
            <v>INDIABULLS HOUSING FINANCE LTD</v>
          </cell>
          <cell r="B1783">
            <v>535789</v>
          </cell>
          <cell r="C1783" t="str">
            <v>IBULHSGFIN</v>
          </cell>
        </row>
        <row r="1784">
          <cell r="A1784" t="str">
            <v>INDIABULLS INTEGRATED SERVICES LTD</v>
          </cell>
          <cell r="B1784">
            <v>533520</v>
          </cell>
          <cell r="C1784" t="str">
            <v>IBULISL</v>
          </cell>
        </row>
        <row r="1785">
          <cell r="A1785" t="str">
            <v>INDIABULLS REAL ESTATE LTD</v>
          </cell>
          <cell r="B1785">
            <v>532832</v>
          </cell>
          <cell r="C1785" t="str">
            <v>IBREALEST</v>
          </cell>
        </row>
        <row r="1786">
          <cell r="A1786" t="str">
            <v>INDIABULLS VENTURES LTD</v>
          </cell>
          <cell r="B1786">
            <v>532960</v>
          </cell>
          <cell r="C1786" t="str">
            <v>IBVENTURES</v>
          </cell>
        </row>
        <row r="1787">
          <cell r="A1787" t="str">
            <v>INDIAN ACRYLICS LTD</v>
          </cell>
          <cell r="B1787">
            <v>514165</v>
          </cell>
          <cell r="C1787" t="str">
            <v>Not Listed</v>
          </cell>
        </row>
        <row r="1788">
          <cell r="A1788" t="str">
            <v>INDIAN BANK</v>
          </cell>
          <cell r="B1788">
            <v>532814</v>
          </cell>
          <cell r="C1788" t="str">
            <v>INDIANB</v>
          </cell>
        </row>
        <row r="1789">
          <cell r="A1789" t="str">
            <v>INDIAN BRIGHT STEEL CO LTD</v>
          </cell>
          <cell r="B1789">
            <v>504731</v>
          </cell>
          <cell r="C1789" t="str">
            <v>Not Listed</v>
          </cell>
        </row>
        <row r="1790">
          <cell r="A1790" t="str">
            <v>INDIAN CARD CLOTHING COMPANY LTD</v>
          </cell>
          <cell r="B1790">
            <v>509692</v>
          </cell>
          <cell r="C1790" t="str">
            <v>INDIANCARD</v>
          </cell>
        </row>
        <row r="1791">
          <cell r="A1791" t="str">
            <v>INDIAN ENERGY EXCHANGE LTD</v>
          </cell>
          <cell r="B1791">
            <v>540750</v>
          </cell>
          <cell r="C1791" t="str">
            <v>IEX</v>
          </cell>
        </row>
        <row r="1792">
          <cell r="A1792" t="str">
            <v>INDIAN EXTRACTIONS LTD</v>
          </cell>
          <cell r="B1792">
            <v>524614</v>
          </cell>
          <cell r="C1792" t="str">
            <v>Not Listed</v>
          </cell>
        </row>
        <row r="1793">
          <cell r="A1793" t="str">
            <v>INDIAN HUME PIPE COMPANY LTD</v>
          </cell>
          <cell r="B1793">
            <v>504741</v>
          </cell>
          <cell r="C1793" t="str">
            <v>INDIANHUME</v>
          </cell>
        </row>
        <row r="1794">
          <cell r="A1794" t="str">
            <v>INDIAN INFOTECH &amp; SOFTWARE LTD</v>
          </cell>
          <cell r="B1794">
            <v>509051</v>
          </cell>
          <cell r="C1794" t="str">
            <v>Not Listed</v>
          </cell>
        </row>
        <row r="1795">
          <cell r="A1795" t="str">
            <v>INDIAN LINK CHAIN MANUFACTURES LTD</v>
          </cell>
          <cell r="B1795">
            <v>504746</v>
          </cell>
          <cell r="C1795" t="str">
            <v>Not Listed</v>
          </cell>
        </row>
        <row r="1796">
          <cell r="A1796" t="str">
            <v>INDIAN METALS &amp; FERRO ALLOYS LTD</v>
          </cell>
          <cell r="B1796">
            <v>533047</v>
          </cell>
          <cell r="C1796" t="str">
            <v>IMFA</v>
          </cell>
        </row>
        <row r="1797">
          <cell r="A1797" t="str">
            <v>INDIAN OIL CORPORATION LTD</v>
          </cell>
          <cell r="B1797">
            <v>530965</v>
          </cell>
          <cell r="C1797" t="str">
            <v>IOC</v>
          </cell>
        </row>
        <row r="1798">
          <cell r="A1798" t="str">
            <v>INDIAN OVERSEAS BANK</v>
          </cell>
          <cell r="B1798">
            <v>532388</v>
          </cell>
          <cell r="C1798" t="str">
            <v>IOB</v>
          </cell>
        </row>
        <row r="1799">
          <cell r="A1799" t="str">
            <v>INDIAN SUCROSE LTD</v>
          </cell>
          <cell r="B1799">
            <v>500319</v>
          </cell>
          <cell r="C1799" t="str">
            <v>Not Listed</v>
          </cell>
        </row>
        <row r="1800">
          <cell r="A1800" t="str">
            <v>INDIAN TERRAIN FASHIONS LTD</v>
          </cell>
          <cell r="B1800">
            <v>533329</v>
          </cell>
          <cell r="C1800" t="str">
            <v>INDTERRAIN</v>
          </cell>
        </row>
        <row r="1801">
          <cell r="A1801" t="str">
            <v>INDIAN TONERS &amp; DEVELOPERS LTD</v>
          </cell>
          <cell r="B1801">
            <v>523586</v>
          </cell>
          <cell r="C1801" t="str">
            <v>Not Listed</v>
          </cell>
        </row>
        <row r="1802">
          <cell r="A1802" t="str">
            <v>INDIANIVESH LTD</v>
          </cell>
          <cell r="B1802">
            <v>501700</v>
          </cell>
          <cell r="C1802" t="str">
            <v>Not Listed</v>
          </cell>
        </row>
        <row r="1803">
          <cell r="A1803" t="str">
            <v>INDITRADE CAPITAL LTD</v>
          </cell>
          <cell r="B1803">
            <v>532745</v>
          </cell>
          <cell r="C1803" t="str">
            <v>Not Listed</v>
          </cell>
        </row>
        <row r="1804">
          <cell r="A1804" t="str">
            <v>INDO AMINES LTD</v>
          </cell>
          <cell r="B1804">
            <v>524648</v>
          </cell>
          <cell r="C1804" t="str">
            <v>Not Listed</v>
          </cell>
        </row>
        <row r="1805">
          <cell r="A1805" t="str">
            <v>INDO ASIAN FINANCE LTD</v>
          </cell>
          <cell r="B1805">
            <v>530747</v>
          </cell>
          <cell r="C1805" t="str">
            <v>Not Listed</v>
          </cell>
        </row>
        <row r="1806">
          <cell r="A1806" t="str">
            <v>INDO BORAX &amp; CHEMICALS LTD</v>
          </cell>
          <cell r="B1806">
            <v>524342</v>
          </cell>
          <cell r="C1806" t="str">
            <v>Not Listed</v>
          </cell>
        </row>
        <row r="1807">
          <cell r="A1807" t="str">
            <v>INDO COTSPIN LTD</v>
          </cell>
          <cell r="B1807">
            <v>538838</v>
          </cell>
          <cell r="C1807" t="str">
            <v>Not Listed</v>
          </cell>
        </row>
        <row r="1808">
          <cell r="A1808" t="str">
            <v>INDO COUNT INDUSTRIES LTD</v>
          </cell>
          <cell r="B1808">
            <v>521016</v>
          </cell>
          <cell r="C1808" t="str">
            <v>ICIL</v>
          </cell>
        </row>
        <row r="1809">
          <cell r="A1809" t="str">
            <v>INDO CREDIT CAPITAL LTD</v>
          </cell>
          <cell r="B1809">
            <v>526887</v>
          </cell>
          <cell r="C1809" t="str">
            <v>Not Listed</v>
          </cell>
        </row>
        <row r="1810">
          <cell r="A1810" t="str">
            <v>INDO EURO INDCHEM LTD</v>
          </cell>
          <cell r="B1810">
            <v>524458</v>
          </cell>
          <cell r="C1810" t="str">
            <v>Not Listed</v>
          </cell>
        </row>
        <row r="1811">
          <cell r="A1811" t="str">
            <v>INDO GULF INDUSTRIES LTD</v>
          </cell>
          <cell r="B1811">
            <v>506945</v>
          </cell>
          <cell r="C1811" t="str">
            <v>Not Listed</v>
          </cell>
        </row>
        <row r="1812">
          <cell r="A1812" t="str">
            <v>INDO PACIFIC PROJECTS LTD</v>
          </cell>
          <cell r="B1812">
            <v>531565</v>
          </cell>
          <cell r="C1812" t="str">
            <v>Not Listed</v>
          </cell>
        </row>
        <row r="1813">
          <cell r="A1813" t="str">
            <v>INDO RAMA SYNTHETICS (INDIA) LTD</v>
          </cell>
          <cell r="B1813">
            <v>500207</v>
          </cell>
          <cell r="C1813" t="str">
            <v>INDORAMA</v>
          </cell>
        </row>
        <row r="1814">
          <cell r="A1814" t="str">
            <v>INDO RAMA SYNTHETICS INDIA LTD</v>
          </cell>
          <cell r="B1814">
            <v>500207</v>
          </cell>
          <cell r="C1814" t="str">
            <v>INDORAMA</v>
          </cell>
        </row>
        <row r="1815">
          <cell r="A1815" t="str">
            <v>INDO TECH TRANSFORMERS LTD</v>
          </cell>
          <cell r="B1815">
            <v>532717</v>
          </cell>
          <cell r="C1815" t="str">
            <v>INDOTECH</v>
          </cell>
        </row>
        <row r="1816">
          <cell r="A1816" t="str">
            <v>INDO THAI SECURITIES LTD</v>
          </cell>
          <cell r="B1816">
            <v>533676</v>
          </cell>
          <cell r="C1816" t="str">
            <v>INDOTHAI</v>
          </cell>
        </row>
        <row r="1817">
          <cell r="A1817" t="str">
            <v>INDO US BIO-TECH LTD</v>
          </cell>
          <cell r="B1817">
            <v>541304</v>
          </cell>
          <cell r="C1817" t="str">
            <v>Not Listed</v>
          </cell>
        </row>
        <row r="1818">
          <cell r="A1818" t="str">
            <v>INDO-CITY INFOTECH LTD</v>
          </cell>
          <cell r="B1818">
            <v>532100</v>
          </cell>
          <cell r="C1818" t="str">
            <v>Not Listed</v>
          </cell>
        </row>
        <row r="1819">
          <cell r="A1819" t="str">
            <v>INDOCO REMEDIES LTD</v>
          </cell>
          <cell r="B1819">
            <v>532612</v>
          </cell>
          <cell r="C1819" t="str">
            <v>INDOCO</v>
          </cell>
        </row>
        <row r="1820">
          <cell r="A1820" t="str">
            <v>INDO-GLOBAL ENTERPRISES LTD</v>
          </cell>
          <cell r="B1820">
            <v>539433</v>
          </cell>
          <cell r="C1820" t="str">
            <v>Not Listed</v>
          </cell>
        </row>
        <row r="1821">
          <cell r="A1821" t="str">
            <v>INDOKEM LTD</v>
          </cell>
          <cell r="B1821">
            <v>504092</v>
          </cell>
          <cell r="C1821" t="str">
            <v>Not Listed</v>
          </cell>
        </row>
        <row r="1822">
          <cell r="A1822" t="str">
            <v>INDO-NATIONAL LTD</v>
          </cell>
          <cell r="B1822">
            <v>504058</v>
          </cell>
          <cell r="C1822" t="str">
            <v>NIPPOBATRY</v>
          </cell>
        </row>
        <row r="1823">
          <cell r="A1823" t="str">
            <v>INDOSOLAR LTD</v>
          </cell>
          <cell r="B1823">
            <v>533257</v>
          </cell>
          <cell r="C1823" t="str">
            <v>INDOSOLAR</v>
          </cell>
        </row>
        <row r="1824">
          <cell r="A1824" t="str">
            <v>INDOSTAR CAPITAL FINANCE LTD</v>
          </cell>
          <cell r="B1824">
            <v>541336</v>
          </cell>
          <cell r="C1824" t="str">
            <v>INDOSTAR</v>
          </cell>
        </row>
        <row r="1825">
          <cell r="A1825" t="str">
            <v>INDOVATION TECHNOLOGIES LTD</v>
          </cell>
          <cell r="B1825">
            <v>521005</v>
          </cell>
          <cell r="C1825" t="str">
            <v>Not Listed</v>
          </cell>
        </row>
        <row r="1826">
          <cell r="A1826" t="str">
            <v>INDOWIND ENERGY LTD</v>
          </cell>
          <cell r="B1826">
            <v>532894</v>
          </cell>
          <cell r="C1826" t="str">
            <v>INDOWIND</v>
          </cell>
        </row>
        <row r="1827">
          <cell r="A1827" t="str">
            <v>INDRA INDUSTRIES LTD</v>
          </cell>
          <cell r="B1827">
            <v>539175</v>
          </cell>
          <cell r="C1827" t="str">
            <v>Not Listed</v>
          </cell>
        </row>
        <row r="1828">
          <cell r="A1828" t="str">
            <v>INDRAPRASTHA GAS LTD</v>
          </cell>
          <cell r="B1828">
            <v>532514</v>
          </cell>
          <cell r="C1828" t="str">
            <v>IGL</v>
          </cell>
        </row>
        <row r="1829">
          <cell r="A1829" t="str">
            <v>INDRAPRASTHA MEDICAL CORPORATION LTD</v>
          </cell>
          <cell r="B1829">
            <v>532150</v>
          </cell>
          <cell r="C1829" t="str">
            <v>INDRAMEDCO</v>
          </cell>
        </row>
        <row r="1830">
          <cell r="A1830" t="str">
            <v>INDRAYANI BIOTECH LTD.</v>
          </cell>
          <cell r="B1830">
            <v>526445</v>
          </cell>
          <cell r="C1830" t="str">
            <v>INDRANIB</v>
          </cell>
        </row>
        <row r="1831">
          <cell r="A1831" t="str">
            <v>INDSIL HYDRO POWER AND MANGANESE LTD</v>
          </cell>
          <cell r="B1831">
            <v>522165</v>
          </cell>
          <cell r="C1831" t="str">
            <v>Not Listed</v>
          </cell>
        </row>
        <row r="1832">
          <cell r="A1832" t="str">
            <v>INDSOYA LTD</v>
          </cell>
          <cell r="B1832">
            <v>503639</v>
          </cell>
          <cell r="C1832" t="str">
            <v>Not Listed</v>
          </cell>
        </row>
        <row r="1833">
          <cell r="A1833" t="str">
            <v>IND-SWIFT LABORATORIES LTD</v>
          </cell>
          <cell r="B1833">
            <v>532305</v>
          </cell>
          <cell r="C1833" t="str">
            <v>INDSWFTLAB</v>
          </cell>
        </row>
        <row r="1834">
          <cell r="A1834" t="str">
            <v>IND-SWIFT LTD</v>
          </cell>
          <cell r="B1834">
            <v>524652</v>
          </cell>
          <cell r="C1834" t="str">
            <v>INDSWFTLTD</v>
          </cell>
        </row>
        <row r="1835">
          <cell r="A1835" t="str">
            <v>INDUCTO STEEL LTD</v>
          </cell>
          <cell r="B1835">
            <v>532001</v>
          </cell>
          <cell r="C1835" t="str">
            <v>Not Listed</v>
          </cell>
        </row>
        <row r="1836">
          <cell r="A1836" t="str">
            <v>INDUS FINANCE LTD</v>
          </cell>
          <cell r="B1836">
            <v>531841</v>
          </cell>
          <cell r="C1836" t="str">
            <v>Not Listed</v>
          </cell>
        </row>
        <row r="1837">
          <cell r="A1837" t="str">
            <v>INDUSIND BANK LTD</v>
          </cell>
          <cell r="B1837">
            <v>532187</v>
          </cell>
          <cell r="C1837" t="str">
            <v>INDUSINDBK</v>
          </cell>
        </row>
        <row r="1838">
          <cell r="A1838" t="str">
            <v>INDUSTRIAL &amp; PRUDENTIAL INVESTMENTS CO LTD</v>
          </cell>
          <cell r="B1838">
            <v>501298</v>
          </cell>
          <cell r="C1838" t="str">
            <v>Not Listed</v>
          </cell>
        </row>
        <row r="1839">
          <cell r="A1839" t="str">
            <v>INDUSTRIAL INVESTMENT TRUST LTD</v>
          </cell>
          <cell r="B1839">
            <v>501295</v>
          </cell>
          <cell r="C1839" t="str">
            <v>IITL</v>
          </cell>
        </row>
        <row r="1840">
          <cell r="A1840" t="str">
            <v>INEOS STYROLUTION (INDIA) LTD</v>
          </cell>
          <cell r="B1840">
            <v>506222</v>
          </cell>
          <cell r="C1840" t="str">
            <v>INEOSSTYRO</v>
          </cell>
        </row>
        <row r="1841">
          <cell r="A1841" t="str">
            <v>INEOS STYROLUTION INDIA LTD</v>
          </cell>
          <cell r="B1841">
            <v>506222</v>
          </cell>
          <cell r="C1841" t="str">
            <v>INEOSSTYRO</v>
          </cell>
        </row>
        <row r="1842">
          <cell r="A1842" t="str">
            <v>INERTIA STEEL LTD</v>
          </cell>
          <cell r="B1842">
            <v>512025</v>
          </cell>
          <cell r="C1842" t="str">
            <v>Not Listed</v>
          </cell>
        </row>
        <row r="1843">
          <cell r="A1843" t="str">
            <v>INFIBEAM AVENUES LTD</v>
          </cell>
          <cell r="B1843">
            <v>539807</v>
          </cell>
          <cell r="C1843" t="str">
            <v>INFIBEAM</v>
          </cell>
        </row>
        <row r="1844">
          <cell r="A1844" t="str">
            <v>INFINITE COMPUTER SOLUTIONS (INDIA) LTD</v>
          </cell>
          <cell r="B1844">
            <v>533154</v>
          </cell>
          <cell r="C1844" t="str">
            <v>INFINITE</v>
          </cell>
        </row>
        <row r="1845">
          <cell r="A1845" t="str">
            <v>INFINITE COMPUTER SOLUTIONS INDIA LTD</v>
          </cell>
          <cell r="B1845">
            <v>533154</v>
          </cell>
          <cell r="C1845" t="str">
            <v>INFINITE</v>
          </cell>
        </row>
        <row r="1846">
          <cell r="A1846" t="str">
            <v>INFLAME APPLIANCES LTD</v>
          </cell>
          <cell r="B1846">
            <v>541083</v>
          </cell>
          <cell r="C1846" t="str">
            <v>Not Listed</v>
          </cell>
        </row>
        <row r="1847">
          <cell r="A1847" t="str">
            <v>INFO EDGE (INDIA) LTD</v>
          </cell>
          <cell r="B1847">
            <v>532777</v>
          </cell>
          <cell r="C1847" t="str">
            <v>NAUKRI</v>
          </cell>
        </row>
        <row r="1848">
          <cell r="A1848" t="str">
            <v>INFO EDGE INDIA LTD</v>
          </cell>
          <cell r="B1848">
            <v>532777</v>
          </cell>
          <cell r="C1848" t="str">
            <v>NAUKRI</v>
          </cell>
        </row>
        <row r="1849">
          <cell r="A1849" t="str">
            <v>INFOBEANS TECHNOLOGIES LTD</v>
          </cell>
          <cell r="B1849" t="str">
            <v>Not Listed</v>
          </cell>
          <cell r="C1849" t="str">
            <v>INFOBEAN</v>
          </cell>
        </row>
        <row r="1850">
          <cell r="A1850" t="str">
            <v>INFORMED TECHNOLOGIES (INDIA) LTD</v>
          </cell>
          <cell r="B1850">
            <v>504810</v>
          </cell>
          <cell r="C1850" t="str">
            <v>Not Listed</v>
          </cell>
        </row>
        <row r="1851">
          <cell r="A1851" t="str">
            <v>INFORMED TECHNOLOGIES INDIA LTD</v>
          </cell>
          <cell r="B1851">
            <v>504810</v>
          </cell>
          <cell r="C1851" t="str">
            <v>Not Listed</v>
          </cell>
        </row>
        <row r="1852">
          <cell r="A1852" t="str">
            <v>INFOSYS LTD</v>
          </cell>
          <cell r="B1852">
            <v>500209</v>
          </cell>
          <cell r="C1852" t="str">
            <v>INFY</v>
          </cell>
        </row>
        <row r="1853">
          <cell r="A1853" t="str">
            <v>INFRA INDUSTRIES LTD</v>
          </cell>
          <cell r="B1853">
            <v>530777</v>
          </cell>
          <cell r="C1853" t="str">
            <v>Not Listed</v>
          </cell>
        </row>
        <row r="1854">
          <cell r="A1854" t="str">
            <v>INFRONICS SYSTEMS LTD</v>
          </cell>
          <cell r="B1854">
            <v>537985</v>
          </cell>
          <cell r="C1854" t="str">
            <v>Not Listed</v>
          </cell>
        </row>
        <row r="1855">
          <cell r="A1855" t="str">
            <v>INGERSOLL RAND (INDIA) LTD</v>
          </cell>
          <cell r="B1855">
            <v>500210</v>
          </cell>
          <cell r="C1855" t="str">
            <v>INGERRAND</v>
          </cell>
        </row>
        <row r="1856">
          <cell r="A1856" t="str">
            <v>INGERSOLL RAND INDIA LTD</v>
          </cell>
          <cell r="B1856">
            <v>500210</v>
          </cell>
          <cell r="C1856" t="str">
            <v>INGERRAND</v>
          </cell>
        </row>
        <row r="1857">
          <cell r="A1857" t="str">
            <v>INLAND PRINTERS LTD</v>
          </cell>
          <cell r="B1857">
            <v>530787</v>
          </cell>
          <cell r="C1857" t="str">
            <v>Not Listed</v>
          </cell>
        </row>
        <row r="1858">
          <cell r="A1858" t="str">
            <v>INNOCORP LTD.</v>
          </cell>
          <cell r="B1858">
            <v>531929</v>
          </cell>
          <cell r="C1858" t="str">
            <v>INNOCORP</v>
          </cell>
        </row>
        <row r="1859">
          <cell r="A1859" t="str">
            <v>INNOVANA THINKLABS LTD</v>
          </cell>
          <cell r="B1859" t="str">
            <v>Not Listed</v>
          </cell>
          <cell r="C1859" t="str">
            <v>INNOVANA</v>
          </cell>
        </row>
        <row r="1860">
          <cell r="A1860" t="str">
            <v>INNOVASSYNTH INVESTMENTS LTD</v>
          </cell>
          <cell r="B1860">
            <v>533315</v>
          </cell>
          <cell r="C1860" t="str">
            <v>Not Listed</v>
          </cell>
        </row>
        <row r="1861">
          <cell r="A1861" t="str">
            <v>INNOVATION SOFTWARE EXPORTS LTD</v>
          </cell>
          <cell r="B1861">
            <v>517433</v>
          </cell>
          <cell r="C1861" t="str">
            <v>Not Listed</v>
          </cell>
        </row>
        <row r="1862">
          <cell r="A1862" t="str">
            <v>INNOVATIVE IDEALS AND SERVICES (INDIA) LTD</v>
          </cell>
          <cell r="B1862">
            <v>541983</v>
          </cell>
          <cell r="C1862" t="str">
            <v>Not Listed</v>
          </cell>
        </row>
        <row r="1863">
          <cell r="A1863" t="str">
            <v>INNOVATIVE IDEALS AND SERVICES INDIA LTD</v>
          </cell>
          <cell r="B1863">
            <v>541983</v>
          </cell>
          <cell r="C1863" t="str">
            <v>Not Listed</v>
          </cell>
        </row>
        <row r="1864">
          <cell r="A1864" t="str">
            <v>INNOVATIVE TECH PACK LTD</v>
          </cell>
          <cell r="B1864">
            <v>523840</v>
          </cell>
          <cell r="C1864" t="str">
            <v>Not Listed</v>
          </cell>
        </row>
        <row r="1865">
          <cell r="A1865" t="str">
            <v>INNOVATIVE TYRES AND TUBES LTD</v>
          </cell>
          <cell r="B1865" t="str">
            <v>Not Listed</v>
          </cell>
          <cell r="C1865" t="str">
            <v>INNOVATIVE</v>
          </cell>
        </row>
        <row r="1866">
          <cell r="A1866" t="str">
            <v>INNOVATORS FACADE SYSTEMS LTD</v>
          </cell>
          <cell r="B1866">
            <v>541353</v>
          </cell>
          <cell r="C1866" t="str">
            <v>Not Listed</v>
          </cell>
        </row>
        <row r="1867">
          <cell r="A1867" t="str">
            <v>INOX LEISURE LTD</v>
          </cell>
          <cell r="B1867">
            <v>532706</v>
          </cell>
          <cell r="C1867" t="str">
            <v>INOXLEISUR</v>
          </cell>
        </row>
        <row r="1868">
          <cell r="A1868" t="str">
            <v>INOX WIND LTD</v>
          </cell>
          <cell r="B1868">
            <v>539083</v>
          </cell>
          <cell r="C1868" t="str">
            <v>INOXWIND</v>
          </cell>
        </row>
        <row r="1869">
          <cell r="A1869" t="str">
            <v>INSECTICIDES (INDIA) LTD</v>
          </cell>
          <cell r="B1869">
            <v>532851</v>
          </cell>
          <cell r="C1869" t="str">
            <v>INSECTICID</v>
          </cell>
        </row>
        <row r="1870">
          <cell r="A1870" t="str">
            <v>INSECTICIDES INDIA LTD</v>
          </cell>
          <cell r="B1870">
            <v>532851</v>
          </cell>
          <cell r="C1870" t="str">
            <v>INSECTICID</v>
          </cell>
        </row>
        <row r="1871">
          <cell r="A1871" t="str">
            <v>INSILCO LTD</v>
          </cell>
          <cell r="B1871">
            <v>500211</v>
          </cell>
          <cell r="C1871" t="str">
            <v>Not Listed</v>
          </cell>
        </row>
        <row r="1872">
          <cell r="A1872" t="str">
            <v>INSPIRISYS SOLUTIONS LTD</v>
          </cell>
          <cell r="B1872">
            <v>532774</v>
          </cell>
          <cell r="C1872" t="str">
            <v>INSPIRISYS</v>
          </cell>
        </row>
        <row r="1873">
          <cell r="A1873" t="str">
            <v>INTEC CAPITAL LTD</v>
          </cell>
          <cell r="B1873">
            <v>526871</v>
          </cell>
          <cell r="C1873" t="str">
            <v>Not Listed</v>
          </cell>
        </row>
        <row r="1874">
          <cell r="A1874" t="str">
            <v>INTEGRA CAPITAL MANAGEMENT LTD.</v>
          </cell>
          <cell r="B1874">
            <v>531314</v>
          </cell>
          <cell r="C1874" t="str">
            <v>INTCAPM</v>
          </cell>
        </row>
        <row r="1875">
          <cell r="A1875" t="str">
            <v>INTEGRA ENGINEERING (INDIA) LTD</v>
          </cell>
          <cell r="B1875">
            <v>505358</v>
          </cell>
          <cell r="C1875" t="str">
            <v>Not Listed</v>
          </cell>
        </row>
        <row r="1876">
          <cell r="A1876" t="str">
            <v>INTEGRA ENGINEERING INDIA LTD</v>
          </cell>
          <cell r="B1876">
            <v>505358</v>
          </cell>
          <cell r="C1876" t="str">
            <v>Not Listed</v>
          </cell>
        </row>
        <row r="1877">
          <cell r="A1877" t="str">
            <v>INTEGRA GARMENTS AND TEXTILES LTD</v>
          </cell>
          <cell r="B1877">
            <v>535958</v>
          </cell>
          <cell r="C1877" t="str">
            <v>INTEGRA</v>
          </cell>
        </row>
        <row r="1878">
          <cell r="A1878" t="str">
            <v>INTEGRA SWITCHGEAR LTD</v>
          </cell>
          <cell r="B1878">
            <v>517423</v>
          </cell>
          <cell r="C1878" t="str">
            <v>Not Listed</v>
          </cell>
        </row>
        <row r="1879">
          <cell r="A1879" t="str">
            <v>INTEGRA TELECOMMUNICATION &amp; SOFTWARE LTD</v>
          </cell>
          <cell r="B1879">
            <v>536868</v>
          </cell>
          <cell r="C1879" t="str">
            <v>Not Listed</v>
          </cell>
        </row>
        <row r="1880">
          <cell r="A1880" t="str">
            <v>INTEGRATED CAPITAL SERVICES LTD</v>
          </cell>
          <cell r="B1880">
            <v>539149</v>
          </cell>
          <cell r="C1880" t="str">
            <v>Not Listed</v>
          </cell>
        </row>
        <row r="1881">
          <cell r="A1881" t="str">
            <v>INTEGRATED FINANCIAL SERVICES LTD</v>
          </cell>
          <cell r="B1881">
            <v>500212</v>
          </cell>
          <cell r="C1881" t="str">
            <v>Not Listed</v>
          </cell>
        </row>
        <row r="1882">
          <cell r="A1882" t="str">
            <v>INTEGRATED PROTEINS LTD</v>
          </cell>
          <cell r="B1882">
            <v>519606</v>
          </cell>
          <cell r="C1882" t="str">
            <v>Not Listed</v>
          </cell>
        </row>
        <row r="1883">
          <cell r="A1883" t="str">
            <v>INTEGRATED TECHNOLOGIES LTD</v>
          </cell>
          <cell r="B1883">
            <v>531889</v>
          </cell>
          <cell r="C1883" t="str">
            <v>Not Listed</v>
          </cell>
        </row>
        <row r="1884">
          <cell r="A1884" t="str">
            <v>INTEGRATED THERMOPLASTICS LTD</v>
          </cell>
          <cell r="B1884">
            <v>530921</v>
          </cell>
          <cell r="C1884" t="str">
            <v>Not Listed</v>
          </cell>
        </row>
        <row r="1885">
          <cell r="A1885" t="str">
            <v>INTELLECT DESIGN ARENA LTD</v>
          </cell>
          <cell r="B1885">
            <v>538835</v>
          </cell>
          <cell r="C1885" t="str">
            <v>INTELLECT</v>
          </cell>
        </row>
        <row r="1886">
          <cell r="A1886" t="str">
            <v>INTELLIVATE CAPITAL ADVISORS LTD</v>
          </cell>
          <cell r="B1886">
            <v>534732</v>
          </cell>
          <cell r="C1886" t="str">
            <v>Not Listed</v>
          </cell>
        </row>
        <row r="1887">
          <cell r="A1887" t="str">
            <v>INTELLIVATE CAPITAL VENTURES LTD</v>
          </cell>
          <cell r="B1887">
            <v>506134</v>
          </cell>
          <cell r="C1887" t="str">
            <v>Not Listed</v>
          </cell>
        </row>
        <row r="1888">
          <cell r="A1888" t="str">
            <v>INTENSE TECHNOLOGIES LTD</v>
          </cell>
          <cell r="B1888">
            <v>532326</v>
          </cell>
          <cell r="C1888" t="str">
            <v>INTENTECH</v>
          </cell>
        </row>
        <row r="1889">
          <cell r="A1889" t="str">
            <v>INTER GLOBE FINANCE LTD</v>
          </cell>
          <cell r="B1889">
            <v>511391</v>
          </cell>
          <cell r="C1889" t="str">
            <v>Not Listed</v>
          </cell>
        </row>
        <row r="1890">
          <cell r="A1890" t="str">
            <v>INTER STATE OIL CARRIER LTD</v>
          </cell>
          <cell r="B1890">
            <v>530259</v>
          </cell>
          <cell r="C1890" t="str">
            <v>Not Listed</v>
          </cell>
        </row>
        <row r="1891">
          <cell r="A1891" t="str">
            <v>INTERACTIVE FINANCIAL SERVICES LTD</v>
          </cell>
          <cell r="B1891">
            <v>539692</v>
          </cell>
          <cell r="C1891" t="str">
            <v>Not Listed</v>
          </cell>
        </row>
        <row r="1892">
          <cell r="A1892" t="str">
            <v>INTERGLOBE AVIATION LTD</v>
          </cell>
          <cell r="B1892">
            <v>539448</v>
          </cell>
          <cell r="C1892" t="str">
            <v>INDIGO</v>
          </cell>
        </row>
        <row r="1893">
          <cell r="A1893" t="str">
            <v>INTERLINK PETROLEUM LTD</v>
          </cell>
          <cell r="B1893">
            <v>526512</v>
          </cell>
          <cell r="C1893" t="str">
            <v>Not Listed</v>
          </cell>
        </row>
        <row r="1894">
          <cell r="A1894" t="str">
            <v>INTERNATIONAL COMBUSTION (INDIA) LTD</v>
          </cell>
          <cell r="B1894">
            <v>505737</v>
          </cell>
          <cell r="C1894" t="str">
            <v>Not Listed</v>
          </cell>
        </row>
        <row r="1895">
          <cell r="A1895" t="str">
            <v>INTERNATIONAL COMBUSTION INDIA LTD</v>
          </cell>
          <cell r="B1895">
            <v>505737</v>
          </cell>
          <cell r="C1895" t="str">
            <v>Not Listed</v>
          </cell>
        </row>
        <row r="1896">
          <cell r="A1896" t="str">
            <v>INTERNATIONAL CONSTRUCTIONS LTD</v>
          </cell>
          <cell r="B1896" t="str">
            <v>Not Listed</v>
          </cell>
          <cell r="C1896" t="str">
            <v>SUBCAPCITY</v>
          </cell>
        </row>
        <row r="1897">
          <cell r="A1897" t="str">
            <v>INTERNATIONAL CONVEYORS LTD</v>
          </cell>
          <cell r="B1897">
            <v>509709</v>
          </cell>
          <cell r="C1897" t="str">
            <v>Not Listed</v>
          </cell>
        </row>
        <row r="1898">
          <cell r="A1898" t="str">
            <v>INTERNATIONAL DATA MANAGEMENT LTD</v>
          </cell>
          <cell r="B1898">
            <v>517044</v>
          </cell>
          <cell r="C1898" t="str">
            <v>Not Listed</v>
          </cell>
        </row>
        <row r="1899">
          <cell r="A1899" t="str">
            <v>INTERNATIONAL HOUSING FINANCE CORPORATION LTD</v>
          </cell>
          <cell r="B1899">
            <v>530781</v>
          </cell>
          <cell r="C1899" t="str">
            <v>Not Listed</v>
          </cell>
        </row>
        <row r="1900">
          <cell r="A1900" t="str">
            <v>INTERNATIONAL PAPER APPM LTD</v>
          </cell>
          <cell r="B1900">
            <v>502330</v>
          </cell>
          <cell r="C1900" t="str">
            <v>IPAPPM</v>
          </cell>
        </row>
        <row r="1901">
          <cell r="A1901" t="str">
            <v>INTERNATIONAL TRAVEL HOUSE LTD</v>
          </cell>
          <cell r="B1901">
            <v>500213</v>
          </cell>
          <cell r="C1901" t="str">
            <v>Not Listed</v>
          </cell>
        </row>
        <row r="1902">
          <cell r="A1902" t="str">
            <v>INTERWORLD DIGITAL LTD</v>
          </cell>
          <cell r="B1902">
            <v>532072</v>
          </cell>
          <cell r="C1902" t="str">
            <v>Not Listed</v>
          </cell>
        </row>
        <row r="1903">
          <cell r="A1903" t="str">
            <v>INTRASOFT TECHNOLOGIES LTD</v>
          </cell>
          <cell r="B1903">
            <v>533181</v>
          </cell>
          <cell r="C1903" t="str">
            <v>ISFT</v>
          </cell>
        </row>
        <row r="1904">
          <cell r="A1904" t="str">
            <v>INVENTURE GROWTH &amp; SECURITIES LTD</v>
          </cell>
          <cell r="B1904">
            <v>533506</v>
          </cell>
          <cell r="C1904" t="str">
            <v>INVENTURE</v>
          </cell>
        </row>
        <row r="1905">
          <cell r="A1905" t="str">
            <v>Invesco India Gold Exchange Traded Fund</v>
          </cell>
          <cell r="B1905">
            <v>533172</v>
          </cell>
          <cell r="C1905" t="str">
            <v>IVZINGOLD</v>
          </cell>
        </row>
        <row r="1906">
          <cell r="A1906" t="str">
            <v>INVESTMENT &amp; PRECISION CASTINGS LTD</v>
          </cell>
          <cell r="B1906">
            <v>504786</v>
          </cell>
          <cell r="C1906" t="str">
            <v>Not Listed</v>
          </cell>
        </row>
        <row r="1907">
          <cell r="A1907" t="str">
            <v>INVICTA MEDITEK LTD</v>
          </cell>
          <cell r="B1907">
            <v>523844</v>
          </cell>
          <cell r="C1907" t="str">
            <v>Not Listed</v>
          </cell>
        </row>
        <row r="1908">
          <cell r="A1908" t="str">
            <v>IO SYSTEM LTD</v>
          </cell>
          <cell r="B1908">
            <v>523752</v>
          </cell>
          <cell r="C1908" t="str">
            <v>Not Listed</v>
          </cell>
        </row>
        <row r="1909">
          <cell r="A1909" t="str">
            <v>IOL CHEMICALS AND PHARMACEUTICALS LTD</v>
          </cell>
          <cell r="B1909">
            <v>524164</v>
          </cell>
          <cell r="C1909" t="str">
            <v>IOLCP</v>
          </cell>
        </row>
        <row r="1910">
          <cell r="A1910" t="str">
            <v>ION EXCHANGE (INDIA) LTD</v>
          </cell>
          <cell r="B1910">
            <v>500214</v>
          </cell>
          <cell r="C1910" t="str">
            <v>Not Listed</v>
          </cell>
        </row>
        <row r="1911">
          <cell r="A1911" t="str">
            <v>ION EXCHANGE INDIA LTD</v>
          </cell>
          <cell r="B1911">
            <v>500214</v>
          </cell>
          <cell r="C1911" t="str">
            <v>Not Listed</v>
          </cell>
        </row>
        <row r="1912">
          <cell r="A1912" t="str">
            <v>IP RINGS LTD</v>
          </cell>
          <cell r="B1912">
            <v>523638</v>
          </cell>
          <cell r="C1912" t="str">
            <v>Not Listed</v>
          </cell>
        </row>
        <row r="1913">
          <cell r="A1913" t="str">
            <v>IPCA LABORATORIES LTD</v>
          </cell>
          <cell r="B1913">
            <v>524494</v>
          </cell>
          <cell r="C1913" t="str">
            <v>IPCALAB</v>
          </cell>
        </row>
        <row r="1914">
          <cell r="A1914" t="str">
            <v>I-POWER SOLUTIONS (INDIA) LTD</v>
          </cell>
          <cell r="B1914">
            <v>512405</v>
          </cell>
          <cell r="C1914" t="str">
            <v>Not Listed</v>
          </cell>
        </row>
        <row r="1915">
          <cell r="A1915" t="str">
            <v>I-POWER SOLUTIONS INDIA LTD</v>
          </cell>
          <cell r="B1915">
            <v>512405</v>
          </cell>
          <cell r="C1915" t="str">
            <v>Not Listed</v>
          </cell>
        </row>
        <row r="1916">
          <cell r="A1916" t="str">
            <v>IRB INFRASTRUCTURE DEVELOPERS LTD</v>
          </cell>
          <cell r="B1916">
            <v>532947</v>
          </cell>
          <cell r="C1916" t="str">
            <v>IRB</v>
          </cell>
        </row>
        <row r="1917">
          <cell r="A1917" t="str">
            <v>IRB InvIT Fund</v>
          </cell>
          <cell r="B1917">
            <v>540526</v>
          </cell>
          <cell r="C1917" t="str">
            <v>IRBINVIT</v>
          </cell>
        </row>
        <row r="1918">
          <cell r="A1918" t="str">
            <v>IRCON INTERNATIONAL LTD</v>
          </cell>
          <cell r="B1918">
            <v>541956</v>
          </cell>
          <cell r="C1918" t="str">
            <v>IRCON</v>
          </cell>
        </row>
        <row r="1919">
          <cell r="A1919" t="str">
            <v>IRIS BUSINESS SERVICES LTD</v>
          </cell>
          <cell r="B1919">
            <v>540735</v>
          </cell>
          <cell r="C1919" t="str">
            <v>Not Listed</v>
          </cell>
        </row>
        <row r="1920">
          <cell r="A1920" t="str">
            <v>IRIS CLOTHINGS LTD</v>
          </cell>
          <cell r="B1920" t="str">
            <v>Not Listed</v>
          </cell>
          <cell r="C1920" t="str">
            <v>IRISDOREME</v>
          </cell>
        </row>
        <row r="1921">
          <cell r="A1921" t="str">
            <v>IRIS MEDIAWORKS LTD</v>
          </cell>
          <cell r="B1921">
            <v>531337</v>
          </cell>
          <cell r="C1921" t="str">
            <v>Not Listed</v>
          </cell>
        </row>
        <row r="1922">
          <cell r="A1922" t="str">
            <v>ISF LTD</v>
          </cell>
          <cell r="B1922">
            <v>526859</v>
          </cell>
          <cell r="C1922" t="str">
            <v>Not Listed</v>
          </cell>
        </row>
        <row r="1923">
          <cell r="A1923" t="str">
            <v>ISGEC HEAVY ENGINEERING LTD</v>
          </cell>
          <cell r="B1923">
            <v>533033</v>
          </cell>
          <cell r="C1923" t="str">
            <v>Not Listed</v>
          </cell>
        </row>
        <row r="1924">
          <cell r="A1924" t="str">
            <v>ISHAAN INFRASTRUCTURES AND SHELTERS LTD</v>
          </cell>
          <cell r="B1924">
            <v>540134</v>
          </cell>
          <cell r="C1924" t="str">
            <v>Not Listed</v>
          </cell>
        </row>
        <row r="1925">
          <cell r="A1925" t="str">
            <v>ISHAN DYES &amp; CHEMICALS LTD</v>
          </cell>
          <cell r="B1925">
            <v>531109</v>
          </cell>
          <cell r="C1925" t="str">
            <v>Not Listed</v>
          </cell>
        </row>
        <row r="1926">
          <cell r="A1926" t="str">
            <v>ISHITA DRUGS &amp; INDUSTRIES LTD</v>
          </cell>
          <cell r="B1926">
            <v>524400</v>
          </cell>
          <cell r="C1926" t="str">
            <v>Not Listed</v>
          </cell>
        </row>
        <row r="1927">
          <cell r="A1927" t="str">
            <v>ISHWARSHAKTI HOLDINGS &amp; TRADERS LTD</v>
          </cell>
          <cell r="B1927">
            <v>506161</v>
          </cell>
          <cell r="C1927" t="str">
            <v>Not Listed</v>
          </cell>
        </row>
        <row r="1928">
          <cell r="A1928" t="str">
            <v>ISL CONSULTING LTD</v>
          </cell>
          <cell r="B1928">
            <v>511609</v>
          </cell>
          <cell r="C1928" t="str">
            <v>Not Listed</v>
          </cell>
        </row>
        <row r="1929">
          <cell r="A1929" t="str">
            <v>ISMT LTD</v>
          </cell>
          <cell r="B1929">
            <v>532479</v>
          </cell>
          <cell r="C1929" t="str">
            <v>ISMTLTD</v>
          </cell>
        </row>
        <row r="1930">
          <cell r="A1930" t="str">
            <v>IST LTD</v>
          </cell>
          <cell r="B1930">
            <v>508807</v>
          </cell>
          <cell r="C1930" t="str">
            <v>Not Listed</v>
          </cell>
        </row>
        <row r="1931">
          <cell r="A1931" t="str">
            <v>ISTREET NETWORK LTD</v>
          </cell>
          <cell r="B1931">
            <v>524622</v>
          </cell>
          <cell r="C1931" t="str">
            <v>Not Listed</v>
          </cell>
        </row>
        <row r="1932">
          <cell r="A1932" t="str">
            <v>ITC LTD</v>
          </cell>
          <cell r="B1932">
            <v>500875</v>
          </cell>
          <cell r="C1932" t="str">
            <v>ITC</v>
          </cell>
        </row>
        <row r="1933">
          <cell r="A1933" t="str">
            <v>ITD CEMENTATION (INDIA) LTD</v>
          </cell>
          <cell r="B1933">
            <v>509496</v>
          </cell>
          <cell r="C1933" t="str">
            <v>ITDCEM</v>
          </cell>
        </row>
        <row r="1934">
          <cell r="A1934" t="str">
            <v>ITD CEMENTATION INDIA LTD</v>
          </cell>
          <cell r="B1934">
            <v>509496</v>
          </cell>
          <cell r="C1934" t="str">
            <v>ITDCEM</v>
          </cell>
        </row>
        <row r="1935">
          <cell r="A1935" t="str">
            <v>ITI LTD</v>
          </cell>
          <cell r="B1935">
            <v>523610</v>
          </cell>
          <cell r="C1935" t="str">
            <v>ITI</v>
          </cell>
        </row>
        <row r="1936">
          <cell r="A1936" t="str">
            <v>ITL INDUSTRIES LTD</v>
          </cell>
          <cell r="B1936">
            <v>522183</v>
          </cell>
          <cell r="C1936" t="str">
            <v>Not Listed</v>
          </cell>
        </row>
        <row r="1937">
          <cell r="A1937" t="str">
            <v>IVP LTD</v>
          </cell>
          <cell r="B1937">
            <v>507580</v>
          </cell>
          <cell r="C1937" t="str">
            <v>IVP</v>
          </cell>
        </row>
        <row r="1938">
          <cell r="A1938" t="str">
            <v>IVRCL LTD</v>
          </cell>
          <cell r="B1938">
            <v>530773</v>
          </cell>
          <cell r="C1938" t="str">
            <v>IVRCLINFRA</v>
          </cell>
        </row>
        <row r="1939">
          <cell r="A1939" t="str">
            <v>IYKOT HITECH TOOLROOM LTD</v>
          </cell>
          <cell r="B1939">
            <v>522245</v>
          </cell>
          <cell r="C1939" t="str">
            <v>Not Listed</v>
          </cell>
        </row>
        <row r="1940">
          <cell r="A1940" t="str">
            <v>IZMO LTD</v>
          </cell>
          <cell r="B1940">
            <v>532341</v>
          </cell>
          <cell r="C1940" t="str">
            <v>IZMO</v>
          </cell>
        </row>
        <row r="1941">
          <cell r="A1941" t="str">
            <v>J  TAPARIA PROJECTS LTD</v>
          </cell>
          <cell r="B1941">
            <v>538539</v>
          </cell>
          <cell r="C1941" t="str">
            <v>Not Listed</v>
          </cell>
        </row>
        <row r="1942">
          <cell r="A1942" t="str">
            <v>J J EXPORTERS LTD</v>
          </cell>
          <cell r="B1942">
            <v>530049</v>
          </cell>
          <cell r="C1942" t="str">
            <v>Not Listed</v>
          </cell>
        </row>
        <row r="1943">
          <cell r="A1943" t="str">
            <v>J J FINANCE CORPORATION LTD</v>
          </cell>
          <cell r="B1943">
            <v>523062</v>
          </cell>
          <cell r="C1943" t="str">
            <v>Not Listed</v>
          </cell>
        </row>
        <row r="1944">
          <cell r="A1944" t="str">
            <v>J KUMAR INFRAPROJECTS LTD</v>
          </cell>
          <cell r="B1944">
            <v>532940</v>
          </cell>
          <cell r="C1944" t="str">
            <v>JKIL</v>
          </cell>
        </row>
        <row r="1945">
          <cell r="A1945" t="str">
            <v>J L MORISON (INDIA) LTD</v>
          </cell>
          <cell r="B1945">
            <v>506522</v>
          </cell>
          <cell r="C1945" t="str">
            <v>Not Listed</v>
          </cell>
        </row>
        <row r="1946">
          <cell r="A1946" t="str">
            <v>J L MORISON INDIA LTD</v>
          </cell>
          <cell r="B1946">
            <v>506522</v>
          </cell>
          <cell r="C1946" t="str">
            <v>Not Listed</v>
          </cell>
        </row>
        <row r="1947">
          <cell r="A1947" t="str">
            <v>J R FOODS LTD</v>
          </cell>
          <cell r="B1947">
            <v>530915</v>
          </cell>
          <cell r="C1947" t="str">
            <v>Not Listed</v>
          </cell>
        </row>
        <row r="1948">
          <cell r="A1948" t="str">
            <v>JACKSON INVESTMENTS LTD</v>
          </cell>
          <cell r="B1948">
            <v>538422</v>
          </cell>
          <cell r="C1948" t="str">
            <v>Not Listed</v>
          </cell>
        </row>
        <row r="1949">
          <cell r="A1949" t="str">
            <v>JAGAN LAMPS LTD</v>
          </cell>
          <cell r="B1949">
            <v>530711</v>
          </cell>
          <cell r="C1949" t="str">
            <v>Not Listed</v>
          </cell>
        </row>
        <row r="1950">
          <cell r="A1950" t="str">
            <v>JAGATJIT INDUSTRIES LTD</v>
          </cell>
          <cell r="B1950">
            <v>507155</v>
          </cell>
          <cell r="C1950" t="str">
            <v>Not Listed</v>
          </cell>
        </row>
        <row r="1951">
          <cell r="A1951" t="str">
            <v>JAGJANANI TEXTILES LTD</v>
          </cell>
          <cell r="B1951">
            <v>532825</v>
          </cell>
          <cell r="C1951" t="str">
            <v>Not Listed</v>
          </cell>
        </row>
        <row r="1952">
          <cell r="A1952" t="str">
            <v>JAGRAN PRAKASHAN LTD</v>
          </cell>
          <cell r="B1952">
            <v>532705</v>
          </cell>
          <cell r="C1952" t="str">
            <v>JAGRAN</v>
          </cell>
        </row>
        <row r="1953">
          <cell r="A1953" t="str">
            <v>JAGSON AIRLINES LTD</v>
          </cell>
          <cell r="B1953">
            <v>520139</v>
          </cell>
          <cell r="C1953" t="str">
            <v>Not Listed</v>
          </cell>
        </row>
        <row r="1954">
          <cell r="A1954" t="str">
            <v>JAGSONPAL FINANCE &amp; LEASING LTD</v>
          </cell>
          <cell r="B1954">
            <v>530601</v>
          </cell>
          <cell r="C1954" t="str">
            <v>Not Listed</v>
          </cell>
        </row>
        <row r="1955">
          <cell r="A1955" t="str">
            <v>JAGSONPAL PHARMACEUTICALS LTD</v>
          </cell>
          <cell r="B1955">
            <v>507789</v>
          </cell>
          <cell r="C1955" t="str">
            <v>JAGSNPHARM</v>
          </cell>
        </row>
        <row r="1956">
          <cell r="A1956" t="str">
            <v>JAI BALAJI INDUSTRIES LTD</v>
          </cell>
          <cell r="B1956">
            <v>532976</v>
          </cell>
          <cell r="C1956" t="str">
            <v>JAIBALAJI</v>
          </cell>
        </row>
        <row r="1957">
          <cell r="A1957" t="str">
            <v>JAI CORP LTD</v>
          </cell>
          <cell r="B1957">
            <v>512237</v>
          </cell>
          <cell r="C1957" t="str">
            <v>JAICORPLTD</v>
          </cell>
        </row>
        <row r="1958">
          <cell r="A1958" t="str">
            <v>JAI MATA GLASS LTD</v>
          </cell>
          <cell r="B1958">
            <v>523467</v>
          </cell>
          <cell r="C1958" t="str">
            <v>Not Listed</v>
          </cell>
        </row>
        <row r="1959">
          <cell r="A1959" t="str">
            <v>JAIHIND PROJECTS LTD</v>
          </cell>
          <cell r="B1959">
            <v>531339</v>
          </cell>
          <cell r="C1959" t="str">
            <v>JAIHINDPRO</v>
          </cell>
        </row>
        <row r="1960">
          <cell r="A1960" t="str">
            <v>JAIHIND SYNTHETICS LTD</v>
          </cell>
          <cell r="B1960">
            <v>514312</v>
          </cell>
          <cell r="C1960" t="str">
            <v>Not Listed</v>
          </cell>
        </row>
        <row r="1961">
          <cell r="A1961" t="str">
            <v>JAIN IRRIGATION SYSTEMS LTD</v>
          </cell>
          <cell r="B1961">
            <v>500219</v>
          </cell>
          <cell r="C1961" t="str">
            <v>JISLJALEQS</v>
          </cell>
        </row>
        <row r="1962">
          <cell r="A1962" t="str">
            <v>JAIN IRRIGATION SYSTEMS LTD</v>
          </cell>
          <cell r="B1962">
            <v>570004</v>
          </cell>
          <cell r="C1962" t="str">
            <v>JISLDVREQS</v>
          </cell>
        </row>
        <row r="1963">
          <cell r="A1963" t="str">
            <v>JAIN MARMO INDUSTRIES LTD</v>
          </cell>
          <cell r="B1963">
            <v>539119</v>
          </cell>
          <cell r="C1963" t="str">
            <v>Not Listed</v>
          </cell>
        </row>
        <row r="1964">
          <cell r="A1964" t="str">
            <v>JAIN STUDIOS LTD</v>
          </cell>
          <cell r="B1964">
            <v>532033</v>
          </cell>
          <cell r="C1964" t="str">
            <v>JAINSTUDIO</v>
          </cell>
        </row>
        <row r="1965">
          <cell r="A1965" t="str">
            <v>JAINCO PROJECTS (INDIA) LTD</v>
          </cell>
          <cell r="B1965">
            <v>526865</v>
          </cell>
          <cell r="C1965" t="str">
            <v>Not Listed</v>
          </cell>
        </row>
        <row r="1966">
          <cell r="A1966" t="str">
            <v>JAINCO PROJECTS INDIA LTD</v>
          </cell>
          <cell r="B1966">
            <v>526865</v>
          </cell>
          <cell r="C1966" t="str">
            <v>Not Listed</v>
          </cell>
        </row>
        <row r="1967">
          <cell r="A1967" t="str">
            <v>JAINEX AAMCOL LTD</v>
          </cell>
          <cell r="B1967">
            <v>505212</v>
          </cell>
          <cell r="C1967" t="str">
            <v>Not Listed</v>
          </cell>
        </row>
        <row r="1968">
          <cell r="A1968" t="str">
            <v>JAIPAN INDUSTRIES LTD</v>
          </cell>
          <cell r="B1968">
            <v>505840</v>
          </cell>
          <cell r="C1968" t="str">
            <v>Not Listed</v>
          </cell>
        </row>
        <row r="1969">
          <cell r="A1969" t="str">
            <v>JAIPRAKASH ASSOCIATES LTD</v>
          </cell>
          <cell r="B1969">
            <v>532532</v>
          </cell>
          <cell r="C1969" t="str">
            <v>JPASSOCIAT</v>
          </cell>
        </row>
        <row r="1970">
          <cell r="A1970" t="str">
            <v>JAIPRAKASH POWER VENTURES LTD</v>
          </cell>
          <cell r="B1970">
            <v>532627</v>
          </cell>
          <cell r="C1970" t="str">
            <v>JPPOWER</v>
          </cell>
        </row>
        <row r="1971">
          <cell r="A1971" t="str">
            <v>JAISUKH DEALERS LTD</v>
          </cell>
          <cell r="B1971">
            <v>780001</v>
          </cell>
          <cell r="C1971" t="str">
            <v>Not Listed</v>
          </cell>
        </row>
        <row r="1972">
          <cell r="A1972" t="str">
            <v>JAKHARIA FABRIC LTD</v>
          </cell>
          <cell r="B1972" t="str">
            <v>Not Listed</v>
          </cell>
          <cell r="C1972" t="str">
            <v>JAKHARIA</v>
          </cell>
        </row>
        <row r="1973">
          <cell r="A1973" t="str">
            <v>JALAN TRANSOLUTIONS (INDIA) LTD</v>
          </cell>
          <cell r="B1973" t="str">
            <v>Not Listed</v>
          </cell>
          <cell r="C1973" t="str">
            <v>JALAN</v>
          </cell>
        </row>
        <row r="1974">
          <cell r="A1974" t="str">
            <v>JALAN TRANSOLUTIONS INDIA LTD</v>
          </cell>
          <cell r="B1974" t="str">
            <v>Not Listed</v>
          </cell>
          <cell r="C1974" t="str">
            <v>JALAN</v>
          </cell>
        </row>
        <row r="1975">
          <cell r="A1975" t="str">
            <v>JAMES WARREN TEA LTD</v>
          </cell>
          <cell r="B1975">
            <v>538564</v>
          </cell>
          <cell r="C1975" t="str">
            <v>Not Listed</v>
          </cell>
        </row>
        <row r="1976">
          <cell r="A1976" t="str">
            <v>JAMNA AUTO INDUSTRIES LTD</v>
          </cell>
          <cell r="B1976">
            <v>520051</v>
          </cell>
          <cell r="C1976" t="str">
            <v>JAMNAAUTO</v>
          </cell>
        </row>
        <row r="1977">
          <cell r="A1977" t="str">
            <v>JAMSHRI RANJITSINGHJI SPG  &amp; WVG  MILLS CO LTD</v>
          </cell>
          <cell r="B1977">
            <v>502901</v>
          </cell>
          <cell r="C1977" t="str">
            <v>Not Listed</v>
          </cell>
        </row>
        <row r="1978">
          <cell r="A1978" t="str">
            <v>JASCH INDUSTRIES LTD</v>
          </cell>
          <cell r="B1978">
            <v>500220</v>
          </cell>
          <cell r="C1978" t="str">
            <v>Not Listed</v>
          </cell>
        </row>
        <row r="1979">
          <cell r="A1979" t="str">
            <v>JASH DEALMARK LTD</v>
          </cell>
          <cell r="B1979">
            <v>540394</v>
          </cell>
          <cell r="C1979" t="str">
            <v>Not Listed</v>
          </cell>
        </row>
        <row r="1980">
          <cell r="A1980" t="str">
            <v>JASH ENGINEERING LTD</v>
          </cell>
          <cell r="B1980" t="str">
            <v>Not Listed</v>
          </cell>
          <cell r="C1980" t="str">
            <v>JASH</v>
          </cell>
        </row>
        <row r="1981">
          <cell r="A1981" t="str">
            <v>JATTASHANKAR INDUSTIES LTD</v>
          </cell>
          <cell r="B1981">
            <v>514318</v>
          </cell>
          <cell r="C1981" t="str">
            <v>Not Listed</v>
          </cell>
        </row>
        <row r="1982">
          <cell r="A1982" t="str">
            <v>JAUSS POLYMERS LTD</v>
          </cell>
          <cell r="B1982">
            <v>526001</v>
          </cell>
          <cell r="C1982" t="str">
            <v>Not Listed</v>
          </cell>
        </row>
        <row r="1983">
          <cell r="A1983" t="str">
            <v>JAY BHARAT MARUTI LTD</v>
          </cell>
          <cell r="B1983">
            <v>520066</v>
          </cell>
          <cell r="C1983" t="str">
            <v>JAYBARMARU</v>
          </cell>
        </row>
        <row r="1984">
          <cell r="A1984" t="str">
            <v>JAY SHREE TEA &amp; INDUSTRIES LTD</v>
          </cell>
          <cell r="B1984">
            <v>509715</v>
          </cell>
          <cell r="C1984" t="str">
            <v>Not Listed</v>
          </cell>
        </row>
        <row r="1985">
          <cell r="A1985" t="str">
            <v>JAY USHIN LTD</v>
          </cell>
          <cell r="B1985">
            <v>513252</v>
          </cell>
          <cell r="C1985" t="str">
            <v>Not Listed</v>
          </cell>
        </row>
        <row r="1986">
          <cell r="A1986" t="str">
            <v>JAYANT AGRO ORGANICS LTD</v>
          </cell>
          <cell r="B1986">
            <v>524330</v>
          </cell>
          <cell r="C1986" t="str">
            <v>JAYAGROGN</v>
          </cell>
        </row>
        <row r="1987">
          <cell r="A1987" t="str">
            <v>JAYASWAL NECO INDUSTRIES LTD</v>
          </cell>
          <cell r="B1987">
            <v>522285</v>
          </cell>
          <cell r="C1987" t="str">
            <v>JAYNECOIND</v>
          </cell>
        </row>
        <row r="1988">
          <cell r="A1988" t="str">
            <v>JAYATMA ENTERPRISES LTD</v>
          </cell>
          <cell r="B1988">
            <v>539005</v>
          </cell>
          <cell r="C1988" t="str">
            <v>Not Listed</v>
          </cell>
        </row>
        <row r="1989">
          <cell r="A1989" t="str">
            <v>JAYATMA INDUSTRIES LTD</v>
          </cell>
          <cell r="B1989">
            <v>531323</v>
          </cell>
          <cell r="C1989" t="str">
            <v>Not Listed</v>
          </cell>
        </row>
        <row r="1990">
          <cell r="A1990" t="str">
            <v>JAYBHARAT TEXTILES &amp; REAL ESTATE LTD</v>
          </cell>
          <cell r="B1990">
            <v>512233</v>
          </cell>
          <cell r="C1990" t="str">
            <v>Not Listed</v>
          </cell>
        </row>
        <row r="1991">
          <cell r="A1991" t="str">
            <v>JAYKAY ENTERPRISES LTD</v>
          </cell>
          <cell r="B1991">
            <v>500306</v>
          </cell>
          <cell r="C1991" t="str">
            <v>Not Listed</v>
          </cell>
        </row>
        <row r="1992">
          <cell r="A1992" t="str">
            <v>JAYPEE INFRATECH LTD</v>
          </cell>
          <cell r="B1992">
            <v>533207</v>
          </cell>
          <cell r="C1992" t="str">
            <v>JPINFRATEC</v>
          </cell>
        </row>
        <row r="1993">
          <cell r="A1993" t="str">
            <v>JAYSHREE CHEMICALS LTD</v>
          </cell>
          <cell r="B1993">
            <v>506520</v>
          </cell>
          <cell r="C1993" t="str">
            <v>Not Listed</v>
          </cell>
        </row>
        <row r="1994">
          <cell r="A1994" t="str">
            <v>JAYSHREE TEA &amp; INDUSTRIES LTD</v>
          </cell>
          <cell r="B1994" t="str">
            <v>Not Listed</v>
          </cell>
          <cell r="C1994" t="str">
            <v>JAYSREETEA</v>
          </cell>
        </row>
        <row r="1995">
          <cell r="A1995" t="str">
            <v>JAYSYNTH DYESTUFF (INDIA) LTD</v>
          </cell>
          <cell r="B1995">
            <v>506910</v>
          </cell>
          <cell r="C1995" t="str">
            <v>Not Listed</v>
          </cell>
        </row>
        <row r="1996">
          <cell r="A1996" t="str">
            <v>JAYSYNTH DYESTUFF INDIA LTD</v>
          </cell>
          <cell r="B1996">
            <v>506910</v>
          </cell>
          <cell r="C1996" t="str">
            <v>Not Listed</v>
          </cell>
        </row>
        <row r="1997">
          <cell r="A1997" t="str">
            <v>JB CHEMICALS &amp; PHARMACEUTICALS LTD</v>
          </cell>
          <cell r="B1997">
            <v>506943</v>
          </cell>
          <cell r="C1997" t="str">
            <v>JBCHEPHARM</v>
          </cell>
        </row>
        <row r="1998">
          <cell r="A1998" t="str">
            <v>JBF INDUSTRIES LTD</v>
          </cell>
          <cell r="B1998">
            <v>514034</v>
          </cell>
          <cell r="C1998" t="str">
            <v>JBFIND</v>
          </cell>
        </row>
        <row r="1999">
          <cell r="A1999" t="str">
            <v>JBM AUTO LTD</v>
          </cell>
          <cell r="B1999">
            <v>532605</v>
          </cell>
          <cell r="C1999" t="str">
            <v>JBMA</v>
          </cell>
        </row>
        <row r="2000">
          <cell r="A2000" t="str">
            <v>JCT LTD</v>
          </cell>
          <cell r="B2000">
            <v>500223</v>
          </cell>
          <cell r="C2000" t="str">
            <v>Not Listed</v>
          </cell>
        </row>
        <row r="2001">
          <cell r="A2001" t="str">
            <v>JD ORGOCHEM LTD</v>
          </cell>
          <cell r="B2001">
            <v>524592</v>
          </cell>
          <cell r="C2001" t="str">
            <v>Not Listed</v>
          </cell>
        </row>
        <row r="2002">
          <cell r="A2002" t="str">
            <v>JEEVAN SCIENTIFIC TECHNOLOGY LTD</v>
          </cell>
          <cell r="B2002">
            <v>538837</v>
          </cell>
          <cell r="C2002" t="str">
            <v>Not Listed</v>
          </cell>
        </row>
        <row r="2003">
          <cell r="A2003" t="str">
            <v>JENBURKT PHARMACEUTICALS LTD</v>
          </cell>
          <cell r="B2003">
            <v>524731</v>
          </cell>
          <cell r="C2003" t="str">
            <v>Not Listed</v>
          </cell>
        </row>
        <row r="2004">
          <cell r="A2004" t="str">
            <v>JET AIRWAYS (INDIA) LTD</v>
          </cell>
          <cell r="B2004">
            <v>532617</v>
          </cell>
          <cell r="C2004" t="str">
            <v>JETAIRWAYS</v>
          </cell>
        </row>
        <row r="2005">
          <cell r="A2005" t="str">
            <v>JET AIRWAYS INDIA LTD</v>
          </cell>
          <cell r="B2005">
            <v>532617</v>
          </cell>
          <cell r="C2005" t="str">
            <v>JETAIRWAYS</v>
          </cell>
        </row>
        <row r="2006">
          <cell r="A2006" t="str">
            <v>JET FREIGHT LOGISTICS LTD</v>
          </cell>
          <cell r="B2006" t="str">
            <v>Not Listed</v>
          </cell>
          <cell r="C2006" t="str">
            <v>JETFREIGHT</v>
          </cell>
        </row>
        <row r="2007">
          <cell r="A2007" t="str">
            <v>JET INFRAVENTURE LTD</v>
          </cell>
          <cell r="B2007">
            <v>538794</v>
          </cell>
          <cell r="C2007" t="str">
            <v>Not Listed</v>
          </cell>
        </row>
        <row r="2008">
          <cell r="A2008" t="str">
            <v>JET KNITWEARS LTD</v>
          </cell>
          <cell r="B2008" t="str">
            <v>Not Listed</v>
          </cell>
          <cell r="C2008" t="str">
            <v>JETKNIT</v>
          </cell>
        </row>
        <row r="2009">
          <cell r="A2009" t="str">
            <v>JETKING INFOTRAIN LTD</v>
          </cell>
          <cell r="B2009">
            <v>517063</v>
          </cell>
          <cell r="C2009" t="str">
            <v>Not Listed</v>
          </cell>
        </row>
        <row r="2010">
          <cell r="A2010" t="str">
            <v>JHANDEWALAS FOODS LTD</v>
          </cell>
          <cell r="B2010">
            <v>540850</v>
          </cell>
          <cell r="C2010" t="str">
            <v>Not Listed</v>
          </cell>
        </row>
        <row r="2011">
          <cell r="A2011" t="str">
            <v>JHAVERI CREDITS &amp; CAPITAL LTD</v>
          </cell>
          <cell r="B2011">
            <v>531550</v>
          </cell>
          <cell r="C2011" t="str">
            <v>Not Listed</v>
          </cell>
        </row>
        <row r="2012">
          <cell r="A2012" t="str">
            <v>JHS SVENDGAARD LABORATORIES LTD</v>
          </cell>
          <cell r="B2012">
            <v>532771</v>
          </cell>
          <cell r="C2012" t="str">
            <v>JHS</v>
          </cell>
        </row>
        <row r="2013">
          <cell r="A2013" t="str">
            <v>JIGAR CABLES LTD</v>
          </cell>
          <cell r="B2013">
            <v>540651</v>
          </cell>
          <cell r="C2013" t="str">
            <v>Not Listed</v>
          </cell>
        </row>
        <row r="2014">
          <cell r="A2014" t="str">
            <v>JIGYASA INFRASTRUCTURE LTD</v>
          </cell>
          <cell r="B2014">
            <v>780019</v>
          </cell>
          <cell r="C2014" t="str">
            <v>Not Listed</v>
          </cell>
        </row>
        <row r="2015">
          <cell r="A2015" t="str">
            <v>JIK INDUSTRIES LTD</v>
          </cell>
          <cell r="B2015">
            <v>511618</v>
          </cell>
          <cell r="C2015" t="str">
            <v>JIKIND</v>
          </cell>
        </row>
        <row r="2016">
          <cell r="A2016" t="str">
            <v>Jinaams Dress Ltd</v>
          </cell>
          <cell r="B2016">
            <v>542653</v>
          </cell>
          <cell r="C2016" t="str">
            <v>JINAAM</v>
          </cell>
        </row>
        <row r="2017">
          <cell r="A2017" t="str">
            <v>JINDAL CAPITAL LTD</v>
          </cell>
          <cell r="B2017">
            <v>530405</v>
          </cell>
          <cell r="C2017" t="str">
            <v>Not Listed</v>
          </cell>
        </row>
        <row r="2018">
          <cell r="A2018" t="str">
            <v>JINDAL COTEX LTD</v>
          </cell>
          <cell r="B2018">
            <v>533103</v>
          </cell>
          <cell r="C2018" t="str">
            <v>JINDCOT</v>
          </cell>
        </row>
        <row r="2019">
          <cell r="A2019" t="str">
            <v>JINDAL DRILLING AND INDUSTRIES LTD</v>
          </cell>
          <cell r="B2019">
            <v>511034</v>
          </cell>
          <cell r="C2019" t="str">
            <v>JINDRILL</v>
          </cell>
        </row>
        <row r="2020">
          <cell r="A2020" t="str">
            <v>JINDAL HOTELS LTD</v>
          </cell>
          <cell r="B2020">
            <v>507981</v>
          </cell>
          <cell r="C2020" t="str">
            <v>Not Listed</v>
          </cell>
        </row>
        <row r="2021">
          <cell r="A2021" t="str">
            <v>JINDAL LEASEFIN LTD</v>
          </cell>
          <cell r="B2021">
            <v>539947</v>
          </cell>
          <cell r="C2021" t="str">
            <v>Not Listed</v>
          </cell>
        </row>
        <row r="2022">
          <cell r="A2022" t="str">
            <v>JINDAL PHOTO LTD</v>
          </cell>
          <cell r="B2022">
            <v>532624</v>
          </cell>
          <cell r="C2022" t="str">
            <v>JINDALPHOT</v>
          </cell>
        </row>
        <row r="2023">
          <cell r="A2023" t="str">
            <v>JINDAL POLY FILMS LTD</v>
          </cell>
          <cell r="B2023">
            <v>500227</v>
          </cell>
          <cell r="C2023" t="str">
            <v>JINDALPOLY</v>
          </cell>
        </row>
        <row r="2024">
          <cell r="A2024" t="str">
            <v>JINDAL POLY INVESTMENT AND FINANCE COMPANY LTD</v>
          </cell>
          <cell r="B2024">
            <v>536773</v>
          </cell>
          <cell r="C2024" t="str">
            <v>JPOLYINVST</v>
          </cell>
        </row>
        <row r="2025">
          <cell r="A2025" t="str">
            <v>JINDAL SAW LTD</v>
          </cell>
          <cell r="B2025">
            <v>500378</v>
          </cell>
          <cell r="C2025" t="str">
            <v>JINDALSAW</v>
          </cell>
        </row>
        <row r="2026">
          <cell r="A2026" t="str">
            <v>JINDAL STAINLESS HISAR LTD</v>
          </cell>
          <cell r="B2026">
            <v>539597</v>
          </cell>
          <cell r="C2026" t="str">
            <v>JSLHISAR</v>
          </cell>
        </row>
        <row r="2027">
          <cell r="A2027" t="str">
            <v>JINDAL STAINLESS LTD</v>
          </cell>
          <cell r="B2027">
            <v>532508</v>
          </cell>
          <cell r="C2027" t="str">
            <v>JSL</v>
          </cell>
        </row>
        <row r="2028">
          <cell r="A2028" t="str">
            <v>JINDAL STEEL &amp; POWER LTD</v>
          </cell>
          <cell r="B2028">
            <v>532286</v>
          </cell>
          <cell r="C2028" t="str">
            <v>JINDALSTEL</v>
          </cell>
        </row>
        <row r="2029">
          <cell r="A2029" t="str">
            <v>JINDAL WORLDWIDE LTD</v>
          </cell>
          <cell r="B2029">
            <v>531543</v>
          </cell>
          <cell r="C2029" t="str">
            <v>JINDWORLD</v>
          </cell>
        </row>
        <row r="2030">
          <cell r="A2030" t="str">
            <v>JITF INFRALOGISTICS LTD</v>
          </cell>
          <cell r="B2030">
            <v>540311</v>
          </cell>
          <cell r="C2030" t="str">
            <v>JITFINFRA</v>
          </cell>
        </row>
        <row r="2031">
          <cell r="A2031" t="str">
            <v>JIYA ECO-PRODUCTS LTD</v>
          </cell>
          <cell r="B2031">
            <v>539225</v>
          </cell>
          <cell r="C2031" t="str">
            <v>Not Listed</v>
          </cell>
        </row>
        <row r="2032">
          <cell r="A2032" t="str">
            <v>JK AGRI GENETICS LTD</v>
          </cell>
          <cell r="B2032">
            <v>536493</v>
          </cell>
          <cell r="C2032" t="str">
            <v>Not Listed</v>
          </cell>
        </row>
        <row r="2033">
          <cell r="A2033" t="str">
            <v>JK CEMENT LTD</v>
          </cell>
          <cell r="B2033">
            <v>532644</v>
          </cell>
          <cell r="C2033" t="str">
            <v>JKCEMENT</v>
          </cell>
        </row>
        <row r="2034">
          <cell r="A2034" t="str">
            <v>JK LAKSHMI CEMENT LTD</v>
          </cell>
          <cell r="B2034">
            <v>500380</v>
          </cell>
          <cell r="C2034" t="str">
            <v>JKLAKSHMI</v>
          </cell>
        </row>
        <row r="2035">
          <cell r="A2035" t="str">
            <v>JK PAPER LTD</v>
          </cell>
          <cell r="B2035">
            <v>532162</v>
          </cell>
          <cell r="C2035" t="str">
            <v>JKPAPER</v>
          </cell>
        </row>
        <row r="2036">
          <cell r="A2036" t="str">
            <v>JK TYRE &amp; INDUSTRIES LTD</v>
          </cell>
          <cell r="B2036">
            <v>530007</v>
          </cell>
          <cell r="C2036" t="str">
            <v>JKTYRE</v>
          </cell>
        </row>
        <row r="2037">
          <cell r="A2037" t="str">
            <v>JLA INFRAVILLE SHOPPERS LTD</v>
          </cell>
          <cell r="B2037">
            <v>538765</v>
          </cell>
          <cell r="C2037" t="str">
            <v>Not Listed</v>
          </cell>
        </row>
        <row r="2038">
          <cell r="A2038" t="str">
            <v>JM FINANCIAL LTD</v>
          </cell>
          <cell r="B2038">
            <v>523405</v>
          </cell>
          <cell r="C2038" t="str">
            <v>JMFINANCIL</v>
          </cell>
        </row>
        <row r="2039">
          <cell r="A2039" t="str">
            <v>JMC PROJECTS (INDIA) LTD</v>
          </cell>
          <cell r="B2039">
            <v>522263</v>
          </cell>
          <cell r="C2039" t="str">
            <v>JMCPROJECT</v>
          </cell>
        </row>
        <row r="2040">
          <cell r="A2040" t="str">
            <v>JMC PROJECTS INDIA LTD</v>
          </cell>
          <cell r="B2040">
            <v>522263</v>
          </cell>
          <cell r="C2040" t="str">
            <v>JMCPROJECT</v>
          </cell>
        </row>
        <row r="2041">
          <cell r="A2041" t="str">
            <v>JMD VENTURES LTD</v>
          </cell>
          <cell r="B2041">
            <v>511092</v>
          </cell>
          <cell r="C2041" t="str">
            <v>Not Listed</v>
          </cell>
        </row>
        <row r="2042">
          <cell r="A2042" t="str">
            <v>JMG CORPORATION LTD</v>
          </cell>
          <cell r="B2042">
            <v>523712</v>
          </cell>
          <cell r="C2042" t="str">
            <v>Not Listed</v>
          </cell>
        </row>
        <row r="2043">
          <cell r="A2043" t="str">
            <v>JMT AUTO LTD</v>
          </cell>
          <cell r="B2043">
            <v>513691</v>
          </cell>
          <cell r="C2043" t="str">
            <v>JMTAUTOLTD</v>
          </cell>
        </row>
        <row r="2044">
          <cell r="A2044" t="str">
            <v>JOCIL LTD</v>
          </cell>
          <cell r="B2044" t="str">
            <v>Not Listed</v>
          </cell>
          <cell r="C2044" t="str">
            <v>JOCIL</v>
          </cell>
        </row>
        <row r="2045">
          <cell r="A2045" t="str">
            <v>JOHNSON CONTROLS – HITACHI AIR CONDITIONING (INDIA) LTD</v>
          </cell>
          <cell r="B2045">
            <v>523398</v>
          </cell>
          <cell r="C2045" t="str">
            <v>JCHAC</v>
          </cell>
        </row>
        <row r="2046">
          <cell r="A2046" t="str">
            <v>JOHNSON CONTROLS – HITACHI AIR CONDITIONING INDIA LTD</v>
          </cell>
          <cell r="B2046">
            <v>523398</v>
          </cell>
          <cell r="C2046" t="str">
            <v>JCHAC</v>
          </cell>
        </row>
        <row r="2047">
          <cell r="A2047" t="str">
            <v>JOINDRE CAPITAL SERVICES LTD</v>
          </cell>
          <cell r="B2047">
            <v>531861</v>
          </cell>
          <cell r="C2047" t="str">
            <v>Not Listed</v>
          </cell>
        </row>
        <row r="2048">
          <cell r="A2048" t="str">
            <v>JOINTECA EDUCATION SOLUTIONS LTD</v>
          </cell>
          <cell r="B2048">
            <v>534659</v>
          </cell>
          <cell r="C2048" t="str">
            <v>Not Listed</v>
          </cell>
        </row>
        <row r="2049">
          <cell r="A2049" t="str">
            <v>Jonjua Overseas Ltd</v>
          </cell>
          <cell r="B2049">
            <v>542446</v>
          </cell>
          <cell r="C2049" t="str">
            <v>JONJUA</v>
          </cell>
        </row>
        <row r="2050">
          <cell r="A2050" t="str">
            <v>JOONKTOLLEE TEA &amp; INDUSTRIES LTD</v>
          </cell>
          <cell r="B2050">
            <v>538092</v>
          </cell>
          <cell r="C2050" t="str">
            <v>Not Listed</v>
          </cell>
        </row>
        <row r="2051">
          <cell r="A2051" t="str">
            <v>JOST'S ENGINEERING CO LTD</v>
          </cell>
          <cell r="B2051">
            <v>505750</v>
          </cell>
          <cell r="C2051" t="str">
            <v>Not Listed</v>
          </cell>
        </row>
        <row r="2052">
          <cell r="A2052" t="str">
            <v>JOY REALTY LTD</v>
          </cell>
          <cell r="B2052">
            <v>508929</v>
          </cell>
          <cell r="C2052" t="str">
            <v>Not Listed</v>
          </cell>
        </row>
        <row r="2053">
          <cell r="A2053" t="str">
            <v>JPT SECURITIES LTD</v>
          </cell>
          <cell r="B2053">
            <v>530985</v>
          </cell>
          <cell r="C2053" t="str">
            <v>Not Listed</v>
          </cell>
        </row>
        <row r="2054">
          <cell r="A2054" t="str">
            <v>JRI INDUSTRIES &amp; INFRASTRUCTURE LTD</v>
          </cell>
          <cell r="B2054">
            <v>506016</v>
          </cell>
          <cell r="C2054" t="str">
            <v>Not Listed</v>
          </cell>
        </row>
        <row r="2055">
          <cell r="A2055" t="str">
            <v>JSL INDUSTRIES LTD</v>
          </cell>
          <cell r="B2055">
            <v>504080</v>
          </cell>
          <cell r="C2055" t="str">
            <v>Not Listed</v>
          </cell>
        </row>
        <row r="2056">
          <cell r="A2056" t="str">
            <v>JSW ENERGY LTD</v>
          </cell>
          <cell r="B2056">
            <v>533148</v>
          </cell>
          <cell r="C2056" t="str">
            <v>JSWENERGY</v>
          </cell>
        </row>
        <row r="2057">
          <cell r="A2057" t="str">
            <v>JSW HOLDINGS LTD</v>
          </cell>
          <cell r="B2057">
            <v>532642</v>
          </cell>
          <cell r="C2057" t="str">
            <v>JSWHL</v>
          </cell>
        </row>
        <row r="2058">
          <cell r="A2058" t="str">
            <v>JSW STEEL LTD</v>
          </cell>
          <cell r="B2058">
            <v>500228</v>
          </cell>
          <cell r="C2058" t="str">
            <v>JSWSTEEL</v>
          </cell>
        </row>
        <row r="2059">
          <cell r="A2059" t="str">
            <v>JTEKT (INDIA) LTD</v>
          </cell>
          <cell r="B2059">
            <v>520057</v>
          </cell>
          <cell r="C2059" t="str">
            <v>JTEKT(INDIA)</v>
          </cell>
        </row>
        <row r="2060">
          <cell r="A2060" t="str">
            <v>JTEKT INDIA LTD</v>
          </cell>
          <cell r="B2060">
            <v>520057</v>
          </cell>
          <cell r="C2060" t="str">
            <v>JTEKTINDIA</v>
          </cell>
        </row>
        <row r="2061">
          <cell r="A2061" t="str">
            <v>JTL INFRA LTD</v>
          </cell>
          <cell r="B2061">
            <v>534600</v>
          </cell>
          <cell r="C2061" t="str">
            <v>Not Listed</v>
          </cell>
        </row>
        <row r="2062">
          <cell r="A2062" t="str">
            <v>JUBILANT FOODWORKS LTD</v>
          </cell>
          <cell r="B2062">
            <v>533155</v>
          </cell>
          <cell r="C2062" t="str">
            <v>JUBLFOOD</v>
          </cell>
        </row>
        <row r="2063">
          <cell r="A2063" t="str">
            <v>JUBILANT INDUSTRIES LTD</v>
          </cell>
          <cell r="B2063">
            <v>533320</v>
          </cell>
          <cell r="C2063" t="str">
            <v>JUBLINDS</v>
          </cell>
        </row>
        <row r="2064">
          <cell r="A2064" t="str">
            <v>JUBILANT LIFE SCIENCES LTD</v>
          </cell>
          <cell r="B2064">
            <v>530019</v>
          </cell>
          <cell r="C2064" t="str">
            <v>JUBILANT</v>
          </cell>
        </row>
        <row r="2065">
          <cell r="A2065" t="str">
            <v>JULLUNDUR MOTOR AGENCY DELHI LTD</v>
          </cell>
          <cell r="B2065" t="str">
            <v>Not Listed</v>
          </cell>
          <cell r="C2065" t="str">
            <v>JMA</v>
          </cell>
        </row>
        <row r="2066">
          <cell r="A2066" t="str">
            <v>JUMBO BAG LTD</v>
          </cell>
          <cell r="B2066">
            <v>516078</v>
          </cell>
          <cell r="C2066" t="str">
            <v>Not Listed</v>
          </cell>
        </row>
        <row r="2067">
          <cell r="A2067" t="str">
            <v>JUMBO FINANCE LTD</v>
          </cell>
          <cell r="B2067">
            <v>511060</v>
          </cell>
          <cell r="C2067" t="str">
            <v>Not Listed</v>
          </cell>
        </row>
        <row r="2068">
          <cell r="A2068" t="str">
            <v>JUNCTION FABRICS AND APPARELS LTD</v>
          </cell>
          <cell r="B2068">
            <v>539216</v>
          </cell>
          <cell r="C2068" t="str">
            <v>Not Listed</v>
          </cell>
        </row>
        <row r="2069">
          <cell r="A2069" t="str">
            <v>JUPITER INDUSTRIES &amp; LEASING LTD</v>
          </cell>
          <cell r="B2069">
            <v>507987</v>
          </cell>
          <cell r="C2069" t="str">
            <v>Not Listed</v>
          </cell>
        </row>
        <row r="2070">
          <cell r="A2070" t="str">
            <v>JUPITER INFOMEDIA LTD</v>
          </cell>
          <cell r="B2070">
            <v>534623</v>
          </cell>
          <cell r="C2070" t="str">
            <v>Not Listed</v>
          </cell>
        </row>
        <row r="2071">
          <cell r="A2071" t="str">
            <v>JUST DIAL LTD</v>
          </cell>
          <cell r="B2071">
            <v>535648</v>
          </cell>
          <cell r="C2071" t="str">
            <v>JUSTDIAL</v>
          </cell>
        </row>
        <row r="2072">
          <cell r="A2072" t="str">
            <v>JUSTRIDE ENTERPRISES LTD</v>
          </cell>
          <cell r="B2072">
            <v>531035</v>
          </cell>
          <cell r="C2072" t="str">
            <v>Not Listed</v>
          </cell>
        </row>
        <row r="2073">
          <cell r="A2073" t="str">
            <v>JVL AGRO INDUSTRIES LTD</v>
          </cell>
          <cell r="B2073">
            <v>519248</v>
          </cell>
          <cell r="C2073" t="str">
            <v>JVLAGRO</v>
          </cell>
        </row>
        <row r="2074">
          <cell r="A2074" t="str">
            <v>Jyot International Marketing Ltd</v>
          </cell>
          <cell r="B2074">
            <v>542544</v>
          </cell>
          <cell r="C2074" t="str">
            <v>JYOTIN</v>
          </cell>
        </row>
        <row r="2075">
          <cell r="A2075" t="str">
            <v>JYOTHY LABORATORIES LTD</v>
          </cell>
          <cell r="B2075">
            <v>532926</v>
          </cell>
          <cell r="C2075" t="str">
            <v>JYOTHYLAB</v>
          </cell>
        </row>
        <row r="2076">
          <cell r="A2076" t="str">
            <v>JYOTI LTD</v>
          </cell>
          <cell r="B2076">
            <v>504076</v>
          </cell>
          <cell r="C2076" t="str">
            <v>Not Listed</v>
          </cell>
        </row>
        <row r="2077">
          <cell r="A2077" t="str">
            <v>JYOTI RESINS &amp; ADHESIVES LTD</v>
          </cell>
          <cell r="B2077">
            <v>514448</v>
          </cell>
          <cell r="C2077" t="str">
            <v>Not Listed</v>
          </cell>
        </row>
        <row r="2078">
          <cell r="A2078" t="str">
            <v>JYOTI STRUCTURES LTD</v>
          </cell>
          <cell r="B2078">
            <v>513250</v>
          </cell>
          <cell r="C2078" t="str">
            <v>JYOTISTRUC</v>
          </cell>
        </row>
        <row r="2079">
          <cell r="A2079" t="str">
            <v>JYOTIRGAMYA ENTERPRISES LTD</v>
          </cell>
          <cell r="B2079">
            <v>539246</v>
          </cell>
          <cell r="C2079" t="str">
            <v>Not Listed</v>
          </cell>
        </row>
        <row r="2080">
          <cell r="A2080" t="str">
            <v>K M SUGAR MILLS LTD</v>
          </cell>
          <cell r="B2080">
            <v>532673</v>
          </cell>
          <cell r="C2080" t="str">
            <v>KMSUGAR</v>
          </cell>
        </row>
        <row r="2081">
          <cell r="A2081" t="str">
            <v>K P  ENERGY LTD</v>
          </cell>
          <cell r="B2081">
            <v>539686</v>
          </cell>
          <cell r="C2081" t="str">
            <v>Not Listed</v>
          </cell>
        </row>
        <row r="2082">
          <cell r="A2082" t="str">
            <v>K P R MILL LTD</v>
          </cell>
          <cell r="B2082">
            <v>532889</v>
          </cell>
          <cell r="C2082" t="str">
            <v>KPRMILL</v>
          </cell>
        </row>
        <row r="2083">
          <cell r="A2083" t="str">
            <v>K Z LEASING &amp; FINANCE LTD</v>
          </cell>
          <cell r="B2083">
            <v>511728</v>
          </cell>
          <cell r="C2083" t="str">
            <v>Not Listed</v>
          </cell>
        </row>
        <row r="2084">
          <cell r="A2084" t="str">
            <v>K&amp;R RAIL ENGINEERING LTD</v>
          </cell>
          <cell r="B2084">
            <v>514360</v>
          </cell>
          <cell r="C2084" t="str">
            <v>Not Listed</v>
          </cell>
        </row>
        <row r="2085">
          <cell r="A2085" t="str">
            <v>K.P.I. Global Infrastructure Ltd</v>
          </cell>
          <cell r="B2085">
            <v>542323</v>
          </cell>
          <cell r="C2085" t="str">
            <v>KPIGLOBAL</v>
          </cell>
        </row>
        <row r="2086">
          <cell r="A2086" t="str">
            <v>KAARYA FACILITIES AND SERVICES LTD</v>
          </cell>
          <cell r="B2086">
            <v>540756</v>
          </cell>
          <cell r="C2086" t="str">
            <v>Not Listed</v>
          </cell>
        </row>
        <row r="2087">
          <cell r="A2087" t="str">
            <v>KABRA COMMERCIAL LTD</v>
          </cell>
          <cell r="B2087">
            <v>539393</v>
          </cell>
          <cell r="C2087" t="str">
            <v>Not Listed</v>
          </cell>
        </row>
        <row r="2088">
          <cell r="A2088" t="str">
            <v>KABRA DRUGS LTD</v>
          </cell>
          <cell r="B2088">
            <v>524322</v>
          </cell>
          <cell r="C2088" t="str">
            <v>Not Listed</v>
          </cell>
        </row>
        <row r="2089">
          <cell r="A2089" t="str">
            <v>KABRA EXTRUSION TECHNIK LTD</v>
          </cell>
          <cell r="B2089">
            <v>524109</v>
          </cell>
          <cell r="C2089" t="str">
            <v>KABRAEXTRU</v>
          </cell>
        </row>
        <row r="2090">
          <cell r="A2090" t="str">
            <v>KABSONS INDUSTRIES LTD</v>
          </cell>
          <cell r="B2090">
            <v>524675</v>
          </cell>
          <cell r="C2090" t="str">
            <v>Not Listed</v>
          </cell>
        </row>
        <row r="2091">
          <cell r="A2091" t="str">
            <v>KACHCHH MINERALS LTD</v>
          </cell>
          <cell r="B2091">
            <v>531778</v>
          </cell>
          <cell r="C2091" t="str">
            <v>Not Listed</v>
          </cell>
        </row>
        <row r="2092">
          <cell r="A2092" t="str">
            <v>KAIRA CAN CO LTD</v>
          </cell>
          <cell r="B2092">
            <v>504840</v>
          </cell>
          <cell r="C2092" t="str">
            <v>Not Listed</v>
          </cell>
        </row>
        <row r="2093">
          <cell r="A2093" t="str">
            <v>KAISER CORPORATION LTD</v>
          </cell>
          <cell r="B2093">
            <v>531780</v>
          </cell>
          <cell r="C2093" t="str">
            <v>Not Listed</v>
          </cell>
        </row>
        <row r="2094">
          <cell r="A2094" t="str">
            <v>KAJARIA CERAMICS LTD</v>
          </cell>
          <cell r="B2094">
            <v>500233</v>
          </cell>
          <cell r="C2094" t="str">
            <v>KAJARIACER</v>
          </cell>
        </row>
        <row r="2095">
          <cell r="A2095" t="str">
            <v>KAKATIYA CEMENT SUGAR &amp; INDUSTRIES LTD</v>
          </cell>
          <cell r="B2095">
            <v>500234</v>
          </cell>
          <cell r="C2095" t="str">
            <v>KAKATCEM</v>
          </cell>
        </row>
        <row r="2096">
          <cell r="A2096" t="str">
            <v>KAKATIYA TEXTILES LTD</v>
          </cell>
          <cell r="B2096">
            <v>521054</v>
          </cell>
          <cell r="C2096" t="str">
            <v>Not Listed</v>
          </cell>
        </row>
        <row r="2097">
          <cell r="A2097" t="str">
            <v>KALLAM TEXTILES LTD</v>
          </cell>
          <cell r="B2097">
            <v>530201</v>
          </cell>
          <cell r="C2097" t="str">
            <v>Not Listed</v>
          </cell>
        </row>
        <row r="2098">
          <cell r="A2098" t="str">
            <v>KALPA COMMERCIAL LTD</v>
          </cell>
          <cell r="B2098">
            <v>539014</v>
          </cell>
          <cell r="C2098" t="str">
            <v>Not Listed</v>
          </cell>
        </row>
        <row r="2099">
          <cell r="A2099" t="str">
            <v>KALPATARU POWER TRANSMISSION LTD</v>
          </cell>
          <cell r="B2099">
            <v>522287</v>
          </cell>
          <cell r="C2099" t="str">
            <v>KALPATPOWR</v>
          </cell>
        </row>
        <row r="2100">
          <cell r="A2100" t="str">
            <v>KALYANI COMMERCIALS LTD</v>
          </cell>
          <cell r="B2100" t="str">
            <v>Not Listed</v>
          </cell>
          <cell r="C2100" t="str">
            <v>KALYANI</v>
          </cell>
        </row>
        <row r="2101">
          <cell r="A2101" t="str">
            <v>KALYANI FORGE LTD</v>
          </cell>
          <cell r="B2101">
            <v>513509</v>
          </cell>
          <cell r="C2101" t="str">
            <v>KALYANIFRG</v>
          </cell>
        </row>
        <row r="2102">
          <cell r="A2102" t="str">
            <v>KALYANI INVESTMENT COMPANY LTD</v>
          </cell>
          <cell r="B2102">
            <v>533302</v>
          </cell>
          <cell r="C2102" t="str">
            <v>KICL</v>
          </cell>
        </row>
        <row r="2103">
          <cell r="A2103" t="str">
            <v>KALYANI STEELS LTD</v>
          </cell>
          <cell r="B2103">
            <v>500235</v>
          </cell>
          <cell r="C2103" t="str">
            <v>KSL</v>
          </cell>
        </row>
        <row r="2104">
          <cell r="A2104" t="str">
            <v>KAMA HOLDINGS LTD</v>
          </cell>
          <cell r="B2104">
            <v>532468</v>
          </cell>
          <cell r="C2104" t="str">
            <v>Not Listed</v>
          </cell>
        </row>
        <row r="2105">
          <cell r="A2105" t="str">
            <v>KAMADGIRI FASHION LTD</v>
          </cell>
          <cell r="B2105">
            <v>514322</v>
          </cell>
          <cell r="C2105" t="str">
            <v>Not Listed</v>
          </cell>
        </row>
        <row r="2106">
          <cell r="A2106" t="str">
            <v>KAMANWALA HOUSING CONSTRUCTION LTD</v>
          </cell>
          <cell r="B2106">
            <v>511131</v>
          </cell>
          <cell r="C2106" t="str">
            <v>Not Listed</v>
          </cell>
        </row>
        <row r="2107">
          <cell r="A2107" t="str">
            <v>KAMAT HOTELS I LTD</v>
          </cell>
          <cell r="B2107">
            <v>526668</v>
          </cell>
          <cell r="C2107" t="str">
            <v>KAMATHOTEL</v>
          </cell>
        </row>
        <row r="2108">
          <cell r="A2108" t="str">
            <v>KAMDHENU LTD</v>
          </cell>
          <cell r="B2108">
            <v>532741</v>
          </cell>
          <cell r="C2108" t="str">
            <v>KAMDHENU</v>
          </cell>
        </row>
        <row r="2109">
          <cell r="A2109" t="str">
            <v>KAMRON LABORATORIES LTD</v>
          </cell>
          <cell r="B2109">
            <v>524604</v>
          </cell>
          <cell r="C2109" t="str">
            <v>Not Listed</v>
          </cell>
        </row>
        <row r="2110">
          <cell r="A2110" t="str">
            <v>KANAK KRISHI IMPLEMENTS LTD</v>
          </cell>
          <cell r="B2110">
            <v>780003</v>
          </cell>
          <cell r="C2110" t="str">
            <v>Not Listed</v>
          </cell>
        </row>
        <row r="2111">
          <cell r="A2111" t="str">
            <v>KANANI INDUSTRIES LTD</v>
          </cell>
          <cell r="B2111">
            <v>506184</v>
          </cell>
          <cell r="C2111" t="str">
            <v>KANANIIND</v>
          </cell>
        </row>
        <row r="2112">
          <cell r="A2112" t="str">
            <v>KANCHI KARPOORAM LTD</v>
          </cell>
          <cell r="B2112">
            <v>538896</v>
          </cell>
          <cell r="C2112" t="str">
            <v>Not Listed</v>
          </cell>
        </row>
        <row r="2113">
          <cell r="A2113" t="str">
            <v>KANCO TEA &amp; INDUSTRIES LTD</v>
          </cell>
          <cell r="B2113">
            <v>541005</v>
          </cell>
          <cell r="C2113" t="str">
            <v>Not Listed</v>
          </cell>
        </row>
        <row r="2114">
          <cell r="A2114" t="str">
            <v>KANDAGIRI SPINNING MILLS LTD</v>
          </cell>
          <cell r="B2114">
            <v>521242</v>
          </cell>
          <cell r="C2114" t="str">
            <v>Not Listed</v>
          </cell>
        </row>
        <row r="2115">
          <cell r="A2115" t="str">
            <v>Kanel Industries LTD</v>
          </cell>
          <cell r="B2115">
            <v>500236</v>
          </cell>
          <cell r="C2115" t="str">
            <v>KANELIND</v>
          </cell>
        </row>
        <row r="2116">
          <cell r="A2116" t="str">
            <v>KANISHK STEEL INDUSTRIES LTD</v>
          </cell>
          <cell r="B2116">
            <v>513456</v>
          </cell>
          <cell r="C2116" t="str">
            <v>Not Listed</v>
          </cell>
        </row>
        <row r="2117">
          <cell r="A2117" t="str">
            <v>KANORIA CHEMICALS &amp; INDUSTRIES LTD</v>
          </cell>
          <cell r="B2117">
            <v>506525</v>
          </cell>
          <cell r="C2117" t="str">
            <v>KANORICHEM</v>
          </cell>
        </row>
        <row r="2118">
          <cell r="A2118" t="str">
            <v>KANPUR PLASTIPACK LTD</v>
          </cell>
          <cell r="B2118">
            <v>507779</v>
          </cell>
          <cell r="C2118" t="str">
            <v>Not Listed</v>
          </cell>
        </row>
        <row r="2119">
          <cell r="A2119" t="str">
            <v>KANSAI NEROLAC PAINTS LTD</v>
          </cell>
          <cell r="B2119">
            <v>500165</v>
          </cell>
          <cell r="C2119" t="str">
            <v>KANSAINER</v>
          </cell>
        </row>
        <row r="2120">
          <cell r="A2120" t="str">
            <v>KANUNGO FINANCIERS LTD</v>
          </cell>
          <cell r="B2120">
            <v>540515</v>
          </cell>
          <cell r="C2120" t="str">
            <v>Not Listed</v>
          </cell>
        </row>
        <row r="2121">
          <cell r="A2121" t="str">
            <v>KAPASHI COMMERCIALS LTD</v>
          </cell>
          <cell r="B2121">
            <v>512399</v>
          </cell>
          <cell r="C2121" t="str">
            <v>Not Listed</v>
          </cell>
        </row>
        <row r="2122">
          <cell r="A2122" t="str">
            <v>KAPIL COTEX LTD</v>
          </cell>
          <cell r="B2122">
            <v>512036</v>
          </cell>
          <cell r="C2122" t="str">
            <v>Not Listed</v>
          </cell>
        </row>
        <row r="2123">
          <cell r="A2123" t="str">
            <v>KAPIL RAJ FINANCE LTD</v>
          </cell>
          <cell r="B2123">
            <v>539679</v>
          </cell>
          <cell r="C2123" t="str">
            <v>Not Listed</v>
          </cell>
        </row>
        <row r="2124">
          <cell r="A2124" t="str">
            <v>KAPSTON FACILITIES MANAGEMENT LTD</v>
          </cell>
          <cell r="B2124" t="str">
            <v>Not Listed</v>
          </cell>
          <cell r="C2124" t="str">
            <v>KAPSTON</v>
          </cell>
        </row>
        <row r="2125">
          <cell r="A2125" t="str">
            <v>KARAN WOO-SIN LTD</v>
          </cell>
          <cell r="B2125">
            <v>526115</v>
          </cell>
          <cell r="C2125" t="str">
            <v>Not Listed</v>
          </cell>
        </row>
        <row r="2126">
          <cell r="A2126" t="str">
            <v>KARDA CONSTRUCTIONS LTD</v>
          </cell>
          <cell r="B2126">
            <v>541161</v>
          </cell>
          <cell r="C2126" t="str">
            <v>KARDA</v>
          </cell>
        </row>
        <row r="2127">
          <cell r="A2127" t="str">
            <v>KARMA ENERGY LTD</v>
          </cell>
          <cell r="B2127">
            <v>533451</v>
          </cell>
          <cell r="C2127" t="str">
            <v>KARMAENG</v>
          </cell>
        </row>
        <row r="2128">
          <cell r="A2128" t="str">
            <v>KARNAVATI FINANCE LTD</v>
          </cell>
          <cell r="B2128">
            <v>538928</v>
          </cell>
          <cell r="C2128" t="str">
            <v>Not Listed</v>
          </cell>
        </row>
        <row r="2129">
          <cell r="A2129" t="str">
            <v>KARNIMATA COLD STORAGE LTD</v>
          </cell>
          <cell r="B2129">
            <v>537784</v>
          </cell>
          <cell r="C2129" t="str">
            <v>Not Listed</v>
          </cell>
        </row>
        <row r="2130">
          <cell r="A2130" t="str">
            <v>KARUR VYSYA BANK LTD</v>
          </cell>
          <cell r="B2130">
            <v>590003</v>
          </cell>
          <cell r="C2130" t="str">
            <v>KARURVYSYA</v>
          </cell>
        </row>
        <row r="2131">
          <cell r="A2131" t="str">
            <v>KARUTURI GLOBAL LTD</v>
          </cell>
          <cell r="B2131">
            <v>531687</v>
          </cell>
          <cell r="C2131" t="str">
            <v>KGL</v>
          </cell>
        </row>
        <row r="2132">
          <cell r="A2132" t="str">
            <v>KASHIRAM JAIN AND COMPANY LTD</v>
          </cell>
          <cell r="B2132">
            <v>539533</v>
          </cell>
          <cell r="C2132" t="str">
            <v>Not Listed</v>
          </cell>
        </row>
        <row r="2133">
          <cell r="A2133" t="str">
            <v>KATARE SPINNING MILLS LTD</v>
          </cell>
          <cell r="B2133">
            <v>502933</v>
          </cell>
          <cell r="C2133" t="str">
            <v>Not Listed</v>
          </cell>
        </row>
        <row r="2134">
          <cell r="A2134" t="str">
            <v>KAUSHALYA INFRASTRUCTURE DEVELOPMENT CORPORATION LTD</v>
          </cell>
          <cell r="B2134">
            <v>532925</v>
          </cell>
          <cell r="C2134" t="str">
            <v>KAUSHALYA</v>
          </cell>
        </row>
        <row r="2135">
          <cell r="A2135" t="str">
            <v>KAVERI SEED COMPANY LTD</v>
          </cell>
          <cell r="B2135">
            <v>532899</v>
          </cell>
          <cell r="C2135" t="str">
            <v>KSCL</v>
          </cell>
        </row>
        <row r="2136">
          <cell r="A2136" t="str">
            <v>KAVIT INDUSTRIES LTD</v>
          </cell>
          <cell r="B2136">
            <v>524444</v>
          </cell>
          <cell r="C2136" t="str">
            <v>Not Listed</v>
          </cell>
        </row>
        <row r="2137">
          <cell r="A2137" t="str">
            <v>KAVITA FABRICS LTD</v>
          </cell>
          <cell r="B2137">
            <v>535136</v>
          </cell>
          <cell r="C2137" t="str">
            <v>Not Listed</v>
          </cell>
        </row>
        <row r="2138">
          <cell r="A2138" t="str">
            <v>KAVVERI TELECOM PRODUCTS LTD</v>
          </cell>
          <cell r="B2138">
            <v>590041</v>
          </cell>
          <cell r="C2138" t="str">
            <v>KAVVERITEL</v>
          </cell>
        </row>
        <row r="2139">
          <cell r="A2139" t="str">
            <v>KAY POWER AND PAPER LTD</v>
          </cell>
          <cell r="B2139">
            <v>530255</v>
          </cell>
          <cell r="C2139" t="str">
            <v>Not Listed</v>
          </cell>
        </row>
        <row r="2140">
          <cell r="A2140" t="str">
            <v>KAYA LTD</v>
          </cell>
          <cell r="B2140">
            <v>539276</v>
          </cell>
          <cell r="C2140" t="str">
            <v>KAYA</v>
          </cell>
        </row>
        <row r="2141">
          <cell r="A2141" t="str">
            <v>KAYCEE INDUSTRIES LTD</v>
          </cell>
          <cell r="B2141">
            <v>504084</v>
          </cell>
          <cell r="C2141" t="str">
            <v>Not Listed</v>
          </cell>
        </row>
        <row r="2142">
          <cell r="A2142" t="str">
            <v>KAYEL SECURITIES LTD</v>
          </cell>
          <cell r="B2142">
            <v>539562</v>
          </cell>
          <cell r="C2142" t="str">
            <v>Not Listed</v>
          </cell>
        </row>
        <row r="2143">
          <cell r="A2143" t="str">
            <v>KBS (INDIA) LTD</v>
          </cell>
          <cell r="B2143">
            <v>530357</v>
          </cell>
          <cell r="C2143" t="str">
            <v>Not Listed</v>
          </cell>
        </row>
        <row r="2144">
          <cell r="A2144" t="str">
            <v>KBS INDIA LTD</v>
          </cell>
          <cell r="B2144">
            <v>530357</v>
          </cell>
          <cell r="C2144" t="str">
            <v>Not Listed</v>
          </cell>
        </row>
        <row r="2145">
          <cell r="A2145" t="str">
            <v>KCCL PLASTIC LTD</v>
          </cell>
          <cell r="B2145">
            <v>526067</v>
          </cell>
          <cell r="C2145" t="str">
            <v>Not Listed</v>
          </cell>
        </row>
        <row r="2146">
          <cell r="A2146" t="str">
            <v>KCL INFRA PROJECTS LTD</v>
          </cell>
          <cell r="B2146">
            <v>531784</v>
          </cell>
          <cell r="C2146" t="str">
            <v>Not Listed</v>
          </cell>
        </row>
        <row r="2147">
          <cell r="A2147" t="str">
            <v>KCP LTD</v>
          </cell>
          <cell r="B2147">
            <v>590066</v>
          </cell>
          <cell r="C2147" t="str">
            <v>KCP</v>
          </cell>
        </row>
        <row r="2148">
          <cell r="A2148" t="str">
            <v>KCP SUGAR AND INDUSTRIES CORPORATION LTD</v>
          </cell>
          <cell r="B2148">
            <v>533192</v>
          </cell>
          <cell r="C2148" t="str">
            <v>KCPSUGIND</v>
          </cell>
        </row>
        <row r="2149">
          <cell r="A2149" t="str">
            <v>KD LEISURES LTD</v>
          </cell>
          <cell r="B2149">
            <v>540385</v>
          </cell>
          <cell r="C2149" t="str">
            <v>Not Listed</v>
          </cell>
        </row>
        <row r="2150">
          <cell r="A2150" t="str">
            <v>KDDL LTD</v>
          </cell>
          <cell r="B2150">
            <v>532054</v>
          </cell>
          <cell r="C2150" t="str">
            <v>KDDL</v>
          </cell>
        </row>
        <row r="2151">
          <cell r="A2151" t="str">
            <v>KEC INTERNATIONAL LTD</v>
          </cell>
          <cell r="B2151">
            <v>532714</v>
          </cell>
          <cell r="C2151" t="str">
            <v>KEC</v>
          </cell>
        </row>
        <row r="2152">
          <cell r="A2152" t="str">
            <v>KEDIA CONSTRUCTION CO LTD</v>
          </cell>
          <cell r="B2152">
            <v>508993</v>
          </cell>
          <cell r="C2152" t="str">
            <v>Not Listed</v>
          </cell>
        </row>
        <row r="2153">
          <cell r="A2153" t="str">
            <v>KEERTHI INDUSTRIES LTD</v>
          </cell>
          <cell r="B2153">
            <v>518011</v>
          </cell>
          <cell r="C2153" t="str">
            <v>Not Listed</v>
          </cell>
        </row>
        <row r="2154">
          <cell r="A2154" t="str">
            <v>KEERTI KNOWLEDGE AND SKILLS LTD</v>
          </cell>
          <cell r="B2154" t="str">
            <v>Not Listed</v>
          </cell>
          <cell r="C2154" t="str">
            <v>KEERTI</v>
          </cell>
        </row>
        <row r="2155">
          <cell r="A2155" t="str">
            <v>KEI INDUSTRIES LTD</v>
          </cell>
          <cell r="B2155">
            <v>517569</v>
          </cell>
          <cell r="C2155" t="str">
            <v>KEI</v>
          </cell>
        </row>
        <row r="2156">
          <cell r="A2156" t="str">
            <v>KELLTON TECH SOLUTIONS LTD</v>
          </cell>
          <cell r="B2156">
            <v>519602</v>
          </cell>
          <cell r="C2156" t="str">
            <v>KELLTONTEC</v>
          </cell>
        </row>
        <row r="2157">
          <cell r="A2157" t="str">
            <v>KELTECH ENERGIES LTD</v>
          </cell>
          <cell r="B2157">
            <v>506528</v>
          </cell>
          <cell r="C2157" t="str">
            <v>Not Listed</v>
          </cell>
        </row>
        <row r="2158">
          <cell r="A2158" t="str">
            <v>Kemistar Corporation LTD</v>
          </cell>
          <cell r="B2158">
            <v>531163</v>
          </cell>
          <cell r="C2158" t="str">
            <v>KEMISTAR</v>
          </cell>
        </row>
        <row r="2159">
          <cell r="A2159" t="str">
            <v>KEMP &amp; COMPANY LTD</v>
          </cell>
          <cell r="B2159">
            <v>506530</v>
          </cell>
          <cell r="C2159" t="str">
            <v>Not Listed</v>
          </cell>
        </row>
        <row r="2160">
          <cell r="A2160" t="str">
            <v>KENNAMETAL (INDIA) LTD</v>
          </cell>
          <cell r="B2160">
            <v>505890</v>
          </cell>
          <cell r="C2160" t="str">
            <v>Not Listed</v>
          </cell>
        </row>
        <row r="2161">
          <cell r="A2161" t="str">
            <v>KENNAMETAL INDIA LTD</v>
          </cell>
          <cell r="B2161">
            <v>505890</v>
          </cell>
          <cell r="C2161" t="str">
            <v>Not Listed</v>
          </cell>
        </row>
        <row r="2162">
          <cell r="A2162" t="str">
            <v>KENVI JEWELS LTD</v>
          </cell>
          <cell r="B2162">
            <v>540953</v>
          </cell>
          <cell r="C2162" t="str">
            <v>Not Listed</v>
          </cell>
        </row>
        <row r="2163">
          <cell r="A2163" t="str">
            <v>KERALA AYURVEDA LTD</v>
          </cell>
          <cell r="B2163">
            <v>530163</v>
          </cell>
          <cell r="C2163" t="str">
            <v>Not Listed</v>
          </cell>
        </row>
        <row r="2164">
          <cell r="A2164" t="str">
            <v>KERNEX MICROSYSTEMS (INDIA) LTD</v>
          </cell>
          <cell r="B2164">
            <v>532686</v>
          </cell>
          <cell r="C2164" t="str">
            <v>KERNEX</v>
          </cell>
        </row>
        <row r="2165">
          <cell r="A2165" t="str">
            <v>KERNEX MICROSYSTEMS INDIA LTD</v>
          </cell>
          <cell r="B2165">
            <v>532686</v>
          </cell>
          <cell r="C2165" t="str">
            <v>KERNEX</v>
          </cell>
        </row>
        <row r="2166">
          <cell r="A2166" t="str">
            <v>KESAR ENTERPRISES LTD</v>
          </cell>
          <cell r="B2166">
            <v>507180</v>
          </cell>
          <cell r="C2166" t="str">
            <v>KESARENT</v>
          </cell>
        </row>
        <row r="2167">
          <cell r="A2167" t="str">
            <v>KESAR PETROPRODUCTS LTD</v>
          </cell>
          <cell r="B2167">
            <v>524174</v>
          </cell>
          <cell r="C2167" t="str">
            <v>Not Listed</v>
          </cell>
        </row>
        <row r="2168">
          <cell r="A2168" t="str">
            <v>KESAR TERMINALS &amp; INFRASTRUCTURE LTD</v>
          </cell>
          <cell r="B2168">
            <v>533289</v>
          </cell>
          <cell r="C2168" t="str">
            <v>KTIL</v>
          </cell>
        </row>
        <row r="2169">
          <cell r="A2169" t="str">
            <v>KESORAM INDUSTRIES LTD</v>
          </cell>
          <cell r="B2169">
            <v>502937</v>
          </cell>
          <cell r="C2169" t="str">
            <v>KESORAMIND</v>
          </cell>
        </row>
        <row r="2170">
          <cell r="A2170" t="str">
            <v>KEWAL KIRAN CLOTHING LTD</v>
          </cell>
          <cell r="B2170">
            <v>532732</v>
          </cell>
          <cell r="C2170" t="str">
            <v>KKCL</v>
          </cell>
        </row>
        <row r="2171">
          <cell r="A2171" t="str">
            <v>KEY CORP LTD</v>
          </cell>
          <cell r="B2171">
            <v>507948</v>
          </cell>
          <cell r="C2171" t="str">
            <v>Not Listed</v>
          </cell>
        </row>
        <row r="2172">
          <cell r="A2172" t="str">
            <v>KEYNOTE CORPORATE SERVICES LTD</v>
          </cell>
          <cell r="B2172">
            <v>512597</v>
          </cell>
          <cell r="C2172" t="str">
            <v>KEYCORPSER</v>
          </cell>
        </row>
        <row r="2173">
          <cell r="A2173" t="str">
            <v>Keynote Financial Services LTD</v>
          </cell>
          <cell r="B2173" t="str">
            <v>Not Listed</v>
          </cell>
          <cell r="C2173" t="str">
            <v>KEYFINSERV</v>
          </cell>
        </row>
        <row r="2174">
          <cell r="A2174" t="str">
            <v>KG DENIM LTD</v>
          </cell>
          <cell r="B2174">
            <v>500239</v>
          </cell>
          <cell r="C2174" t="str">
            <v>Not Listed</v>
          </cell>
        </row>
        <row r="2175">
          <cell r="A2175" t="str">
            <v>KG PETROCHEM LTD</v>
          </cell>
          <cell r="B2175">
            <v>531609</v>
          </cell>
          <cell r="C2175" t="str">
            <v>Not Listed</v>
          </cell>
        </row>
        <row r="2176">
          <cell r="A2176" t="str">
            <v>KHADIM (INDIA) LTD</v>
          </cell>
          <cell r="B2176">
            <v>540775</v>
          </cell>
          <cell r="C2176" t="str">
            <v>KHADIM</v>
          </cell>
        </row>
        <row r="2177">
          <cell r="A2177" t="str">
            <v>KHADIM INDIA LTD</v>
          </cell>
          <cell r="B2177">
            <v>540775</v>
          </cell>
          <cell r="C2177" t="str">
            <v>KHADIM</v>
          </cell>
        </row>
        <row r="2178">
          <cell r="A2178" t="str">
            <v>KHAITAN (INDIA) LTD</v>
          </cell>
          <cell r="B2178">
            <v>590068</v>
          </cell>
          <cell r="C2178" t="str">
            <v>KHAITANLTD</v>
          </cell>
        </row>
        <row r="2179">
          <cell r="A2179" t="str">
            <v>KHAITAN CHEMICALS &amp; FERTILIZERS LTD</v>
          </cell>
          <cell r="B2179">
            <v>507794</v>
          </cell>
          <cell r="C2179" t="str">
            <v>Not Listed</v>
          </cell>
        </row>
        <row r="2180">
          <cell r="A2180" t="str">
            <v>KHAITAN ELECTRICALS LTD.</v>
          </cell>
          <cell r="B2180">
            <v>504269</v>
          </cell>
          <cell r="C2180" t="str">
            <v>KHAITANELE</v>
          </cell>
        </row>
        <row r="2181">
          <cell r="A2181" t="str">
            <v>KHAITAN INDIA LTD</v>
          </cell>
          <cell r="B2181">
            <v>590068</v>
          </cell>
          <cell r="C2181" t="str">
            <v>KHAITANLTD</v>
          </cell>
        </row>
        <row r="2182">
          <cell r="A2182" t="str">
            <v>KHANDELWAL EXTRACTION LTD</v>
          </cell>
          <cell r="B2182">
            <v>519064</v>
          </cell>
          <cell r="C2182" t="str">
            <v>Not Listed</v>
          </cell>
        </row>
        <row r="2183">
          <cell r="A2183" t="str">
            <v>KHANDWALA SECURITIES LTD</v>
          </cell>
          <cell r="B2183">
            <v>531892</v>
          </cell>
          <cell r="C2183" t="str">
            <v>KHANDSE</v>
          </cell>
        </row>
        <row r="2184">
          <cell r="A2184" t="str">
            <v>KHATAU EXIM LTD</v>
          </cell>
          <cell r="B2184">
            <v>506178</v>
          </cell>
          <cell r="C2184" t="str">
            <v>Not Listed</v>
          </cell>
        </row>
        <row r="2185">
          <cell r="A2185" t="str">
            <v>KHATOR FIBRE &amp; FABRICS LTD</v>
          </cell>
          <cell r="B2185">
            <v>521127</v>
          </cell>
          <cell r="C2185" t="str">
            <v>Not Listed</v>
          </cell>
        </row>
        <row r="2186">
          <cell r="A2186" t="str">
            <v>KHEMANI DISTRIBUTORS &amp; MARKETING LTD</v>
          </cell>
          <cell r="B2186">
            <v>539788</v>
          </cell>
          <cell r="C2186" t="str">
            <v>Not Listed</v>
          </cell>
        </row>
        <row r="2187">
          <cell r="A2187" t="str">
            <v>KHODAY (INDIA) LTD</v>
          </cell>
          <cell r="B2187">
            <v>507435</v>
          </cell>
          <cell r="C2187" t="str">
            <v>Not Listed</v>
          </cell>
        </row>
        <row r="2188">
          <cell r="A2188" t="str">
            <v>KHODAY INDIA LTD</v>
          </cell>
          <cell r="B2188">
            <v>507435</v>
          </cell>
          <cell r="C2188" t="str">
            <v>Not Listed</v>
          </cell>
        </row>
        <row r="2189">
          <cell r="A2189" t="str">
            <v>KHOOBSURAT LTD</v>
          </cell>
          <cell r="B2189">
            <v>535730</v>
          </cell>
          <cell r="C2189" t="str">
            <v>Not Listed</v>
          </cell>
        </row>
        <row r="2190">
          <cell r="A2190" t="str">
            <v>KHYATI MULTIMEDIA-ENTERTAINMENT LTD</v>
          </cell>
          <cell r="B2190">
            <v>531692</v>
          </cell>
          <cell r="C2190" t="str">
            <v>Not Listed</v>
          </cell>
        </row>
        <row r="2191">
          <cell r="A2191" t="str">
            <v>KIC METALIKS LTD</v>
          </cell>
          <cell r="B2191">
            <v>513693</v>
          </cell>
          <cell r="C2191" t="str">
            <v>Not Listed</v>
          </cell>
        </row>
        <row r="2192">
          <cell r="A2192" t="str">
            <v>KIDS MEDICAL SYSTEMS LTD</v>
          </cell>
          <cell r="B2192">
            <v>540812</v>
          </cell>
          <cell r="C2192" t="str">
            <v>Not Listed</v>
          </cell>
        </row>
        <row r="2193">
          <cell r="A2193" t="str">
            <v>KIDUJA (INDIA) LTD</v>
          </cell>
          <cell r="B2193">
            <v>507946</v>
          </cell>
          <cell r="C2193" t="str">
            <v>Not Listed</v>
          </cell>
        </row>
        <row r="2194">
          <cell r="A2194" t="str">
            <v>KIDUJA INDIA LTD</v>
          </cell>
          <cell r="B2194">
            <v>507946</v>
          </cell>
          <cell r="C2194" t="str">
            <v>Not Listed</v>
          </cell>
        </row>
        <row r="2195">
          <cell r="A2195" t="str">
            <v>KIFS FINANCIAL SERVICES LTD</v>
          </cell>
          <cell r="B2195">
            <v>535566</v>
          </cell>
          <cell r="C2195" t="str">
            <v>Not Listed</v>
          </cell>
        </row>
        <row r="2196">
          <cell r="A2196" t="str">
            <v>KILBURN CHEMICALS LTD</v>
          </cell>
          <cell r="B2196">
            <v>524699</v>
          </cell>
          <cell r="C2196" t="str">
            <v>Not Listed</v>
          </cell>
        </row>
        <row r="2197">
          <cell r="A2197" t="str">
            <v>KILBURN ENGINEERING LTD</v>
          </cell>
          <cell r="B2197">
            <v>522101</v>
          </cell>
          <cell r="C2197" t="str">
            <v>Not Listed</v>
          </cell>
        </row>
        <row r="2198">
          <cell r="A2198" t="str">
            <v>KILBURN OFFICE AUTOMATION LTD.</v>
          </cell>
          <cell r="B2198">
            <v>523218</v>
          </cell>
          <cell r="C2198" t="str">
            <v>KILBURN</v>
          </cell>
        </row>
        <row r="2199">
          <cell r="A2199" t="str">
            <v>KILITCH DRUGS (INDIA) LTD</v>
          </cell>
          <cell r="B2199">
            <v>524500</v>
          </cell>
          <cell r="C2199" t="str">
            <v>KILITCH</v>
          </cell>
        </row>
        <row r="2200">
          <cell r="A2200" t="str">
            <v>KILITCH DRUGS INDIA LTD</v>
          </cell>
          <cell r="B2200">
            <v>524500</v>
          </cell>
          <cell r="C2200" t="str">
            <v>KILITCH</v>
          </cell>
        </row>
        <row r="2201">
          <cell r="A2201" t="str">
            <v>KILPEST (INDIA) LTD</v>
          </cell>
          <cell r="B2201">
            <v>532067</v>
          </cell>
          <cell r="C2201" t="str">
            <v>Not Listed</v>
          </cell>
        </row>
        <row r="2202">
          <cell r="A2202" t="str">
            <v>KILPEST INDIA LTD</v>
          </cell>
          <cell r="B2202">
            <v>532067</v>
          </cell>
          <cell r="C2202" t="str">
            <v>Not Listed</v>
          </cell>
        </row>
        <row r="2203">
          <cell r="A2203" t="str">
            <v>Kimia Biosciences Ltd</v>
          </cell>
          <cell r="B2203">
            <v>530313</v>
          </cell>
          <cell r="C2203" t="str">
            <v>KIMIABL</v>
          </cell>
        </row>
        <row r="2204">
          <cell r="A2204" t="str">
            <v>KINETIC ENGINEERING LTD</v>
          </cell>
          <cell r="B2204">
            <v>500240</v>
          </cell>
          <cell r="C2204" t="str">
            <v>Not Listed</v>
          </cell>
        </row>
        <row r="2205">
          <cell r="A2205" t="str">
            <v>KINETIC TRUST LTD</v>
          </cell>
          <cell r="B2205">
            <v>531274</v>
          </cell>
          <cell r="C2205" t="str">
            <v>Not Listed</v>
          </cell>
        </row>
        <row r="2206">
          <cell r="A2206" t="str">
            <v>KINGFA SCIENCE &amp; TECHNOLOGY (INDIA) LTD</v>
          </cell>
          <cell r="B2206">
            <v>524019</v>
          </cell>
          <cell r="C2206" t="str">
            <v>KINGFA</v>
          </cell>
        </row>
        <row r="2207">
          <cell r="A2207" t="str">
            <v>KINGFA SCIENCE &amp; TECHNOLOGY INDIA LTD</v>
          </cell>
          <cell r="B2207">
            <v>524019</v>
          </cell>
          <cell r="C2207" t="str">
            <v>KINGFA</v>
          </cell>
        </row>
        <row r="2208">
          <cell r="A2208" t="str">
            <v>KINGS INFRA VENTURES LTD</v>
          </cell>
          <cell r="B2208">
            <v>530215</v>
          </cell>
          <cell r="C2208" t="str">
            <v>Not Listed</v>
          </cell>
        </row>
        <row r="2209">
          <cell r="A2209" t="str">
            <v>KINTECH RENEWABLES LTD</v>
          </cell>
          <cell r="B2209">
            <v>512329</v>
          </cell>
          <cell r="C2209" t="str">
            <v>Not Listed</v>
          </cell>
        </row>
        <row r="2210">
          <cell r="A2210" t="str">
            <v>KIOCL LTD</v>
          </cell>
          <cell r="B2210">
            <v>540680</v>
          </cell>
          <cell r="C2210" t="str">
            <v>KIOCL</v>
          </cell>
        </row>
        <row r="2211">
          <cell r="A2211" t="str">
            <v>KIRAN PRINT-PACK LTD</v>
          </cell>
          <cell r="B2211">
            <v>531413</v>
          </cell>
          <cell r="C2211" t="str">
            <v>Not Listed</v>
          </cell>
        </row>
        <row r="2212">
          <cell r="A2212" t="str">
            <v>KIRAN VYAPAR LTD</v>
          </cell>
          <cell r="B2212">
            <v>537750</v>
          </cell>
          <cell r="C2212" t="str">
            <v>Not Listed</v>
          </cell>
        </row>
        <row r="2213">
          <cell r="A2213" t="str">
            <v>KIRI INDUSTRIES LTD</v>
          </cell>
          <cell r="B2213">
            <v>532967</v>
          </cell>
          <cell r="C2213" t="str">
            <v>KIRIINDUS</v>
          </cell>
        </row>
        <row r="2214">
          <cell r="A2214" t="str">
            <v>KIRLOSKAR BROTHERS LTD</v>
          </cell>
          <cell r="B2214">
            <v>500241</v>
          </cell>
          <cell r="C2214" t="str">
            <v>KIRLOSBROS</v>
          </cell>
        </row>
        <row r="2215">
          <cell r="A2215" t="str">
            <v>KIRLOSKAR ELECTRIC COMPANY LTD</v>
          </cell>
          <cell r="B2215">
            <v>533193</v>
          </cell>
          <cell r="C2215" t="str">
            <v>KECL</v>
          </cell>
        </row>
        <row r="2216">
          <cell r="A2216" t="str">
            <v>KIRLOSKAR FERROUS INDUSTRIES LTD</v>
          </cell>
          <cell r="B2216">
            <v>500245</v>
          </cell>
          <cell r="C2216" t="str">
            <v>Not Listed</v>
          </cell>
        </row>
        <row r="2217">
          <cell r="A2217" t="str">
            <v>KIRLOSKAR INDUSTRIES LTD</v>
          </cell>
          <cell r="B2217">
            <v>500243</v>
          </cell>
          <cell r="C2217" t="str">
            <v>KIRLOSIND</v>
          </cell>
        </row>
        <row r="2218">
          <cell r="A2218" t="str">
            <v>KIRLOSKAR OIL ENGINES LTD</v>
          </cell>
          <cell r="B2218">
            <v>533293</v>
          </cell>
          <cell r="C2218" t="str">
            <v>KIRLOSENG</v>
          </cell>
        </row>
        <row r="2219">
          <cell r="A2219" t="str">
            <v>KIRLOSKAR PNEUMATIC CO LTD</v>
          </cell>
          <cell r="B2219">
            <v>505283</v>
          </cell>
          <cell r="C2219" t="str">
            <v>Not Listed</v>
          </cell>
        </row>
        <row r="2220">
          <cell r="A2220" t="str">
            <v>KISAN MOULDINGS LTD</v>
          </cell>
          <cell r="B2220">
            <v>530145</v>
          </cell>
          <cell r="C2220" t="str">
            <v>Not Listed</v>
          </cell>
        </row>
        <row r="2221">
          <cell r="A2221" t="str">
            <v>KITEX GARMENTS LTD</v>
          </cell>
          <cell r="B2221">
            <v>521248</v>
          </cell>
          <cell r="C2221" t="str">
            <v>KITEX</v>
          </cell>
        </row>
        <row r="2222">
          <cell r="A2222" t="str">
            <v>KJMC CORPORATE ADVISORS (INDIA) LTD</v>
          </cell>
          <cell r="B2222">
            <v>532304</v>
          </cell>
          <cell r="C2222" t="str">
            <v>Not Listed</v>
          </cell>
        </row>
        <row r="2223">
          <cell r="A2223" t="str">
            <v>KJMC CORPORATE ADVISORS INDIA LTD</v>
          </cell>
          <cell r="B2223">
            <v>532304</v>
          </cell>
          <cell r="C2223" t="str">
            <v>Not Listed</v>
          </cell>
        </row>
        <row r="2224">
          <cell r="A2224" t="str">
            <v>KJMC FINANCIAL SERVICES LTD</v>
          </cell>
          <cell r="B2224">
            <v>530235</v>
          </cell>
          <cell r="C2224" t="str">
            <v>Not Listed</v>
          </cell>
        </row>
        <row r="2225">
          <cell r="A2225" t="str">
            <v>KKALPANA INDUSTRIES (INDIA) LTD</v>
          </cell>
          <cell r="B2225">
            <v>526409</v>
          </cell>
          <cell r="C2225" t="str">
            <v>Not Listed</v>
          </cell>
        </row>
        <row r="2226">
          <cell r="A2226" t="str">
            <v>KKALPANA INDUSTRIES INDIA LTD</v>
          </cell>
          <cell r="B2226">
            <v>526409</v>
          </cell>
          <cell r="C2226" t="str">
            <v>Not Listed</v>
          </cell>
        </row>
        <row r="2227">
          <cell r="A2227" t="str">
            <v>KKALPANA PLASTICK LTD</v>
          </cell>
          <cell r="B2227">
            <v>523652</v>
          </cell>
          <cell r="C2227" t="str">
            <v>Not Listed</v>
          </cell>
        </row>
        <row r="2228">
          <cell r="A2228" t="str">
            <v>KKRRAFTON DEVELOPERS LTD</v>
          </cell>
          <cell r="B2228">
            <v>521238</v>
          </cell>
          <cell r="C2228" t="str">
            <v>Not Listed</v>
          </cell>
        </row>
        <row r="2229">
          <cell r="A2229" t="str">
            <v>KKV AGRO POWERS LTD</v>
          </cell>
          <cell r="B2229" t="str">
            <v>Not Listed</v>
          </cell>
          <cell r="C2229" t="str">
            <v>KKVAPOW</v>
          </cell>
        </row>
        <row r="2230">
          <cell r="A2230" t="str">
            <v>KLG CAPITAL SERVICES LTD</v>
          </cell>
          <cell r="B2230">
            <v>530771</v>
          </cell>
          <cell r="C2230" t="str">
            <v>Not Listed</v>
          </cell>
        </row>
        <row r="2231">
          <cell r="A2231" t="str">
            <v>K-LIFESTYLE &amp; INDUSTRIES LTD</v>
          </cell>
          <cell r="B2231">
            <v>514221</v>
          </cell>
          <cell r="C2231" t="str">
            <v>Not Listed</v>
          </cell>
        </row>
        <row r="2232">
          <cell r="A2232" t="str">
            <v>KLK Electrical Ltd</v>
          </cell>
          <cell r="B2232">
            <v>517170</v>
          </cell>
          <cell r="C2232" t="str">
            <v>KLKELEC</v>
          </cell>
        </row>
        <row r="2233">
          <cell r="A2233" t="str">
            <v>KMC SPECIALITY HOSPITALS (INDIA) LTD</v>
          </cell>
          <cell r="B2233">
            <v>524520</v>
          </cell>
          <cell r="C2233" t="str">
            <v>Not Listed</v>
          </cell>
        </row>
        <row r="2234">
          <cell r="A2234" t="str">
            <v>KMC SPECIALITY HOSPITALS INDIA LTD</v>
          </cell>
          <cell r="B2234">
            <v>524520</v>
          </cell>
          <cell r="C2234" t="str">
            <v>Not Listed</v>
          </cell>
        </row>
        <row r="2235">
          <cell r="A2235" t="str">
            <v>KMF BUILDERS &amp; DEVELOPERS LTD</v>
          </cell>
          <cell r="B2235">
            <v>531578</v>
          </cell>
          <cell r="C2235" t="str">
            <v>Not Listed</v>
          </cell>
        </row>
        <row r="2236">
          <cell r="A2236" t="str">
            <v>KMG MILK FOOD LTD</v>
          </cell>
          <cell r="B2236">
            <v>519415</v>
          </cell>
          <cell r="C2236" t="str">
            <v>Not Listed</v>
          </cell>
        </row>
        <row r="2237">
          <cell r="A2237" t="str">
            <v>KMS MEDISURGI LTD</v>
          </cell>
          <cell r="B2237">
            <v>540468</v>
          </cell>
          <cell r="C2237" t="str">
            <v>Not Listed</v>
          </cell>
        </row>
        <row r="2238">
          <cell r="A2238" t="str">
            <v>KNR CONSTRUCTIONS LTD</v>
          </cell>
          <cell r="B2238">
            <v>532942</v>
          </cell>
          <cell r="C2238" t="str">
            <v>KNRCON</v>
          </cell>
        </row>
        <row r="2239">
          <cell r="A2239" t="str">
            <v>KOHINOOR FOODS LTD</v>
          </cell>
          <cell r="B2239">
            <v>512559</v>
          </cell>
          <cell r="C2239" t="str">
            <v>KOHINOOR</v>
          </cell>
        </row>
        <row r="2240">
          <cell r="A2240" t="str">
            <v>KOKUYO CAMLIN LTD</v>
          </cell>
          <cell r="B2240">
            <v>523207</v>
          </cell>
          <cell r="C2240" t="str">
            <v>KOKUYOCMLN</v>
          </cell>
        </row>
        <row r="2241">
          <cell r="A2241" t="str">
            <v>KOLTE - PATIL DEVELOPERS LTD</v>
          </cell>
          <cell r="B2241">
            <v>532924</v>
          </cell>
          <cell r="C2241" t="str">
            <v>KOLTEPATIL</v>
          </cell>
        </row>
        <row r="2242">
          <cell r="A2242" t="str">
            <v>KOME-ON COMMUNICATION LTD</v>
          </cell>
          <cell r="B2242">
            <v>539910</v>
          </cell>
          <cell r="C2242" t="str">
            <v>Not Listed</v>
          </cell>
        </row>
        <row r="2243">
          <cell r="A2243" t="str">
            <v>KONARK SYNTHETIC LTD</v>
          </cell>
          <cell r="B2243">
            <v>514128</v>
          </cell>
          <cell r="C2243" t="str">
            <v>Not Listed</v>
          </cell>
        </row>
        <row r="2244">
          <cell r="A2244" t="str">
            <v>KOPRAN LTD</v>
          </cell>
          <cell r="B2244">
            <v>524280</v>
          </cell>
          <cell r="C2244" t="str">
            <v>KOPRAN</v>
          </cell>
        </row>
        <row r="2245">
          <cell r="A2245" t="str">
            <v>KOTAK MAHINDRA BANK LTD</v>
          </cell>
          <cell r="B2245">
            <v>500247</v>
          </cell>
          <cell r="C2245" t="str">
            <v>KOTAKBANK</v>
          </cell>
        </row>
        <row r="2246">
          <cell r="A2246" t="str">
            <v>KOTAK MAHINDRA MUTUAL FUND - KOTAK GOLD EXCHANGE TRADED FUND</v>
          </cell>
          <cell r="B2246">
            <v>590097</v>
          </cell>
          <cell r="C2246" t="str">
            <v>KOTAKGOLD</v>
          </cell>
        </row>
        <row r="2247">
          <cell r="A2247" t="str">
            <v>KOTAK MAHINDRA MUTUAL FUND - KOTAK PSU BANK ETF</v>
          </cell>
          <cell r="B2247">
            <v>590107</v>
          </cell>
          <cell r="C2247" t="str">
            <v>KOTAKPSUBK</v>
          </cell>
        </row>
        <row r="2248">
          <cell r="A2248" t="str">
            <v>KOTAK SENSEX ETF</v>
          </cell>
          <cell r="B2248">
            <v>532985</v>
          </cell>
          <cell r="C2248" t="str">
            <v>KTKSENSEX</v>
          </cell>
        </row>
        <row r="2249">
          <cell r="A2249" t="str">
            <v>KOTHARI FERMENTATION &amp; BIOCHEM LTD</v>
          </cell>
          <cell r="B2249">
            <v>507474</v>
          </cell>
          <cell r="C2249" t="str">
            <v>Not Listed</v>
          </cell>
        </row>
        <row r="2250">
          <cell r="A2250" t="str">
            <v>KOTHARI PETROCHEMICALS LTD</v>
          </cell>
          <cell r="B2250" t="str">
            <v>Not Listed</v>
          </cell>
          <cell r="C2250" t="str">
            <v>KOTHARIPET</v>
          </cell>
        </row>
        <row r="2251">
          <cell r="A2251" t="str">
            <v>KOTHARI PRODUCTS LTD</v>
          </cell>
          <cell r="B2251">
            <v>530299</v>
          </cell>
          <cell r="C2251" t="str">
            <v>KOTHARIPRO</v>
          </cell>
        </row>
        <row r="2252">
          <cell r="A2252" t="str">
            <v>KOTHARI SUGARS AND CHEMICALS LTD</v>
          </cell>
          <cell r="B2252" t="str">
            <v>Not Listed</v>
          </cell>
          <cell r="C2252" t="str">
            <v>KOTARISUG</v>
          </cell>
        </row>
        <row r="2253">
          <cell r="A2253" t="str">
            <v>KOTHARI WORLD FINANCE LTD</v>
          </cell>
          <cell r="B2253">
            <v>511138</v>
          </cell>
          <cell r="C2253" t="str">
            <v>Not Listed</v>
          </cell>
        </row>
        <row r="2254">
          <cell r="A2254" t="str">
            <v>KOTIA ENTERPRISES LTD</v>
          </cell>
          <cell r="B2254">
            <v>539599</v>
          </cell>
          <cell r="C2254" t="str">
            <v>Not Listed</v>
          </cell>
        </row>
        <row r="2255">
          <cell r="A2255" t="str">
            <v>KOVAI MEDICAL CENTER &amp; HOSPITAL LTD</v>
          </cell>
          <cell r="B2255">
            <v>523323</v>
          </cell>
          <cell r="C2255" t="str">
            <v>Not Listed</v>
          </cell>
        </row>
        <row r="2256">
          <cell r="A2256" t="str">
            <v>KOVALAM INVESTMENT &amp; TRADING CO LTD</v>
          </cell>
          <cell r="B2256">
            <v>505585</v>
          </cell>
          <cell r="C2256" t="str">
            <v>Not Listed</v>
          </cell>
        </row>
        <row r="2257">
          <cell r="A2257" t="str">
            <v>KOVILPATTI LAKSHMI ROLLER FLOUR MILLS LTD</v>
          </cell>
          <cell r="B2257">
            <v>507598</v>
          </cell>
          <cell r="C2257" t="str">
            <v>Not Listed</v>
          </cell>
        </row>
        <row r="2258">
          <cell r="A2258" t="str">
            <v>KPIT TECHNOLOGIES LTD</v>
          </cell>
          <cell r="B2258">
            <v>532400</v>
          </cell>
          <cell r="C2258" t="str">
            <v>KPIT</v>
          </cell>
        </row>
        <row r="2259">
          <cell r="A2259" t="str">
            <v>KPIT Technologies Ltd</v>
          </cell>
          <cell r="B2259">
            <v>542651</v>
          </cell>
          <cell r="C2259" t="str">
            <v>KPITTECH</v>
          </cell>
        </row>
        <row r="2260">
          <cell r="A2260" t="str">
            <v>Kranti Industries Ltd</v>
          </cell>
          <cell r="B2260">
            <v>542459</v>
          </cell>
          <cell r="C2260" t="str">
            <v>KRANTI</v>
          </cell>
        </row>
        <row r="2261">
          <cell r="A2261" t="str">
            <v>KRATOS ENERGY &amp; INFRASTRUCTURE LTD</v>
          </cell>
          <cell r="B2261">
            <v>501261</v>
          </cell>
          <cell r="C2261" t="str">
            <v>Not Listed</v>
          </cell>
        </row>
        <row r="2262">
          <cell r="A2262" t="str">
            <v>KRBL LTD</v>
          </cell>
          <cell r="B2262">
            <v>530813</v>
          </cell>
          <cell r="C2262" t="str">
            <v>KRBL</v>
          </cell>
        </row>
        <row r="2263">
          <cell r="A2263" t="str">
            <v>KREBS BIOCHEMICALS AND INDUSTRIES LTD</v>
          </cell>
          <cell r="B2263">
            <v>524518</v>
          </cell>
          <cell r="C2263" t="str">
            <v>KREBSBIO</v>
          </cell>
        </row>
        <row r="2264">
          <cell r="A2264" t="str">
            <v>KREON FINNANCIAL SERVICES LTD</v>
          </cell>
          <cell r="B2264">
            <v>530139</v>
          </cell>
          <cell r="C2264" t="str">
            <v>Not Listed</v>
          </cell>
        </row>
        <row r="2265">
          <cell r="A2265" t="str">
            <v>KRETTO SYSCON LTD</v>
          </cell>
          <cell r="B2265">
            <v>531328</v>
          </cell>
          <cell r="C2265" t="str">
            <v>Not Listed</v>
          </cell>
        </row>
        <row r="2266">
          <cell r="A2266" t="str">
            <v>KRIDHAN INFRA LTD</v>
          </cell>
          <cell r="B2266">
            <v>533482</v>
          </cell>
          <cell r="C2266" t="str">
            <v>KRIDHANINF</v>
          </cell>
        </row>
        <row r="2267">
          <cell r="A2267" t="str">
            <v>KRISHANA PHOSCHEM LTD</v>
          </cell>
          <cell r="B2267" t="str">
            <v>Not Listed</v>
          </cell>
          <cell r="C2267" t="str">
            <v>KRISHANA</v>
          </cell>
        </row>
        <row r="2268">
          <cell r="A2268" t="str">
            <v>KRISHNA CAPITAL AND SECURITIES LTD</v>
          </cell>
          <cell r="B2268">
            <v>539384</v>
          </cell>
          <cell r="C2268" t="str">
            <v>Not Listed</v>
          </cell>
        </row>
        <row r="2269">
          <cell r="A2269" t="str">
            <v>KRISHNA VENTURES LTD</v>
          </cell>
          <cell r="B2269">
            <v>504392</v>
          </cell>
          <cell r="C2269" t="str">
            <v>Not Listed</v>
          </cell>
        </row>
        <row r="2270">
          <cell r="A2270" t="str">
            <v>KRITI INDUSTRIES (INDIA) LTD</v>
          </cell>
          <cell r="B2270">
            <v>526423</v>
          </cell>
          <cell r="C2270" t="str">
            <v>Not Listed</v>
          </cell>
        </row>
        <row r="2271">
          <cell r="A2271" t="str">
            <v>KRITI INDUSTRIES INDIA LTD</v>
          </cell>
          <cell r="B2271">
            <v>526423</v>
          </cell>
          <cell r="C2271" t="str">
            <v>Not Listed</v>
          </cell>
        </row>
        <row r="2272">
          <cell r="A2272" t="str">
            <v>KRITI NUTRIENTS LTD</v>
          </cell>
          <cell r="B2272">
            <v>533210</v>
          </cell>
          <cell r="C2272" t="str">
            <v>Not Listed</v>
          </cell>
        </row>
        <row r="2273">
          <cell r="A2273" t="str">
            <v>KRITIKA WIRES LTD</v>
          </cell>
          <cell r="B2273" t="str">
            <v>Not Listed</v>
          </cell>
          <cell r="C2273" t="str">
            <v>KRITIKA</v>
          </cell>
        </row>
        <row r="2274">
          <cell r="A2274" t="str">
            <v>KRYPTON INDUSTRIES LTD</v>
          </cell>
          <cell r="B2274">
            <v>523550</v>
          </cell>
          <cell r="C2274" t="str">
            <v>Not Listed</v>
          </cell>
        </row>
        <row r="2275">
          <cell r="A2275" t="str">
            <v>KSB LTD</v>
          </cell>
          <cell r="B2275">
            <v>500249</v>
          </cell>
          <cell r="C2275" t="str">
            <v>KSB</v>
          </cell>
        </row>
        <row r="2276">
          <cell r="A2276" t="str">
            <v>KSE LTD</v>
          </cell>
          <cell r="B2276">
            <v>519421</v>
          </cell>
          <cell r="C2276" t="str">
            <v>Not Listed</v>
          </cell>
        </row>
        <row r="2277">
          <cell r="A2277" t="str">
            <v>KSHITIJ POLYLINE LTD</v>
          </cell>
          <cell r="B2277" t="str">
            <v>Not Listed</v>
          </cell>
          <cell r="C2277" t="str">
            <v>KSHITIJPOL</v>
          </cell>
        </row>
        <row r="2278">
          <cell r="A2278" t="str">
            <v>KSHITIZ INVESTMENT LTD</v>
          </cell>
          <cell r="B2278">
            <v>503626</v>
          </cell>
          <cell r="C2278" t="str">
            <v>Not Listed</v>
          </cell>
        </row>
        <row r="2279">
          <cell r="A2279" t="str">
            <v>KSK ENERGY VENTURES LTD</v>
          </cell>
          <cell r="B2279">
            <v>532997</v>
          </cell>
          <cell r="C2279" t="str">
            <v>KSK</v>
          </cell>
        </row>
        <row r="2280">
          <cell r="A2280" t="str">
            <v>KSL AND INDUSTRIES LTD</v>
          </cell>
          <cell r="B2280">
            <v>530149</v>
          </cell>
          <cell r="C2280" t="str">
            <v>Not Listed</v>
          </cell>
        </row>
        <row r="2281">
          <cell r="A2281" t="str">
            <v>KSS LTD</v>
          </cell>
          <cell r="B2281">
            <v>532081</v>
          </cell>
          <cell r="C2281" t="str">
            <v>KSERASERA</v>
          </cell>
        </row>
        <row r="2282">
          <cell r="A2282" t="str">
            <v>KUANTUM PAPERS LTD</v>
          </cell>
          <cell r="B2282">
            <v>532937</v>
          </cell>
          <cell r="C2282" t="str">
            <v>Not Listed</v>
          </cell>
        </row>
        <row r="2283">
          <cell r="A2283" t="str">
            <v>KUBER UDYOG LTD</v>
          </cell>
          <cell r="B2283">
            <v>539408</v>
          </cell>
          <cell r="C2283" t="str">
            <v>Not Listed</v>
          </cell>
        </row>
        <row r="2284">
          <cell r="A2284" t="str">
            <v>KULKARNI POWER &amp; TOOLS LTD</v>
          </cell>
          <cell r="B2284">
            <v>505299</v>
          </cell>
          <cell r="C2284" t="str">
            <v>Not Listed</v>
          </cell>
        </row>
        <row r="2285">
          <cell r="A2285" t="str">
            <v>KUMAR WIRE CLOTH MANUFACTURING COMPANY LTD</v>
          </cell>
          <cell r="B2285">
            <v>513703</v>
          </cell>
          <cell r="C2285" t="str">
            <v>Not Listed</v>
          </cell>
        </row>
        <row r="2286">
          <cell r="A2286" t="str">
            <v>KUNSTSTOFFE INDUSTRIES LTD</v>
          </cell>
          <cell r="B2286">
            <v>523594</v>
          </cell>
          <cell r="C2286" t="str">
            <v>Not Listed</v>
          </cell>
        </row>
        <row r="2287">
          <cell r="A2287" t="str">
            <v>KUSAM ELECTRICAL INDUSTRIES LTD</v>
          </cell>
          <cell r="B2287">
            <v>511048</v>
          </cell>
          <cell r="C2287" t="str">
            <v>Not Listed</v>
          </cell>
        </row>
        <row r="2288">
          <cell r="A2288" t="str">
            <v>KUSH INDUSTRIES LTD</v>
          </cell>
          <cell r="B2288">
            <v>514240</v>
          </cell>
          <cell r="C2288" t="str">
            <v>Not Listed</v>
          </cell>
        </row>
        <row r="2289">
          <cell r="A2289" t="str">
            <v>KUSHAL LTD</v>
          </cell>
          <cell r="B2289">
            <v>536170</v>
          </cell>
          <cell r="C2289" t="str">
            <v>Not Listed</v>
          </cell>
        </row>
        <row r="2290">
          <cell r="A2290" t="str">
            <v>KUWER INDUSTRIES LTD</v>
          </cell>
          <cell r="B2290">
            <v>530421</v>
          </cell>
          <cell r="C2290" t="str">
            <v>Not Listed</v>
          </cell>
        </row>
        <row r="2291">
          <cell r="A2291" t="str">
            <v>KWALITY CREDIT &amp; LEASING LTD</v>
          </cell>
          <cell r="B2291">
            <v>531206</v>
          </cell>
          <cell r="C2291" t="str">
            <v>Not Listed</v>
          </cell>
        </row>
        <row r="2292">
          <cell r="A2292" t="str">
            <v>KWALITY LTD</v>
          </cell>
          <cell r="B2292">
            <v>531882</v>
          </cell>
          <cell r="C2292" t="str">
            <v>KWALITY</v>
          </cell>
        </row>
        <row r="2293">
          <cell r="A2293" t="str">
            <v>KWALITY PHARMACEUTICALS LTD</v>
          </cell>
          <cell r="B2293">
            <v>539997</v>
          </cell>
          <cell r="C2293" t="str">
            <v>Not Listed</v>
          </cell>
        </row>
        <row r="2294">
          <cell r="A2294" t="str">
            <v>L  P  NAVAL AND ENGINEERING LTD</v>
          </cell>
          <cell r="B2294">
            <v>537669</v>
          </cell>
          <cell r="C2294" t="str">
            <v>Not Listed</v>
          </cell>
        </row>
        <row r="2295">
          <cell r="A2295" t="str">
            <v>L&amp;T FINANCE HOLDINGS LTD</v>
          </cell>
          <cell r="B2295">
            <v>533519</v>
          </cell>
          <cell r="C2295" t="str">
            <v>L&amp;TFH</v>
          </cell>
        </row>
        <row r="2296">
          <cell r="A2296" t="str">
            <v>L&amp;T TECHNOLOGY SERVICES LTD</v>
          </cell>
          <cell r="B2296">
            <v>540115</v>
          </cell>
          <cell r="C2296" t="str">
            <v>LTTS</v>
          </cell>
        </row>
        <row r="2297">
          <cell r="A2297" t="str">
            <v>LA OPALA RG LTD</v>
          </cell>
          <cell r="B2297">
            <v>526947</v>
          </cell>
          <cell r="C2297" t="str">
            <v>LAOPALA</v>
          </cell>
        </row>
        <row r="2298">
          <cell r="A2298" t="str">
            <v>La Tim Metal &amp;amp; Industries Ltd</v>
          </cell>
          <cell r="B2298">
            <v>505693</v>
          </cell>
          <cell r="C2298" t="str">
            <v>LATIMMETAL</v>
          </cell>
        </row>
        <row r="2299">
          <cell r="A2299" t="str">
            <v>LACTOSE (INDIA) LTD</v>
          </cell>
          <cell r="B2299">
            <v>524202</v>
          </cell>
          <cell r="C2299" t="str">
            <v>Not Listed</v>
          </cell>
        </row>
        <row r="2300">
          <cell r="A2300" t="str">
            <v>LACTOSE INDIA LTD</v>
          </cell>
          <cell r="B2300">
            <v>524202</v>
          </cell>
          <cell r="C2300" t="str">
            <v>Not Listed</v>
          </cell>
        </row>
        <row r="2301">
          <cell r="A2301" t="str">
            <v>LADAM AFFORDABLE HOUSING LTD</v>
          </cell>
          <cell r="B2301">
            <v>540026</v>
          </cell>
          <cell r="C2301" t="str">
            <v>Not Listed</v>
          </cell>
        </row>
        <row r="2302">
          <cell r="A2302" t="str">
            <v>LADDERUP FINANCE LTD</v>
          </cell>
          <cell r="B2302">
            <v>530577</v>
          </cell>
          <cell r="C2302" t="str">
            <v>Not Listed</v>
          </cell>
        </row>
        <row r="2303">
          <cell r="A2303" t="str">
            <v>LAFFANS PETROCHEMICALS LTD</v>
          </cell>
          <cell r="B2303">
            <v>524522</v>
          </cell>
          <cell r="C2303" t="str">
            <v>Not Listed</v>
          </cell>
        </row>
        <row r="2304">
          <cell r="A2304" t="str">
            <v>LAGNAM SPINTEX LTD</v>
          </cell>
          <cell r="B2304" t="str">
            <v>Not Listed</v>
          </cell>
          <cell r="C2304" t="str">
            <v>LAGNAM</v>
          </cell>
        </row>
        <row r="2305">
          <cell r="A2305" t="str">
            <v>LAHOTI OVERSEAS LTD</v>
          </cell>
          <cell r="B2305">
            <v>531842</v>
          </cell>
          <cell r="C2305" t="str">
            <v>Not Listed</v>
          </cell>
        </row>
        <row r="2306">
          <cell r="A2306" t="str">
            <v>LAKHOTIA POLYESTERS (INDIA) LTD</v>
          </cell>
          <cell r="B2306">
            <v>535387</v>
          </cell>
          <cell r="C2306" t="str">
            <v>Not Listed</v>
          </cell>
        </row>
        <row r="2307">
          <cell r="A2307" t="str">
            <v>LAKHOTIA POLYESTERS INDIA LTD</v>
          </cell>
          <cell r="B2307">
            <v>535387</v>
          </cell>
          <cell r="C2307" t="str">
            <v>Not Listed</v>
          </cell>
        </row>
        <row r="2308">
          <cell r="A2308" t="str">
            <v>LAKSHMI AUTOMATIC LOOM WORKS LTD</v>
          </cell>
          <cell r="B2308">
            <v>505302</v>
          </cell>
          <cell r="C2308" t="str">
            <v>Not Listed</v>
          </cell>
        </row>
        <row r="2309">
          <cell r="A2309" t="str">
            <v>LAKSHMI ELECTRICAL CONTROL SYSTEMS LTD</v>
          </cell>
          <cell r="B2309">
            <v>504258</v>
          </cell>
          <cell r="C2309" t="str">
            <v>Not Listed</v>
          </cell>
        </row>
        <row r="2310">
          <cell r="A2310" t="str">
            <v>LAKSHMI FINANCE &amp; INDUSTRIAL CORPORATION LTD</v>
          </cell>
          <cell r="B2310" t="str">
            <v>Not Listed</v>
          </cell>
          <cell r="C2310" t="str">
            <v>LFIC</v>
          </cell>
        </row>
        <row r="2311">
          <cell r="A2311" t="str">
            <v>LAKSHMI MACHINE WORKS LTD</v>
          </cell>
          <cell r="B2311">
            <v>500252</v>
          </cell>
          <cell r="C2311" t="str">
            <v>LAXMIMACH</v>
          </cell>
        </row>
        <row r="2312">
          <cell r="A2312" t="str">
            <v>LAKSHMI MILLS COMPANY LTD</v>
          </cell>
          <cell r="B2312">
            <v>502958</v>
          </cell>
          <cell r="C2312" t="str">
            <v>Not Listed</v>
          </cell>
        </row>
        <row r="2313">
          <cell r="A2313" t="str">
            <v>LAKSHMI PRECISION SCREWS LTD</v>
          </cell>
          <cell r="B2313">
            <v>506079</v>
          </cell>
          <cell r="C2313" t="str">
            <v>LAKPRE</v>
          </cell>
        </row>
        <row r="2314">
          <cell r="A2314" t="str">
            <v>LAKSHMI VILAS BANK LTD</v>
          </cell>
          <cell r="B2314">
            <v>534690</v>
          </cell>
          <cell r="C2314" t="str">
            <v>LAKSHVILAS</v>
          </cell>
        </row>
        <row r="2315">
          <cell r="A2315" t="str">
            <v>LAMBODHARA TEXTILES LTD</v>
          </cell>
          <cell r="B2315">
            <v>590075</v>
          </cell>
          <cell r="C2315" t="str">
            <v>LAMBODHARA</v>
          </cell>
        </row>
        <row r="2316">
          <cell r="A2316" t="str">
            <v>LANCER CONTAINER LINES LTD</v>
          </cell>
          <cell r="B2316">
            <v>539841</v>
          </cell>
          <cell r="C2316" t="str">
            <v>Not Listed</v>
          </cell>
        </row>
        <row r="2317">
          <cell r="A2317" t="str">
            <v>LANCOR HOLDINGS LTD</v>
          </cell>
          <cell r="B2317">
            <v>509048</v>
          </cell>
          <cell r="C2317" t="str">
            <v>Not Listed</v>
          </cell>
        </row>
        <row r="2318">
          <cell r="A2318" t="str">
            <v>LANDMARC LEISURE CORPORATION LTD</v>
          </cell>
          <cell r="B2318">
            <v>532275</v>
          </cell>
          <cell r="C2318" t="str">
            <v>Not Listed</v>
          </cell>
        </row>
        <row r="2319">
          <cell r="A2319" t="str">
            <v>LANDMARK PROPERTY DEVELOPMENT COMPANY LTD</v>
          </cell>
          <cell r="B2319">
            <v>533012</v>
          </cell>
          <cell r="C2319" t="str">
            <v>LPDC</v>
          </cell>
        </row>
        <row r="2320">
          <cell r="A2320" t="str">
            <v>LARSEN &amp; TOUBRO INFOTECH LTD</v>
          </cell>
          <cell r="B2320">
            <v>540005</v>
          </cell>
          <cell r="C2320" t="str">
            <v>LTI</v>
          </cell>
        </row>
        <row r="2321">
          <cell r="A2321" t="str">
            <v>LARSEN &amp; TOUBRO LTD</v>
          </cell>
          <cell r="B2321">
            <v>500510</v>
          </cell>
          <cell r="C2321" t="str">
            <v>LT</v>
          </cell>
        </row>
        <row r="2322">
          <cell r="A2322" t="str">
            <v>LASA SUPERGENERICS LTD</v>
          </cell>
          <cell r="B2322">
            <v>540702</v>
          </cell>
          <cell r="C2322" t="str">
            <v>LASA</v>
          </cell>
        </row>
        <row r="2323">
          <cell r="A2323" t="str">
            <v>LASER DIAMONDS LTD</v>
          </cell>
          <cell r="B2323">
            <v>531164</v>
          </cell>
          <cell r="C2323" t="str">
            <v>Not Listed</v>
          </cell>
        </row>
        <row r="2324">
          <cell r="A2324" t="str">
            <v>LATENT LIGHT FINANCE LTD</v>
          </cell>
          <cell r="B2324">
            <v>539909</v>
          </cell>
          <cell r="C2324" t="str">
            <v>Not Listed</v>
          </cell>
        </row>
        <row r="2325">
          <cell r="A2325" t="str">
            <v>LATTEYS INDUSTRIES LTD</v>
          </cell>
          <cell r="B2325" t="str">
            <v>Not Listed</v>
          </cell>
          <cell r="C2325" t="str">
            <v>LATTEYS</v>
          </cell>
        </row>
        <row r="2326">
          <cell r="A2326" t="str">
            <v>LAURUS LABS LTD</v>
          </cell>
          <cell r="B2326">
            <v>540222</v>
          </cell>
          <cell r="C2326" t="str">
            <v>LAURUSLABS</v>
          </cell>
        </row>
        <row r="2327">
          <cell r="A2327" t="str">
            <v>LAWRESHWAR POLYMERS LTD</v>
          </cell>
          <cell r="B2327">
            <v>532829</v>
          </cell>
          <cell r="C2327" t="str">
            <v>Not Listed</v>
          </cell>
        </row>
        <row r="2328">
          <cell r="A2328" t="str">
            <v>LAXMI COTSPIN LTD</v>
          </cell>
          <cell r="B2328" t="str">
            <v>Not Listed</v>
          </cell>
          <cell r="C2328" t="str">
            <v>LAXMICOT</v>
          </cell>
        </row>
        <row r="2329">
          <cell r="A2329" t="str">
            <v>LEAD FINANCIAL SERVICES LTD</v>
          </cell>
          <cell r="B2329">
            <v>531288</v>
          </cell>
          <cell r="C2329" t="str">
            <v>Not Listed</v>
          </cell>
        </row>
        <row r="2330">
          <cell r="A2330" t="str">
            <v>LEADING LEASING FINANCE AND INVESTMENT COMPANY LTD</v>
          </cell>
          <cell r="B2330">
            <v>540360</v>
          </cell>
          <cell r="C2330" t="str">
            <v>Not Listed</v>
          </cell>
        </row>
        <row r="2331">
          <cell r="A2331" t="str">
            <v>LEDO TEA CO LTD</v>
          </cell>
          <cell r="B2331">
            <v>508306</v>
          </cell>
          <cell r="C2331" t="str">
            <v>Not Listed</v>
          </cell>
        </row>
        <row r="2332">
          <cell r="A2332" t="str">
            <v>LEE &amp; NEE SOFTWARES EXPORTS LTD</v>
          </cell>
          <cell r="B2332">
            <v>517415</v>
          </cell>
          <cell r="C2332" t="str">
            <v>Not Listed</v>
          </cell>
        </row>
        <row r="2333">
          <cell r="A2333" t="str">
            <v>LEEL ELECTRICALS LTD</v>
          </cell>
          <cell r="B2333">
            <v>517518</v>
          </cell>
          <cell r="C2333" t="str">
            <v>LEEL</v>
          </cell>
        </row>
        <row r="2334">
          <cell r="A2334" t="str">
            <v>LEENA CONSULTANCY LTD</v>
          </cell>
          <cell r="B2334">
            <v>509046</v>
          </cell>
          <cell r="C2334" t="str">
            <v>Not Listed</v>
          </cell>
        </row>
        <row r="2335">
          <cell r="A2335" t="str">
            <v>LEGACY MERCANTILE LTD</v>
          </cell>
          <cell r="B2335">
            <v>780021</v>
          </cell>
          <cell r="C2335" t="str">
            <v>Not Listed</v>
          </cell>
        </row>
        <row r="2336">
          <cell r="A2336" t="str">
            <v>LEMON TREE HOTELS LTD</v>
          </cell>
          <cell r="B2336">
            <v>541233</v>
          </cell>
          <cell r="C2336" t="str">
            <v>LEMONTREE</v>
          </cell>
        </row>
        <row r="2337">
          <cell r="A2337" t="str">
            <v>LESHA INDUSTRIES LTD</v>
          </cell>
          <cell r="B2337">
            <v>533602</v>
          </cell>
          <cell r="C2337" t="str">
            <v>Not Listed</v>
          </cell>
        </row>
        <row r="2338">
          <cell r="A2338" t="str">
            <v>LEX NIMBLE SOLUTIONS LTD</v>
          </cell>
          <cell r="B2338">
            <v>541196</v>
          </cell>
          <cell r="C2338" t="str">
            <v>Not Listed</v>
          </cell>
        </row>
        <row r="2339">
          <cell r="A2339" t="str">
            <v>LEXUS GRANITO (INDIA) LTD</v>
          </cell>
          <cell r="B2339" t="str">
            <v>Not Listed</v>
          </cell>
          <cell r="C2339" t="str">
            <v>LEXUS</v>
          </cell>
        </row>
        <row r="2340">
          <cell r="A2340" t="str">
            <v>LEXUS GRANITO INDIA LTD</v>
          </cell>
          <cell r="B2340" t="str">
            <v>Not Listed</v>
          </cell>
          <cell r="C2340" t="str">
            <v>LEXUS</v>
          </cell>
        </row>
        <row r="2341">
          <cell r="A2341" t="str">
            <v>LG BALAKRISHNAN &amp; BROS LTD</v>
          </cell>
          <cell r="B2341">
            <v>500250</v>
          </cell>
          <cell r="C2341" t="str">
            <v>LGBBROSLTD</v>
          </cell>
        </row>
        <row r="2342">
          <cell r="A2342" t="str">
            <v>LGB FORGE LTD.</v>
          </cell>
          <cell r="B2342">
            <v>533007</v>
          </cell>
          <cell r="C2342" t="str">
            <v>LGBFORGE</v>
          </cell>
        </row>
        <row r="2343">
          <cell r="A2343" t="str">
            <v>LIBAS DESIGNS LTD</v>
          </cell>
          <cell r="B2343" t="str">
            <v>Not Listed</v>
          </cell>
          <cell r="C2343" t="str">
            <v>LIBAS</v>
          </cell>
        </row>
        <row r="2344">
          <cell r="A2344" t="str">
            <v>LIBERTY SHOES LTD</v>
          </cell>
          <cell r="B2344">
            <v>526596</v>
          </cell>
          <cell r="C2344" t="str">
            <v>LIBERTSHOE</v>
          </cell>
        </row>
        <row r="2345">
          <cell r="A2345" t="str">
            <v>LIBORD FINANCE LTD</v>
          </cell>
          <cell r="B2345">
            <v>511593</v>
          </cell>
          <cell r="C2345" t="str">
            <v>Not Listed</v>
          </cell>
        </row>
        <row r="2346">
          <cell r="A2346" t="str">
            <v>LIBORD SECURITIES LTD</v>
          </cell>
          <cell r="B2346">
            <v>531027</v>
          </cell>
          <cell r="C2346" t="str">
            <v>Not Listed</v>
          </cell>
        </row>
        <row r="2347">
          <cell r="A2347" t="str">
            <v>LIC HOUSING FINANCE LTD</v>
          </cell>
          <cell r="B2347">
            <v>500253</v>
          </cell>
          <cell r="C2347" t="str">
            <v>LICHSGFIN</v>
          </cell>
        </row>
        <row r="2348">
          <cell r="A2348" t="str">
            <v>LIKHAMI CONSULTING LTD</v>
          </cell>
          <cell r="B2348">
            <v>539927</v>
          </cell>
          <cell r="C2348" t="str">
            <v>Not Listed</v>
          </cell>
        </row>
        <row r="2349">
          <cell r="A2349" t="str">
            <v>LIME CHEMICALS LTD</v>
          </cell>
          <cell r="B2349">
            <v>507759</v>
          </cell>
          <cell r="C2349" t="str">
            <v>Not Listed</v>
          </cell>
        </row>
        <row r="2350">
          <cell r="A2350" t="str">
            <v>LINAKS MICROELECTRONICS LTD.</v>
          </cell>
          <cell r="B2350">
            <v>517463</v>
          </cell>
          <cell r="C2350" t="str">
            <v>LINAKS</v>
          </cell>
        </row>
        <row r="2351">
          <cell r="A2351" t="str">
            <v>LINC PEN &amp; PLASTICS LTD</v>
          </cell>
          <cell r="B2351">
            <v>531241</v>
          </cell>
          <cell r="C2351" t="str">
            <v>LINCPEN</v>
          </cell>
        </row>
        <row r="2352">
          <cell r="A2352" t="str">
            <v>LINCOLN PHARMACEUTICALS LTD</v>
          </cell>
          <cell r="B2352">
            <v>531633</v>
          </cell>
          <cell r="C2352" t="str">
            <v>LINCOLN</v>
          </cell>
        </row>
        <row r="2353">
          <cell r="A2353" t="str">
            <v>LINDE (INDIA) LTD</v>
          </cell>
          <cell r="B2353">
            <v>523457</v>
          </cell>
          <cell r="C2353" t="str">
            <v>LINDE(INDIA)</v>
          </cell>
        </row>
        <row r="2354">
          <cell r="A2354" t="str">
            <v>LINDE INDIA LTD</v>
          </cell>
          <cell r="B2354">
            <v>523457</v>
          </cell>
          <cell r="C2354" t="str">
            <v>LINDEINDIA</v>
          </cell>
        </row>
        <row r="2355">
          <cell r="A2355" t="str">
            <v>LINK PHARMA CHEM LTD</v>
          </cell>
          <cell r="B2355">
            <v>524748</v>
          </cell>
          <cell r="C2355" t="str">
            <v>Not Listed</v>
          </cell>
        </row>
        <row r="2356">
          <cell r="A2356" t="str">
            <v>LIPPI SYSTEMS LTD</v>
          </cell>
          <cell r="B2356">
            <v>526604</v>
          </cell>
          <cell r="C2356" t="str">
            <v>Not Listed</v>
          </cell>
        </row>
        <row r="2357">
          <cell r="A2357" t="str">
            <v>LKP FINANCE LTD</v>
          </cell>
          <cell r="B2357">
            <v>507912</v>
          </cell>
          <cell r="C2357" t="str">
            <v>Not Listed</v>
          </cell>
        </row>
        <row r="2358">
          <cell r="A2358" t="str">
            <v>LKP SECURITIES LTD</v>
          </cell>
          <cell r="B2358">
            <v>540192</v>
          </cell>
          <cell r="C2358" t="str">
            <v>Not Listed</v>
          </cell>
        </row>
        <row r="2359">
          <cell r="A2359" t="str">
            <v>LLOYDS METALS AND ENERGY LTD</v>
          </cell>
          <cell r="B2359">
            <v>512455</v>
          </cell>
          <cell r="C2359" t="str">
            <v>Not Listed</v>
          </cell>
        </row>
        <row r="2360">
          <cell r="A2360" t="str">
            <v>LLOYDS STEELS INDUSTRIES LTD</v>
          </cell>
          <cell r="B2360">
            <v>539992</v>
          </cell>
          <cell r="C2360" t="str">
            <v>LSIL</v>
          </cell>
        </row>
        <row r="2361">
          <cell r="A2361" t="str">
            <v>LOHIA SECURITIES LTD</v>
          </cell>
          <cell r="B2361">
            <v>590082</v>
          </cell>
          <cell r="C2361" t="str">
            <v>Not Listed</v>
          </cell>
        </row>
        <row r="2362">
          <cell r="A2362" t="str">
            <v>LOKESH MACHINES LTD</v>
          </cell>
          <cell r="B2362">
            <v>532740</v>
          </cell>
          <cell r="C2362" t="str">
            <v>LOKESHMACH</v>
          </cell>
        </row>
        <row r="2363">
          <cell r="A2363" t="str">
            <v>LONGVIEW TEA COMPANY LTD</v>
          </cell>
          <cell r="B2363">
            <v>526568</v>
          </cell>
          <cell r="C2363" t="str">
            <v>Not Listed</v>
          </cell>
        </row>
        <row r="2364">
          <cell r="A2364" t="str">
            <v>LOOKS HEALTH SERVICES LTD</v>
          </cell>
          <cell r="B2364">
            <v>534422</v>
          </cell>
          <cell r="C2364" t="str">
            <v>Not Listed</v>
          </cell>
        </row>
        <row r="2365">
          <cell r="A2365" t="str">
            <v>LORDS CHLORO ALKALI LTD</v>
          </cell>
          <cell r="B2365">
            <v>500284</v>
          </cell>
          <cell r="C2365" t="str">
            <v>Not Listed</v>
          </cell>
        </row>
        <row r="2366">
          <cell r="A2366" t="str">
            <v>LORDS ISHWAR HOTELS LTD</v>
          </cell>
          <cell r="B2366">
            <v>530065</v>
          </cell>
          <cell r="C2366" t="str">
            <v>Not Listed</v>
          </cell>
        </row>
        <row r="2367">
          <cell r="A2367" t="str">
            <v>LORENZINI APPARELS LTD</v>
          </cell>
          <cell r="B2367">
            <v>540952</v>
          </cell>
          <cell r="C2367" t="str">
            <v>Not Listed</v>
          </cell>
        </row>
        <row r="2368">
          <cell r="A2368" t="str">
            <v>LOTUS CHOCOLATE CO LTD</v>
          </cell>
          <cell r="B2368">
            <v>523475</v>
          </cell>
          <cell r="C2368" t="str">
            <v>Not Listed</v>
          </cell>
        </row>
        <row r="2369">
          <cell r="A2369" t="str">
            <v>LOTUS EYE HOSPITAL AND INSTITUTE LTD</v>
          </cell>
          <cell r="B2369">
            <v>532998</v>
          </cell>
          <cell r="C2369" t="str">
            <v>LOTUSEYE</v>
          </cell>
        </row>
        <row r="2370">
          <cell r="A2370" t="str">
            <v>LOVABLE LINGERIE LTD</v>
          </cell>
          <cell r="B2370">
            <v>533343</v>
          </cell>
          <cell r="C2370" t="str">
            <v>LOVABLE</v>
          </cell>
        </row>
        <row r="2371">
          <cell r="A2371" t="str">
            <v>LOYAL EQUIPMENTS LTD</v>
          </cell>
          <cell r="B2371">
            <v>539227</v>
          </cell>
          <cell r="C2371" t="str">
            <v>Not Listed</v>
          </cell>
        </row>
        <row r="2372">
          <cell r="A2372" t="str">
            <v>LOYAL TEXTILE MILLS LTD</v>
          </cell>
          <cell r="B2372">
            <v>514036</v>
          </cell>
          <cell r="C2372" t="str">
            <v>Not Listed</v>
          </cell>
        </row>
        <row r="2373">
          <cell r="A2373" t="str">
            <v>LT FOODS LTD</v>
          </cell>
          <cell r="B2373">
            <v>532783</v>
          </cell>
          <cell r="C2373" t="str">
            <v>DAAWAT</v>
          </cell>
        </row>
        <row r="2374">
          <cell r="A2374" t="str">
            <v>LUDLOW JUTE &amp; SPECIALITIES LTD</v>
          </cell>
          <cell r="B2374">
            <v>526179</v>
          </cell>
          <cell r="C2374" t="str">
            <v>Not Listed</v>
          </cell>
        </row>
        <row r="2375">
          <cell r="A2375" t="str">
            <v>LUHARUKA MEDIA &amp; INFRA LTD</v>
          </cell>
          <cell r="B2375">
            <v>512048</v>
          </cell>
          <cell r="C2375" t="str">
            <v>Not Listed</v>
          </cell>
        </row>
        <row r="2376">
          <cell r="A2376" t="str">
            <v>LUMAX AUTO TECHNOLOGIES LTD</v>
          </cell>
          <cell r="B2376">
            <v>532796</v>
          </cell>
          <cell r="C2376" t="str">
            <v>LUMAXTECH</v>
          </cell>
        </row>
        <row r="2377">
          <cell r="A2377" t="str">
            <v>LUMAX INDUSTRIES LTD</v>
          </cell>
          <cell r="B2377">
            <v>517206</v>
          </cell>
          <cell r="C2377" t="str">
            <v>LUMAXIND</v>
          </cell>
        </row>
        <row r="2378">
          <cell r="A2378" t="str">
            <v>LUPIN LTD</v>
          </cell>
          <cell r="B2378">
            <v>500257</v>
          </cell>
          <cell r="C2378" t="str">
            <v>LUPIN</v>
          </cell>
        </row>
        <row r="2379">
          <cell r="A2379" t="str">
            <v>LUX INDUSTRIES LTD</v>
          </cell>
          <cell r="B2379">
            <v>539542</v>
          </cell>
          <cell r="C2379" t="str">
            <v>LUXIND</v>
          </cell>
        </row>
        <row r="2380">
          <cell r="A2380" t="str">
            <v>LWS KNITWEAR LTD</v>
          </cell>
          <cell r="B2380">
            <v>531402</v>
          </cell>
          <cell r="C2380" t="str">
            <v>Not Listed</v>
          </cell>
        </row>
        <row r="2381">
          <cell r="A2381" t="str">
            <v>LYKA LABS LTD</v>
          </cell>
          <cell r="B2381">
            <v>500259</v>
          </cell>
          <cell r="C2381" t="str">
            <v>LYKALABS</v>
          </cell>
        </row>
        <row r="2382">
          <cell r="A2382" t="str">
            <v>LYKIS LTD</v>
          </cell>
          <cell r="B2382">
            <v>530689</v>
          </cell>
          <cell r="C2382" t="str">
            <v>Not Listed</v>
          </cell>
        </row>
        <row r="2383">
          <cell r="A2383" t="str">
            <v>LYNX MACHINERY &amp; COMMERCIALS LTD</v>
          </cell>
          <cell r="B2383">
            <v>505320</v>
          </cell>
          <cell r="C2383" t="str">
            <v>Not Listed</v>
          </cell>
        </row>
        <row r="2384">
          <cell r="A2384" t="str">
            <v>LYPSA GEMS &amp; JEWELLERY LTD</v>
          </cell>
          <cell r="B2384">
            <v>534532</v>
          </cell>
          <cell r="C2384" t="str">
            <v>LYPSAGEMS</v>
          </cell>
        </row>
        <row r="2385">
          <cell r="A2385" t="str">
            <v>M B PARIKH FINSTOCKS LTD</v>
          </cell>
          <cell r="B2385">
            <v>526935</v>
          </cell>
          <cell r="C2385" t="str">
            <v>Not Listed</v>
          </cell>
        </row>
        <row r="2386">
          <cell r="A2386" t="str">
            <v>M K  EXIM (INDIA) LTD</v>
          </cell>
          <cell r="B2386">
            <v>538890</v>
          </cell>
          <cell r="C2386" t="str">
            <v>Not Listed</v>
          </cell>
        </row>
        <row r="2387">
          <cell r="A2387" t="str">
            <v>M K  EXIM INDIA LTD</v>
          </cell>
          <cell r="B2387">
            <v>538890</v>
          </cell>
          <cell r="C2387" t="str">
            <v>Not Listed</v>
          </cell>
        </row>
        <row r="2388">
          <cell r="A2388" t="str">
            <v>M K PROTEINS LTD</v>
          </cell>
          <cell r="B2388" t="str">
            <v>Not Listed</v>
          </cell>
          <cell r="C2388" t="str">
            <v>MKPL</v>
          </cell>
        </row>
        <row r="2389">
          <cell r="A2389" t="str">
            <v>M P AGRO INDUSTRIES LTD</v>
          </cell>
          <cell r="B2389">
            <v>506543</v>
          </cell>
          <cell r="C2389" t="str">
            <v>Not Listed</v>
          </cell>
        </row>
        <row r="2390">
          <cell r="A2390" t="str">
            <v>MAAN ALUMINIUM LTD</v>
          </cell>
          <cell r="B2390">
            <v>532906</v>
          </cell>
          <cell r="C2390" t="str">
            <v>MAANALU</v>
          </cell>
        </row>
        <row r="2391">
          <cell r="A2391" t="str">
            <v>MAC CHARLES (INDIA) LTD</v>
          </cell>
          <cell r="B2391">
            <v>507836</v>
          </cell>
          <cell r="C2391" t="str">
            <v>Not Listed</v>
          </cell>
        </row>
        <row r="2392">
          <cell r="A2392" t="str">
            <v>MAC CHARLES INDIA LTD</v>
          </cell>
          <cell r="B2392">
            <v>507836</v>
          </cell>
          <cell r="C2392" t="str">
            <v>Not Listed</v>
          </cell>
        </row>
        <row r="2393">
          <cell r="A2393" t="str">
            <v>MAC HOTELS LTD</v>
          </cell>
          <cell r="B2393">
            <v>541973</v>
          </cell>
          <cell r="C2393" t="str">
            <v>Not Listed</v>
          </cell>
        </row>
        <row r="2394">
          <cell r="A2394" t="str">
            <v>MACHINO PLASTICS LTD</v>
          </cell>
          <cell r="B2394">
            <v>523248</v>
          </cell>
          <cell r="C2394" t="str">
            <v>Not Listed</v>
          </cell>
        </row>
        <row r="2395">
          <cell r="A2395" t="str">
            <v>MACK TRADING CO LTD</v>
          </cell>
          <cell r="B2395">
            <v>501471</v>
          </cell>
          <cell r="C2395" t="str">
            <v>Not Listed</v>
          </cell>
        </row>
        <row r="2396">
          <cell r="A2396" t="str">
            <v>MACPOWER CNC MACHINES LTD</v>
          </cell>
          <cell r="B2396" t="str">
            <v>Not Listed</v>
          </cell>
          <cell r="C2396" t="str">
            <v>MACPOWER</v>
          </cell>
        </row>
        <row r="2397">
          <cell r="A2397" t="str">
            <v>MACRO INTERNATIONAL EXPORTS LTD</v>
          </cell>
          <cell r="B2397">
            <v>512600</v>
          </cell>
          <cell r="C2397" t="str">
            <v>Not Listed</v>
          </cell>
        </row>
        <row r="2398">
          <cell r="A2398" t="str">
            <v>MADHAV COPPER LTD</v>
          </cell>
          <cell r="B2398" t="str">
            <v>Not Listed</v>
          </cell>
          <cell r="C2398" t="str">
            <v>MCL</v>
          </cell>
        </row>
        <row r="2399">
          <cell r="A2399" t="str">
            <v>MADHAV INFRA PROJECTS LTD</v>
          </cell>
          <cell r="B2399">
            <v>539894</v>
          </cell>
          <cell r="C2399" t="str">
            <v>Not Listed</v>
          </cell>
        </row>
        <row r="2400">
          <cell r="A2400" t="str">
            <v>MADHAV MARBLES AND GRANITES LTD</v>
          </cell>
          <cell r="B2400">
            <v>515093</v>
          </cell>
          <cell r="C2400" t="str">
            <v>MADHAV</v>
          </cell>
        </row>
        <row r="2401">
          <cell r="A2401" t="str">
            <v>MADHUBAN CONSTRUCTIONS LTD</v>
          </cell>
          <cell r="B2401">
            <v>780009</v>
          </cell>
          <cell r="C2401" t="str">
            <v>Not Listed</v>
          </cell>
        </row>
        <row r="2402">
          <cell r="A2402" t="str">
            <v>MADHUCON PROJECTS LTD</v>
          </cell>
          <cell r="B2402">
            <v>531497</v>
          </cell>
          <cell r="C2402" t="str">
            <v>MADHUCON</v>
          </cell>
        </row>
        <row r="2403">
          <cell r="A2403" t="str">
            <v>MADHUR INDUSTRIES LTD</v>
          </cell>
          <cell r="B2403">
            <v>519279</v>
          </cell>
          <cell r="C2403" t="str">
            <v>Not Listed</v>
          </cell>
        </row>
        <row r="2404">
          <cell r="A2404" t="str">
            <v>MADHUSUDAN INDUSTRIES LTD</v>
          </cell>
          <cell r="B2404">
            <v>515059</v>
          </cell>
          <cell r="C2404" t="str">
            <v>Not Listed</v>
          </cell>
        </row>
        <row r="2405">
          <cell r="A2405" t="str">
            <v>MADHUSUDAN SECURITIES LTD</v>
          </cell>
          <cell r="B2405">
            <v>511000</v>
          </cell>
          <cell r="C2405" t="str">
            <v>Not Listed</v>
          </cell>
        </row>
        <row r="2406">
          <cell r="A2406" t="str">
            <v>MADHUVEER COM 18 NETWORK LTD</v>
          </cell>
          <cell r="B2406">
            <v>531910</v>
          </cell>
          <cell r="C2406" t="str">
            <v>Not Listed</v>
          </cell>
        </row>
        <row r="2407">
          <cell r="A2407" t="str">
            <v>MADHYA BHARAT AGRO PRODUCTS LTD</v>
          </cell>
          <cell r="B2407" t="str">
            <v>Not Listed</v>
          </cell>
          <cell r="C2407" t="str">
            <v>MBAPL</v>
          </cell>
        </row>
        <row r="2408">
          <cell r="A2408" t="str">
            <v>MADHYA PRADESH TODAY MEDIA LTD</v>
          </cell>
          <cell r="B2408" t="str">
            <v>Not Listed</v>
          </cell>
          <cell r="C2408" t="str">
            <v>MPTODAY</v>
          </cell>
        </row>
        <row r="2409">
          <cell r="A2409" t="str">
            <v>MADRAS FERTILIZERS LTD</v>
          </cell>
          <cell r="B2409">
            <v>590134</v>
          </cell>
          <cell r="C2409" t="str">
            <v>MADRASFERT</v>
          </cell>
        </row>
        <row r="2410">
          <cell r="A2410" t="str">
            <v>MAESTROS ELECTRONICS &amp; TELECOMMUNICATIONS SYSTEMS LTD</v>
          </cell>
          <cell r="B2410">
            <v>538401</v>
          </cell>
          <cell r="C2410" t="str">
            <v>Not Listed</v>
          </cell>
        </row>
        <row r="2411">
          <cell r="A2411" t="str">
            <v>MAFATLAL INDUSTRIES LTD</v>
          </cell>
          <cell r="B2411">
            <v>500264</v>
          </cell>
          <cell r="C2411" t="str">
            <v>Not Listed</v>
          </cell>
        </row>
        <row r="2412">
          <cell r="A2412" t="str">
            <v>MAGADH SUGAR &amp; ENERGY LTD</v>
          </cell>
          <cell r="B2412">
            <v>540650</v>
          </cell>
          <cell r="C2412" t="str">
            <v>MAGADSUGAR</v>
          </cell>
        </row>
        <row r="2413">
          <cell r="A2413" t="str">
            <v>MAGMA FINCORP LTD</v>
          </cell>
          <cell r="B2413">
            <v>524000</v>
          </cell>
          <cell r="C2413" t="str">
            <v>MAGMA</v>
          </cell>
        </row>
        <row r="2414">
          <cell r="A2414" t="str">
            <v>MAGNA ELECTRO CASTINGS LTD</v>
          </cell>
          <cell r="B2414">
            <v>517449</v>
          </cell>
          <cell r="C2414" t="str">
            <v>Not Listed</v>
          </cell>
        </row>
        <row r="2415">
          <cell r="A2415" t="str">
            <v>MAGNANIMOUS TRADE &amp; FINANCE LTD</v>
          </cell>
          <cell r="B2415">
            <v>512377</v>
          </cell>
          <cell r="C2415" t="str">
            <v>Not Listed</v>
          </cell>
        </row>
        <row r="2416">
          <cell r="A2416" t="str">
            <v>MAGNUM VENTURES LTD</v>
          </cell>
          <cell r="B2416">
            <v>532896</v>
          </cell>
          <cell r="C2416" t="str">
            <v>MAGNUM</v>
          </cell>
        </row>
        <row r="2417">
          <cell r="A2417" t="str">
            <v>MAHA RASHTRA APEX CORPORATION LTD</v>
          </cell>
          <cell r="B2417">
            <v>523384</v>
          </cell>
          <cell r="C2417" t="str">
            <v>MAHAPEXLTD</v>
          </cell>
        </row>
        <row r="2418">
          <cell r="A2418" t="str">
            <v>MAHAAN FOODS LTD</v>
          </cell>
          <cell r="B2418">
            <v>519612</v>
          </cell>
          <cell r="C2418" t="str">
            <v>Not Listed</v>
          </cell>
        </row>
        <row r="2419">
          <cell r="A2419" t="str">
            <v>MAHALAXMI RUBTECH LTD</v>
          </cell>
          <cell r="B2419">
            <v>514450</v>
          </cell>
          <cell r="C2419" t="str">
            <v>Not Listed</v>
          </cell>
        </row>
        <row r="2420">
          <cell r="A2420" t="str">
            <v>MAHALAXMI SEAMLESS LTD</v>
          </cell>
          <cell r="B2420">
            <v>513460</v>
          </cell>
          <cell r="C2420" t="str">
            <v>Not Listed</v>
          </cell>
        </row>
        <row r="2421">
          <cell r="A2421" t="str">
            <v>MAHAMAYA STEEL INDUSTRIES LTD</v>
          </cell>
          <cell r="B2421">
            <v>513554</v>
          </cell>
          <cell r="C2421" t="str">
            <v>MAHASTEEL</v>
          </cell>
        </row>
        <row r="2422">
          <cell r="A2422" t="str">
            <v>MAHAN INDUSTRIES LTD</v>
          </cell>
          <cell r="B2422">
            <v>531515</v>
          </cell>
          <cell r="C2422" t="str">
            <v>Not Listed</v>
          </cell>
        </row>
        <row r="2423">
          <cell r="A2423" t="str">
            <v>MAHANAGAR GAS LTD</v>
          </cell>
          <cell r="B2423">
            <v>539957</v>
          </cell>
          <cell r="C2423" t="str">
            <v>MGL</v>
          </cell>
        </row>
        <row r="2424">
          <cell r="A2424" t="str">
            <v>MAHANAGAR TELEPHONE NIGAM LTD</v>
          </cell>
          <cell r="B2424">
            <v>500108</v>
          </cell>
          <cell r="C2424" t="str">
            <v>MTNL</v>
          </cell>
        </row>
        <row r="2425">
          <cell r="A2425" t="str">
            <v>MAHANIVESH (INDIA) LTD</v>
          </cell>
          <cell r="B2425">
            <v>530441</v>
          </cell>
          <cell r="C2425" t="str">
            <v>Not Listed</v>
          </cell>
        </row>
        <row r="2426">
          <cell r="A2426" t="str">
            <v>MAHANIVESH INDIA LTD</v>
          </cell>
          <cell r="B2426">
            <v>530441</v>
          </cell>
          <cell r="C2426" t="str">
            <v>Not Listed</v>
          </cell>
        </row>
        <row r="2427">
          <cell r="A2427" t="str">
            <v>MAHARASHTRA CORPORATION LTD</v>
          </cell>
          <cell r="B2427">
            <v>505523</v>
          </cell>
          <cell r="C2427" t="str">
            <v>Not Listed</v>
          </cell>
        </row>
        <row r="2428">
          <cell r="A2428" t="str">
            <v>MAHARASHTRA SCOOTERS LTD</v>
          </cell>
          <cell r="B2428">
            <v>500266</v>
          </cell>
          <cell r="C2428" t="str">
            <v>MAHSCOOTER</v>
          </cell>
        </row>
        <row r="2429">
          <cell r="A2429" t="str">
            <v>MAHARASHTRA SEAMLESS LTD</v>
          </cell>
          <cell r="B2429">
            <v>500265</v>
          </cell>
          <cell r="C2429" t="str">
            <v>MAHSEAMLES</v>
          </cell>
        </row>
        <row r="2430">
          <cell r="A2430" t="str">
            <v>MAHASAGAR TRAVELS LTD</v>
          </cell>
          <cell r="B2430">
            <v>526795</v>
          </cell>
          <cell r="C2430" t="str">
            <v>Not Listed</v>
          </cell>
        </row>
        <row r="2431">
          <cell r="A2431" t="str">
            <v>MAHASHREE TRADING LTD</v>
          </cell>
          <cell r="B2431">
            <v>512337</v>
          </cell>
          <cell r="C2431" t="str">
            <v>Not Listed</v>
          </cell>
        </row>
        <row r="2432">
          <cell r="A2432" t="str">
            <v>MAHAVEER INFOWAY LTD</v>
          </cell>
          <cell r="B2432">
            <v>539383</v>
          </cell>
          <cell r="C2432" t="str">
            <v>Not Listed</v>
          </cell>
        </row>
        <row r="2433">
          <cell r="A2433" t="str">
            <v>MAHAVIR INDUSTRIES LTD</v>
          </cell>
          <cell r="B2433">
            <v>531648</v>
          </cell>
          <cell r="C2433" t="str">
            <v>Not Listed</v>
          </cell>
        </row>
        <row r="2434">
          <cell r="A2434" t="str">
            <v>Mahesh Developers Ltd</v>
          </cell>
          <cell r="B2434">
            <v>542677</v>
          </cell>
          <cell r="C2434" t="str">
            <v>MAHESH</v>
          </cell>
        </row>
        <row r="2435">
          <cell r="A2435" t="str">
            <v>MAHESHWARI LOGISTICS LTD</v>
          </cell>
          <cell r="B2435" t="str">
            <v>Not Listed</v>
          </cell>
          <cell r="C2435" t="str">
            <v>MAHESHWARI</v>
          </cell>
        </row>
        <row r="2436">
          <cell r="A2436" t="str">
            <v>MAHICKRA CHEMICALS LTD</v>
          </cell>
          <cell r="B2436" t="str">
            <v>Not Listed</v>
          </cell>
          <cell r="C2436" t="str">
            <v>MAHICKRA</v>
          </cell>
        </row>
        <row r="2437">
          <cell r="A2437" t="str">
            <v>MAHINDRA &amp; MAHINDRA FINANCIAL SERVICES LTD</v>
          </cell>
          <cell r="B2437">
            <v>532720</v>
          </cell>
          <cell r="C2437" t="str">
            <v>M&amp;MFIN</v>
          </cell>
        </row>
        <row r="2438">
          <cell r="A2438" t="str">
            <v>MAHINDRA &amp; MAHINDRA LTD</v>
          </cell>
          <cell r="B2438">
            <v>500520</v>
          </cell>
          <cell r="C2438" t="str">
            <v>M&amp;M</v>
          </cell>
        </row>
        <row r="2439">
          <cell r="A2439" t="str">
            <v>MAHINDRA CIE AUTOMOTIVE LTD</v>
          </cell>
          <cell r="B2439">
            <v>532756</v>
          </cell>
          <cell r="C2439" t="str">
            <v>MAHINDCIE</v>
          </cell>
        </row>
        <row r="2440">
          <cell r="A2440" t="str">
            <v>MAHINDRA HOLIDAYS &amp; RESORTS (INDIA) LTD</v>
          </cell>
          <cell r="B2440">
            <v>533088</v>
          </cell>
          <cell r="C2440" t="str">
            <v>MHRIL</v>
          </cell>
        </row>
        <row r="2441">
          <cell r="A2441" t="str">
            <v>MAHINDRA HOLIDAYS &amp; RESORTS INDIA LTD</v>
          </cell>
          <cell r="B2441">
            <v>533088</v>
          </cell>
          <cell r="C2441" t="str">
            <v>MHRIL</v>
          </cell>
        </row>
        <row r="2442">
          <cell r="A2442" t="str">
            <v>MAHINDRA LIFESPACE DEVELOPERS LTD</v>
          </cell>
          <cell r="B2442">
            <v>532313</v>
          </cell>
          <cell r="C2442" t="str">
            <v>MAHLIFE</v>
          </cell>
        </row>
        <row r="2443">
          <cell r="A2443" t="str">
            <v>MAHINDRA LOGISTICS LTD</v>
          </cell>
          <cell r="B2443">
            <v>540768</v>
          </cell>
          <cell r="C2443" t="str">
            <v>MAHLOG</v>
          </cell>
        </row>
        <row r="2444">
          <cell r="A2444" t="str">
            <v>Mahip Industries Ltd</v>
          </cell>
          <cell r="B2444">
            <v>542503</v>
          </cell>
          <cell r="C2444" t="str">
            <v>MAHIP</v>
          </cell>
        </row>
        <row r="2445">
          <cell r="A2445" t="str">
            <v>MAITHAN ALLOYS LTD</v>
          </cell>
          <cell r="B2445">
            <v>590078</v>
          </cell>
          <cell r="C2445" t="str">
            <v>MAITHANALL</v>
          </cell>
        </row>
        <row r="2446">
          <cell r="A2446" t="str">
            <v>MAITRI ENTERPRISES LTD</v>
          </cell>
          <cell r="B2446">
            <v>513430</v>
          </cell>
          <cell r="C2446" t="str">
            <v>Not Listed</v>
          </cell>
        </row>
        <row r="2447">
          <cell r="A2447" t="str">
            <v>MAJESCO LTD</v>
          </cell>
          <cell r="B2447">
            <v>539289</v>
          </cell>
          <cell r="C2447" t="str">
            <v>MAJESCO</v>
          </cell>
        </row>
        <row r="2448">
          <cell r="A2448" t="str">
            <v>MAJESTIC AUTO LTD</v>
          </cell>
          <cell r="B2448">
            <v>500267</v>
          </cell>
          <cell r="C2448" t="str">
            <v>Not Listed</v>
          </cell>
        </row>
        <row r="2449">
          <cell r="A2449" t="str">
            <v>MAJESTIC RESEARCH SERVICES AND SOLUTIONS LTD</v>
          </cell>
          <cell r="B2449">
            <v>539229</v>
          </cell>
          <cell r="C2449" t="str">
            <v>Not Listed</v>
          </cell>
        </row>
        <row r="2450">
          <cell r="A2450" t="str">
            <v>MAKERS LABORATORIES LTD</v>
          </cell>
          <cell r="B2450">
            <v>506919</v>
          </cell>
          <cell r="C2450" t="str">
            <v>Not Listed</v>
          </cell>
        </row>
        <row r="2451">
          <cell r="A2451" t="str">
            <v>MALLCOM (INDIA) LTD</v>
          </cell>
          <cell r="B2451">
            <v>539400</v>
          </cell>
          <cell r="C2451" t="str">
            <v>Not Listed</v>
          </cell>
        </row>
        <row r="2452">
          <cell r="A2452" t="str">
            <v>MALLCOM INDIA LTD</v>
          </cell>
          <cell r="B2452">
            <v>539400</v>
          </cell>
          <cell r="C2452" t="str">
            <v>Not Listed</v>
          </cell>
        </row>
        <row r="2453">
          <cell r="A2453" t="str">
            <v>MALU PAPER MILLS LTD</v>
          </cell>
          <cell r="B2453">
            <v>532728</v>
          </cell>
          <cell r="C2453" t="str">
            <v>MALUPAPER</v>
          </cell>
        </row>
        <row r="2454">
          <cell r="A2454" t="str">
            <v>MAN INDUSTRIES (INDIA) LTD</v>
          </cell>
          <cell r="B2454">
            <v>513269</v>
          </cell>
          <cell r="C2454" t="str">
            <v>MANINDS</v>
          </cell>
        </row>
        <row r="2455">
          <cell r="A2455" t="str">
            <v>MAN INDUSTRIES INDIA LTD</v>
          </cell>
          <cell r="B2455">
            <v>513269</v>
          </cell>
          <cell r="C2455" t="str">
            <v>MANINDS</v>
          </cell>
        </row>
        <row r="2456">
          <cell r="A2456" t="str">
            <v>MAN INFRACONSTRUCTION LTD</v>
          </cell>
          <cell r="B2456">
            <v>533169</v>
          </cell>
          <cell r="C2456" t="str">
            <v>MANINFRA</v>
          </cell>
        </row>
        <row r="2457">
          <cell r="A2457" t="str">
            <v>MANAKSIA ALUMINIUM COMPANY LTD</v>
          </cell>
          <cell r="B2457">
            <v>539045</v>
          </cell>
          <cell r="C2457" t="str">
            <v>MANAKALUCO</v>
          </cell>
        </row>
        <row r="2458">
          <cell r="A2458" t="str">
            <v>MANAKSIA COATED METALS &amp; INDUSTRIES LTD</v>
          </cell>
          <cell r="B2458">
            <v>539046</v>
          </cell>
          <cell r="C2458" t="str">
            <v>MANAKCOAT</v>
          </cell>
        </row>
        <row r="2459">
          <cell r="A2459" t="str">
            <v>MANAKSIA LTD</v>
          </cell>
          <cell r="B2459">
            <v>532932</v>
          </cell>
          <cell r="C2459" t="str">
            <v>MANAKSIA</v>
          </cell>
        </row>
        <row r="2460">
          <cell r="A2460" t="str">
            <v>MANAKSIA STEELS LTD</v>
          </cell>
          <cell r="B2460">
            <v>539044</v>
          </cell>
          <cell r="C2460" t="str">
            <v>MANAKSTEEL</v>
          </cell>
        </row>
        <row r="2461">
          <cell r="A2461" t="str">
            <v>MANALI PETROCHEMICALS LTD</v>
          </cell>
          <cell r="B2461">
            <v>500268</v>
          </cell>
          <cell r="C2461" t="str">
            <v>MANALIPETC</v>
          </cell>
        </row>
        <row r="2462">
          <cell r="A2462" t="str">
            <v>MANAPPURAM FINANCE LTD</v>
          </cell>
          <cell r="B2462">
            <v>531213</v>
          </cell>
          <cell r="C2462" t="str">
            <v>MANAPPURAM</v>
          </cell>
        </row>
        <row r="2463">
          <cell r="A2463" t="str">
            <v>MANAS PROPERTIES LTD</v>
          </cell>
          <cell r="B2463">
            <v>540402</v>
          </cell>
          <cell r="C2463" t="str">
            <v>Not Listed</v>
          </cell>
        </row>
        <row r="2464">
          <cell r="A2464" t="str">
            <v>MANAV INFRA PROJECTS LTD</v>
          </cell>
          <cell r="B2464" t="str">
            <v>Not Listed</v>
          </cell>
          <cell r="C2464" t="str">
            <v>MANAV</v>
          </cell>
        </row>
        <row r="2465">
          <cell r="A2465" t="str">
            <v>MANDHANA INDUSTRIES LTD</v>
          </cell>
          <cell r="B2465">
            <v>533204</v>
          </cell>
          <cell r="C2465" t="str">
            <v>MANDHANA</v>
          </cell>
        </row>
        <row r="2466">
          <cell r="A2466" t="str">
            <v>MANGAL CREDIT AND FINCORP LTD.</v>
          </cell>
          <cell r="B2466">
            <v>505850</v>
          </cell>
          <cell r="C2466" t="str">
            <v>MANCREDIT</v>
          </cell>
        </row>
        <row r="2467">
          <cell r="A2467" t="str">
            <v>MANGALAM CEMENT LTD</v>
          </cell>
          <cell r="B2467">
            <v>502157</v>
          </cell>
          <cell r="C2467" t="str">
            <v>MANGLMCEM</v>
          </cell>
        </row>
        <row r="2468">
          <cell r="A2468" t="str">
            <v>MANGALAM DRUGS AND ORGANICS LTD</v>
          </cell>
          <cell r="B2468">
            <v>532637</v>
          </cell>
          <cell r="C2468" t="str">
            <v>MANGALAM</v>
          </cell>
        </row>
        <row r="2469">
          <cell r="A2469" t="str">
            <v>MANGALAM INDUSTRIAL FINANCE LTD</v>
          </cell>
          <cell r="B2469">
            <v>537800</v>
          </cell>
          <cell r="C2469" t="str">
            <v>Not Listed</v>
          </cell>
        </row>
        <row r="2470">
          <cell r="A2470" t="str">
            <v>MANGALAM ORGANICS LTD</v>
          </cell>
          <cell r="B2470">
            <v>514418</v>
          </cell>
          <cell r="C2470" t="str">
            <v>Not Listed</v>
          </cell>
        </row>
        <row r="2471">
          <cell r="A2471" t="str">
            <v>MANGALAM SEEDS LTD</v>
          </cell>
          <cell r="B2471">
            <v>539275</v>
          </cell>
          <cell r="C2471" t="str">
            <v>Not Listed</v>
          </cell>
        </row>
        <row r="2472">
          <cell r="A2472" t="str">
            <v>MANGALAM TIMBER PRODUCTS LTD</v>
          </cell>
          <cell r="B2472">
            <v>516007</v>
          </cell>
          <cell r="C2472" t="str">
            <v>MANGTIMBER</v>
          </cell>
        </row>
        <row r="2473">
          <cell r="A2473" t="str">
            <v>MANGALORE CHEMICALS &amp; FERTILIZERS LTD</v>
          </cell>
          <cell r="B2473">
            <v>530011</v>
          </cell>
          <cell r="C2473" t="str">
            <v>MANGCHEFER</v>
          </cell>
        </row>
        <row r="2474">
          <cell r="A2474" t="str">
            <v>MANGALORE REFINERY AND PETROCHEMICALS LTD</v>
          </cell>
          <cell r="B2474">
            <v>500109</v>
          </cell>
          <cell r="C2474" t="str">
            <v>MRPL</v>
          </cell>
        </row>
        <row r="2475">
          <cell r="A2475" t="str">
            <v>MANGALYA SOFT-TECH LTD</v>
          </cell>
          <cell r="B2475">
            <v>530243</v>
          </cell>
          <cell r="C2475" t="str">
            <v>Not Listed</v>
          </cell>
        </row>
        <row r="2476">
          <cell r="A2476" t="str">
            <v>MANIPAL FINANCE CORPORATION LTD</v>
          </cell>
          <cell r="B2476">
            <v>507938</v>
          </cell>
          <cell r="C2476" t="str">
            <v>Not Listed</v>
          </cell>
        </row>
        <row r="2477">
          <cell r="A2477" t="str">
            <v>MANJEERA CONSTRUCTIONS LTD</v>
          </cell>
          <cell r="B2477">
            <v>533078</v>
          </cell>
          <cell r="C2477" t="str">
            <v>Not Listed</v>
          </cell>
        </row>
        <row r="2478">
          <cell r="A2478" t="str">
            <v>MANOMAY TEX (INDIA) LTD</v>
          </cell>
          <cell r="B2478">
            <v>540396</v>
          </cell>
          <cell r="C2478" t="str">
            <v>Not Listed</v>
          </cell>
        </row>
        <row r="2479">
          <cell r="A2479" t="str">
            <v>MANOMAY TEX INDIA LTD</v>
          </cell>
          <cell r="B2479">
            <v>540396</v>
          </cell>
          <cell r="C2479" t="str">
            <v>Not Listed</v>
          </cell>
        </row>
        <row r="2480">
          <cell r="A2480" t="str">
            <v>MANORAMA INDUSTRIES LTD</v>
          </cell>
          <cell r="B2480">
            <v>541974</v>
          </cell>
          <cell r="C2480" t="str">
            <v>Not Listed</v>
          </cell>
        </row>
        <row r="2481">
          <cell r="A2481" t="str">
            <v>MANPASAND BEVERAGES LTD</v>
          </cell>
          <cell r="B2481">
            <v>539207</v>
          </cell>
          <cell r="C2481" t="str">
            <v>MANPASAND</v>
          </cell>
        </row>
        <row r="2482">
          <cell r="A2482" t="str">
            <v>MANRAJ HOUSING FINANCE LTD</v>
          </cell>
          <cell r="B2482">
            <v>530537</v>
          </cell>
          <cell r="C2482" t="str">
            <v>Not Listed</v>
          </cell>
        </row>
        <row r="2483">
          <cell r="A2483" t="str">
            <v>MANSI FINANCE CHENNAI LTD</v>
          </cell>
          <cell r="B2483">
            <v>511758</v>
          </cell>
          <cell r="C2483" t="str">
            <v>Not Listed</v>
          </cell>
        </row>
        <row r="2484">
          <cell r="A2484" t="str">
            <v>MANSOON TRADING CO LTD</v>
          </cell>
          <cell r="B2484">
            <v>512303</v>
          </cell>
          <cell r="C2484" t="str">
            <v>Not Listed</v>
          </cell>
        </row>
        <row r="2485">
          <cell r="A2485" t="str">
            <v>MANUGRAPH (INDIA) LTD</v>
          </cell>
          <cell r="B2485">
            <v>505324</v>
          </cell>
          <cell r="C2485" t="str">
            <v>MANUGRAPH</v>
          </cell>
        </row>
        <row r="2486">
          <cell r="A2486" t="str">
            <v>MANUGRAPH INDIA LTD</v>
          </cell>
          <cell r="B2486">
            <v>505324</v>
          </cell>
          <cell r="C2486" t="str">
            <v>MANUGRAPH</v>
          </cell>
        </row>
        <row r="2487">
          <cell r="A2487" t="str">
            <v>MANVIJAY DEVELOPMENT COMPANY LTD</v>
          </cell>
          <cell r="B2487">
            <v>538970</v>
          </cell>
          <cell r="C2487" t="str">
            <v>Not Listed</v>
          </cell>
        </row>
        <row r="2488">
          <cell r="A2488" t="str">
            <v>MARAL OVERSEAS LTD</v>
          </cell>
          <cell r="B2488">
            <v>521018</v>
          </cell>
          <cell r="C2488" t="str">
            <v>MARALOVER</v>
          </cell>
        </row>
        <row r="2489">
          <cell r="A2489" t="str">
            <v>MARATHON NEXTGEN REALTY LTD</v>
          </cell>
          <cell r="B2489">
            <v>503101</v>
          </cell>
          <cell r="C2489" t="str">
            <v>MARATHON</v>
          </cell>
        </row>
        <row r="2490">
          <cell r="A2490" t="str">
            <v>MARATHWADA REFRACTORIES LTD</v>
          </cell>
          <cell r="B2490">
            <v>502250</v>
          </cell>
          <cell r="C2490" t="str">
            <v>Not Listed</v>
          </cell>
        </row>
        <row r="2491">
          <cell r="A2491" t="str">
            <v>MARDIA SAMYOUNG CAPILLARY TUBES COMPANY LTD</v>
          </cell>
          <cell r="B2491">
            <v>513544</v>
          </cell>
          <cell r="C2491" t="str">
            <v>Not Listed</v>
          </cell>
        </row>
        <row r="2492">
          <cell r="A2492" t="str">
            <v>MARG LTD</v>
          </cell>
          <cell r="B2492">
            <v>530543</v>
          </cell>
          <cell r="C2492" t="str">
            <v>Not Listed</v>
          </cell>
        </row>
        <row r="2493">
          <cell r="A2493" t="str">
            <v>MARG TECHNO PROJECTS LTD</v>
          </cell>
          <cell r="B2493">
            <v>540254</v>
          </cell>
          <cell r="C2493" t="str">
            <v>Not Listed</v>
          </cell>
        </row>
        <row r="2494">
          <cell r="A2494" t="str">
            <v>MARGO FINANCE LTD</v>
          </cell>
          <cell r="B2494">
            <v>500206</v>
          </cell>
          <cell r="C2494" t="str">
            <v>Not Listed</v>
          </cell>
        </row>
        <row r="2495">
          <cell r="A2495" t="str">
            <v>MARICO LTD</v>
          </cell>
          <cell r="B2495">
            <v>531642</v>
          </cell>
          <cell r="C2495" t="str">
            <v>MARICO</v>
          </cell>
        </row>
        <row r="2496">
          <cell r="A2496" t="str">
            <v>MARINE ELECTRICALS (INDIA) LTD</v>
          </cell>
          <cell r="B2496" t="str">
            <v>Not Listed</v>
          </cell>
          <cell r="C2496" t="str">
            <v>MARINE</v>
          </cell>
        </row>
        <row r="2497">
          <cell r="A2497" t="str">
            <v>MARINE ELECTRICALS INDIA LTD</v>
          </cell>
          <cell r="B2497" t="str">
            <v>Not Listed</v>
          </cell>
          <cell r="C2497" t="str">
            <v>MARINE</v>
          </cell>
        </row>
        <row r="2498">
          <cell r="A2498" t="str">
            <v>MARIS SPINNERS LTD</v>
          </cell>
          <cell r="B2498">
            <v>531503</v>
          </cell>
          <cell r="C2498" t="str">
            <v>Not Listed</v>
          </cell>
        </row>
        <row r="2499">
          <cell r="A2499" t="str">
            <v>MARKET CREATORS LTD</v>
          </cell>
          <cell r="B2499">
            <v>526891</v>
          </cell>
          <cell r="C2499" t="str">
            <v>Not Listed</v>
          </cell>
        </row>
        <row r="2500">
          <cell r="A2500" t="str">
            <v>MARKSANS PHARMA LTD</v>
          </cell>
          <cell r="B2500">
            <v>524404</v>
          </cell>
          <cell r="C2500" t="str">
            <v>MARKSANS</v>
          </cell>
        </row>
        <row r="2501">
          <cell r="A2501" t="str">
            <v>MARSHALL MACHINES LTD</v>
          </cell>
          <cell r="B2501" t="str">
            <v>Not Listed</v>
          </cell>
          <cell r="C2501" t="str">
            <v>MARSHALL</v>
          </cell>
        </row>
        <row r="2502">
          <cell r="A2502" t="str">
            <v>MARSONS LTD</v>
          </cell>
          <cell r="B2502">
            <v>517467</v>
          </cell>
          <cell r="C2502" t="str">
            <v>Not Listed</v>
          </cell>
        </row>
        <row r="2503">
          <cell r="A2503" t="str">
            <v>MARTIN BURN LTD</v>
          </cell>
          <cell r="B2503">
            <v>523566</v>
          </cell>
          <cell r="C2503" t="str">
            <v>Not Listed</v>
          </cell>
        </row>
        <row r="2504">
          <cell r="A2504" t="str">
            <v>MARUTI INFRASTRUCTURE LTD</v>
          </cell>
          <cell r="B2504">
            <v>531540</v>
          </cell>
          <cell r="C2504" t="str">
            <v>Not Listed</v>
          </cell>
        </row>
        <row r="2505">
          <cell r="A2505" t="str">
            <v>MARUTI SECURITIES LTD</v>
          </cell>
          <cell r="B2505">
            <v>531319</v>
          </cell>
          <cell r="C2505" t="str">
            <v>Not Listed</v>
          </cell>
        </row>
        <row r="2506">
          <cell r="A2506" t="str">
            <v>MARUTI SUZUKI (INDIA) LTD</v>
          </cell>
          <cell r="B2506">
            <v>532500</v>
          </cell>
          <cell r="C2506" t="str">
            <v>MARUTI</v>
          </cell>
        </row>
        <row r="2507">
          <cell r="A2507" t="str">
            <v>MARUTI SUZUKI INDIA LTD</v>
          </cell>
          <cell r="B2507">
            <v>532500</v>
          </cell>
          <cell r="C2507" t="str">
            <v>MARUTI</v>
          </cell>
        </row>
        <row r="2508">
          <cell r="A2508" t="str">
            <v>MARVEL DECOR LTD</v>
          </cell>
          <cell r="B2508" t="str">
            <v>Not Listed</v>
          </cell>
          <cell r="C2508" t="str">
            <v>MDL</v>
          </cell>
        </row>
        <row r="2509">
          <cell r="A2509" t="str">
            <v>MAS FINANCIAL SERVICES LTD</v>
          </cell>
          <cell r="B2509">
            <v>540749</v>
          </cell>
          <cell r="C2509" t="str">
            <v>MASFIN</v>
          </cell>
        </row>
        <row r="2510">
          <cell r="A2510" t="str">
            <v>MASK INVESTMENTS LTD</v>
          </cell>
          <cell r="B2510" t="str">
            <v>Not Listed</v>
          </cell>
          <cell r="C2510" t="str">
            <v>MASKINVEST</v>
          </cell>
        </row>
        <row r="2511">
          <cell r="A2511" t="str">
            <v>MASTEK LTD</v>
          </cell>
          <cell r="B2511">
            <v>523704</v>
          </cell>
          <cell r="C2511" t="str">
            <v>MASTEK</v>
          </cell>
        </row>
        <row r="2512">
          <cell r="A2512" t="str">
            <v>MASTER CHEMICALS LTD</v>
          </cell>
          <cell r="B2512">
            <v>506867</v>
          </cell>
          <cell r="C2512" t="str">
            <v>Not Listed</v>
          </cell>
        </row>
        <row r="2513">
          <cell r="A2513" t="str">
            <v>MASTER TRUST LTD</v>
          </cell>
          <cell r="B2513">
            <v>511768</v>
          </cell>
          <cell r="C2513" t="str">
            <v>Not Listed</v>
          </cell>
        </row>
        <row r="2514">
          <cell r="A2514" t="str">
            <v>MATHEW EASOW RESEARCH SECURITIES LTD</v>
          </cell>
          <cell r="B2514">
            <v>511688</v>
          </cell>
          <cell r="C2514" t="str">
            <v>Not Listed</v>
          </cell>
        </row>
        <row r="2515">
          <cell r="A2515" t="str">
            <v>MATRIMONY COM LTD</v>
          </cell>
          <cell r="B2515">
            <v>540704</v>
          </cell>
          <cell r="C2515" t="str">
            <v>MATRIMONY</v>
          </cell>
        </row>
        <row r="2516">
          <cell r="A2516" t="str">
            <v>MAURIA UDYOG LTD</v>
          </cell>
          <cell r="B2516">
            <v>539219</v>
          </cell>
          <cell r="C2516" t="str">
            <v>Not Listed</v>
          </cell>
        </row>
        <row r="2517">
          <cell r="A2517" t="str">
            <v>MAVI INDUSTRIES LTD</v>
          </cell>
          <cell r="B2517">
            <v>500248</v>
          </cell>
          <cell r="C2517" t="str">
            <v>Not Listed</v>
          </cell>
        </row>
        <row r="2518">
          <cell r="A2518" t="str">
            <v>MAWANA SUGARS LTD</v>
          </cell>
          <cell r="B2518">
            <v>523371</v>
          </cell>
          <cell r="C2518" t="str">
            <v>MAWANASUG</v>
          </cell>
        </row>
        <row r="2519">
          <cell r="A2519" t="str">
            <v>MAX (INDIA) LTD</v>
          </cell>
          <cell r="B2519">
            <v>539981</v>
          </cell>
          <cell r="C2519" t="str">
            <v>MAX(INDIA)</v>
          </cell>
        </row>
        <row r="2520">
          <cell r="A2520" t="str">
            <v>MAX ALERT SYSTEMS LTD.</v>
          </cell>
          <cell r="B2520">
            <v>534563</v>
          </cell>
          <cell r="C2520" t="str">
            <v>MASL</v>
          </cell>
        </row>
        <row r="2521">
          <cell r="A2521" t="str">
            <v>MAX FINANCIAL SERVICES LTD</v>
          </cell>
          <cell r="B2521">
            <v>500271</v>
          </cell>
          <cell r="C2521" t="str">
            <v>MFSL</v>
          </cell>
        </row>
        <row r="2522">
          <cell r="A2522" t="str">
            <v>MAX INDIA LTD</v>
          </cell>
          <cell r="B2522">
            <v>539981</v>
          </cell>
          <cell r="C2522" t="str">
            <v>MAXINDIA</v>
          </cell>
        </row>
        <row r="2523">
          <cell r="A2523" t="str">
            <v>MAX VENTURES AND INDUSTRIES LTD</v>
          </cell>
          <cell r="B2523">
            <v>539940</v>
          </cell>
          <cell r="C2523" t="str">
            <v>MAXVIL</v>
          </cell>
        </row>
        <row r="2524">
          <cell r="A2524" t="str">
            <v>MAXHEIGHTS INFRASTRUCTURE LTD</v>
          </cell>
          <cell r="B2524">
            <v>534338</v>
          </cell>
          <cell r="C2524" t="str">
            <v>Not Listed</v>
          </cell>
        </row>
        <row r="2525">
          <cell r="A2525" t="str">
            <v>MAXIMAA SYSTEMS LTD</v>
          </cell>
          <cell r="B2525">
            <v>526538</v>
          </cell>
          <cell r="C2525" t="str">
            <v>Not Listed</v>
          </cell>
        </row>
        <row r="2526">
          <cell r="A2526" t="str">
            <v>MAXIMUS INTERNATIONAL LTD</v>
          </cell>
          <cell r="B2526">
            <v>540401</v>
          </cell>
          <cell r="C2526" t="str">
            <v>Not Listed</v>
          </cell>
        </row>
        <row r="2527">
          <cell r="A2527" t="str">
            <v>MAYUKH DEALTRADE LTD</v>
          </cell>
          <cell r="B2527">
            <v>539519</v>
          </cell>
          <cell r="C2527" t="str">
            <v>Not Listed</v>
          </cell>
        </row>
        <row r="2528">
          <cell r="A2528" t="str">
            <v>MAYUR FLOORINGS LTD</v>
          </cell>
          <cell r="B2528">
            <v>531221</v>
          </cell>
          <cell r="C2528" t="str">
            <v>Not Listed</v>
          </cell>
        </row>
        <row r="2529">
          <cell r="A2529" t="str">
            <v>MAYUR LEATHER PRODUCTS LTD</v>
          </cell>
          <cell r="B2529">
            <v>531680</v>
          </cell>
          <cell r="C2529" t="str">
            <v>Not Listed</v>
          </cell>
        </row>
        <row r="2530">
          <cell r="A2530" t="str">
            <v>MAYUR UNIQUOTERS LTD</v>
          </cell>
          <cell r="B2530">
            <v>522249</v>
          </cell>
          <cell r="C2530" t="str">
            <v>MAYURUNIQ</v>
          </cell>
        </row>
        <row r="2531">
          <cell r="A2531" t="str">
            <v>MAZDA LTD</v>
          </cell>
          <cell r="B2531">
            <v>523792</v>
          </cell>
          <cell r="C2531" t="str">
            <v>MAZDA</v>
          </cell>
        </row>
        <row r="2532">
          <cell r="A2532" t="str">
            <v>MBL INFRASTRUCTURES LTD</v>
          </cell>
          <cell r="B2532">
            <v>533152</v>
          </cell>
          <cell r="C2532" t="str">
            <v>MBLINFRA</v>
          </cell>
        </row>
        <row r="2533">
          <cell r="A2533" t="str">
            <v>MCDOWELL HOLDINGS LTD</v>
          </cell>
          <cell r="B2533">
            <v>532852</v>
          </cell>
          <cell r="C2533" t="str">
            <v>MCDHOLDING</v>
          </cell>
        </row>
        <row r="2534">
          <cell r="A2534" t="str">
            <v>MCLEOD RUSSEL (INDIA) LTD</v>
          </cell>
          <cell r="B2534">
            <v>532654</v>
          </cell>
          <cell r="C2534" t="str">
            <v>MCLEODRUSS</v>
          </cell>
        </row>
        <row r="2535">
          <cell r="A2535" t="str">
            <v>MCLEOD RUSSEL INDIA LTD</v>
          </cell>
          <cell r="B2535">
            <v>532654</v>
          </cell>
          <cell r="C2535" t="str">
            <v>MCLEODRUSS</v>
          </cell>
        </row>
        <row r="2536">
          <cell r="A2536" t="str">
            <v>MCNALLY BHARAT ENGINEERING COMPANY LTD</v>
          </cell>
          <cell r="B2536">
            <v>532629</v>
          </cell>
          <cell r="C2536" t="str">
            <v>MBECL</v>
          </cell>
        </row>
        <row r="2537">
          <cell r="A2537" t="str">
            <v>MEDIA MATRIX WORLDWIDE LTD</v>
          </cell>
          <cell r="B2537">
            <v>512267</v>
          </cell>
          <cell r="C2537" t="str">
            <v>Not Listed</v>
          </cell>
        </row>
        <row r="2538">
          <cell r="A2538" t="str">
            <v>MEDICAMEN BIOTECH LTD</v>
          </cell>
          <cell r="B2538">
            <v>531146</v>
          </cell>
          <cell r="C2538" t="str">
            <v>Not Listed</v>
          </cell>
        </row>
        <row r="2539">
          <cell r="A2539" t="str">
            <v>MEDI-CAPS LTD</v>
          </cell>
          <cell r="B2539">
            <v>523144</v>
          </cell>
          <cell r="C2539" t="str">
            <v>Not Listed</v>
          </cell>
        </row>
        <row r="2540">
          <cell r="A2540" t="str">
            <v>Medico Intercontinental Ltd</v>
          </cell>
          <cell r="B2540">
            <v>539938</v>
          </cell>
          <cell r="C2540" t="str">
            <v>MIL</v>
          </cell>
        </row>
        <row r="2541">
          <cell r="A2541" t="str">
            <v>MEDICO REMEDIES LTD</v>
          </cell>
          <cell r="B2541">
            <v>540937</v>
          </cell>
          <cell r="C2541" t="str">
            <v>Not Listed</v>
          </cell>
        </row>
        <row r="2542">
          <cell r="A2542" t="str">
            <v>MEDINOVA DIAGNOSTIC SERVICES LTD</v>
          </cell>
          <cell r="B2542">
            <v>526301</v>
          </cell>
          <cell r="C2542" t="str">
            <v>Not Listed</v>
          </cell>
        </row>
        <row r="2543">
          <cell r="A2543" t="str">
            <v>MEENAKSHI ENTERPRISES LTD</v>
          </cell>
          <cell r="B2543">
            <v>538834</v>
          </cell>
          <cell r="C2543" t="str">
            <v>Not Listed</v>
          </cell>
        </row>
        <row r="2544">
          <cell r="A2544" t="str">
            <v>MEENAKSHI STEEL INDUSTRIES LTD</v>
          </cell>
          <cell r="B2544">
            <v>512505</v>
          </cell>
          <cell r="C2544" t="str">
            <v>Not Listed</v>
          </cell>
        </row>
        <row r="2545">
          <cell r="A2545" t="str">
            <v>MEERA INDUSTRIES LTD</v>
          </cell>
          <cell r="B2545">
            <v>540519</v>
          </cell>
          <cell r="C2545" t="str">
            <v>Not Listed</v>
          </cell>
        </row>
        <row r="2546">
          <cell r="A2546" t="str">
            <v>MEFCOM AGRO INDUSTRIES LTD</v>
          </cell>
          <cell r="B2546">
            <v>511276</v>
          </cell>
          <cell r="C2546" t="str">
            <v>Not Listed</v>
          </cell>
        </row>
        <row r="2547">
          <cell r="A2547" t="str">
            <v>MEFCOM CAPITAL MARKETS LTD</v>
          </cell>
          <cell r="B2547">
            <v>531176</v>
          </cell>
          <cell r="C2547" t="str">
            <v>Not Listed</v>
          </cell>
        </row>
        <row r="2548">
          <cell r="A2548" t="str">
            <v>MEGA CORPORATION LTD</v>
          </cell>
          <cell r="B2548">
            <v>531417</v>
          </cell>
          <cell r="C2548" t="str">
            <v>Not Listed</v>
          </cell>
        </row>
        <row r="2549">
          <cell r="A2549" t="str">
            <v>MEGA FIN (INDIA) LTD</v>
          </cell>
          <cell r="B2549">
            <v>532105</v>
          </cell>
          <cell r="C2549" t="str">
            <v>Not Listed</v>
          </cell>
        </row>
        <row r="2550">
          <cell r="A2550" t="str">
            <v>MEGA FIN INDIA LTD</v>
          </cell>
          <cell r="B2550">
            <v>532105</v>
          </cell>
          <cell r="C2550" t="str">
            <v>Not Listed</v>
          </cell>
        </row>
        <row r="2551">
          <cell r="A2551" t="str">
            <v>MEGA NIRMAN AND INDUSTRIES LTD</v>
          </cell>
          <cell r="B2551">
            <v>539767</v>
          </cell>
          <cell r="C2551" t="str">
            <v>Not Listed</v>
          </cell>
        </row>
        <row r="2552">
          <cell r="A2552" t="str">
            <v>MEGASOFT LTD</v>
          </cell>
          <cell r="B2552">
            <v>532408</v>
          </cell>
          <cell r="C2552" t="str">
            <v>MEGASOFT</v>
          </cell>
        </row>
        <row r="2553">
          <cell r="A2553" t="str">
            <v>MEGASTAR FOODS LTD</v>
          </cell>
          <cell r="B2553">
            <v>541352</v>
          </cell>
          <cell r="C2553" t="str">
            <v>Not Listed</v>
          </cell>
        </row>
        <row r="2554">
          <cell r="A2554" t="str">
            <v>MEGHMANI ORGANICS LTD</v>
          </cell>
          <cell r="B2554">
            <v>532865</v>
          </cell>
          <cell r="C2554" t="str">
            <v>MEGH</v>
          </cell>
        </row>
        <row r="2555">
          <cell r="A2555" t="str">
            <v>MEGLON INFRA-REAL (INDIA) LTD</v>
          </cell>
          <cell r="B2555">
            <v>511367</v>
          </cell>
          <cell r="C2555" t="str">
            <v>Not Listed</v>
          </cell>
        </row>
        <row r="2556">
          <cell r="A2556" t="str">
            <v>MEGLON INFRA-REAL INDIA LTD</v>
          </cell>
          <cell r="B2556">
            <v>511367</v>
          </cell>
          <cell r="C2556" t="str">
            <v>Not Listed</v>
          </cell>
        </row>
        <row r="2557">
          <cell r="A2557" t="str">
            <v>MEGRI SOFT LTD</v>
          </cell>
          <cell r="B2557">
            <v>539012</v>
          </cell>
          <cell r="C2557" t="str">
            <v>Not Listed</v>
          </cell>
        </row>
        <row r="2558">
          <cell r="A2558" t="str">
            <v>MEHAI TECHNOLOGY LTD</v>
          </cell>
          <cell r="B2558">
            <v>540730</v>
          </cell>
          <cell r="C2558" t="str">
            <v>Not Listed</v>
          </cell>
        </row>
        <row r="2559">
          <cell r="A2559" t="str">
            <v>MEHTA HOUSING FINANCE LTD</v>
          </cell>
          <cell r="B2559">
            <v>511740</v>
          </cell>
          <cell r="C2559" t="str">
            <v>Not Listed</v>
          </cell>
        </row>
        <row r="2560">
          <cell r="A2560" t="str">
            <v>MEHTA INTEGRATED FINANCE LTD</v>
          </cell>
          <cell r="B2560">
            <v>511377</v>
          </cell>
          <cell r="C2560" t="str">
            <v>Not Listed</v>
          </cell>
        </row>
        <row r="2561">
          <cell r="A2561" t="str">
            <v>MEHTA SECURITIES LTD</v>
          </cell>
          <cell r="B2561">
            <v>511738</v>
          </cell>
          <cell r="C2561" t="str">
            <v>Not Listed</v>
          </cell>
        </row>
        <row r="2562">
          <cell r="A2562" t="str">
            <v>MELSTAR INFORMATION TECHNOLOGIES LTD</v>
          </cell>
          <cell r="B2562">
            <v>532307</v>
          </cell>
          <cell r="C2562" t="str">
            <v>MELSTAR</v>
          </cell>
        </row>
        <row r="2563">
          <cell r="A2563" t="str">
            <v>MENA MANI INDUSTRIES LTD</v>
          </cell>
          <cell r="B2563">
            <v>531127</v>
          </cell>
          <cell r="C2563" t="str">
            <v>Not Listed</v>
          </cell>
        </row>
        <row r="2564">
          <cell r="A2564" t="str">
            <v>MENON BEARINGS LTD</v>
          </cell>
          <cell r="B2564">
            <v>523828</v>
          </cell>
          <cell r="C2564" t="str">
            <v>MENONBE</v>
          </cell>
        </row>
        <row r="2565">
          <cell r="A2565" t="str">
            <v>MENON PISTONS LTD</v>
          </cell>
          <cell r="B2565">
            <v>531727</v>
          </cell>
          <cell r="C2565" t="str">
            <v>Not Listed</v>
          </cell>
        </row>
        <row r="2566">
          <cell r="A2566" t="str">
            <v>MEP INFRASTRUCTURE DEVELOPERS LTD</v>
          </cell>
          <cell r="B2566">
            <v>539126</v>
          </cell>
          <cell r="C2566" t="str">
            <v>MEP</v>
          </cell>
        </row>
        <row r="2567">
          <cell r="A2567" t="str">
            <v>MERCANTILE VENTURES LTD</v>
          </cell>
          <cell r="B2567">
            <v>538942</v>
          </cell>
          <cell r="C2567" t="str">
            <v>Not Listed</v>
          </cell>
        </row>
        <row r="2568">
          <cell r="A2568" t="str">
            <v>MERCATOR LTD</v>
          </cell>
          <cell r="B2568">
            <v>526235</v>
          </cell>
          <cell r="C2568" t="str">
            <v>MERCATOR</v>
          </cell>
        </row>
        <row r="2569">
          <cell r="A2569" t="str">
            <v>MERCK LTD</v>
          </cell>
          <cell r="B2569">
            <v>500126</v>
          </cell>
          <cell r="C2569" t="str">
            <v>MERCK</v>
          </cell>
        </row>
        <row r="2570">
          <cell r="A2570" t="str">
            <v>MERCURY LABORATORIES LTD</v>
          </cell>
          <cell r="B2570">
            <v>538964</v>
          </cell>
          <cell r="C2570" t="str">
            <v>Not Listed</v>
          </cell>
        </row>
        <row r="2571">
          <cell r="A2571" t="str">
            <v>MERCURY METALS LTD</v>
          </cell>
          <cell r="B2571">
            <v>531357</v>
          </cell>
          <cell r="C2571" t="str">
            <v>Not Listed</v>
          </cell>
        </row>
        <row r="2572">
          <cell r="A2572" t="str">
            <v>MERCURY TRADE LINKS LTD</v>
          </cell>
          <cell r="B2572">
            <v>512415</v>
          </cell>
          <cell r="C2572" t="str">
            <v>Not Listed</v>
          </cell>
        </row>
        <row r="2573">
          <cell r="A2573" t="str">
            <v>MESCO PHARMACEUTICALS LTD</v>
          </cell>
          <cell r="B2573">
            <v>500274</v>
          </cell>
          <cell r="C2573" t="str">
            <v>Not Listed</v>
          </cell>
        </row>
        <row r="2574">
          <cell r="A2574" t="str">
            <v>METAL COATINGS (INDIA) LTD</v>
          </cell>
          <cell r="B2574">
            <v>531810</v>
          </cell>
          <cell r="C2574" t="str">
            <v>Not Listed</v>
          </cell>
        </row>
        <row r="2575">
          <cell r="A2575" t="str">
            <v>METAL COATINGS INDIA LTD</v>
          </cell>
          <cell r="B2575">
            <v>531810</v>
          </cell>
          <cell r="C2575" t="str">
            <v>Not Listed</v>
          </cell>
        </row>
        <row r="2576">
          <cell r="A2576" t="str">
            <v>METALYST FORGINGS LTD</v>
          </cell>
          <cell r="B2576">
            <v>513335</v>
          </cell>
          <cell r="C2576" t="str">
            <v>METALFORGE</v>
          </cell>
        </row>
        <row r="2577">
          <cell r="A2577" t="str">
            <v>METKORE ALLOYS &amp; INDUSTRIES LTD</v>
          </cell>
          <cell r="B2577">
            <v>532990</v>
          </cell>
          <cell r="C2577" t="str">
            <v>METKORE</v>
          </cell>
        </row>
        <row r="2578">
          <cell r="A2578" t="str">
            <v>METROGLOBAL LTD</v>
          </cell>
          <cell r="B2578">
            <v>500159</v>
          </cell>
          <cell r="C2578" t="str">
            <v>Not Listed</v>
          </cell>
        </row>
        <row r="2579">
          <cell r="A2579" t="str">
            <v>Metropolis Healthcare Ltd</v>
          </cell>
          <cell r="B2579">
            <v>542650</v>
          </cell>
          <cell r="C2579" t="str">
            <v>METROPOLIS</v>
          </cell>
        </row>
        <row r="2580">
          <cell r="A2580" t="str">
            <v>MEWAR HI-TECH ENGINEERING LTD</v>
          </cell>
          <cell r="B2580">
            <v>540150</v>
          </cell>
          <cell r="C2580" t="str">
            <v>Not Listed</v>
          </cell>
        </row>
        <row r="2581">
          <cell r="A2581" t="str">
            <v>MEWAT ZINC LTD</v>
          </cell>
          <cell r="B2581">
            <v>513496</v>
          </cell>
          <cell r="C2581" t="str">
            <v>Not Listed</v>
          </cell>
        </row>
        <row r="2582">
          <cell r="A2582" t="str">
            <v>Meyer Apparel Ltd</v>
          </cell>
          <cell r="B2582">
            <v>531613</v>
          </cell>
          <cell r="C2582" t="str">
            <v>MAL</v>
          </cell>
        </row>
        <row r="2583">
          <cell r="A2583" t="str">
            <v>MFL (INDIA) LTD</v>
          </cell>
          <cell r="B2583">
            <v>526622</v>
          </cell>
          <cell r="C2583" t="str">
            <v>Not Listed</v>
          </cell>
        </row>
        <row r="2584">
          <cell r="A2584" t="str">
            <v>MFL INDIA LTD</v>
          </cell>
          <cell r="B2584">
            <v>526622</v>
          </cell>
          <cell r="C2584" t="str">
            <v>Not Listed</v>
          </cell>
        </row>
        <row r="2585">
          <cell r="A2585" t="str">
            <v>MFS INTERCORP LTD</v>
          </cell>
          <cell r="B2585">
            <v>513721</v>
          </cell>
          <cell r="C2585" t="str">
            <v>Not Listed</v>
          </cell>
        </row>
        <row r="2586">
          <cell r="A2586" t="str">
            <v>MIC ELECTRONICS LTD</v>
          </cell>
          <cell r="B2586">
            <v>532850</v>
          </cell>
          <cell r="C2586" t="str">
            <v>MIC</v>
          </cell>
        </row>
        <row r="2587">
          <cell r="A2587" t="str">
            <v>MICROSE (INDIA) LTD</v>
          </cell>
          <cell r="B2587">
            <v>523343</v>
          </cell>
          <cell r="C2587" t="str">
            <v>Not Listed</v>
          </cell>
        </row>
        <row r="2588">
          <cell r="A2588" t="str">
            <v>MICROSE INDIA LTD</v>
          </cell>
          <cell r="B2588">
            <v>523343</v>
          </cell>
          <cell r="C2588" t="str">
            <v>Not Listed</v>
          </cell>
        </row>
        <row r="2589">
          <cell r="A2589" t="str">
            <v>MID EAST PORTFOLIO MANAGEMENT LTD</v>
          </cell>
          <cell r="B2589">
            <v>526251</v>
          </cell>
          <cell r="C2589" t="str">
            <v>Not Listed</v>
          </cell>
        </row>
        <row r="2590">
          <cell r="A2590" t="str">
            <v>MID INDIA INDUSTRIES LTD</v>
          </cell>
          <cell r="B2590">
            <v>500277</v>
          </cell>
          <cell r="C2590" t="str">
            <v>Not Listed</v>
          </cell>
        </row>
        <row r="2591">
          <cell r="A2591" t="str">
            <v>MIDAS INFRA TRADE LTD</v>
          </cell>
          <cell r="B2591">
            <v>531192</v>
          </cell>
          <cell r="C2591" t="str">
            <v>Not Listed</v>
          </cell>
        </row>
        <row r="2592">
          <cell r="A2592" t="str">
            <v>MIDEAST INTEGRATED STEELS LTD</v>
          </cell>
          <cell r="B2592">
            <v>540744</v>
          </cell>
          <cell r="C2592" t="str">
            <v>Not Listed</v>
          </cell>
        </row>
        <row r="2593">
          <cell r="A2593" t="str">
            <v>MIDVALLEY ENTERTAINMENT LTD.</v>
          </cell>
          <cell r="B2593">
            <v>533310</v>
          </cell>
          <cell r="C2593" t="str">
            <v>MIDVAL</v>
          </cell>
        </row>
        <row r="2594">
          <cell r="A2594" t="str">
            <v>MIDWEST GOLD LTD</v>
          </cell>
          <cell r="B2594">
            <v>526570</v>
          </cell>
          <cell r="C2594" t="str">
            <v>Not Listed</v>
          </cell>
        </row>
        <row r="2595">
          <cell r="A2595" t="str">
            <v>MIHIKA INDUSTRIES LTD</v>
          </cell>
          <cell r="B2595">
            <v>538895</v>
          </cell>
          <cell r="C2595" t="str">
            <v>Not Listed</v>
          </cell>
        </row>
        <row r="2596">
          <cell r="A2596" t="str">
            <v>MILESTONE FURNITURE LTD</v>
          </cell>
          <cell r="B2596">
            <v>541337</v>
          </cell>
          <cell r="C2596" t="str">
            <v>Not Listed</v>
          </cell>
        </row>
        <row r="2597">
          <cell r="A2597" t="str">
            <v>MILESTONE GLOBAL LTD</v>
          </cell>
          <cell r="B2597">
            <v>531338</v>
          </cell>
          <cell r="C2597" t="str">
            <v>Not Listed</v>
          </cell>
        </row>
        <row r="2598">
          <cell r="A2598" t="str">
            <v>MILGREY FINANCE &amp; INVESTMENTS LTD</v>
          </cell>
          <cell r="B2598">
            <v>511018</v>
          </cell>
          <cell r="C2598" t="str">
            <v>Not Listed</v>
          </cell>
        </row>
        <row r="2599">
          <cell r="A2599" t="str">
            <v>MILKFOOD LTD</v>
          </cell>
          <cell r="B2599">
            <v>507621</v>
          </cell>
          <cell r="C2599" t="str">
            <v>Not Listed</v>
          </cell>
        </row>
        <row r="2600">
          <cell r="A2600" t="str">
            <v>MILLENNIUM ONLINE SOLUTIONS  INDIA  LTD</v>
          </cell>
          <cell r="B2600">
            <v>511187</v>
          </cell>
          <cell r="C2600" t="str">
            <v>Not Listed</v>
          </cell>
        </row>
        <row r="2601">
          <cell r="A2601" t="str">
            <v>MILTON INDUSTRIES LTD</v>
          </cell>
          <cell r="B2601" t="str">
            <v>Not Listed</v>
          </cell>
          <cell r="C2601" t="str">
            <v>MILTON</v>
          </cell>
        </row>
        <row r="2602">
          <cell r="A2602" t="str">
            <v>MINAXI TEXTILES LTD</v>
          </cell>
          <cell r="B2602">
            <v>531456</v>
          </cell>
          <cell r="C2602" t="str">
            <v>Not Listed</v>
          </cell>
        </row>
        <row r="2603">
          <cell r="A2603" t="str">
            <v>MINDA CORPORATION LTD</v>
          </cell>
          <cell r="B2603">
            <v>538962</v>
          </cell>
          <cell r="C2603" t="str">
            <v>MINDACORP</v>
          </cell>
        </row>
        <row r="2604">
          <cell r="A2604" t="str">
            <v>MINDA FINANCE LTD</v>
          </cell>
          <cell r="B2604">
            <v>539303</v>
          </cell>
          <cell r="C2604" t="str">
            <v>Not Listed</v>
          </cell>
        </row>
        <row r="2605">
          <cell r="A2605" t="str">
            <v>MINDA INDUSTRIES LTD</v>
          </cell>
          <cell r="B2605">
            <v>532539</v>
          </cell>
          <cell r="C2605" t="str">
            <v>MINDAIND</v>
          </cell>
        </row>
        <row r="2606">
          <cell r="A2606" t="str">
            <v>MINDTECK (INDIA) LTD</v>
          </cell>
          <cell r="B2606">
            <v>517344</v>
          </cell>
          <cell r="C2606" t="str">
            <v>MINDTECK</v>
          </cell>
        </row>
        <row r="2607">
          <cell r="A2607" t="str">
            <v>MINDTECK INDIA LTD</v>
          </cell>
          <cell r="B2607">
            <v>517344</v>
          </cell>
          <cell r="C2607" t="str">
            <v>MINDTECK</v>
          </cell>
        </row>
        <row r="2608">
          <cell r="A2608" t="str">
            <v>MINDTREE LTD</v>
          </cell>
          <cell r="B2608">
            <v>532819</v>
          </cell>
          <cell r="C2608" t="str">
            <v>MINDTREE</v>
          </cell>
        </row>
        <row r="2609">
          <cell r="A2609" t="str">
            <v>MINI DIAMONDS (INDIA) LTD</v>
          </cell>
          <cell r="B2609">
            <v>523373</v>
          </cell>
          <cell r="C2609" t="str">
            <v>Not Listed</v>
          </cell>
        </row>
        <row r="2610">
          <cell r="A2610" t="str">
            <v>MINI DIAMONDS INDIA LTD</v>
          </cell>
          <cell r="B2610">
            <v>523373</v>
          </cell>
          <cell r="C2610" t="str">
            <v>Not Listed</v>
          </cell>
        </row>
        <row r="2611">
          <cell r="A2611" t="str">
            <v>MINOLTA FINANCE LTD</v>
          </cell>
          <cell r="B2611">
            <v>532164</v>
          </cell>
          <cell r="C2611" t="str">
            <v>Not Listed</v>
          </cell>
        </row>
        <row r="2612">
          <cell r="A2612" t="str">
            <v>MIPCO SEAMLESS RINGS GUJARAT LTD</v>
          </cell>
          <cell r="B2612">
            <v>505797</v>
          </cell>
          <cell r="C2612" t="str">
            <v>Not Listed</v>
          </cell>
        </row>
        <row r="2613">
          <cell r="A2613" t="str">
            <v>MIRC ELECTRONICS LTD</v>
          </cell>
          <cell r="B2613">
            <v>500279</v>
          </cell>
          <cell r="C2613" t="str">
            <v>MIRCELECTR</v>
          </cell>
        </row>
        <row r="2614">
          <cell r="A2614" t="str">
            <v>MIRCH TECHNOLOGIES (INDIA) LTD</v>
          </cell>
          <cell r="B2614">
            <v>505336</v>
          </cell>
          <cell r="C2614" t="str">
            <v>Not Listed</v>
          </cell>
        </row>
        <row r="2615">
          <cell r="A2615" t="str">
            <v>MIRCH TECHNOLOGIES INDIA LTD</v>
          </cell>
          <cell r="B2615">
            <v>505336</v>
          </cell>
          <cell r="C2615" t="str">
            <v>Not Listed</v>
          </cell>
        </row>
        <row r="2616">
          <cell r="A2616" t="str">
            <v>MIRZA INTERNATIONAL LTD</v>
          </cell>
          <cell r="B2616">
            <v>526642</v>
          </cell>
          <cell r="C2616" t="str">
            <v>MIRZAINT</v>
          </cell>
        </row>
        <row r="2617">
          <cell r="A2617" t="str">
            <v>MISHKA EXIM LTD</v>
          </cell>
          <cell r="B2617">
            <v>539220</v>
          </cell>
          <cell r="C2617" t="str">
            <v>Not Listed</v>
          </cell>
        </row>
        <row r="2618">
          <cell r="A2618" t="str">
            <v>MISHRA DHATU NIGAM LTD</v>
          </cell>
          <cell r="B2618">
            <v>541195</v>
          </cell>
          <cell r="C2618" t="str">
            <v>MIDHANI</v>
          </cell>
        </row>
        <row r="2619">
          <cell r="A2619" t="str">
            <v>MISHTANN FOODS LTD</v>
          </cell>
          <cell r="B2619">
            <v>539594</v>
          </cell>
          <cell r="C2619" t="str">
            <v>Not Listed</v>
          </cell>
        </row>
        <row r="2620">
          <cell r="A2620" t="str">
            <v>MITCON CONSULTANCY &amp; ENGINEERING SERVICES LTD</v>
          </cell>
          <cell r="B2620" t="str">
            <v>Not Listed</v>
          </cell>
          <cell r="C2620" t="str">
            <v>MITCON</v>
          </cell>
        </row>
        <row r="2621">
          <cell r="A2621" t="str">
            <v>MITSHI (INDIA) LTD</v>
          </cell>
          <cell r="B2621">
            <v>523782</v>
          </cell>
          <cell r="C2621" t="str">
            <v>Not Listed</v>
          </cell>
        </row>
        <row r="2622">
          <cell r="A2622" t="str">
            <v>MITSHI INDIA LTD</v>
          </cell>
          <cell r="B2622">
            <v>523782</v>
          </cell>
          <cell r="C2622" t="str">
            <v>Not Listed</v>
          </cell>
        </row>
        <row r="2623">
          <cell r="A2623" t="str">
            <v>MITSU CHEM PLAST LTD</v>
          </cell>
          <cell r="B2623">
            <v>540078</v>
          </cell>
          <cell r="C2623" t="str">
            <v>Not Listed</v>
          </cell>
        </row>
        <row r="2624">
          <cell r="A2624" t="str">
            <v>MITTAL LIFE STYLE LTD</v>
          </cell>
          <cell r="B2624" t="str">
            <v>Not Listed</v>
          </cell>
          <cell r="C2624" t="str">
            <v>MITTAL</v>
          </cell>
        </row>
        <row r="2625">
          <cell r="A2625" t="str">
            <v>MIVEN MACHINE TOOLS LTD.</v>
          </cell>
          <cell r="B2625">
            <v>522036</v>
          </cell>
          <cell r="C2625" t="str">
            <v>MIVENMACH</v>
          </cell>
        </row>
        <row r="2626">
          <cell r="A2626" t="str">
            <v>MM FORGINGS LTD</v>
          </cell>
          <cell r="B2626">
            <v>522241</v>
          </cell>
          <cell r="C2626" t="str">
            <v>MMFL</v>
          </cell>
        </row>
        <row r="2627">
          <cell r="A2627" t="str">
            <v>MM RUBBER COMPANY LTD.</v>
          </cell>
          <cell r="B2627">
            <v>509196</v>
          </cell>
          <cell r="C2627" t="str">
            <v>MMRUBBR-B</v>
          </cell>
        </row>
        <row r="2628">
          <cell r="A2628" t="str">
            <v>MMP INDUSTRIES LTD</v>
          </cell>
          <cell r="B2628" t="str">
            <v>Not Listed</v>
          </cell>
          <cell r="C2628" t="str">
            <v>MMP</v>
          </cell>
        </row>
        <row r="2629">
          <cell r="A2629" t="str">
            <v>MMTC LTD</v>
          </cell>
          <cell r="B2629">
            <v>513377</v>
          </cell>
          <cell r="C2629" t="str">
            <v>MMTC</v>
          </cell>
        </row>
        <row r="2630">
          <cell r="A2630" t="str">
            <v>MODELLA WOOLLENS LTD</v>
          </cell>
          <cell r="B2630">
            <v>503772</v>
          </cell>
          <cell r="C2630" t="str">
            <v>Not Listed</v>
          </cell>
        </row>
        <row r="2631">
          <cell r="A2631" t="str">
            <v>MODERN (INDIA) LTD</v>
          </cell>
          <cell r="B2631">
            <v>503015</v>
          </cell>
          <cell r="C2631" t="str">
            <v>Not Listed</v>
          </cell>
        </row>
        <row r="2632">
          <cell r="A2632" t="str">
            <v>MODERN CONVERTERS LTD</v>
          </cell>
          <cell r="B2632">
            <v>539762</v>
          </cell>
          <cell r="C2632" t="str">
            <v>Not Listed</v>
          </cell>
        </row>
        <row r="2633">
          <cell r="A2633" t="str">
            <v>MODERN DAIRIES LTD</v>
          </cell>
          <cell r="B2633">
            <v>519287</v>
          </cell>
          <cell r="C2633" t="str">
            <v>Not Listed</v>
          </cell>
        </row>
        <row r="2634">
          <cell r="A2634" t="str">
            <v>MODERN INDIA LTD</v>
          </cell>
          <cell r="B2634">
            <v>503015</v>
          </cell>
          <cell r="C2634" t="str">
            <v>Not Listed</v>
          </cell>
        </row>
        <row r="2635">
          <cell r="A2635" t="str">
            <v>MODERN SHARES &amp; STOCKBROKERS LTD</v>
          </cell>
          <cell r="B2635">
            <v>509760</v>
          </cell>
          <cell r="C2635" t="str">
            <v>Not Listed</v>
          </cell>
        </row>
        <row r="2636">
          <cell r="A2636" t="str">
            <v>MODERN STEELS LTD.-$</v>
          </cell>
          <cell r="B2636">
            <v>513303</v>
          </cell>
          <cell r="C2636" t="str">
            <v>MDRNSTL</v>
          </cell>
        </row>
        <row r="2637">
          <cell r="A2637" t="str">
            <v>MODEX INTERNATIONAL SECURITIES LTD</v>
          </cell>
          <cell r="B2637">
            <v>537092</v>
          </cell>
          <cell r="C2637" t="str">
            <v>Not Listed</v>
          </cell>
        </row>
        <row r="2638">
          <cell r="A2638" t="str">
            <v>MODI NATURALS LTD</v>
          </cell>
          <cell r="B2638">
            <v>519003</v>
          </cell>
          <cell r="C2638" t="str">
            <v>Not Listed</v>
          </cell>
        </row>
        <row r="2639">
          <cell r="A2639" t="str">
            <v>MODI RUBBER LTD</v>
          </cell>
          <cell r="B2639">
            <v>500890</v>
          </cell>
          <cell r="C2639" t="str">
            <v>MODIRUBBER</v>
          </cell>
        </row>
        <row r="2640">
          <cell r="A2640" t="str">
            <v>MODIPON LTD</v>
          </cell>
          <cell r="B2640">
            <v>503776</v>
          </cell>
          <cell r="C2640" t="str">
            <v>Not Listed</v>
          </cell>
        </row>
        <row r="2641">
          <cell r="A2641" t="str">
            <v>MODISON METALS LTD</v>
          </cell>
          <cell r="B2641">
            <v>506261</v>
          </cell>
          <cell r="C2641" t="str">
            <v>Not Listed</v>
          </cell>
        </row>
        <row r="2642">
          <cell r="A2642" t="str">
            <v>MOHINI HEALTH &amp; HYGIENE LTD</v>
          </cell>
          <cell r="B2642" t="str">
            <v>Not Listed</v>
          </cell>
          <cell r="C2642" t="str">
            <v>MHHL</v>
          </cell>
        </row>
        <row r="2643">
          <cell r="A2643" t="str">
            <v>MOHIT INDUSTRIES LTD</v>
          </cell>
          <cell r="B2643">
            <v>531453</v>
          </cell>
          <cell r="C2643" t="str">
            <v>MOHITIND</v>
          </cell>
        </row>
        <row r="2644">
          <cell r="A2644" t="str">
            <v>MOHIT PAPER MILLS LTD</v>
          </cell>
          <cell r="B2644">
            <v>530169</v>
          </cell>
          <cell r="C2644" t="str">
            <v>Not Listed</v>
          </cell>
        </row>
        <row r="2645">
          <cell r="A2645" t="str">
            <v>MOHITE INDUSTRIES LTD</v>
          </cell>
          <cell r="B2645">
            <v>532140</v>
          </cell>
          <cell r="C2645" t="str">
            <v>Not Listed</v>
          </cell>
        </row>
        <row r="2646">
          <cell r="A2646" t="str">
            <v>MOHOTA INDUSTRIES LTD</v>
          </cell>
          <cell r="B2646">
            <v>530047</v>
          </cell>
          <cell r="C2646" t="str">
            <v>MOHOTAIND</v>
          </cell>
        </row>
        <row r="2647">
          <cell r="A2647" t="str">
            <v>MOIL LTD</v>
          </cell>
          <cell r="B2647">
            <v>533286</v>
          </cell>
          <cell r="C2647" t="str">
            <v>MOIL</v>
          </cell>
        </row>
        <row r="2648">
          <cell r="A2648" t="str">
            <v>MOKSH ORNAMENTS LTD</v>
          </cell>
          <cell r="B2648" t="str">
            <v>Not Listed</v>
          </cell>
          <cell r="C2648" t="str">
            <v>MOKSH</v>
          </cell>
        </row>
        <row r="2649">
          <cell r="A2649" t="str">
            <v>MOLD-TEK PACKAGING LTD</v>
          </cell>
          <cell r="B2649">
            <v>533080</v>
          </cell>
          <cell r="C2649" t="str">
            <v>MOLDTKPAC</v>
          </cell>
        </row>
        <row r="2650">
          <cell r="A2650" t="str">
            <v>MOLD-TEK TECHNOLOGIES LTD</v>
          </cell>
          <cell r="B2650">
            <v>526263</v>
          </cell>
          <cell r="C2650" t="str">
            <v>MOLDTECH</v>
          </cell>
        </row>
        <row r="2651">
          <cell r="A2651" t="str">
            <v>MONARCH NETWORTH CAPITAL LTD</v>
          </cell>
          <cell r="B2651">
            <v>511551</v>
          </cell>
          <cell r="C2651" t="str">
            <v>Not Listed</v>
          </cell>
        </row>
        <row r="2652">
          <cell r="A2652" t="str">
            <v>MONEY MASTERS LEASING &amp; FINANCE LTD</v>
          </cell>
          <cell r="B2652">
            <v>535910</v>
          </cell>
          <cell r="C2652" t="str">
            <v>Not Listed</v>
          </cell>
        </row>
        <row r="2653">
          <cell r="A2653" t="str">
            <v>MONNET INDUSTRIES LTD</v>
          </cell>
          <cell r="B2653">
            <v>532078</v>
          </cell>
          <cell r="C2653" t="str">
            <v>Not Listed</v>
          </cell>
        </row>
        <row r="2654">
          <cell r="A2654" t="str">
            <v>MONNET ISPAT &amp; ENERGY LTD</v>
          </cell>
          <cell r="B2654">
            <v>513446</v>
          </cell>
          <cell r="C2654" t="str">
            <v>AIONJSW</v>
          </cell>
        </row>
        <row r="2655">
          <cell r="A2655" t="str">
            <v>MONNET PROJECT DEVELOPERS LTD</v>
          </cell>
          <cell r="B2655">
            <v>532723</v>
          </cell>
          <cell r="C2655" t="str">
            <v>Not Listed</v>
          </cell>
        </row>
        <row r="2656">
          <cell r="A2656" t="str">
            <v>MONOTYPE (INDIA) LTD</v>
          </cell>
          <cell r="B2656">
            <v>505343</v>
          </cell>
          <cell r="C2656" t="str">
            <v>Not Listed</v>
          </cell>
        </row>
        <row r="2657">
          <cell r="A2657" t="str">
            <v>MONOTYPE INDIA LTD</v>
          </cell>
          <cell r="B2657">
            <v>505343</v>
          </cell>
          <cell r="C2657" t="str">
            <v>Not Listed</v>
          </cell>
        </row>
        <row r="2658">
          <cell r="A2658" t="str">
            <v>MONSANTO (INDIA) LTD</v>
          </cell>
          <cell r="B2658">
            <v>524084</v>
          </cell>
          <cell r="C2658" t="str">
            <v>MONSANTO</v>
          </cell>
        </row>
        <row r="2659">
          <cell r="A2659" t="str">
            <v>MONSANTO INDIA LTD</v>
          </cell>
          <cell r="B2659">
            <v>524084</v>
          </cell>
          <cell r="C2659" t="str">
            <v>MONSANTO</v>
          </cell>
        </row>
        <row r="2660">
          <cell r="A2660" t="str">
            <v>MONTE CARLO FASHIONS LTD</v>
          </cell>
          <cell r="B2660">
            <v>538836</v>
          </cell>
          <cell r="C2660" t="str">
            <v>MONTECARLO</v>
          </cell>
        </row>
        <row r="2661">
          <cell r="A2661" t="str">
            <v>MOONGIPA CAPITAL FINANCE LTD</v>
          </cell>
          <cell r="B2661">
            <v>530167</v>
          </cell>
          <cell r="C2661" t="str">
            <v>Not Listed</v>
          </cell>
        </row>
        <row r="2662">
          <cell r="A2662" t="str">
            <v>MOONGIPA SECURITIES LTD</v>
          </cell>
          <cell r="B2662">
            <v>539199</v>
          </cell>
          <cell r="C2662" t="str">
            <v>Not Listed</v>
          </cell>
        </row>
        <row r="2663">
          <cell r="A2663" t="str">
            <v>MORARJEE TEXTILES LTD</v>
          </cell>
          <cell r="B2663">
            <v>532621</v>
          </cell>
          <cell r="C2663" t="str">
            <v>MORARJEE</v>
          </cell>
        </row>
        <row r="2664">
          <cell r="A2664" t="str">
            <v>MORARKA FINANCE LTD</v>
          </cell>
          <cell r="B2664">
            <v>511549</v>
          </cell>
          <cell r="C2664" t="str">
            <v>Not Listed</v>
          </cell>
        </row>
        <row r="2665">
          <cell r="A2665" t="str">
            <v>MOREPEN LABORATORIES LTD</v>
          </cell>
          <cell r="B2665">
            <v>500288</v>
          </cell>
          <cell r="C2665" t="str">
            <v>MOREPENLAB</v>
          </cell>
        </row>
        <row r="2666">
          <cell r="A2666" t="str">
            <v>MORGAN VENTURES LTD</v>
          </cell>
          <cell r="B2666">
            <v>526237</v>
          </cell>
          <cell r="C2666" t="str">
            <v>Not Listed</v>
          </cell>
        </row>
        <row r="2667">
          <cell r="A2667" t="str">
            <v>MORGANITE CRUCIBLE (INDIA) LTD</v>
          </cell>
          <cell r="B2667">
            <v>523160</v>
          </cell>
          <cell r="C2667" t="str">
            <v>Not Listed</v>
          </cell>
        </row>
        <row r="2668">
          <cell r="A2668" t="str">
            <v>MORGANITE CRUCIBLE INDIA LTD</v>
          </cell>
          <cell r="B2668">
            <v>523160</v>
          </cell>
          <cell r="C2668" t="str">
            <v>Not Listed</v>
          </cell>
        </row>
        <row r="2669">
          <cell r="A2669" t="str">
            <v>MORYO INDUSTRIES LTD.</v>
          </cell>
          <cell r="B2669">
            <v>513305</v>
          </cell>
          <cell r="C2669" t="str">
            <v>MORYOIND</v>
          </cell>
        </row>
        <row r="2670">
          <cell r="A2670" t="str">
            <v>MOSCHIP SEMICONDUCTOR TECHNOLOGY LTD</v>
          </cell>
          <cell r="B2670">
            <v>532407</v>
          </cell>
          <cell r="C2670" t="str">
            <v>Not Listed</v>
          </cell>
        </row>
        <row r="2671">
          <cell r="A2671" t="str">
            <v>MOSER-BAER I LTD</v>
          </cell>
          <cell r="B2671" t="str">
            <v>Not Listed</v>
          </cell>
          <cell r="C2671" t="str">
            <v>MOSERBAER</v>
          </cell>
        </row>
        <row r="2672">
          <cell r="A2672" t="str">
            <v>MOTHERSON SUMI SYSTEMS LTD</v>
          </cell>
          <cell r="B2672">
            <v>517334</v>
          </cell>
          <cell r="C2672" t="str">
            <v>MOTHERSUMI</v>
          </cell>
        </row>
        <row r="2673">
          <cell r="A2673" t="str">
            <v>MOTILAL OSWAL FINANCIAL SERVICES LTD</v>
          </cell>
          <cell r="B2673">
            <v>532892</v>
          </cell>
          <cell r="C2673" t="str">
            <v>MOTILALOFS</v>
          </cell>
        </row>
        <row r="2674">
          <cell r="A2674" t="str">
            <v>Motilal Oswal MOSt Shares M50 ETF</v>
          </cell>
          <cell r="B2674">
            <v>590115</v>
          </cell>
          <cell r="C2674" t="str">
            <v>M50</v>
          </cell>
        </row>
        <row r="2675">
          <cell r="A2675" t="str">
            <v>Motilal Oswal MOSt Shares NASDAQ-100 ETF</v>
          </cell>
          <cell r="B2675">
            <v>533385</v>
          </cell>
          <cell r="C2675" t="str">
            <v>N100</v>
          </cell>
        </row>
        <row r="2676">
          <cell r="A2676" t="str">
            <v>MOUNT SHIVALIK INDUSTRIES LTD</v>
          </cell>
          <cell r="B2676">
            <v>507522</v>
          </cell>
          <cell r="C2676" t="str">
            <v>Not Listed</v>
          </cell>
        </row>
        <row r="2677">
          <cell r="A2677" t="str">
            <v>MPHASIS LTD</v>
          </cell>
          <cell r="B2677">
            <v>526299</v>
          </cell>
          <cell r="C2677" t="str">
            <v>MPHASIS</v>
          </cell>
        </row>
        <row r="2678">
          <cell r="A2678" t="str">
            <v>MPIL CORPORATION LTD</v>
          </cell>
          <cell r="B2678">
            <v>500450</v>
          </cell>
          <cell r="C2678" t="str">
            <v>Not Listed</v>
          </cell>
        </row>
        <row r="2679">
          <cell r="A2679" t="str">
            <v>MPL PLASTICS LTD</v>
          </cell>
          <cell r="B2679">
            <v>526143</v>
          </cell>
          <cell r="C2679" t="str">
            <v>Not Listed</v>
          </cell>
        </row>
        <row r="2680">
          <cell r="A2680" t="str">
            <v>MPS LTD</v>
          </cell>
          <cell r="B2680">
            <v>532440</v>
          </cell>
          <cell r="C2680" t="str">
            <v>MPSLTD</v>
          </cell>
        </row>
        <row r="2681">
          <cell r="A2681" t="str">
            <v>MRC EXIM LTD</v>
          </cell>
          <cell r="B2681">
            <v>540809</v>
          </cell>
          <cell r="C2681" t="str">
            <v>Not Listed</v>
          </cell>
        </row>
        <row r="2682">
          <cell r="A2682" t="str">
            <v>MRF LTD</v>
          </cell>
          <cell r="B2682">
            <v>500290</v>
          </cell>
          <cell r="C2682" t="str">
            <v>MRF</v>
          </cell>
        </row>
        <row r="2683">
          <cell r="A2683" t="str">
            <v>MRO-TEK REALTY LTD</v>
          </cell>
          <cell r="B2683">
            <v>532376</v>
          </cell>
          <cell r="C2683" t="str">
            <v>MRO-TEK</v>
          </cell>
        </row>
        <row r="2684">
          <cell r="A2684" t="str">
            <v>MRUGESH TRADING LTD</v>
          </cell>
          <cell r="B2684">
            <v>512065</v>
          </cell>
          <cell r="C2684" t="str">
            <v>Not Listed</v>
          </cell>
        </row>
        <row r="2685">
          <cell r="A2685" t="str">
            <v>MSP STEEL &amp; POWER LTD</v>
          </cell>
          <cell r="B2685">
            <v>532650</v>
          </cell>
          <cell r="C2685" t="str">
            <v>MSPL</v>
          </cell>
        </row>
        <row r="2686">
          <cell r="A2686" t="str">
            <v>MSR (INDIA) LTD</v>
          </cell>
          <cell r="B2686">
            <v>508922</v>
          </cell>
          <cell r="C2686" t="str">
            <v>Not Listed</v>
          </cell>
        </row>
        <row r="2687">
          <cell r="A2687" t="str">
            <v>MSR INDIA LTD</v>
          </cell>
          <cell r="B2687">
            <v>508922</v>
          </cell>
          <cell r="C2687" t="str">
            <v>Not Listed</v>
          </cell>
        </row>
        <row r="2688">
          <cell r="A2688" t="str">
            <v>Mstc LTD</v>
          </cell>
          <cell r="B2688" t="str">
            <v>Not Listed</v>
          </cell>
          <cell r="C2688" t="str">
            <v>MSTCLTD</v>
          </cell>
        </row>
        <row r="2689">
          <cell r="A2689" t="str">
            <v>MSTC Ltd</v>
          </cell>
          <cell r="B2689">
            <v>542597</v>
          </cell>
          <cell r="C2689" t="str">
            <v>MSTC</v>
          </cell>
        </row>
        <row r="2690">
          <cell r="A2690" t="str">
            <v>MT EDUCARE LTD</v>
          </cell>
          <cell r="B2690">
            <v>534312</v>
          </cell>
          <cell r="C2690" t="str">
            <v>MTEDUCARE</v>
          </cell>
        </row>
        <row r="2691">
          <cell r="A2691" t="str">
            <v>MUDIT FINLEASE LTD</v>
          </cell>
          <cell r="B2691">
            <v>531919</v>
          </cell>
          <cell r="C2691" t="str">
            <v>Not Listed</v>
          </cell>
        </row>
        <row r="2692">
          <cell r="A2692" t="str">
            <v>MUDRA FINANCIAL SERVICES LTD</v>
          </cell>
          <cell r="B2692">
            <v>539819</v>
          </cell>
          <cell r="C2692" t="str">
            <v>Not Listed</v>
          </cell>
        </row>
        <row r="2693">
          <cell r="A2693" t="str">
            <v>MUDUNURU LTD</v>
          </cell>
          <cell r="B2693">
            <v>538743</v>
          </cell>
          <cell r="C2693" t="str">
            <v>Not Listed</v>
          </cell>
        </row>
        <row r="2694">
          <cell r="A2694" t="str">
            <v>MUKAND ENGINEERS LTD</v>
          </cell>
          <cell r="B2694">
            <v>532097</v>
          </cell>
          <cell r="C2694" t="str">
            <v>MUKANDENGG</v>
          </cell>
        </row>
        <row r="2695">
          <cell r="A2695" t="str">
            <v>MUKAND LTD</v>
          </cell>
          <cell r="B2695">
            <v>500460</v>
          </cell>
          <cell r="C2695" t="str">
            <v>MUKANDLTD</v>
          </cell>
        </row>
        <row r="2696">
          <cell r="A2696" t="str">
            <v>MUKAT PIPES LTD.-$</v>
          </cell>
          <cell r="B2696">
            <v>523832</v>
          </cell>
          <cell r="C2696" t="str">
            <v>MUKATPIP</v>
          </cell>
        </row>
        <row r="2697">
          <cell r="A2697" t="str">
            <v>MUKESH BABU FINANCIAL SERVICES LTD</v>
          </cell>
          <cell r="B2697">
            <v>530341</v>
          </cell>
          <cell r="C2697" t="str">
            <v>Not Listed</v>
          </cell>
        </row>
        <row r="2698">
          <cell r="A2698" t="str">
            <v>MUKTA AGRICULTURE LTD</v>
          </cell>
          <cell r="B2698">
            <v>535204</v>
          </cell>
          <cell r="C2698" t="str">
            <v>Not Listed</v>
          </cell>
        </row>
        <row r="2699">
          <cell r="A2699" t="str">
            <v>MUKTA ARTS LTD</v>
          </cell>
          <cell r="B2699">
            <v>532357</v>
          </cell>
          <cell r="C2699" t="str">
            <v>MUKTAARTS</v>
          </cell>
        </row>
        <row r="2700">
          <cell r="A2700" t="str">
            <v>MULLER &amp; PHIPPS (INDIA) LTD</v>
          </cell>
          <cell r="B2700">
            <v>501477</v>
          </cell>
          <cell r="C2700" t="str">
            <v>Not Listed</v>
          </cell>
        </row>
        <row r="2701">
          <cell r="A2701" t="str">
            <v>MULLER &amp; PHIPPS INDIA LTD</v>
          </cell>
          <cell r="B2701">
            <v>501477</v>
          </cell>
          <cell r="C2701" t="str">
            <v>Not Listed</v>
          </cell>
        </row>
        <row r="2702">
          <cell r="A2702" t="str">
            <v>MULTI COMMODITY EXCHANGE OF (INDIA) LTD</v>
          </cell>
          <cell r="B2702">
            <v>534091</v>
          </cell>
          <cell r="C2702" t="str">
            <v>MCX</v>
          </cell>
        </row>
        <row r="2703">
          <cell r="A2703" t="str">
            <v>MULTI COMMODITY EXCHANGE OF INDIA LTD</v>
          </cell>
          <cell r="B2703">
            <v>534091</v>
          </cell>
          <cell r="C2703" t="str">
            <v>MCX</v>
          </cell>
        </row>
        <row r="2704">
          <cell r="A2704" t="str">
            <v>MULTIBASE (INDIA) LTD</v>
          </cell>
          <cell r="B2704">
            <v>526169</v>
          </cell>
          <cell r="C2704" t="str">
            <v>Not Listed</v>
          </cell>
        </row>
        <row r="2705">
          <cell r="A2705" t="str">
            <v>MULTIBASE INDIA LTD</v>
          </cell>
          <cell r="B2705">
            <v>526169</v>
          </cell>
          <cell r="C2705" t="str">
            <v>Not Listed</v>
          </cell>
        </row>
        <row r="2706">
          <cell r="A2706" t="str">
            <v>MULTIPLUS HOLDINGS LTD</v>
          </cell>
          <cell r="B2706">
            <v>505594</v>
          </cell>
          <cell r="C2706" t="str">
            <v>Not Listed</v>
          </cell>
        </row>
        <row r="2707">
          <cell r="A2707" t="str">
            <v>MULTIPURPOSE TRADING &amp; AGENCIES LTD</v>
          </cell>
          <cell r="B2707">
            <v>504356</v>
          </cell>
          <cell r="C2707" t="str">
            <v>Not Listed</v>
          </cell>
        </row>
        <row r="2708">
          <cell r="A2708" t="str">
            <v>MUNJAL AUTO INDUSTRIES LTD</v>
          </cell>
          <cell r="B2708">
            <v>520059</v>
          </cell>
          <cell r="C2708" t="str">
            <v>MUNJALAU</v>
          </cell>
        </row>
        <row r="2709">
          <cell r="A2709" t="str">
            <v>MUNJAL SHOWA LTD</v>
          </cell>
          <cell r="B2709">
            <v>520043</v>
          </cell>
          <cell r="C2709" t="str">
            <v>MUNJALSHOW</v>
          </cell>
        </row>
        <row r="2710">
          <cell r="A2710" t="str">
            <v>MUNOTH CAPITAL MARKET LTD</v>
          </cell>
          <cell r="B2710">
            <v>511200</v>
          </cell>
          <cell r="C2710" t="str">
            <v>Not Listed</v>
          </cell>
        </row>
        <row r="2711">
          <cell r="A2711" t="str">
            <v>Munoth Communication Ltd</v>
          </cell>
          <cell r="B2711">
            <v>511401</v>
          </cell>
          <cell r="C2711" t="str">
            <v>MCLTD</v>
          </cell>
        </row>
        <row r="2712">
          <cell r="A2712" t="str">
            <v>MUNOTH FINANCIAL SERVICES LTD</v>
          </cell>
          <cell r="B2712">
            <v>531821</v>
          </cell>
          <cell r="C2712" t="str">
            <v>Not Listed</v>
          </cell>
        </row>
        <row r="2713">
          <cell r="A2713" t="str">
            <v>MURUDESHWAR CERAMICS LTD</v>
          </cell>
          <cell r="B2713">
            <v>515037</v>
          </cell>
          <cell r="C2713" t="str">
            <v>MURUDCERA</v>
          </cell>
        </row>
        <row r="2714">
          <cell r="A2714" t="str">
            <v>MUSIC BROADCAST LTD</v>
          </cell>
          <cell r="B2714">
            <v>540366</v>
          </cell>
          <cell r="C2714" t="str">
            <v>RADIOCITY</v>
          </cell>
        </row>
        <row r="2715">
          <cell r="A2715" t="str">
            <v>MUTHOOT CAPITAL SERVICES LTD</v>
          </cell>
          <cell r="B2715">
            <v>511766</v>
          </cell>
          <cell r="C2715" t="str">
            <v>MUTHOOTCAP</v>
          </cell>
        </row>
        <row r="2716">
          <cell r="A2716" t="str">
            <v>MUTHOOT FINANCE LTD</v>
          </cell>
          <cell r="B2716">
            <v>533398</v>
          </cell>
          <cell r="C2716" t="str">
            <v>MUTHOOTFIN</v>
          </cell>
        </row>
        <row r="2717">
          <cell r="A2717" t="str">
            <v>MVL LTD</v>
          </cell>
          <cell r="B2717">
            <v>532991</v>
          </cell>
          <cell r="C2717" t="str">
            <v>MVL</v>
          </cell>
        </row>
        <row r="2718">
          <cell r="A2718" t="str">
            <v>MY MONEY SECURITIES LTD</v>
          </cell>
          <cell r="B2718">
            <v>538862</v>
          </cell>
          <cell r="C2718" t="str">
            <v>Not Listed</v>
          </cell>
        </row>
        <row r="2719">
          <cell r="A2719" t="str">
            <v>MYSORE PETRO CHEMICALS LTD</v>
          </cell>
          <cell r="B2719">
            <v>506734</v>
          </cell>
          <cell r="C2719" t="str">
            <v>Not Listed</v>
          </cell>
        </row>
        <row r="2720">
          <cell r="A2720" t="str">
            <v>MYSTIC ELECTRONICS LTD</v>
          </cell>
          <cell r="B2720">
            <v>535205</v>
          </cell>
          <cell r="C2720" t="str">
            <v>Not Listed</v>
          </cell>
        </row>
        <row r="2721">
          <cell r="A2721" t="str">
            <v>N B I INDUSTRIAL FINANCE COMPANY LTD</v>
          </cell>
          <cell r="B2721" t="str">
            <v>Not Listed</v>
          </cell>
          <cell r="C2721" t="str">
            <v>NBIFIN</v>
          </cell>
        </row>
        <row r="2722">
          <cell r="A2722" t="str">
            <v>N D METAL INDUSTRIES LTD</v>
          </cell>
          <cell r="B2722">
            <v>512024</v>
          </cell>
          <cell r="C2722" t="str">
            <v>Not Listed</v>
          </cell>
        </row>
        <row r="2723">
          <cell r="A2723" t="str">
            <v>N G INDUSTRIES LTD</v>
          </cell>
          <cell r="B2723">
            <v>530897</v>
          </cell>
          <cell r="C2723" t="str">
            <v>Not Listed</v>
          </cell>
        </row>
        <row r="2724">
          <cell r="A2724" t="str">
            <v>N R AGARWAL INDUSTRIES LTD</v>
          </cell>
          <cell r="B2724">
            <v>516082</v>
          </cell>
          <cell r="C2724" t="str">
            <v>NRAIL</v>
          </cell>
        </row>
        <row r="2725">
          <cell r="A2725" t="str">
            <v>N R INTERNATIONAL LTD</v>
          </cell>
          <cell r="B2725">
            <v>532623</v>
          </cell>
          <cell r="C2725" t="str">
            <v>Not Listed</v>
          </cell>
        </row>
        <row r="2726">
          <cell r="A2726" t="str">
            <v>N2N TECHNOLOGIES LTD</v>
          </cell>
          <cell r="B2726">
            <v>512279</v>
          </cell>
          <cell r="C2726" t="str">
            <v>Not Listed</v>
          </cell>
        </row>
        <row r="2727">
          <cell r="A2727" t="str">
            <v>NACL INDUSTRIES LTD</v>
          </cell>
          <cell r="B2727">
            <v>524709</v>
          </cell>
          <cell r="C2727" t="str">
            <v>NACLIND</v>
          </cell>
        </row>
        <row r="2728">
          <cell r="A2728" t="str">
            <v>NAGA DHUNSERI GROUP LTD</v>
          </cell>
          <cell r="B2728" t="str">
            <v>Not Listed</v>
          </cell>
          <cell r="C2728" t="str">
            <v>NDGL</v>
          </cell>
        </row>
        <row r="2729">
          <cell r="A2729" t="str">
            <v>NAGARJUNA AGRI TECH LTD</v>
          </cell>
          <cell r="B2729">
            <v>531832</v>
          </cell>
          <cell r="C2729" t="str">
            <v>Not Listed</v>
          </cell>
        </row>
        <row r="2730">
          <cell r="A2730" t="str">
            <v>NAGARJUNA FERTILIZERS AND CHEMICALS LTD</v>
          </cell>
          <cell r="B2730">
            <v>539917</v>
          </cell>
          <cell r="C2730" t="str">
            <v>NAGAFERT</v>
          </cell>
        </row>
        <row r="2731">
          <cell r="A2731" t="str">
            <v>NAGARJUNA OIL REFINERY LTD</v>
          </cell>
          <cell r="B2731">
            <v>534184</v>
          </cell>
          <cell r="C2731" t="str">
            <v>NAGAROIL</v>
          </cell>
        </row>
        <row r="2732">
          <cell r="A2732" t="str">
            <v>NAGPUR POWER &amp; INDUSTRIES LTD</v>
          </cell>
          <cell r="B2732">
            <v>532362</v>
          </cell>
          <cell r="C2732" t="str">
            <v>Not Listed</v>
          </cell>
        </row>
        <row r="2733">
          <cell r="A2733" t="str">
            <v>NAGREEKA CAPITAL &amp; INFRASTRUCTURE LTD</v>
          </cell>
          <cell r="B2733">
            <v>532895</v>
          </cell>
          <cell r="C2733" t="str">
            <v>NAGREEKCAP</v>
          </cell>
        </row>
        <row r="2734">
          <cell r="A2734" t="str">
            <v>NAGREEKA EXPORTS LTD</v>
          </cell>
          <cell r="B2734">
            <v>521109</v>
          </cell>
          <cell r="C2734" t="str">
            <v>NAGREEKEXP</v>
          </cell>
        </row>
        <row r="2735">
          <cell r="A2735" t="str">
            <v>NAHAR CAPITAL AND FINANCIAL SERVICES LTD</v>
          </cell>
          <cell r="B2735">
            <v>532952</v>
          </cell>
          <cell r="C2735" t="str">
            <v>NAHARCAP</v>
          </cell>
        </row>
        <row r="2736">
          <cell r="A2736" t="str">
            <v>NAHAR INDUSTRIAL ENTERPRISES LTD</v>
          </cell>
          <cell r="B2736">
            <v>519136</v>
          </cell>
          <cell r="C2736" t="str">
            <v>NAHARINDUS</v>
          </cell>
        </row>
        <row r="2737">
          <cell r="A2737" t="str">
            <v>NAHAR POLY FILMS LTD</v>
          </cell>
          <cell r="B2737">
            <v>523391</v>
          </cell>
          <cell r="C2737" t="str">
            <v>NAHARPOLY</v>
          </cell>
        </row>
        <row r="2738">
          <cell r="A2738" t="str">
            <v>NAHAR SPINNING MILLS LTD</v>
          </cell>
          <cell r="B2738">
            <v>500296</v>
          </cell>
          <cell r="C2738" t="str">
            <v>NAHARSPING</v>
          </cell>
        </row>
        <row r="2739">
          <cell r="A2739" t="str">
            <v>NAKODA GROUP OF INDUSTRIES LTD</v>
          </cell>
          <cell r="B2739">
            <v>541418</v>
          </cell>
          <cell r="C2739" t="str">
            <v>Not Listed</v>
          </cell>
        </row>
        <row r="2740">
          <cell r="A2740" t="str">
            <v>NALIN LEASE FINANCE LTD</v>
          </cell>
          <cell r="B2740">
            <v>531212</v>
          </cell>
          <cell r="C2740" t="str">
            <v>Not Listed</v>
          </cell>
        </row>
        <row r="2741">
          <cell r="A2741" t="str">
            <v>NALWA SONS INVESTMENTS LTD</v>
          </cell>
          <cell r="B2741">
            <v>532256</v>
          </cell>
          <cell r="C2741" t="str">
            <v>NSIL</v>
          </cell>
        </row>
        <row r="2742">
          <cell r="A2742" t="str">
            <v>NAM SECURITIES LTD</v>
          </cell>
          <cell r="B2742">
            <v>538395</v>
          </cell>
          <cell r="C2742" t="str">
            <v>Not Listed</v>
          </cell>
        </row>
        <row r="2743">
          <cell r="A2743" t="str">
            <v>NANDAN DENIM LTD</v>
          </cell>
          <cell r="B2743">
            <v>532641</v>
          </cell>
          <cell r="C2743" t="str">
            <v>NDL</v>
          </cell>
        </row>
        <row r="2744">
          <cell r="A2744" t="str">
            <v>NANDANI CREATION LTD</v>
          </cell>
          <cell r="B2744" t="str">
            <v>Not Listed</v>
          </cell>
          <cell r="C2744" t="str">
            <v>NANDANI</v>
          </cell>
        </row>
        <row r="2745">
          <cell r="A2745" t="str">
            <v>NARAYANA HRUDAYALAYA LTD</v>
          </cell>
          <cell r="B2745">
            <v>539551</v>
          </cell>
          <cell r="C2745" t="str">
            <v>NH</v>
          </cell>
        </row>
        <row r="2746">
          <cell r="A2746" t="str">
            <v>NARAYANI STEELS LTD</v>
          </cell>
          <cell r="B2746">
            <v>540080</v>
          </cell>
          <cell r="C2746" t="str">
            <v>Not Listed</v>
          </cell>
        </row>
        <row r="2747">
          <cell r="A2747" t="str">
            <v>NARBADA GEMS AND JEWELLERY LTD</v>
          </cell>
          <cell r="B2747">
            <v>519455</v>
          </cell>
          <cell r="C2747" t="str">
            <v>Not Listed</v>
          </cell>
        </row>
        <row r="2748">
          <cell r="A2748" t="str">
            <v>Narendra Investments (Delhi) Ltd</v>
          </cell>
          <cell r="B2748">
            <v>540204</v>
          </cell>
          <cell r="C2748" t="str">
            <v>NIDL</v>
          </cell>
        </row>
        <row r="2749">
          <cell r="A2749" t="str">
            <v>NARENDRA PROPERTIES LTD</v>
          </cell>
          <cell r="B2749">
            <v>531416</v>
          </cell>
          <cell r="C2749" t="str">
            <v>Not Listed</v>
          </cell>
        </row>
        <row r="2750">
          <cell r="A2750" t="str">
            <v>NARMADA AGROBASE LTD</v>
          </cell>
          <cell r="B2750" t="str">
            <v>Not Listed</v>
          </cell>
          <cell r="C2750" t="str">
            <v>NARMADA</v>
          </cell>
        </row>
        <row r="2751">
          <cell r="A2751" t="str">
            <v>NARMADA GELATINES LTD</v>
          </cell>
          <cell r="B2751">
            <v>526739</v>
          </cell>
          <cell r="C2751" t="str">
            <v>Not Listed</v>
          </cell>
        </row>
        <row r="2752">
          <cell r="A2752" t="str">
            <v>NARMADA MACPLAST DRIP IRRIGATION SYSTEMS LTD.</v>
          </cell>
          <cell r="B2752">
            <v>517431</v>
          </cell>
          <cell r="C2752" t="str">
            <v>NARMP</v>
          </cell>
        </row>
        <row r="2753">
          <cell r="A2753" t="str">
            <v>NATCO ECONOMICALS LTD</v>
          </cell>
          <cell r="B2753">
            <v>539595</v>
          </cell>
          <cell r="C2753" t="str">
            <v>Not Listed</v>
          </cell>
        </row>
        <row r="2754">
          <cell r="A2754" t="str">
            <v>NATCO PHARMA LTD</v>
          </cell>
          <cell r="B2754">
            <v>524816</v>
          </cell>
          <cell r="C2754" t="str">
            <v>NATCOPHARM</v>
          </cell>
        </row>
        <row r="2755">
          <cell r="A2755" t="str">
            <v>NATH BIO-GENES (INDIA) LTD</v>
          </cell>
          <cell r="B2755">
            <v>537291</v>
          </cell>
          <cell r="C2755" t="str">
            <v>NATHBIOGEN</v>
          </cell>
        </row>
        <row r="2756">
          <cell r="A2756" t="str">
            <v>NATH BIO-GENES INDIA LTD</v>
          </cell>
          <cell r="B2756">
            <v>537291</v>
          </cell>
          <cell r="C2756" t="str">
            <v>NATHBIOGEN</v>
          </cell>
        </row>
        <row r="2757">
          <cell r="A2757" t="str">
            <v>NATH PULP &amp; PAPER MILLS LTD</v>
          </cell>
          <cell r="B2757">
            <v>502407</v>
          </cell>
          <cell r="C2757" t="str">
            <v>Not Listed</v>
          </cell>
        </row>
        <row r="2758">
          <cell r="A2758" t="str">
            <v>NATIONAL ALUMINIUM COMPANY LTD</v>
          </cell>
          <cell r="B2758">
            <v>532234</v>
          </cell>
          <cell r="C2758" t="str">
            <v>NATIONALUM</v>
          </cell>
        </row>
        <row r="2759">
          <cell r="A2759" t="str">
            <v>NATIONAL FERTILIZERS LTD</v>
          </cell>
          <cell r="B2759">
            <v>523630</v>
          </cell>
          <cell r="C2759" t="str">
            <v>NFL</v>
          </cell>
        </row>
        <row r="2760">
          <cell r="A2760" t="str">
            <v>NATIONAL FITTINGS LTD</v>
          </cell>
          <cell r="B2760">
            <v>531289</v>
          </cell>
          <cell r="C2760" t="str">
            <v>Not Listed</v>
          </cell>
        </row>
        <row r="2761">
          <cell r="A2761" t="str">
            <v>NATIONAL GENERAL INDUSTRIES LTD</v>
          </cell>
          <cell r="B2761">
            <v>531651</v>
          </cell>
          <cell r="C2761" t="str">
            <v>Not Listed</v>
          </cell>
        </row>
        <row r="2762">
          <cell r="A2762" t="str">
            <v>NATIONAL OXYGEN LTD</v>
          </cell>
          <cell r="B2762">
            <v>507813</v>
          </cell>
          <cell r="C2762" t="str">
            <v>Not Listed</v>
          </cell>
        </row>
        <row r="2763">
          <cell r="A2763" t="str">
            <v>NATIONAL PEROXIDE LTD</v>
          </cell>
          <cell r="B2763">
            <v>500298</v>
          </cell>
          <cell r="C2763" t="str">
            <v>Not Listed</v>
          </cell>
        </row>
        <row r="2764">
          <cell r="A2764" t="str">
            <v>NATIONAL PLASTIC INDUSTRIES LTD</v>
          </cell>
          <cell r="B2764">
            <v>526616</v>
          </cell>
          <cell r="C2764" t="str">
            <v>Not Listed</v>
          </cell>
        </row>
        <row r="2765">
          <cell r="A2765" t="str">
            <v>NATIONAL PLASTIC TECHNOLOGIES LTD</v>
          </cell>
          <cell r="B2765">
            <v>531287</v>
          </cell>
          <cell r="C2765" t="str">
            <v>Not Listed</v>
          </cell>
        </row>
        <row r="2766">
          <cell r="A2766" t="str">
            <v>NATIONAL PLYWOOD INDUSTRIES LTD</v>
          </cell>
          <cell r="B2766">
            <v>516062</v>
          </cell>
          <cell r="C2766" t="str">
            <v>Not Listed</v>
          </cell>
        </row>
        <row r="2767">
          <cell r="A2767" t="str">
            <v>NATIONAL STANDARD (INDIA) LTD</v>
          </cell>
          <cell r="B2767">
            <v>504882</v>
          </cell>
          <cell r="C2767" t="str">
            <v>Not Listed</v>
          </cell>
        </row>
        <row r="2768">
          <cell r="A2768" t="str">
            <v>NATIONAL STANDARD INDIA LTD</v>
          </cell>
          <cell r="B2768">
            <v>504882</v>
          </cell>
          <cell r="C2768" t="str">
            <v>Not Listed</v>
          </cell>
        </row>
        <row r="2769">
          <cell r="A2769" t="str">
            <v>NATIONAL STEEL AND AGRO INDUSTRIES LTD</v>
          </cell>
          <cell r="B2769">
            <v>513179</v>
          </cell>
          <cell r="C2769" t="str">
            <v>NATNLSTEEL</v>
          </cell>
        </row>
        <row r="2770">
          <cell r="A2770" t="str">
            <v>NATRAJ PROTEINS LTD</v>
          </cell>
          <cell r="B2770">
            <v>530119</v>
          </cell>
          <cell r="C2770" t="str">
            <v>Not Listed</v>
          </cell>
        </row>
        <row r="2771">
          <cell r="A2771" t="str">
            <v>NATURA HUE CHEM LTD</v>
          </cell>
          <cell r="B2771">
            <v>531834</v>
          </cell>
          <cell r="C2771" t="str">
            <v>Not Listed</v>
          </cell>
        </row>
        <row r="2772">
          <cell r="A2772" t="str">
            <v>NATURAL CAPSULES LTD</v>
          </cell>
          <cell r="B2772">
            <v>524654</v>
          </cell>
          <cell r="C2772" t="str">
            <v>Not Listed</v>
          </cell>
        </row>
        <row r="2773">
          <cell r="A2773" t="str">
            <v>NATURITE AGRO PRODUCTS LTD</v>
          </cell>
          <cell r="B2773">
            <v>538926</v>
          </cell>
          <cell r="C2773" t="str">
            <v>Not Listed</v>
          </cell>
        </row>
        <row r="2774">
          <cell r="A2774" t="str">
            <v>NAVA BHARAT VENTURES LTD</v>
          </cell>
          <cell r="B2774">
            <v>513023</v>
          </cell>
          <cell r="C2774" t="str">
            <v>NBVENTURES</v>
          </cell>
        </row>
        <row r="2775">
          <cell r="A2775" t="str">
            <v>NAVIGANT CORPORATE ADVISORS LTD</v>
          </cell>
          <cell r="B2775">
            <v>539521</v>
          </cell>
          <cell r="C2775" t="str">
            <v>Not Listed</v>
          </cell>
        </row>
        <row r="2776">
          <cell r="A2776" t="str">
            <v>NAVIN FLUORINE INTERNATIONAL LTD</v>
          </cell>
          <cell r="B2776">
            <v>532504</v>
          </cell>
          <cell r="C2776" t="str">
            <v>NAVINFLUOR</v>
          </cell>
        </row>
        <row r="2777">
          <cell r="A2777" t="str">
            <v>NAVKAR BUILDERS LTD</v>
          </cell>
          <cell r="B2777">
            <v>531494</v>
          </cell>
          <cell r="C2777" t="str">
            <v>Not Listed</v>
          </cell>
        </row>
        <row r="2778">
          <cell r="A2778" t="str">
            <v>NAVKAR CORPORATION LTD</v>
          </cell>
          <cell r="B2778">
            <v>539332</v>
          </cell>
          <cell r="C2778" t="str">
            <v>NAVKARCORP</v>
          </cell>
        </row>
        <row r="2779">
          <cell r="A2779" t="str">
            <v>NAVKETAN MERCHANTS LTD</v>
          </cell>
          <cell r="B2779">
            <v>539525</v>
          </cell>
          <cell r="C2779" t="str">
            <v>Not Listed</v>
          </cell>
        </row>
        <row r="2780">
          <cell r="A2780" t="str">
            <v>NAVNEET EDUCATION LTD</v>
          </cell>
          <cell r="B2780">
            <v>508989</v>
          </cell>
          <cell r="C2780" t="str">
            <v>NAVNETEDUL</v>
          </cell>
        </row>
        <row r="2781">
          <cell r="A2781" t="str">
            <v>NAYSAA SECURITIES LTD</v>
          </cell>
          <cell r="B2781">
            <v>538668</v>
          </cell>
          <cell r="C2781" t="str">
            <v>Not Listed</v>
          </cell>
        </row>
        <row r="2782">
          <cell r="A2782" t="str">
            <v>NB FOOTWEAR LTD</v>
          </cell>
          <cell r="B2782">
            <v>523242</v>
          </cell>
          <cell r="C2782" t="str">
            <v>Not Listed</v>
          </cell>
        </row>
        <row r="2783">
          <cell r="A2783" t="str">
            <v>NBCC (INDIA) LTD</v>
          </cell>
          <cell r="B2783">
            <v>534309</v>
          </cell>
          <cell r="C2783" t="str">
            <v>NBCC</v>
          </cell>
        </row>
        <row r="2784">
          <cell r="A2784" t="str">
            <v>NBCC INDIA LTD</v>
          </cell>
          <cell r="B2784">
            <v>534309</v>
          </cell>
          <cell r="C2784" t="str">
            <v>NBCC</v>
          </cell>
        </row>
        <row r="2785">
          <cell r="A2785" t="str">
            <v>NCC BLUE WATER PRODUCTS LTD</v>
          </cell>
          <cell r="B2785">
            <v>519506</v>
          </cell>
          <cell r="C2785" t="str">
            <v>Not Listed</v>
          </cell>
        </row>
        <row r="2786">
          <cell r="A2786" t="str">
            <v>NCC FINANCE LTD</v>
          </cell>
          <cell r="B2786">
            <v>531452</v>
          </cell>
          <cell r="C2786" t="str">
            <v>Not Listed</v>
          </cell>
        </row>
        <row r="2787">
          <cell r="A2787" t="str">
            <v>NCC LTD</v>
          </cell>
          <cell r="B2787">
            <v>500294</v>
          </cell>
          <cell r="C2787" t="str">
            <v>NCC</v>
          </cell>
        </row>
        <row r="2788">
          <cell r="A2788" t="str">
            <v>NCL INDUSTRIES LTD</v>
          </cell>
          <cell r="B2788">
            <v>502168</v>
          </cell>
          <cell r="C2788" t="str">
            <v>NCLIND</v>
          </cell>
        </row>
        <row r="2789">
          <cell r="A2789" t="str">
            <v>NCL RESEARCH &amp; FINANCIAL SERVICES LTD</v>
          </cell>
          <cell r="B2789">
            <v>530557</v>
          </cell>
          <cell r="C2789" t="str">
            <v>Not Listed</v>
          </cell>
        </row>
        <row r="2790">
          <cell r="A2790" t="str">
            <v>NDA SECURITIES LTD</v>
          </cell>
          <cell r="B2790">
            <v>511535</v>
          </cell>
          <cell r="C2790" t="str">
            <v>Not Listed</v>
          </cell>
        </row>
        <row r="2791">
          <cell r="A2791" t="str">
            <v>NECTAR LIFESCIENCES LTD</v>
          </cell>
          <cell r="B2791">
            <v>532649</v>
          </cell>
          <cell r="C2791" t="str">
            <v>NECLIFE</v>
          </cell>
        </row>
        <row r="2792">
          <cell r="A2792" t="str">
            <v>NEELAMALAI AGRO INDUSTRIES LTD</v>
          </cell>
          <cell r="B2792">
            <v>508670</v>
          </cell>
          <cell r="C2792" t="str">
            <v>Not Listed</v>
          </cell>
        </row>
        <row r="2793">
          <cell r="A2793" t="str">
            <v>NEELKANTH ROCKMINERALS LTD</v>
          </cell>
          <cell r="B2793">
            <v>531049</v>
          </cell>
          <cell r="C2793" t="str">
            <v>Not Listed</v>
          </cell>
        </row>
        <row r="2794">
          <cell r="A2794" t="str">
            <v>NEERAJ PAPER MARKETING LTD</v>
          </cell>
          <cell r="B2794">
            <v>539409</v>
          </cell>
          <cell r="C2794" t="str">
            <v>Not Listed</v>
          </cell>
        </row>
        <row r="2795">
          <cell r="A2795" t="str">
            <v>NEGOTIUM INTERNATIONAL TRADE LTD</v>
          </cell>
          <cell r="B2795">
            <v>537838</v>
          </cell>
          <cell r="C2795" t="str">
            <v>Not Listed</v>
          </cell>
        </row>
        <row r="2796">
          <cell r="A2796" t="str">
            <v>NEHA INTERNATIONAL LTD</v>
          </cell>
          <cell r="B2796">
            <v>519560</v>
          </cell>
          <cell r="C2796" t="str">
            <v>Not Listed</v>
          </cell>
        </row>
        <row r="2797">
          <cell r="A2797" t="str">
            <v>NEIL INDUSTRIES LTD</v>
          </cell>
          <cell r="B2797">
            <v>539016</v>
          </cell>
          <cell r="C2797" t="str">
            <v>Not Listed</v>
          </cell>
        </row>
        <row r="2798">
          <cell r="A2798" t="str">
            <v>NELCAST LTD</v>
          </cell>
          <cell r="B2798">
            <v>532864</v>
          </cell>
          <cell r="C2798" t="str">
            <v>NELCAST</v>
          </cell>
        </row>
        <row r="2799">
          <cell r="A2799" t="str">
            <v>NELCO LTD</v>
          </cell>
          <cell r="B2799">
            <v>504112</v>
          </cell>
          <cell r="C2799" t="str">
            <v>NELCO</v>
          </cell>
        </row>
        <row r="2800">
          <cell r="A2800" t="str">
            <v>NEO INFRACON LTD</v>
          </cell>
          <cell r="B2800">
            <v>514332</v>
          </cell>
          <cell r="C2800" t="str">
            <v>Not Listed</v>
          </cell>
        </row>
        <row r="2801">
          <cell r="A2801" t="str">
            <v>NEOGEM (INDIA) LTD</v>
          </cell>
          <cell r="B2801">
            <v>526195</v>
          </cell>
          <cell r="C2801" t="str">
            <v>Not Listed</v>
          </cell>
        </row>
        <row r="2802">
          <cell r="A2802" t="str">
            <v>NEOGEM INDIA LTD</v>
          </cell>
          <cell r="B2802">
            <v>526195</v>
          </cell>
          <cell r="C2802" t="str">
            <v>Not Listed</v>
          </cell>
        </row>
        <row r="2803">
          <cell r="A2803" t="str">
            <v>Neogen Chemicals Ltd</v>
          </cell>
          <cell r="B2803">
            <v>542665</v>
          </cell>
          <cell r="C2803" t="str">
            <v>NEOGEN</v>
          </cell>
        </row>
        <row r="2804">
          <cell r="A2804" t="str">
            <v>NEPTUNE EXPORTS LTD</v>
          </cell>
          <cell r="B2804">
            <v>512522</v>
          </cell>
          <cell r="C2804" t="str">
            <v>Not Listed</v>
          </cell>
        </row>
        <row r="2805">
          <cell r="A2805" t="str">
            <v>NESCO LTD</v>
          </cell>
          <cell r="B2805">
            <v>505355</v>
          </cell>
          <cell r="C2805" t="str">
            <v>NESCO</v>
          </cell>
        </row>
        <row r="2806">
          <cell r="A2806" t="str">
            <v>NESTLE (INDIA) LTD</v>
          </cell>
          <cell r="B2806">
            <v>500790</v>
          </cell>
          <cell r="C2806" t="str">
            <v>NESTLEIND</v>
          </cell>
        </row>
        <row r="2807">
          <cell r="A2807" t="str">
            <v>NESTLE INDIA LTD</v>
          </cell>
          <cell r="B2807">
            <v>500790</v>
          </cell>
          <cell r="C2807" t="str">
            <v>NESTLEIND</v>
          </cell>
        </row>
        <row r="2808">
          <cell r="A2808" t="str">
            <v>NETLINK SOLUTIONS (INDIA) LTD</v>
          </cell>
          <cell r="B2808">
            <v>509040</v>
          </cell>
          <cell r="C2808" t="str">
            <v>Not Listed</v>
          </cell>
        </row>
        <row r="2809">
          <cell r="A2809" t="str">
            <v>NETLINK SOLUTIONS INDIA LTD</v>
          </cell>
          <cell r="B2809">
            <v>509040</v>
          </cell>
          <cell r="C2809" t="str">
            <v>Not Listed</v>
          </cell>
        </row>
        <row r="2810">
          <cell r="A2810" t="str">
            <v>NETRIPPLES SOFTWARE LTD</v>
          </cell>
          <cell r="B2810">
            <v>542117</v>
          </cell>
          <cell r="C2810" t="str">
            <v>Not Listed</v>
          </cell>
        </row>
        <row r="2811">
          <cell r="A2811" t="str">
            <v>NETTLINX LTD</v>
          </cell>
          <cell r="B2811">
            <v>511658</v>
          </cell>
          <cell r="C2811" t="str">
            <v>Not Listed</v>
          </cell>
        </row>
        <row r="2812">
          <cell r="A2812" t="str">
            <v>NETWORK LTD</v>
          </cell>
          <cell r="B2812">
            <v>523558</v>
          </cell>
          <cell r="C2812" t="str">
            <v>Not Listed</v>
          </cell>
        </row>
        <row r="2813">
          <cell r="A2813" t="str">
            <v>NETWORK18 MEDIA &amp; INVESTMENTS LTD</v>
          </cell>
          <cell r="B2813">
            <v>532798</v>
          </cell>
          <cell r="C2813" t="str">
            <v>NETWORK18</v>
          </cell>
        </row>
        <row r="2814">
          <cell r="A2814" t="str">
            <v>NEUEON TOWERS LTD</v>
          </cell>
          <cell r="B2814">
            <v>532887</v>
          </cell>
          <cell r="C2814" t="str">
            <v>NTL</v>
          </cell>
        </row>
        <row r="2815">
          <cell r="A2815" t="str">
            <v>NEULAND LABORATORIES LTD</v>
          </cell>
          <cell r="B2815">
            <v>524558</v>
          </cell>
          <cell r="C2815" t="str">
            <v>NEULANDLAB</v>
          </cell>
        </row>
        <row r="2816">
          <cell r="A2816" t="str">
            <v>NEW DELHI TELEVISION LTD</v>
          </cell>
          <cell r="B2816">
            <v>532529</v>
          </cell>
          <cell r="C2816" t="str">
            <v>NDTV</v>
          </cell>
        </row>
        <row r="2817">
          <cell r="A2817" t="str">
            <v>NEW LIGHT APPARELS LTD</v>
          </cell>
          <cell r="B2817">
            <v>540243</v>
          </cell>
          <cell r="C2817" t="str">
            <v>Not Listed</v>
          </cell>
        </row>
        <row r="2818">
          <cell r="A2818" t="str">
            <v>NEW MARKETS ADVISORY LTD</v>
          </cell>
          <cell r="B2818">
            <v>508867</v>
          </cell>
          <cell r="C2818" t="str">
            <v>Not Listed</v>
          </cell>
        </row>
        <row r="2819">
          <cell r="A2819" t="str">
            <v>NEW SAGAR TRADING CO LTD</v>
          </cell>
          <cell r="B2819">
            <v>501479</v>
          </cell>
          <cell r="C2819" t="str">
            <v>Not Listed</v>
          </cell>
        </row>
        <row r="2820">
          <cell r="A2820" t="str">
            <v>NEWEVER TRADE WINGS LTD</v>
          </cell>
          <cell r="B2820">
            <v>536644</v>
          </cell>
          <cell r="C2820" t="str">
            <v>Not Listed</v>
          </cell>
        </row>
        <row r="2821">
          <cell r="A2821" t="str">
            <v>NEWGEN SOFTWARE TECHNOLOGIES LTD</v>
          </cell>
          <cell r="B2821">
            <v>540900</v>
          </cell>
          <cell r="C2821" t="str">
            <v>NEWGEN</v>
          </cell>
        </row>
        <row r="2822">
          <cell r="A2822" t="str">
            <v>NEXT MEDIAWORKS LTD</v>
          </cell>
          <cell r="B2822">
            <v>532416</v>
          </cell>
          <cell r="C2822" t="str">
            <v>NEXTMEDIA</v>
          </cell>
        </row>
        <row r="2823">
          <cell r="A2823" t="str">
            <v>NEXUS COMMODITIES AND TECHNOLOGIES LTD</v>
          </cell>
          <cell r="B2823">
            <v>538874</v>
          </cell>
          <cell r="C2823" t="str">
            <v>Not Listed</v>
          </cell>
        </row>
        <row r="2824">
          <cell r="A2824" t="str">
            <v>NGL FINE-CHEM LTD</v>
          </cell>
          <cell r="B2824">
            <v>524774</v>
          </cell>
          <cell r="C2824" t="str">
            <v>Not Listed</v>
          </cell>
        </row>
        <row r="2825">
          <cell r="A2825" t="str">
            <v>NHC FOODS LTD</v>
          </cell>
          <cell r="B2825">
            <v>517554</v>
          </cell>
          <cell r="C2825" t="str">
            <v>Not Listed</v>
          </cell>
        </row>
        <row r="2826">
          <cell r="A2826" t="str">
            <v>NHPC LTD</v>
          </cell>
          <cell r="B2826">
            <v>533098</v>
          </cell>
          <cell r="C2826" t="str">
            <v>NHPC</v>
          </cell>
        </row>
        <row r="2827">
          <cell r="A2827" t="str">
            <v>NICCO PARKS &amp; RESORTS LTD</v>
          </cell>
          <cell r="B2827">
            <v>526721</v>
          </cell>
          <cell r="C2827" t="str">
            <v>Not Listed</v>
          </cell>
        </row>
        <row r="2828">
          <cell r="A2828" t="str">
            <v>NICCO UCO ALLIANCE CREDIT LTD</v>
          </cell>
          <cell r="B2828">
            <v>523209</v>
          </cell>
          <cell r="C2828" t="str">
            <v>Not Listed</v>
          </cell>
        </row>
        <row r="2829">
          <cell r="A2829" t="str">
            <v>NIDHI GRANITES LTD</v>
          </cell>
          <cell r="B2829">
            <v>512103</v>
          </cell>
          <cell r="C2829" t="str">
            <v>Not Listed</v>
          </cell>
        </row>
        <row r="2830">
          <cell r="A2830" t="str">
            <v>NIHAR INFO GLOBAL LTD</v>
          </cell>
          <cell r="B2830">
            <v>531083</v>
          </cell>
          <cell r="C2830" t="str">
            <v>Not Listed</v>
          </cell>
        </row>
        <row r="2831">
          <cell r="A2831" t="str">
            <v>NIIT LTD</v>
          </cell>
          <cell r="B2831">
            <v>500304</v>
          </cell>
          <cell r="C2831" t="str">
            <v>NIITLTD</v>
          </cell>
        </row>
        <row r="2832">
          <cell r="A2832" t="str">
            <v>NIIT TECHNOLOGIES LTD</v>
          </cell>
          <cell r="B2832">
            <v>532541</v>
          </cell>
          <cell r="C2832" t="str">
            <v>NIITTECH</v>
          </cell>
        </row>
        <row r="2833">
          <cell r="A2833" t="str">
            <v>NIKHIL ADHESIVES LTD</v>
          </cell>
          <cell r="B2833">
            <v>526159</v>
          </cell>
          <cell r="C2833" t="str">
            <v>Not Listed</v>
          </cell>
        </row>
        <row r="2834">
          <cell r="A2834" t="str">
            <v>NIKKI GLOBAL FINANCE LTD</v>
          </cell>
          <cell r="B2834">
            <v>531272</v>
          </cell>
          <cell r="C2834" t="str">
            <v>Not Listed</v>
          </cell>
        </row>
        <row r="2835">
          <cell r="A2835" t="str">
            <v>NILA INFRASTRUCTURES LTD</v>
          </cell>
          <cell r="B2835">
            <v>530377</v>
          </cell>
          <cell r="C2835" t="str">
            <v>NILAINFRA</v>
          </cell>
        </row>
        <row r="2836">
          <cell r="A2836" t="str">
            <v>Nila Spaces Ltd</v>
          </cell>
          <cell r="B2836">
            <v>542231</v>
          </cell>
          <cell r="C2836" t="str">
            <v>NILASPACES</v>
          </cell>
        </row>
        <row r="2837">
          <cell r="A2837" t="str">
            <v>NILACHAL REFRACTORIES LTD</v>
          </cell>
          <cell r="B2837">
            <v>502294</v>
          </cell>
          <cell r="C2837" t="str">
            <v>Not Listed</v>
          </cell>
        </row>
        <row r="2838">
          <cell r="A2838" t="str">
            <v>NILE LTD</v>
          </cell>
          <cell r="B2838">
            <v>530129</v>
          </cell>
          <cell r="C2838" t="str">
            <v>Not Listed</v>
          </cell>
        </row>
        <row r="2839">
          <cell r="A2839" t="str">
            <v>NILKAMAL LTD</v>
          </cell>
          <cell r="B2839">
            <v>523385</v>
          </cell>
          <cell r="C2839" t="str">
            <v>NILKAMAL</v>
          </cell>
        </row>
        <row r="2840">
          <cell r="A2840" t="str">
            <v>NILKANTH ENGINEERING LTD</v>
          </cell>
          <cell r="B2840">
            <v>512004</v>
          </cell>
          <cell r="C2840" t="str">
            <v>Not Listed</v>
          </cell>
        </row>
        <row r="2841">
          <cell r="A2841" t="str">
            <v>NIMBUS FOODS INDUSTRIES LTD</v>
          </cell>
          <cell r="B2841">
            <v>531598</v>
          </cell>
          <cell r="C2841" t="str">
            <v>Not Listed</v>
          </cell>
        </row>
        <row r="2842">
          <cell r="A2842" t="str">
            <v>NIMBUS INDUSTRIES LTD</v>
          </cell>
          <cell r="B2842">
            <v>530971</v>
          </cell>
          <cell r="C2842" t="str">
            <v>Not Listed</v>
          </cell>
        </row>
        <row r="2843">
          <cell r="A2843" t="str">
            <v>NIMBUS PROJECTS LTD</v>
          </cell>
          <cell r="B2843">
            <v>511714</v>
          </cell>
          <cell r="C2843" t="str">
            <v>Not Listed</v>
          </cell>
        </row>
        <row r="2844">
          <cell r="A2844" t="str">
            <v>NINTEC SYSTEMS LTD</v>
          </cell>
          <cell r="B2844">
            <v>539843</v>
          </cell>
          <cell r="C2844" t="str">
            <v>Not Listed</v>
          </cell>
        </row>
        <row r="2845">
          <cell r="A2845" t="str">
            <v>NIRAJ CEMENT STRUCTURALS LTD</v>
          </cell>
          <cell r="B2845">
            <v>532986</v>
          </cell>
          <cell r="C2845" t="str">
            <v>Not Listed</v>
          </cell>
        </row>
        <row r="2846">
          <cell r="A2846" t="str">
            <v>NIRAJ ISPAT INDUSTRIES LTD</v>
          </cell>
          <cell r="B2846" t="str">
            <v>Not Listed</v>
          </cell>
          <cell r="C2846" t="str">
            <v>NIRAJISPAT</v>
          </cell>
        </row>
        <row r="2847">
          <cell r="A2847" t="str">
            <v>NIRAV COMMERCIALS LTD</v>
          </cell>
          <cell r="B2847">
            <v>512425</v>
          </cell>
          <cell r="C2847" t="str">
            <v>Not Listed</v>
          </cell>
        </row>
        <row r="2848">
          <cell r="A2848" t="str">
            <v>NIRLON LTD</v>
          </cell>
          <cell r="B2848">
            <v>500307</v>
          </cell>
          <cell r="C2848" t="str">
            <v>Not Listed</v>
          </cell>
        </row>
        <row r="2849">
          <cell r="A2849" t="str">
            <v>NISHTHA FINANCE AND INVESTMENT (INDIA) LTD</v>
          </cell>
          <cell r="B2849">
            <v>539311</v>
          </cell>
          <cell r="C2849" t="str">
            <v>Not Listed</v>
          </cell>
        </row>
        <row r="2850">
          <cell r="A2850" t="str">
            <v>NISHTHA FINANCE AND INVESTMENT INDIA LTD</v>
          </cell>
          <cell r="B2850">
            <v>539311</v>
          </cell>
          <cell r="C2850" t="str">
            <v>Not Listed</v>
          </cell>
        </row>
        <row r="2851">
          <cell r="A2851" t="str">
            <v>NITCO LTD</v>
          </cell>
          <cell r="B2851">
            <v>532722</v>
          </cell>
          <cell r="C2851" t="str">
            <v>NITCO</v>
          </cell>
        </row>
        <row r="2852">
          <cell r="A2852" t="str">
            <v>NITESH ESTATES LTD</v>
          </cell>
          <cell r="B2852">
            <v>533202</v>
          </cell>
          <cell r="C2852" t="str">
            <v>NITESHEST</v>
          </cell>
        </row>
        <row r="2853">
          <cell r="A2853" t="str">
            <v>NITIN CASTINGS LTD</v>
          </cell>
          <cell r="B2853">
            <v>508875</v>
          </cell>
          <cell r="C2853" t="str">
            <v>Not Listed</v>
          </cell>
        </row>
        <row r="2854">
          <cell r="A2854" t="str">
            <v>NITIN FIRE PROTECTION INDUSTRIES LTD</v>
          </cell>
          <cell r="B2854">
            <v>532854</v>
          </cell>
          <cell r="C2854" t="str">
            <v>NITINFIRE</v>
          </cell>
        </row>
        <row r="2855">
          <cell r="A2855" t="str">
            <v>NITIN SPINNERS LTD</v>
          </cell>
          <cell r="B2855">
            <v>532698</v>
          </cell>
          <cell r="C2855" t="str">
            <v>NITINSPIN</v>
          </cell>
        </row>
        <row r="2856">
          <cell r="A2856" t="str">
            <v>NITIRAJ ENGINEERS LTD</v>
          </cell>
          <cell r="B2856" t="str">
            <v>Not Listed</v>
          </cell>
          <cell r="C2856" t="str">
            <v>NITIRAJ</v>
          </cell>
        </row>
        <row r="2857">
          <cell r="A2857" t="str">
            <v>NITTA GELATIN (INDIA) LTD</v>
          </cell>
          <cell r="B2857">
            <v>506532</v>
          </cell>
          <cell r="C2857" t="str">
            <v>Not Listed</v>
          </cell>
        </row>
        <row r="2858">
          <cell r="A2858" t="str">
            <v>NITTA GELATIN INDIA LTD</v>
          </cell>
          <cell r="B2858">
            <v>506532</v>
          </cell>
          <cell r="C2858" t="str">
            <v>Not Listed</v>
          </cell>
        </row>
        <row r="2859">
          <cell r="A2859" t="str">
            <v>NIVEDITA MERCANTILE &amp; FINANCING LTD</v>
          </cell>
          <cell r="B2859">
            <v>512381</v>
          </cell>
          <cell r="C2859" t="str">
            <v>Not Listed</v>
          </cell>
        </row>
        <row r="2860">
          <cell r="A2860" t="str">
            <v>NIVI TRADING LTD</v>
          </cell>
          <cell r="B2860">
            <v>512245</v>
          </cell>
          <cell r="C2860" t="str">
            <v>Not Listed</v>
          </cell>
        </row>
        <row r="2861">
          <cell r="A2861" t="str">
            <v>NIYOGIN FINTECH LTD</v>
          </cell>
          <cell r="B2861">
            <v>538772</v>
          </cell>
          <cell r="C2861" t="str">
            <v>Not Listed</v>
          </cell>
        </row>
        <row r="2862">
          <cell r="A2862" t="str">
            <v>NK INDUSTRIES LTD</v>
          </cell>
          <cell r="B2862">
            <v>519494</v>
          </cell>
          <cell r="C2862" t="str">
            <v>NKIND</v>
          </cell>
        </row>
        <row r="2863">
          <cell r="A2863" t="str">
            <v>NLC (INDIA) LTD</v>
          </cell>
          <cell r="B2863">
            <v>513683</v>
          </cell>
          <cell r="C2863" t="str">
            <v>NLC(INDIA)</v>
          </cell>
        </row>
        <row r="2864">
          <cell r="A2864" t="str">
            <v>NLC INDIA LTD</v>
          </cell>
          <cell r="B2864">
            <v>513683</v>
          </cell>
          <cell r="C2864" t="str">
            <v>NLCINDIA</v>
          </cell>
        </row>
        <row r="2865">
          <cell r="A2865" t="str">
            <v>NMDC LTD</v>
          </cell>
          <cell r="B2865">
            <v>526371</v>
          </cell>
          <cell r="C2865" t="str">
            <v>NMDC</v>
          </cell>
        </row>
        <row r="2866">
          <cell r="A2866" t="str">
            <v>NOCIL LTD</v>
          </cell>
          <cell r="B2866">
            <v>500730</v>
          </cell>
          <cell r="C2866" t="str">
            <v>NOCIL</v>
          </cell>
        </row>
        <row r="2867">
          <cell r="A2867" t="str">
            <v>NOIDA TOLL BRIDGE COMPANY LTD</v>
          </cell>
          <cell r="B2867">
            <v>532481</v>
          </cell>
          <cell r="C2867" t="str">
            <v>NOIDATOLL</v>
          </cell>
        </row>
        <row r="2868">
          <cell r="A2868" t="str">
            <v>NORBEN TEA &amp; EXPORTS LTD</v>
          </cell>
          <cell r="B2868" t="str">
            <v>Not Listed</v>
          </cell>
          <cell r="C2868" t="str">
            <v>NORBTEAEXP</v>
          </cell>
        </row>
        <row r="2869">
          <cell r="A2869" t="str">
            <v>NORRIS MEDICINES LTD</v>
          </cell>
          <cell r="B2869">
            <v>524414</v>
          </cell>
          <cell r="C2869" t="str">
            <v>Not Listed</v>
          </cell>
        </row>
        <row r="2870">
          <cell r="A2870" t="str">
            <v>NORTH EASTERN CARRYING CORPORATION LTD</v>
          </cell>
          <cell r="B2870">
            <v>534615</v>
          </cell>
          <cell r="C2870" t="str">
            <v>NECCLTD</v>
          </cell>
        </row>
        <row r="2871">
          <cell r="A2871" t="str">
            <v>Northern Spirits Ltd</v>
          </cell>
          <cell r="B2871">
            <v>542628</v>
          </cell>
          <cell r="C2871" t="str">
            <v>NSL</v>
          </cell>
        </row>
        <row r="2872">
          <cell r="A2872" t="str">
            <v>NORTHLINK FISCAL AND CAPITAL SERVICES LTD</v>
          </cell>
          <cell r="B2872">
            <v>539110</v>
          </cell>
          <cell r="C2872" t="str">
            <v>Not Listed</v>
          </cell>
        </row>
        <row r="2873">
          <cell r="A2873" t="str">
            <v>NOURITRANS EXIM LTD</v>
          </cell>
          <cell r="B2873">
            <v>540698</v>
          </cell>
          <cell r="C2873" t="str">
            <v>Not Listed</v>
          </cell>
        </row>
        <row r="2874">
          <cell r="A2874" t="str">
            <v>NOUVEAU GLOBAL VENTURES LTD</v>
          </cell>
          <cell r="B2874">
            <v>531465</v>
          </cell>
          <cell r="C2874" t="str">
            <v>Not Listed</v>
          </cell>
        </row>
        <row r="2875">
          <cell r="A2875" t="str">
            <v>NOVA IRON &amp; STEEL LTD</v>
          </cell>
          <cell r="B2875">
            <v>513566</v>
          </cell>
          <cell r="C2875" t="str">
            <v>Not Listed</v>
          </cell>
        </row>
        <row r="2876">
          <cell r="A2876" t="str">
            <v>NOVA PUBLICATIONS (INDIA) LTD</v>
          </cell>
          <cell r="B2876">
            <v>530733</v>
          </cell>
          <cell r="C2876" t="str">
            <v>Not Listed</v>
          </cell>
        </row>
        <row r="2877">
          <cell r="A2877" t="str">
            <v>NOVA PUBLICATIONS INDIA LTD</v>
          </cell>
          <cell r="B2877">
            <v>530733</v>
          </cell>
          <cell r="C2877" t="str">
            <v>Not Listed</v>
          </cell>
        </row>
        <row r="2878">
          <cell r="A2878" t="str">
            <v>NOVARTIS (INDIA) LTD</v>
          </cell>
          <cell r="B2878">
            <v>500672</v>
          </cell>
          <cell r="C2878" t="str">
            <v>Not Listed</v>
          </cell>
        </row>
        <row r="2879">
          <cell r="A2879" t="str">
            <v>NOVARTIS INDIA LTD</v>
          </cell>
          <cell r="B2879">
            <v>500672</v>
          </cell>
          <cell r="C2879" t="str">
            <v>Not Listed</v>
          </cell>
        </row>
        <row r="2880">
          <cell r="A2880" t="str">
            <v>NPR FINANCE LTD</v>
          </cell>
          <cell r="B2880">
            <v>530127</v>
          </cell>
          <cell r="C2880" t="str">
            <v>Not Listed</v>
          </cell>
        </row>
        <row r="2881">
          <cell r="A2881" t="str">
            <v>NRB BEARING LTD</v>
          </cell>
          <cell r="B2881">
            <v>530367</v>
          </cell>
          <cell r="C2881" t="str">
            <v>NRBBEARING</v>
          </cell>
        </row>
        <row r="2882">
          <cell r="A2882" t="str">
            <v>NRB INDUSTRIAL BEARINGS LTD</v>
          </cell>
          <cell r="B2882">
            <v>535458</v>
          </cell>
          <cell r="C2882" t="str">
            <v>NIBL</v>
          </cell>
        </row>
        <row r="2883">
          <cell r="A2883" t="str">
            <v>NTC INDUSTRIES LTD</v>
          </cell>
          <cell r="B2883">
            <v>526723</v>
          </cell>
          <cell r="C2883" t="str">
            <v>Not Listed</v>
          </cell>
        </row>
        <row r="2884">
          <cell r="A2884" t="str">
            <v>NTPC LTD</v>
          </cell>
          <cell r="B2884">
            <v>532555</v>
          </cell>
          <cell r="C2884" t="str">
            <v>NTPC</v>
          </cell>
        </row>
        <row r="2885">
          <cell r="A2885" t="str">
            <v>NU TEK (INDIA) LTD</v>
          </cell>
          <cell r="B2885">
            <v>533015</v>
          </cell>
          <cell r="C2885" t="str">
            <v>NUTEK</v>
          </cell>
        </row>
        <row r="2886">
          <cell r="A2886" t="str">
            <v>NU TEK INDIA LTD</v>
          </cell>
          <cell r="B2886">
            <v>533015</v>
          </cell>
          <cell r="C2886" t="str">
            <v>NUTEK</v>
          </cell>
        </row>
        <row r="2887">
          <cell r="A2887" t="str">
            <v>NUCLEUS SOFTWARE EXPORTS LTD</v>
          </cell>
          <cell r="B2887">
            <v>531209</v>
          </cell>
          <cell r="C2887" t="str">
            <v>NUCLEUS</v>
          </cell>
        </row>
        <row r="2888">
          <cell r="A2888" t="str">
            <v>NUTECH GLOBAL LTD</v>
          </cell>
          <cell r="B2888">
            <v>531304</v>
          </cell>
          <cell r="C2888" t="str">
            <v>Not Listed</v>
          </cell>
        </row>
        <row r="2889">
          <cell r="A2889" t="str">
            <v>NUTRAPLUS (INDIA) LTD</v>
          </cell>
          <cell r="B2889">
            <v>524764</v>
          </cell>
          <cell r="C2889" t="str">
            <v>Not Listed</v>
          </cell>
        </row>
        <row r="2890">
          <cell r="A2890" t="str">
            <v>NUTRAPLUS INDIA LTD</v>
          </cell>
          <cell r="B2890">
            <v>524764</v>
          </cell>
          <cell r="C2890" t="str">
            <v>Not Listed</v>
          </cell>
        </row>
        <row r="2891">
          <cell r="A2891" t="str">
            <v>NUTRICIRCLE LTD</v>
          </cell>
          <cell r="B2891">
            <v>530219</v>
          </cell>
          <cell r="C2891" t="str">
            <v>Not Listed</v>
          </cell>
        </row>
        <row r="2892">
          <cell r="A2892" t="str">
            <v>NUWAY ORGANIC NATURALS (INDIA) LTD</v>
          </cell>
          <cell r="B2892">
            <v>531819</v>
          </cell>
          <cell r="C2892" t="str">
            <v>Not Listed</v>
          </cell>
        </row>
        <row r="2893">
          <cell r="A2893" t="str">
            <v>NUWAY ORGANIC NATURALS INDIA LTD</v>
          </cell>
          <cell r="B2893">
            <v>531819</v>
          </cell>
          <cell r="C2893" t="str">
            <v>Not Listed</v>
          </cell>
        </row>
        <row r="2894">
          <cell r="A2894" t="str">
            <v>NYSSA CORPORATION LTD</v>
          </cell>
          <cell r="B2894">
            <v>504378</v>
          </cell>
          <cell r="C2894" t="str">
            <v>Not Listed</v>
          </cell>
        </row>
        <row r="2895">
          <cell r="A2895" t="str">
            <v>O  P  CHAINS LTD</v>
          </cell>
          <cell r="B2895">
            <v>539116</v>
          </cell>
          <cell r="C2895" t="str">
            <v>Not Listed</v>
          </cell>
        </row>
        <row r="2896">
          <cell r="A2896" t="str">
            <v>OASIS SECURITIES LTD</v>
          </cell>
          <cell r="B2896">
            <v>512489</v>
          </cell>
          <cell r="C2896" t="str">
            <v>Not Listed</v>
          </cell>
        </row>
        <row r="2897">
          <cell r="A2897" t="str">
            <v>OASIS TRADELINK LTD</v>
          </cell>
          <cell r="B2897">
            <v>538547</v>
          </cell>
          <cell r="C2897" t="str">
            <v>Not Listed</v>
          </cell>
        </row>
        <row r="2898">
          <cell r="A2898" t="str">
            <v>OBEROI REALTY LTD</v>
          </cell>
          <cell r="B2898">
            <v>533273</v>
          </cell>
          <cell r="C2898" t="str">
            <v>OBEROIRLTY</v>
          </cell>
        </row>
        <row r="2899">
          <cell r="A2899" t="str">
            <v>OBJECTONE INFORMATION SYSTEMS LTD</v>
          </cell>
          <cell r="B2899">
            <v>535657</v>
          </cell>
          <cell r="C2899" t="str">
            <v>Not Listed</v>
          </cell>
        </row>
        <row r="2900">
          <cell r="A2900" t="str">
            <v>OCEAN AGRO (INDIA) LTD</v>
          </cell>
          <cell r="B2900">
            <v>519491</v>
          </cell>
          <cell r="C2900" t="str">
            <v>Not Listed</v>
          </cell>
        </row>
        <row r="2901">
          <cell r="A2901" t="str">
            <v>OCEAN AGRO INDIA LTD</v>
          </cell>
          <cell r="B2901">
            <v>519491</v>
          </cell>
          <cell r="C2901" t="str">
            <v>Not Listed</v>
          </cell>
        </row>
        <row r="2902">
          <cell r="A2902" t="str">
            <v>OCEANAA BIOTEK INDUSTRIES LTD</v>
          </cell>
          <cell r="B2902">
            <v>538019</v>
          </cell>
          <cell r="C2902" t="str">
            <v>Not Listed</v>
          </cell>
        </row>
        <row r="2903">
          <cell r="A2903" t="str">
            <v>OCEANIC FOODS LTD</v>
          </cell>
          <cell r="B2903">
            <v>540405</v>
          </cell>
          <cell r="C2903" t="str">
            <v>Not Listed</v>
          </cell>
        </row>
        <row r="2904">
          <cell r="A2904" t="str">
            <v>OCL IRON AND STEEL LTD</v>
          </cell>
          <cell r="B2904">
            <v>533008</v>
          </cell>
          <cell r="C2904" t="str">
            <v>OISL</v>
          </cell>
        </row>
        <row r="2905">
          <cell r="A2905" t="str">
            <v>OCTAL CREDIT CAPITAL LTD</v>
          </cell>
          <cell r="B2905">
            <v>538894</v>
          </cell>
          <cell r="C2905" t="str">
            <v>Not Listed</v>
          </cell>
        </row>
        <row r="2906">
          <cell r="A2906" t="str">
            <v>OCTAWARE TECHNOLOGIES LTD</v>
          </cell>
          <cell r="B2906">
            <v>540416</v>
          </cell>
          <cell r="C2906" t="str">
            <v>Not Listed</v>
          </cell>
        </row>
        <row r="2907">
          <cell r="A2907" t="str">
            <v>ODYSSEY CORPORATION LTD</v>
          </cell>
          <cell r="B2907">
            <v>531996</v>
          </cell>
          <cell r="C2907" t="str">
            <v>Not Listed</v>
          </cell>
        </row>
        <row r="2908">
          <cell r="A2908" t="str">
            <v>ODYSSEY TECHNOLOGIES LTD</v>
          </cell>
          <cell r="B2908">
            <v>530175</v>
          </cell>
          <cell r="C2908" t="str">
            <v>Not Listed</v>
          </cell>
        </row>
        <row r="2909">
          <cell r="A2909" t="str">
            <v>OFS TECHNOLOGIES LTD</v>
          </cell>
          <cell r="B2909">
            <v>539570</v>
          </cell>
          <cell r="C2909" t="str">
            <v>Not Listed</v>
          </cell>
        </row>
        <row r="2910">
          <cell r="A2910" t="str">
            <v>OIL &amp; NATURAL GAS CORPORATION LTD</v>
          </cell>
          <cell r="B2910">
            <v>500312</v>
          </cell>
          <cell r="C2910" t="str">
            <v>ONGC</v>
          </cell>
        </row>
        <row r="2911">
          <cell r="A2911" t="str">
            <v>OIL (INDIA) LTD</v>
          </cell>
          <cell r="B2911">
            <v>533106</v>
          </cell>
          <cell r="C2911" t="str">
            <v>OIL</v>
          </cell>
        </row>
        <row r="2912">
          <cell r="A2912" t="str">
            <v>OIL COUNTRY TUBULAR LTD</v>
          </cell>
          <cell r="B2912">
            <v>500313</v>
          </cell>
          <cell r="C2912" t="str">
            <v>OILCOUNTUB</v>
          </cell>
        </row>
        <row r="2913">
          <cell r="A2913" t="str">
            <v>OIL INDIA LTD</v>
          </cell>
          <cell r="B2913">
            <v>533106</v>
          </cell>
          <cell r="C2913" t="str">
            <v>OIL</v>
          </cell>
        </row>
        <row r="2914">
          <cell r="A2914" t="str">
            <v>OK PLAY (INDIA) LTD</v>
          </cell>
          <cell r="B2914">
            <v>526415</v>
          </cell>
          <cell r="C2914" t="str">
            <v>Not Listed</v>
          </cell>
        </row>
        <row r="2915">
          <cell r="A2915" t="str">
            <v>OK PLAY INDIA LTD</v>
          </cell>
          <cell r="B2915">
            <v>526415</v>
          </cell>
          <cell r="C2915" t="str">
            <v>Not Listed</v>
          </cell>
        </row>
        <row r="2916">
          <cell r="A2916" t="str">
            <v>OLECTRA GREENTECH LTD</v>
          </cell>
          <cell r="B2916">
            <v>532439</v>
          </cell>
          <cell r="C2916" t="str">
            <v>OLECTRA</v>
          </cell>
        </row>
        <row r="2917">
          <cell r="A2917" t="str">
            <v>OLYMPIA INDUSTRIES LTD</v>
          </cell>
          <cell r="B2917">
            <v>521105</v>
          </cell>
          <cell r="C2917" t="str">
            <v>Not Listed</v>
          </cell>
        </row>
        <row r="2918">
          <cell r="A2918" t="str">
            <v>OLYMPIC CARDS LTD</v>
          </cell>
          <cell r="B2918">
            <v>534190</v>
          </cell>
          <cell r="C2918" t="str">
            <v>Not Listed</v>
          </cell>
        </row>
        <row r="2919">
          <cell r="A2919" t="str">
            <v>OLYMPIC OIL INDUSTRIES LTD</v>
          </cell>
          <cell r="B2919">
            <v>507609</v>
          </cell>
          <cell r="C2919" t="str">
            <v>Not Listed</v>
          </cell>
        </row>
        <row r="2920">
          <cell r="A2920" t="str">
            <v>OM METALS INFRAPROJECTS LTD</v>
          </cell>
          <cell r="B2920">
            <v>531092</v>
          </cell>
          <cell r="C2920" t="str">
            <v>OMMETALS</v>
          </cell>
        </row>
        <row r="2921">
          <cell r="A2921" t="str">
            <v>OMANSH ENTERPRISES LTD</v>
          </cell>
          <cell r="B2921">
            <v>538537</v>
          </cell>
          <cell r="C2921" t="str">
            <v>Not Listed</v>
          </cell>
        </row>
        <row r="2922">
          <cell r="A2922" t="str">
            <v>OMAX AUTOS LTD</v>
          </cell>
          <cell r="B2922">
            <v>520021</v>
          </cell>
          <cell r="C2922" t="str">
            <v>OMAXAUTO</v>
          </cell>
        </row>
        <row r="2923">
          <cell r="A2923" t="str">
            <v>OMAXE LTD</v>
          </cell>
          <cell r="B2923">
            <v>532880</v>
          </cell>
          <cell r="C2923" t="str">
            <v>OMAXE</v>
          </cell>
        </row>
        <row r="2924">
          <cell r="A2924" t="str">
            <v>OMFURN (INDIA) LTD</v>
          </cell>
          <cell r="B2924" t="str">
            <v>Not Listed</v>
          </cell>
          <cell r="C2924" t="str">
            <v>OMFURN</v>
          </cell>
        </row>
        <row r="2925">
          <cell r="A2925" t="str">
            <v>OMFURN INDIA LTD</v>
          </cell>
          <cell r="B2925" t="str">
            <v>Not Listed</v>
          </cell>
          <cell r="C2925" t="str">
            <v>OMFURN</v>
          </cell>
        </row>
        <row r="2926">
          <cell r="A2926" t="str">
            <v>OMKAR OVERSEAS LTD</v>
          </cell>
          <cell r="B2926">
            <v>531496</v>
          </cell>
          <cell r="C2926" t="str">
            <v>Not Listed</v>
          </cell>
        </row>
        <row r="2927">
          <cell r="A2927" t="str">
            <v>OMKAR PHARMACHEM LTD</v>
          </cell>
          <cell r="B2927">
            <v>532167</v>
          </cell>
          <cell r="C2927" t="str">
            <v>Not Listed</v>
          </cell>
        </row>
        <row r="2928">
          <cell r="A2928" t="str">
            <v>OMKAR SPECIALITY CHEMICALS LTD</v>
          </cell>
          <cell r="B2928">
            <v>533317</v>
          </cell>
          <cell r="C2928" t="str">
            <v>OMKARCHEM</v>
          </cell>
        </row>
        <row r="2929">
          <cell r="A2929" t="str">
            <v>OMNI AXS SOFTWARE LTD</v>
          </cell>
          <cell r="B2929">
            <v>532340</v>
          </cell>
          <cell r="C2929" t="str">
            <v>Not Listed</v>
          </cell>
        </row>
        <row r="2930">
          <cell r="A2930" t="str">
            <v>OMNITEX INDUSTRIES (INDIA) LTD</v>
          </cell>
          <cell r="B2930">
            <v>514324</v>
          </cell>
          <cell r="C2930" t="str">
            <v>Not Listed</v>
          </cell>
        </row>
        <row r="2931">
          <cell r="A2931" t="str">
            <v>OMNITEX INDUSTRIES INDIA LTD</v>
          </cell>
          <cell r="B2931">
            <v>514324</v>
          </cell>
          <cell r="C2931" t="str">
            <v>Not Listed</v>
          </cell>
        </row>
        <row r="2932">
          <cell r="A2932" t="str">
            <v>ONE POINT ONE SOLUTIONS LTD</v>
          </cell>
          <cell r="B2932" t="str">
            <v>Not Listed</v>
          </cell>
          <cell r="C2932" t="str">
            <v>ONEPOINT</v>
          </cell>
        </row>
        <row r="2933">
          <cell r="A2933" t="str">
            <v>ONELIFE CAPITAL ADVISORS LTD</v>
          </cell>
          <cell r="B2933">
            <v>533632</v>
          </cell>
          <cell r="C2933" t="str">
            <v>ONELIFECAP</v>
          </cell>
        </row>
        <row r="2934">
          <cell r="A2934" t="str">
            <v>ONESOURCE IDEAS VENTURE LTD</v>
          </cell>
          <cell r="B2934">
            <v>530805</v>
          </cell>
          <cell r="C2934" t="str">
            <v>Not Listed</v>
          </cell>
        </row>
        <row r="2935">
          <cell r="A2935" t="str">
            <v>ONESOURCE TECHMEDIA LTD</v>
          </cell>
          <cell r="B2935">
            <v>535647</v>
          </cell>
          <cell r="C2935" t="str">
            <v>Not Listed</v>
          </cell>
        </row>
        <row r="2936">
          <cell r="A2936" t="str">
            <v>ONMOBILE GLOBAL LTD</v>
          </cell>
          <cell r="B2936">
            <v>532944</v>
          </cell>
          <cell r="C2936" t="str">
            <v>ONMOBILE</v>
          </cell>
        </row>
        <row r="2937">
          <cell r="A2937" t="str">
            <v>ONTIC FINSERVE LTD</v>
          </cell>
          <cell r="B2937">
            <v>540386</v>
          </cell>
          <cell r="C2937" t="str">
            <v>Not Listed</v>
          </cell>
        </row>
        <row r="2938">
          <cell r="A2938" t="str">
            <v>ONWARD TECHNOLOGIES LTD</v>
          </cell>
          <cell r="B2938">
            <v>517536</v>
          </cell>
          <cell r="C2938" t="str">
            <v>ONWARDTEC</v>
          </cell>
        </row>
        <row r="2939">
          <cell r="A2939" t="str">
            <v>OPAL LUXURY TIME PRODUCTS LTD</v>
          </cell>
          <cell r="B2939" t="str">
            <v>Not Listed</v>
          </cell>
          <cell r="C2939" t="str">
            <v>OPAL</v>
          </cell>
        </row>
        <row r="2940">
          <cell r="A2940" t="str">
            <v>OPTIEMUS INFRACOM LTD</v>
          </cell>
          <cell r="B2940">
            <v>530135</v>
          </cell>
          <cell r="C2940" t="str">
            <v>OPTIEMUS</v>
          </cell>
        </row>
        <row r="2941">
          <cell r="A2941" t="str">
            <v>OPTIMUS FINANCE LTD</v>
          </cell>
          <cell r="B2941">
            <v>531254</v>
          </cell>
          <cell r="C2941" t="str">
            <v>Not Listed</v>
          </cell>
        </row>
        <row r="2942">
          <cell r="A2942" t="str">
            <v>OPTO CIRCUITS (INDIA) LTD</v>
          </cell>
          <cell r="B2942">
            <v>532391</v>
          </cell>
          <cell r="C2942" t="str">
            <v>OPTOCIRCUI</v>
          </cell>
        </row>
        <row r="2943">
          <cell r="A2943" t="str">
            <v>OPTO CIRCUITS INDIA LTD</v>
          </cell>
          <cell r="B2943">
            <v>532391</v>
          </cell>
          <cell r="C2943" t="str">
            <v>OPTOCIRCUI</v>
          </cell>
        </row>
        <row r="2944">
          <cell r="A2944" t="str">
            <v>ORACLE CREDIT LTD</v>
          </cell>
          <cell r="B2944">
            <v>539598</v>
          </cell>
          <cell r="C2944" t="str">
            <v>Not Listed</v>
          </cell>
        </row>
        <row r="2945">
          <cell r="A2945" t="str">
            <v>ORACLE FINANCIAL SERVICES SOFTWARE LTD</v>
          </cell>
          <cell r="B2945">
            <v>532466</v>
          </cell>
          <cell r="C2945" t="str">
            <v>OFSS</v>
          </cell>
        </row>
        <row r="2946">
          <cell r="A2946" t="str">
            <v>ORBIT EXPORTS LTD</v>
          </cell>
          <cell r="B2946">
            <v>512626</v>
          </cell>
          <cell r="C2946" t="str">
            <v>ORBTEXP</v>
          </cell>
        </row>
        <row r="2947">
          <cell r="A2947" t="str">
            <v>ORCHID PHARMA LTD</v>
          </cell>
          <cell r="B2947">
            <v>524372</v>
          </cell>
          <cell r="C2947" t="str">
            <v>ORCHIDPHAR</v>
          </cell>
        </row>
        <row r="2948">
          <cell r="A2948" t="str">
            <v>ORGANIC COATINGS LTD</v>
          </cell>
          <cell r="B2948">
            <v>531157</v>
          </cell>
          <cell r="C2948" t="str">
            <v>Not Listed</v>
          </cell>
        </row>
        <row r="2949">
          <cell r="A2949" t="str">
            <v>ORICON ENTERPRISES LTD</v>
          </cell>
          <cell r="B2949">
            <v>513121</v>
          </cell>
          <cell r="C2949" t="str">
            <v>ORICONENT</v>
          </cell>
        </row>
        <row r="2950">
          <cell r="A2950" t="str">
            <v>ORIENT ABRASIVES LTD</v>
          </cell>
          <cell r="B2950">
            <v>504879</v>
          </cell>
          <cell r="C2950" t="str">
            <v>ORIENTABRA</v>
          </cell>
        </row>
        <row r="2951">
          <cell r="A2951" t="str">
            <v>ORIENT BELL LTD</v>
          </cell>
          <cell r="B2951">
            <v>530365</v>
          </cell>
          <cell r="C2951" t="str">
            <v>ORIENTBELL</v>
          </cell>
        </row>
        <row r="2952">
          <cell r="A2952" t="str">
            <v>ORIENT BEVERAGES LTD</v>
          </cell>
          <cell r="B2952">
            <v>507690</v>
          </cell>
          <cell r="C2952" t="str">
            <v>Not Listed</v>
          </cell>
        </row>
        <row r="2953">
          <cell r="A2953" t="str">
            <v>ORIENT CEMENT LTD</v>
          </cell>
          <cell r="B2953">
            <v>535754</v>
          </cell>
          <cell r="C2953" t="str">
            <v>ORIENTCEM</v>
          </cell>
        </row>
        <row r="2954">
          <cell r="A2954" t="str">
            <v>ORIENT ELECTRIC LTD</v>
          </cell>
          <cell r="B2954">
            <v>541301</v>
          </cell>
          <cell r="C2954" t="str">
            <v>ORIENTELEC</v>
          </cell>
        </row>
        <row r="2955">
          <cell r="A2955" t="str">
            <v>ORIENT GREEN POWER COMPANY LTD</v>
          </cell>
          <cell r="B2955">
            <v>533263</v>
          </cell>
          <cell r="C2955" t="str">
            <v>GREENPOWER</v>
          </cell>
        </row>
        <row r="2956">
          <cell r="A2956" t="str">
            <v>ORIENT PAPER &amp; INDUSTRIES LTD</v>
          </cell>
          <cell r="B2956">
            <v>502420</v>
          </cell>
          <cell r="C2956" t="str">
            <v>ORIENTPPR</v>
          </cell>
        </row>
        <row r="2957">
          <cell r="A2957" t="str">
            <v>ORIENT PRESS LTD</v>
          </cell>
          <cell r="B2957">
            <v>526325</v>
          </cell>
          <cell r="C2957" t="str">
            <v>ORIENTLTD</v>
          </cell>
        </row>
        <row r="2958">
          <cell r="A2958" t="str">
            <v>ORIENT REFRACTORIES LTD</v>
          </cell>
          <cell r="B2958">
            <v>534076</v>
          </cell>
          <cell r="C2958" t="str">
            <v>ORIENTREF</v>
          </cell>
        </row>
        <row r="2959">
          <cell r="A2959" t="str">
            <v>ORIENT TRADELINK LTD</v>
          </cell>
          <cell r="B2959">
            <v>531512</v>
          </cell>
          <cell r="C2959" t="str">
            <v>Not Listed</v>
          </cell>
        </row>
        <row r="2960">
          <cell r="A2960" t="str">
            <v>ORIENTAL AROMATICS LTD</v>
          </cell>
          <cell r="B2960">
            <v>500078</v>
          </cell>
          <cell r="C2960" t="str">
            <v>Not Listed</v>
          </cell>
        </row>
        <row r="2961">
          <cell r="A2961" t="str">
            <v>ORIENTAL BANK OF COMMERCE</v>
          </cell>
          <cell r="B2961">
            <v>500315</v>
          </cell>
          <cell r="C2961" t="str">
            <v>ORIENTBANK</v>
          </cell>
        </row>
        <row r="2962">
          <cell r="A2962" t="str">
            <v>ORIENTAL CARBON &amp; CHEMICALS LTD</v>
          </cell>
          <cell r="B2962">
            <v>506579</v>
          </cell>
          <cell r="C2962" t="str">
            <v>OCCL</v>
          </cell>
        </row>
        <row r="2963">
          <cell r="A2963" t="str">
            <v>ORIENTAL HOTELS LTD</v>
          </cell>
          <cell r="B2963">
            <v>500314</v>
          </cell>
          <cell r="C2963" t="str">
            <v>ORIENTHOT</v>
          </cell>
        </row>
        <row r="2964">
          <cell r="A2964" t="str">
            <v>ORIENTAL TRIMEX LTD</v>
          </cell>
          <cell r="B2964">
            <v>532817</v>
          </cell>
          <cell r="C2964" t="str">
            <v>ORIENTALTL</v>
          </cell>
        </row>
        <row r="2965">
          <cell r="A2965" t="str">
            <v>ORIENTAL VENEER PRODUCTS LTD</v>
          </cell>
          <cell r="B2965">
            <v>531859</v>
          </cell>
          <cell r="C2965" t="str">
            <v>Not Listed</v>
          </cell>
        </row>
        <row r="2966">
          <cell r="A2966" t="str">
            <v>ORISSA BENGAL CARRIER LTD</v>
          </cell>
          <cell r="B2966">
            <v>541206</v>
          </cell>
          <cell r="C2966" t="str">
            <v>Not Listed</v>
          </cell>
        </row>
        <row r="2967">
          <cell r="A2967" t="str">
            <v>OROSIL SMITHS (INDIA) LTD</v>
          </cell>
          <cell r="B2967">
            <v>531626</v>
          </cell>
          <cell r="C2967" t="str">
            <v>Not Listed</v>
          </cell>
        </row>
        <row r="2968">
          <cell r="A2968" t="str">
            <v>OROSIL SMITHS INDIA LTD</v>
          </cell>
          <cell r="B2968">
            <v>531626</v>
          </cell>
          <cell r="C2968" t="str">
            <v>Not Listed</v>
          </cell>
        </row>
        <row r="2969">
          <cell r="A2969" t="str">
            <v>ORTEL COMMUNICATIONS LTD</v>
          </cell>
          <cell r="B2969">
            <v>539015</v>
          </cell>
          <cell r="C2969" t="str">
            <v>ORTEL</v>
          </cell>
        </row>
        <row r="2970">
          <cell r="A2970" t="str">
            <v>ORTIN LABORATORIES LTD</v>
          </cell>
          <cell r="B2970">
            <v>539287</v>
          </cell>
          <cell r="C2970" t="str">
            <v>ORTINLABSS</v>
          </cell>
        </row>
        <row r="2971">
          <cell r="A2971" t="str">
            <v>OSCAR GLOBAL LTD</v>
          </cell>
          <cell r="B2971">
            <v>530173</v>
          </cell>
          <cell r="C2971" t="str">
            <v>Not Listed</v>
          </cell>
        </row>
        <row r="2972">
          <cell r="A2972" t="str">
            <v>OSCAR INVESTMENTS LTD</v>
          </cell>
          <cell r="B2972">
            <v>501179</v>
          </cell>
          <cell r="C2972" t="str">
            <v>Not Listed</v>
          </cell>
        </row>
        <row r="2973">
          <cell r="A2973" t="str">
            <v>OSEASPRE CONSULTANTS LTD</v>
          </cell>
          <cell r="B2973">
            <v>509782</v>
          </cell>
          <cell r="C2973" t="str">
            <v>Not Listed</v>
          </cell>
        </row>
        <row r="2974">
          <cell r="A2974" t="str">
            <v>OSIAJEE TEXFAB LTD</v>
          </cell>
          <cell r="B2974">
            <v>540198</v>
          </cell>
          <cell r="C2974" t="str">
            <v>Not Listed</v>
          </cell>
        </row>
        <row r="2975">
          <cell r="A2975" t="str">
            <v>OSWAL AGRO MILLS LTD</v>
          </cell>
          <cell r="B2975">
            <v>500317</v>
          </cell>
          <cell r="C2975" t="str">
            <v>OSWALAGRO</v>
          </cell>
        </row>
        <row r="2976">
          <cell r="A2976" t="str">
            <v>OSWAL CHEMICALS &amp; FERTILIZERS LTD</v>
          </cell>
          <cell r="B2976">
            <v>539290</v>
          </cell>
          <cell r="C2976" t="str">
            <v>BINDALAGRO</v>
          </cell>
        </row>
        <row r="2977">
          <cell r="A2977" t="str">
            <v>OSWAL LEASING LTD</v>
          </cell>
          <cell r="B2977">
            <v>509099</v>
          </cell>
          <cell r="C2977" t="str">
            <v>Not Listed</v>
          </cell>
        </row>
        <row r="2978">
          <cell r="A2978" t="str">
            <v>OSWAL OVERSEAS LTD</v>
          </cell>
          <cell r="B2978">
            <v>531065</v>
          </cell>
          <cell r="C2978" t="str">
            <v>Not Listed</v>
          </cell>
        </row>
        <row r="2979">
          <cell r="A2979" t="str">
            <v>OSWAL YARNS LTD</v>
          </cell>
          <cell r="B2979">
            <v>514460</v>
          </cell>
          <cell r="C2979" t="str">
            <v>Not Listed</v>
          </cell>
        </row>
        <row r="2980">
          <cell r="A2980" t="str">
            <v>OTCO INTERNATIONAL LTD</v>
          </cell>
          <cell r="B2980">
            <v>523151</v>
          </cell>
          <cell r="C2980" t="str">
            <v>Not Listed</v>
          </cell>
        </row>
        <row r="2981">
          <cell r="A2981" t="str">
            <v>OVERSEAS SYNTHETICS LTD</v>
          </cell>
          <cell r="B2981">
            <v>514330</v>
          </cell>
          <cell r="C2981" t="str">
            <v>Not Listed</v>
          </cell>
        </row>
        <row r="2982">
          <cell r="A2982" t="str">
            <v>OVOBEL FOODS LTD</v>
          </cell>
          <cell r="B2982">
            <v>530741</v>
          </cell>
          <cell r="C2982" t="str">
            <v>Not Listed</v>
          </cell>
        </row>
        <row r="2983">
          <cell r="A2983" t="str">
            <v>OZONE WORLD LTD</v>
          </cell>
          <cell r="B2983">
            <v>539291</v>
          </cell>
          <cell r="C2983" t="str">
            <v>Not Listed</v>
          </cell>
        </row>
        <row r="2984">
          <cell r="A2984" t="str">
            <v>P  B  FILMS LTD</v>
          </cell>
          <cell r="B2984">
            <v>539352</v>
          </cell>
          <cell r="C2984" t="str">
            <v>Not Listed</v>
          </cell>
        </row>
        <row r="2985">
          <cell r="A2985" t="str">
            <v>P M TELELINNKS LTD</v>
          </cell>
          <cell r="B2985">
            <v>513403</v>
          </cell>
          <cell r="C2985" t="str">
            <v>Not Listed</v>
          </cell>
        </row>
        <row r="2986">
          <cell r="A2986" t="str">
            <v>PACHELI INDUSTRIAL FINANCE LTD</v>
          </cell>
          <cell r="B2986">
            <v>523862</v>
          </cell>
          <cell r="C2986" t="str">
            <v>Not Listed</v>
          </cell>
        </row>
        <row r="2987">
          <cell r="A2987" t="str">
            <v>PACIFIC INDUSTRIES LTD</v>
          </cell>
          <cell r="B2987">
            <v>523483</v>
          </cell>
          <cell r="C2987" t="str">
            <v>Not Listed</v>
          </cell>
        </row>
        <row r="2988">
          <cell r="A2988" t="str">
            <v>PACT INDUSTRIES LTD</v>
          </cell>
          <cell r="B2988">
            <v>538963</v>
          </cell>
          <cell r="C2988" t="str">
            <v>Not Listed</v>
          </cell>
        </row>
        <row r="2989">
          <cell r="A2989" t="str">
            <v>PADAM COTTON YARNS LTD</v>
          </cell>
          <cell r="B2989">
            <v>531395</v>
          </cell>
          <cell r="C2989" t="str">
            <v>Not Listed</v>
          </cell>
        </row>
        <row r="2990">
          <cell r="A2990" t="str">
            <v>PADMALAYA TELEFILMS LTD</v>
          </cell>
          <cell r="B2990">
            <v>532350</v>
          </cell>
          <cell r="C2990" t="str">
            <v>Not Listed</v>
          </cell>
        </row>
        <row r="2991">
          <cell r="A2991" t="str">
            <v>PADMANABH INDUSTRIES LTD</v>
          </cell>
          <cell r="B2991">
            <v>526905</v>
          </cell>
          <cell r="C2991" t="str">
            <v>Not Listed</v>
          </cell>
        </row>
        <row r="2992">
          <cell r="A2992" t="str">
            <v>PAE LTD</v>
          </cell>
          <cell r="B2992">
            <v>517230</v>
          </cell>
          <cell r="C2992" t="str">
            <v>PAEL</v>
          </cell>
        </row>
        <row r="2993">
          <cell r="A2993" t="str">
            <v>PAGE INDUSTRIES LTD</v>
          </cell>
          <cell r="B2993">
            <v>532827</v>
          </cell>
          <cell r="C2993" t="str">
            <v>PAGEIND</v>
          </cell>
        </row>
        <row r="2994">
          <cell r="A2994" t="str">
            <v>PAISALO DIGITAL LTD</v>
          </cell>
          <cell r="B2994">
            <v>532900</v>
          </cell>
          <cell r="C2994" t="str">
            <v>PAISALO</v>
          </cell>
        </row>
        <row r="2995">
          <cell r="A2995" t="str">
            <v>PALASH SECURITIES LTD</v>
          </cell>
          <cell r="B2995">
            <v>540648</v>
          </cell>
          <cell r="C2995" t="str">
            <v>PALASHSECU</v>
          </cell>
        </row>
        <row r="2996">
          <cell r="A2996" t="str">
            <v>PALCO METALS LTD</v>
          </cell>
          <cell r="B2996">
            <v>539121</v>
          </cell>
          <cell r="C2996" t="str">
            <v>Not Listed</v>
          </cell>
        </row>
        <row r="2997">
          <cell r="A2997" t="str">
            <v>PALM JEWELS LTD</v>
          </cell>
          <cell r="B2997">
            <v>541444</v>
          </cell>
          <cell r="C2997" t="str">
            <v>Not Listed</v>
          </cell>
        </row>
        <row r="2998">
          <cell r="A2998" t="str">
            <v>PALRED TECHNOLOGIES LTD</v>
          </cell>
          <cell r="B2998">
            <v>532521</v>
          </cell>
          <cell r="C2998" t="str">
            <v>PALREDTEC</v>
          </cell>
        </row>
        <row r="2999">
          <cell r="A2999" t="str">
            <v>PALSOFT INFOSYSTEMS LTD</v>
          </cell>
          <cell r="B2999">
            <v>511597</v>
          </cell>
          <cell r="C2999" t="str">
            <v>Not Listed</v>
          </cell>
        </row>
        <row r="3000">
          <cell r="A3000" t="str">
            <v>PAN ELECTRONICS (INDIA) LTD</v>
          </cell>
          <cell r="B3000">
            <v>517397</v>
          </cell>
          <cell r="C3000" t="str">
            <v>Not Listed</v>
          </cell>
        </row>
        <row r="3001">
          <cell r="A3001" t="str">
            <v>PAN ELECTRONICS INDIA LTD</v>
          </cell>
          <cell r="B3001">
            <v>517397</v>
          </cell>
          <cell r="C3001" t="str">
            <v>Not Listed</v>
          </cell>
        </row>
        <row r="3002">
          <cell r="A3002" t="str">
            <v>PAN INDIA CORPORATION LTD</v>
          </cell>
          <cell r="B3002">
            <v>511525</v>
          </cell>
          <cell r="C3002" t="str">
            <v>Not Listed</v>
          </cell>
        </row>
        <row r="3003">
          <cell r="A3003" t="str">
            <v>PANACEA BIOTEC LTD</v>
          </cell>
          <cell r="B3003">
            <v>531349</v>
          </cell>
          <cell r="C3003" t="str">
            <v>PANACEABIO</v>
          </cell>
        </row>
        <row r="3004">
          <cell r="A3004" t="str">
            <v>PANACHE DIGILIFE LTD</v>
          </cell>
          <cell r="B3004" t="str">
            <v>Not Listed</v>
          </cell>
          <cell r="C3004" t="str">
            <v>PANACHE</v>
          </cell>
        </row>
        <row r="3005">
          <cell r="A3005" t="str">
            <v>PANACHE INNOVATIONS LTD</v>
          </cell>
          <cell r="B3005">
            <v>538742</v>
          </cell>
          <cell r="C3005" t="str">
            <v>Not Listed</v>
          </cell>
        </row>
        <row r="3006">
          <cell r="A3006" t="str">
            <v>PANAFIC INDUSTRIALS LTD</v>
          </cell>
          <cell r="B3006">
            <v>538860</v>
          </cell>
          <cell r="C3006" t="str">
            <v>Not Listed</v>
          </cell>
        </row>
        <row r="3007">
          <cell r="A3007" t="str">
            <v>PANAMA PETROCHEM LTD</v>
          </cell>
          <cell r="B3007">
            <v>524820</v>
          </cell>
          <cell r="C3007" t="str">
            <v>PANAMAPET</v>
          </cell>
        </row>
        <row r="3008">
          <cell r="A3008" t="str">
            <v>PANASONIC CARBON INDIA CO LTD</v>
          </cell>
          <cell r="B3008">
            <v>508941</v>
          </cell>
          <cell r="C3008" t="str">
            <v>Not Listed</v>
          </cell>
        </row>
        <row r="3009">
          <cell r="A3009" t="str">
            <v>PANASONIC ENERGY INDIA COMPANY LTD</v>
          </cell>
          <cell r="B3009">
            <v>504093</v>
          </cell>
          <cell r="C3009" t="str">
            <v>Not Listed</v>
          </cell>
        </row>
        <row r="3010">
          <cell r="A3010" t="str">
            <v>PANCHMAHAL STEEL LTD</v>
          </cell>
          <cell r="B3010">
            <v>513511</v>
          </cell>
          <cell r="C3010" t="str">
            <v>Not Listed</v>
          </cell>
        </row>
        <row r="3011">
          <cell r="A3011" t="str">
            <v>PANCHSHEEL ORGANICS LTD</v>
          </cell>
          <cell r="B3011">
            <v>531726</v>
          </cell>
          <cell r="C3011" t="str">
            <v>Not Listed</v>
          </cell>
        </row>
        <row r="3012">
          <cell r="A3012" t="str">
            <v>PANKAJ PIYUSH TRADE &amp; INVESTMENT LTD</v>
          </cell>
          <cell r="B3012">
            <v>506122</v>
          </cell>
          <cell r="C3012" t="str">
            <v>Not Listed</v>
          </cell>
        </row>
        <row r="3013">
          <cell r="A3013" t="str">
            <v>PANKAJ POLYMERS LTD</v>
          </cell>
          <cell r="B3013">
            <v>531280</v>
          </cell>
          <cell r="C3013" t="str">
            <v>Not Listed</v>
          </cell>
        </row>
        <row r="3014">
          <cell r="A3014" t="str">
            <v>PANKAJ POLYPACK LTD</v>
          </cell>
          <cell r="B3014">
            <v>534796</v>
          </cell>
          <cell r="C3014" t="str">
            <v>Not Listed</v>
          </cell>
        </row>
        <row r="3015">
          <cell r="A3015" t="str">
            <v>PANSARI DEVELOPERS LTD</v>
          </cell>
          <cell r="B3015" t="str">
            <v>Not Listed</v>
          </cell>
          <cell r="C3015" t="str">
            <v>PANSARI</v>
          </cell>
        </row>
        <row r="3016">
          <cell r="A3016" t="str">
            <v>PANTH INFINITY LTD</v>
          </cell>
          <cell r="B3016">
            <v>539143</v>
          </cell>
          <cell r="C3016" t="str">
            <v>Not Listed</v>
          </cell>
        </row>
        <row r="3017">
          <cell r="A3017" t="str">
            <v>PANYAM CEMENTS &amp; MINERAL INDUSTRIES LTD</v>
          </cell>
          <cell r="B3017">
            <v>500322</v>
          </cell>
          <cell r="C3017" t="str">
            <v>Not Listed</v>
          </cell>
        </row>
        <row r="3018">
          <cell r="A3018" t="str">
            <v>Parab Infra Ltd</v>
          </cell>
          <cell r="B3018">
            <v>513359</v>
          </cell>
          <cell r="C3018" t="str">
            <v>PARINFRA</v>
          </cell>
        </row>
        <row r="3019">
          <cell r="A3019" t="str">
            <v>PARABOLIC DRUGS LTD</v>
          </cell>
          <cell r="B3019">
            <v>533211</v>
          </cell>
          <cell r="C3019" t="str">
            <v>PARABDRUGS</v>
          </cell>
        </row>
        <row r="3020">
          <cell r="A3020" t="str">
            <v>PARAG MILK FOODS LTD</v>
          </cell>
          <cell r="B3020">
            <v>539889</v>
          </cell>
          <cell r="C3020" t="str">
            <v>PARAGMILK</v>
          </cell>
        </row>
        <row r="3021">
          <cell r="A3021" t="str">
            <v>PARAGON FINANCE LTD</v>
          </cell>
          <cell r="B3021">
            <v>531255</v>
          </cell>
          <cell r="C3021" t="str">
            <v>Not Listed</v>
          </cell>
        </row>
        <row r="3022">
          <cell r="A3022" t="str">
            <v>PARAMOUNT COMMUNICATIONS LTD</v>
          </cell>
          <cell r="B3022">
            <v>530555</v>
          </cell>
          <cell r="C3022" t="str">
            <v>PARACABLES</v>
          </cell>
        </row>
        <row r="3023">
          <cell r="A3023" t="str">
            <v>PARAMOUNT COSMETICS (INDIA) LTD</v>
          </cell>
          <cell r="B3023">
            <v>507970</v>
          </cell>
          <cell r="C3023" t="str">
            <v>Not Listed</v>
          </cell>
        </row>
        <row r="3024">
          <cell r="A3024" t="str">
            <v>PARAMOUNT COSMETICS INDIA LTD</v>
          </cell>
          <cell r="B3024">
            <v>507970</v>
          </cell>
          <cell r="C3024" t="str">
            <v>Not Listed</v>
          </cell>
        </row>
        <row r="3025">
          <cell r="A3025" t="str">
            <v>PARENTERAL DRUGS (INDIA) LTD</v>
          </cell>
          <cell r="B3025">
            <v>524689</v>
          </cell>
          <cell r="C3025" t="str">
            <v>PDPL</v>
          </cell>
        </row>
        <row r="3026">
          <cell r="A3026" t="str">
            <v>PARENTERAL DRUGS INDIA LTD</v>
          </cell>
          <cell r="B3026">
            <v>524689</v>
          </cell>
          <cell r="C3026" t="str">
            <v>PDPL</v>
          </cell>
        </row>
        <row r="3027">
          <cell r="A3027" t="str">
            <v>PARIKSHA FIN- INVEST- LEASE LTD</v>
          </cell>
          <cell r="B3027">
            <v>539481</v>
          </cell>
          <cell r="C3027" t="str">
            <v>Not Listed</v>
          </cell>
        </row>
        <row r="3028">
          <cell r="A3028" t="str">
            <v>PARIN FURNITURE LTD</v>
          </cell>
          <cell r="B3028" t="str">
            <v>Not Listed</v>
          </cell>
          <cell r="C3028" t="str">
            <v>PARIN</v>
          </cell>
        </row>
        <row r="3029">
          <cell r="A3029" t="str">
            <v>PARKER AGROCHEM EXPORTS LTD</v>
          </cell>
          <cell r="B3029">
            <v>524628</v>
          </cell>
          <cell r="C3029" t="str">
            <v>Not Listed</v>
          </cell>
        </row>
        <row r="3030">
          <cell r="A3030" t="str">
            <v>PARLE SOFTWARE LTD</v>
          </cell>
          <cell r="B3030">
            <v>532911</v>
          </cell>
          <cell r="C3030" t="str">
            <v>Not Listed</v>
          </cell>
        </row>
        <row r="3031">
          <cell r="A3031" t="str">
            <v>PARMAX PHARMA LTD</v>
          </cell>
          <cell r="B3031">
            <v>540359</v>
          </cell>
          <cell r="C3031" t="str">
            <v>Not Listed</v>
          </cell>
        </row>
        <row r="3032">
          <cell r="A3032" t="str">
            <v>PARMESHWARI SILK MILLS LTD</v>
          </cell>
          <cell r="B3032">
            <v>540467</v>
          </cell>
          <cell r="C3032" t="str">
            <v>Not Listed</v>
          </cell>
        </row>
        <row r="3033">
          <cell r="A3033" t="str">
            <v>PARNAV SPORTS ACADEMY LTD</v>
          </cell>
          <cell r="B3033">
            <v>780017</v>
          </cell>
          <cell r="C3033" t="str">
            <v>Not Listed</v>
          </cell>
        </row>
        <row r="3034">
          <cell r="A3034" t="str">
            <v>PARNAX LAB LTD</v>
          </cell>
          <cell r="B3034">
            <v>506128</v>
          </cell>
          <cell r="C3034" t="str">
            <v>Not Listed</v>
          </cell>
        </row>
        <row r="3035">
          <cell r="A3035" t="str">
            <v>PARSHARTI INVESTMENT LTD</v>
          </cell>
          <cell r="B3035">
            <v>511702</v>
          </cell>
          <cell r="C3035" t="str">
            <v>Not Listed</v>
          </cell>
        </row>
        <row r="3036">
          <cell r="A3036" t="str">
            <v>PARSHWANATH CORPORATION LTD</v>
          </cell>
          <cell r="B3036">
            <v>511176</v>
          </cell>
          <cell r="C3036" t="str">
            <v>Not Listed</v>
          </cell>
        </row>
        <row r="3037">
          <cell r="A3037" t="str">
            <v>PARSVNATH DEVELOPERS LTD</v>
          </cell>
          <cell r="B3037">
            <v>532780</v>
          </cell>
          <cell r="C3037" t="str">
            <v>PARSVNATH</v>
          </cell>
        </row>
        <row r="3038">
          <cell r="A3038" t="str">
            <v>PARTH INDUSTRIES LTD</v>
          </cell>
          <cell r="B3038">
            <v>526349</v>
          </cell>
          <cell r="C3038" t="str">
            <v>Not Listed</v>
          </cell>
        </row>
        <row r="3039">
          <cell r="A3039" t="str">
            <v>PARVATI SWEETNERS AND POWER LTD</v>
          </cell>
          <cell r="B3039">
            <v>541347</v>
          </cell>
          <cell r="C3039" t="str">
            <v>Not Listed</v>
          </cell>
        </row>
        <row r="3040">
          <cell r="A3040" t="str">
            <v>PASARI SPINNING MILLS LTD</v>
          </cell>
          <cell r="B3040">
            <v>521080</v>
          </cell>
          <cell r="C3040" t="str">
            <v>Not Listed</v>
          </cell>
        </row>
        <row r="3041">
          <cell r="A3041" t="str">
            <v>PASHUPATI COTSPIN LTD</v>
          </cell>
          <cell r="B3041" t="str">
            <v>Not Listed</v>
          </cell>
          <cell r="C3041" t="str">
            <v>PASHUPATI</v>
          </cell>
        </row>
        <row r="3042">
          <cell r="A3042" t="str">
            <v>PASUPATI ACRYLON LTD</v>
          </cell>
          <cell r="B3042">
            <v>500456</v>
          </cell>
          <cell r="C3042" t="str">
            <v>Not Listed</v>
          </cell>
        </row>
        <row r="3043">
          <cell r="A3043" t="str">
            <v>PASUPATI FINCAP LTD</v>
          </cell>
          <cell r="B3043">
            <v>511734</v>
          </cell>
          <cell r="C3043" t="str">
            <v>Not Listed</v>
          </cell>
        </row>
        <row r="3044">
          <cell r="A3044" t="str">
            <v>PASUPATI SPG &amp; WVG MILLS LTD</v>
          </cell>
          <cell r="B3044">
            <v>503092</v>
          </cell>
          <cell r="C3044" t="str">
            <v>Not Listed</v>
          </cell>
        </row>
        <row r="3045">
          <cell r="A3045" t="str">
            <v>PATDIAM JEWELLERY LTD</v>
          </cell>
          <cell r="B3045">
            <v>539401</v>
          </cell>
          <cell r="C3045" t="str">
            <v>Not Listed</v>
          </cell>
        </row>
        <row r="3046">
          <cell r="A3046" t="str">
            <v>PATEL ENGINEERING LTD</v>
          </cell>
          <cell r="B3046">
            <v>531120</v>
          </cell>
          <cell r="C3046" t="str">
            <v>PATELENG</v>
          </cell>
        </row>
        <row r="3047">
          <cell r="A3047" t="str">
            <v>PATEL INTEGRATED LOGISTICS LTD</v>
          </cell>
          <cell r="B3047">
            <v>526381</v>
          </cell>
          <cell r="C3047" t="str">
            <v>PATINTLOG</v>
          </cell>
        </row>
        <row r="3048">
          <cell r="A3048" t="str">
            <v>PATELS AIRTEMP (INDIA) LTD</v>
          </cell>
          <cell r="B3048">
            <v>517417</v>
          </cell>
          <cell r="C3048" t="str">
            <v>Not Listed</v>
          </cell>
        </row>
        <row r="3049">
          <cell r="A3049" t="str">
            <v>PATELS AIRTEMP INDIA LTD</v>
          </cell>
          <cell r="B3049">
            <v>517417</v>
          </cell>
          <cell r="C3049" t="str">
            <v>Not Listed</v>
          </cell>
        </row>
        <row r="3050">
          <cell r="A3050" t="str">
            <v>PATIDAR BUILDCON LTD</v>
          </cell>
          <cell r="B3050">
            <v>524031</v>
          </cell>
          <cell r="C3050" t="str">
            <v>Not Listed</v>
          </cell>
        </row>
        <row r="3051">
          <cell r="A3051" t="str">
            <v>PATSPIN (INDIA) LTD</v>
          </cell>
          <cell r="B3051">
            <v>514326</v>
          </cell>
          <cell r="C3051" t="str">
            <v>PATSPINLTD</v>
          </cell>
        </row>
        <row r="3052">
          <cell r="A3052" t="str">
            <v>PATSPIN INDIA LTD</v>
          </cell>
          <cell r="B3052">
            <v>514326</v>
          </cell>
          <cell r="C3052" t="str">
            <v>PATSPINLTD</v>
          </cell>
        </row>
        <row r="3053">
          <cell r="A3053" t="str">
            <v>PAUL MERCHANTS LTD</v>
          </cell>
          <cell r="B3053">
            <v>539113</v>
          </cell>
          <cell r="C3053" t="str">
            <v>Not Listed</v>
          </cell>
        </row>
        <row r="3054">
          <cell r="A3054" t="str">
            <v>PAUSHAK LTD</v>
          </cell>
          <cell r="B3054">
            <v>532742</v>
          </cell>
          <cell r="C3054" t="str">
            <v>Not Listed</v>
          </cell>
        </row>
        <row r="3055">
          <cell r="A3055" t="str">
            <v>PAWANSUT HOLDINGS LTD</v>
          </cell>
          <cell r="B3055">
            <v>535658</v>
          </cell>
          <cell r="C3055" t="str">
            <v>Not Listed</v>
          </cell>
        </row>
        <row r="3056">
          <cell r="A3056" t="str">
            <v>PBA INFRASTRUCTURE LTD</v>
          </cell>
          <cell r="B3056">
            <v>532676</v>
          </cell>
          <cell r="C3056" t="str">
            <v>PBAINFRA</v>
          </cell>
        </row>
        <row r="3057">
          <cell r="A3057" t="str">
            <v>PBM POLYTEX LTD</v>
          </cell>
          <cell r="B3057">
            <v>514087</v>
          </cell>
          <cell r="C3057" t="str">
            <v>Not Listed</v>
          </cell>
        </row>
        <row r="3058">
          <cell r="A3058" t="str">
            <v>PC JEWELLER LTD</v>
          </cell>
          <cell r="B3058">
            <v>534809</v>
          </cell>
          <cell r="C3058" t="str">
            <v>PCJEWELLER</v>
          </cell>
        </row>
        <row r="3059">
          <cell r="A3059" t="str">
            <v>PCS TECHNOLOGY LTD</v>
          </cell>
          <cell r="B3059">
            <v>517119</v>
          </cell>
          <cell r="C3059" t="str">
            <v>Not Listed</v>
          </cell>
        </row>
        <row r="3060">
          <cell r="A3060" t="str">
            <v>PDS MULTINATIONAL FASHIONS LTD</v>
          </cell>
          <cell r="B3060">
            <v>538730</v>
          </cell>
          <cell r="C3060" t="str">
            <v>PDSMFL</v>
          </cell>
        </row>
        <row r="3061">
          <cell r="A3061" t="str">
            <v>PEARL GLOBAL INDUSTRIES LTD</v>
          </cell>
          <cell r="B3061">
            <v>532808</v>
          </cell>
          <cell r="C3061" t="str">
            <v>PGIL</v>
          </cell>
        </row>
        <row r="3062">
          <cell r="A3062" t="str">
            <v>PEARL POLYMERS LTD</v>
          </cell>
          <cell r="B3062">
            <v>523260</v>
          </cell>
          <cell r="C3062" t="str">
            <v>PEARLPOLY</v>
          </cell>
        </row>
        <row r="3063">
          <cell r="A3063" t="str">
            <v>PECOS HOTELS AND PUBS LTD</v>
          </cell>
          <cell r="B3063">
            <v>539273</v>
          </cell>
          <cell r="C3063" t="str">
            <v>Not Listed</v>
          </cell>
        </row>
        <row r="3064">
          <cell r="A3064" t="str">
            <v>PEE CEE COSMA SOPE LTD</v>
          </cell>
          <cell r="B3064">
            <v>524136</v>
          </cell>
          <cell r="C3064" t="str">
            <v>Not Listed</v>
          </cell>
        </row>
        <row r="3065">
          <cell r="A3065" t="str">
            <v>PEETI SECURITIES LTD</v>
          </cell>
          <cell r="B3065">
            <v>531352</v>
          </cell>
          <cell r="C3065" t="str">
            <v>Not Listed</v>
          </cell>
        </row>
        <row r="3066">
          <cell r="A3066" t="str">
            <v>PENINSULA LAND LTD</v>
          </cell>
          <cell r="B3066">
            <v>503031</v>
          </cell>
          <cell r="C3066" t="str">
            <v>PENINLAND</v>
          </cell>
        </row>
        <row r="3067">
          <cell r="A3067" t="str">
            <v>PENNAR ENGINEERED BUILDING SYSTEMS LTD</v>
          </cell>
          <cell r="B3067">
            <v>539333</v>
          </cell>
          <cell r="C3067" t="str">
            <v>PENPEBS</v>
          </cell>
        </row>
        <row r="3068">
          <cell r="A3068" t="str">
            <v>PENNAR INDUSTRIES LTD</v>
          </cell>
          <cell r="B3068">
            <v>513228</v>
          </cell>
          <cell r="C3068" t="str">
            <v>PENIND</v>
          </cell>
        </row>
        <row r="3069">
          <cell r="A3069" t="str">
            <v>PENTA GOLD LTD</v>
          </cell>
          <cell r="B3069" t="str">
            <v>Not Listed</v>
          </cell>
          <cell r="C3069" t="str">
            <v>PENTAGOLD</v>
          </cell>
        </row>
        <row r="3070">
          <cell r="A3070" t="str">
            <v>PENTAMEDIA GRAPHICS LTD</v>
          </cell>
          <cell r="B3070">
            <v>500329</v>
          </cell>
          <cell r="C3070" t="str">
            <v>Not Listed</v>
          </cell>
        </row>
        <row r="3071">
          <cell r="A3071" t="str">
            <v>PENTOKEY ORGANY (INDIA) LTD</v>
          </cell>
          <cell r="B3071">
            <v>524210</v>
          </cell>
          <cell r="C3071" t="str">
            <v>Not Listed</v>
          </cell>
        </row>
        <row r="3072">
          <cell r="A3072" t="str">
            <v>PENTOKEY ORGANY INDIA LTD</v>
          </cell>
          <cell r="B3072">
            <v>524210</v>
          </cell>
          <cell r="C3072" t="str">
            <v>Not Listed</v>
          </cell>
        </row>
        <row r="3073">
          <cell r="A3073" t="str">
            <v>PEOPLES INVESTMENTS LTD</v>
          </cell>
          <cell r="B3073">
            <v>501144</v>
          </cell>
          <cell r="C3073" t="str">
            <v>Not Listed</v>
          </cell>
        </row>
        <row r="3074">
          <cell r="A3074" t="str">
            <v>PERFECT INFRAENGINEERS LTD</v>
          </cell>
          <cell r="B3074" t="str">
            <v>Not Listed</v>
          </cell>
          <cell r="C3074" t="str">
            <v>PERFECT</v>
          </cell>
        </row>
        <row r="3075">
          <cell r="A3075" t="str">
            <v>PERFECT-OCTAVE MEDIA PROJECTS LTD</v>
          </cell>
          <cell r="B3075">
            <v>521062</v>
          </cell>
          <cell r="C3075" t="str">
            <v>Not Listed</v>
          </cell>
        </row>
        <row r="3076">
          <cell r="A3076" t="str">
            <v>PERFECTPAC LTD</v>
          </cell>
          <cell r="B3076">
            <v>526435</v>
          </cell>
          <cell r="C3076" t="str">
            <v>Not Listed</v>
          </cell>
        </row>
        <row r="3077">
          <cell r="A3077" t="str">
            <v>PERMANENT MAGNETS LTD</v>
          </cell>
          <cell r="B3077">
            <v>504132</v>
          </cell>
          <cell r="C3077" t="str">
            <v>Not Listed</v>
          </cell>
        </row>
        <row r="3078">
          <cell r="A3078" t="str">
            <v>PERSISTENT SYSTEMS LTD</v>
          </cell>
          <cell r="B3078">
            <v>533179</v>
          </cell>
          <cell r="C3078" t="str">
            <v>PERSISTENT</v>
          </cell>
        </row>
        <row r="3079">
          <cell r="A3079" t="str">
            <v>PERVASIVE COMMODITIES LTD</v>
          </cell>
          <cell r="B3079">
            <v>517172</v>
          </cell>
          <cell r="C3079" t="str">
            <v>Not Listed</v>
          </cell>
        </row>
        <row r="3080">
          <cell r="A3080" t="str">
            <v>PETRON ENGINEERING CONSTRUCTION LTD</v>
          </cell>
          <cell r="B3080">
            <v>530381</v>
          </cell>
          <cell r="C3080" t="str">
            <v>PETRONENGG</v>
          </cell>
        </row>
        <row r="3081">
          <cell r="A3081" t="str">
            <v>PETRONET LNG LTD</v>
          </cell>
          <cell r="B3081">
            <v>532522</v>
          </cell>
          <cell r="C3081" t="str">
            <v>PETRONET</v>
          </cell>
        </row>
        <row r="3082">
          <cell r="A3082" t="str">
            <v>PFIZER LTD</v>
          </cell>
          <cell r="B3082">
            <v>500680</v>
          </cell>
          <cell r="C3082" t="str">
            <v>PFIZER</v>
          </cell>
        </row>
        <row r="3083">
          <cell r="A3083" t="str">
            <v>PFL INFOTECH LTD</v>
          </cell>
          <cell r="B3083">
            <v>531769</v>
          </cell>
          <cell r="C3083" t="str">
            <v>Not Listed</v>
          </cell>
        </row>
        <row r="3084">
          <cell r="A3084" t="str">
            <v>PG ELECTROPLAST LTD</v>
          </cell>
          <cell r="B3084">
            <v>533581</v>
          </cell>
          <cell r="C3084" t="str">
            <v>PGEL</v>
          </cell>
        </row>
        <row r="3085">
          <cell r="A3085" t="str">
            <v>PG FOILS LTD</v>
          </cell>
          <cell r="B3085">
            <v>526747</v>
          </cell>
          <cell r="C3085" t="str">
            <v>Not Listed</v>
          </cell>
        </row>
        <row r="3086">
          <cell r="A3086" t="str">
            <v>PG INDUSTRY LTD</v>
          </cell>
          <cell r="B3086">
            <v>531281</v>
          </cell>
          <cell r="C3086" t="str">
            <v>Not Listed</v>
          </cell>
        </row>
        <row r="3087">
          <cell r="A3087" t="str">
            <v>PH CAPITAL LTD</v>
          </cell>
          <cell r="B3087">
            <v>500143</v>
          </cell>
          <cell r="C3087" t="str">
            <v>Not Listed</v>
          </cell>
        </row>
        <row r="3088">
          <cell r="A3088" t="str">
            <v>PH TRADING LTD</v>
          </cell>
          <cell r="B3088">
            <v>512026</v>
          </cell>
          <cell r="C3088" t="str">
            <v>Not Listed</v>
          </cell>
        </row>
        <row r="3089">
          <cell r="A3089" t="str">
            <v>PHAARMASIA LTD</v>
          </cell>
          <cell r="B3089">
            <v>523620</v>
          </cell>
          <cell r="C3089" t="str">
            <v>Not Listed</v>
          </cell>
        </row>
        <row r="3090">
          <cell r="A3090" t="str">
            <v>PHILLIPS CARBON BLACK LTD</v>
          </cell>
          <cell r="B3090">
            <v>506590</v>
          </cell>
          <cell r="C3090" t="str">
            <v>PHILIPCARB</v>
          </cell>
        </row>
        <row r="3091">
          <cell r="A3091" t="str">
            <v>PHOENIX INTERNATIONAL LTD</v>
          </cell>
          <cell r="B3091">
            <v>526481</v>
          </cell>
          <cell r="C3091" t="str">
            <v>Not Listed</v>
          </cell>
        </row>
        <row r="3092">
          <cell r="A3092" t="str">
            <v>PHOENIX TOWNSHIP LTD</v>
          </cell>
          <cell r="B3092">
            <v>537839</v>
          </cell>
          <cell r="C3092" t="str">
            <v>Not Listed</v>
          </cell>
        </row>
        <row r="3093">
          <cell r="A3093" t="str">
            <v>PHOTON CAPITAL ADVISORS LTD</v>
          </cell>
          <cell r="B3093">
            <v>509084</v>
          </cell>
          <cell r="C3093" t="str">
            <v>Not Listed</v>
          </cell>
        </row>
        <row r="3094">
          <cell r="A3094" t="str">
            <v>PHOTOQUIP (INDIA) LTD</v>
          </cell>
          <cell r="B3094">
            <v>526588</v>
          </cell>
          <cell r="C3094" t="str">
            <v>Not Listed</v>
          </cell>
        </row>
        <row r="3095">
          <cell r="A3095" t="str">
            <v>PHOTOQUIP INDIA LTD</v>
          </cell>
          <cell r="B3095">
            <v>526588</v>
          </cell>
          <cell r="C3095" t="str">
            <v>Not Listed</v>
          </cell>
        </row>
        <row r="3096">
          <cell r="A3096" t="str">
            <v>PHYTO CHEM (INDIA) LTD</v>
          </cell>
          <cell r="B3096">
            <v>524808</v>
          </cell>
          <cell r="C3096" t="str">
            <v>Not Listed</v>
          </cell>
        </row>
        <row r="3097">
          <cell r="A3097" t="str">
            <v>PHYTO CHEM INDIA LTD</v>
          </cell>
          <cell r="B3097">
            <v>524808</v>
          </cell>
          <cell r="C3097" t="str">
            <v>Not Listed</v>
          </cell>
        </row>
        <row r="3098">
          <cell r="A3098" t="str">
            <v>PI INDUSTRIES LTD</v>
          </cell>
          <cell r="B3098">
            <v>523642</v>
          </cell>
          <cell r="C3098" t="str">
            <v>PIIND</v>
          </cell>
        </row>
        <row r="3099">
          <cell r="A3099" t="str">
            <v>PICCADILY AGRO INDUSTRIES LTD</v>
          </cell>
          <cell r="B3099">
            <v>530305</v>
          </cell>
          <cell r="C3099" t="str">
            <v>Not Listed</v>
          </cell>
        </row>
        <row r="3100">
          <cell r="A3100" t="str">
            <v>PICCADILY SUGAR &amp; ALLIED INDUSTRIES LTD</v>
          </cell>
          <cell r="B3100">
            <v>507498</v>
          </cell>
          <cell r="C3100" t="str">
            <v>Not Listed</v>
          </cell>
        </row>
        <row r="3101">
          <cell r="A3101" t="str">
            <v>PICTUREHOUSE MEDIA LTD</v>
          </cell>
          <cell r="B3101">
            <v>532355</v>
          </cell>
          <cell r="C3101" t="str">
            <v>Not Listed</v>
          </cell>
        </row>
        <row r="3102">
          <cell r="A3102" t="str">
            <v>PIDILITE INDUSTRIES LTD</v>
          </cell>
          <cell r="B3102">
            <v>500331</v>
          </cell>
          <cell r="C3102" t="str">
            <v>PIDILITIND</v>
          </cell>
        </row>
        <row r="3103">
          <cell r="A3103" t="str">
            <v>PIL ITALICA LIFESTYLE LTD</v>
          </cell>
          <cell r="B3103">
            <v>500327</v>
          </cell>
          <cell r="C3103" t="str">
            <v>PILITA</v>
          </cell>
        </row>
        <row r="3104">
          <cell r="A3104" t="str">
            <v>PILANI INVESTMENT AND INDUSTRIES CORPORATION LTD</v>
          </cell>
          <cell r="B3104">
            <v>539883</v>
          </cell>
          <cell r="C3104" t="str">
            <v>PILANIINVS</v>
          </cell>
        </row>
        <row r="3105">
          <cell r="A3105" t="str">
            <v>PIONEER AGRO EXTRACTS LTD</v>
          </cell>
          <cell r="B3105">
            <v>519439</v>
          </cell>
          <cell r="C3105" t="str">
            <v>Not Listed</v>
          </cell>
        </row>
        <row r="3106">
          <cell r="A3106" t="str">
            <v>PIONEER DISTILLERIES LTD</v>
          </cell>
          <cell r="B3106">
            <v>531879</v>
          </cell>
          <cell r="C3106" t="str">
            <v>PIONDIST</v>
          </cell>
        </row>
        <row r="3107">
          <cell r="A3107" t="str">
            <v>PIONEER EMBROIDERIES LTD</v>
          </cell>
          <cell r="B3107">
            <v>514300</v>
          </cell>
          <cell r="C3107" t="str">
            <v>PIONEEREMB</v>
          </cell>
        </row>
        <row r="3108">
          <cell r="A3108" t="str">
            <v>PIONEER INVESTCORP LTD</v>
          </cell>
          <cell r="B3108">
            <v>507864</v>
          </cell>
          <cell r="C3108" t="str">
            <v>Not Listed</v>
          </cell>
        </row>
        <row r="3109">
          <cell r="A3109" t="str">
            <v>PIRAMAL ENTERPRISES LTD</v>
          </cell>
          <cell r="B3109">
            <v>500302</v>
          </cell>
          <cell r="C3109" t="str">
            <v>PEL</v>
          </cell>
        </row>
        <row r="3110">
          <cell r="A3110" t="str">
            <v>PIRAMAL PHYTOCARE LTD</v>
          </cell>
          <cell r="B3110">
            <v>532979</v>
          </cell>
          <cell r="C3110" t="str">
            <v>PIRPHYTO</v>
          </cell>
        </row>
        <row r="3111">
          <cell r="A3111" t="str">
            <v>PITHAMPUR POLY PRODUCTS LTD</v>
          </cell>
          <cell r="B3111">
            <v>530683</v>
          </cell>
          <cell r="C3111" t="str">
            <v>Not Listed</v>
          </cell>
        </row>
        <row r="3112">
          <cell r="A3112" t="str">
            <v>PITTI ENGINEERING LTD</v>
          </cell>
          <cell r="B3112">
            <v>513519</v>
          </cell>
          <cell r="C3112" t="str">
            <v>PITTIENG</v>
          </cell>
        </row>
        <row r="3113">
          <cell r="A3113" t="str">
            <v>PIX TRANSMISSIONS LTD</v>
          </cell>
          <cell r="B3113">
            <v>500333</v>
          </cell>
          <cell r="C3113" t="str">
            <v>Not Listed</v>
          </cell>
        </row>
        <row r="3114">
          <cell r="A3114" t="str">
            <v>PLANTER POLYSACKS LTD</v>
          </cell>
          <cell r="B3114">
            <v>523105</v>
          </cell>
          <cell r="C3114" t="str">
            <v>Not Listed</v>
          </cell>
        </row>
        <row r="3115">
          <cell r="A3115" t="str">
            <v>PLASTIBLENDS (INDIA) LTD</v>
          </cell>
          <cell r="B3115">
            <v>523648</v>
          </cell>
          <cell r="C3115" t="str">
            <v>PLASTIBLEN</v>
          </cell>
        </row>
        <row r="3116">
          <cell r="A3116" t="str">
            <v>PLASTIBLENDS INDIA LTD</v>
          </cell>
          <cell r="B3116">
            <v>523648</v>
          </cell>
          <cell r="C3116" t="str">
            <v>PLASTIBLEN</v>
          </cell>
        </row>
        <row r="3117">
          <cell r="A3117" t="str">
            <v>PMC FINCORP LTD</v>
          </cell>
          <cell r="B3117">
            <v>534060</v>
          </cell>
          <cell r="C3117" t="str">
            <v>Not Listed</v>
          </cell>
        </row>
        <row r="3118">
          <cell r="A3118" t="str">
            <v>PNB GILTS LTD</v>
          </cell>
          <cell r="B3118">
            <v>532366</v>
          </cell>
          <cell r="C3118" t="str">
            <v>PNBGILTS</v>
          </cell>
        </row>
        <row r="3119">
          <cell r="A3119" t="str">
            <v>PNB HOUSING FINANCE LTD</v>
          </cell>
          <cell r="B3119">
            <v>540173</v>
          </cell>
          <cell r="C3119" t="str">
            <v>PNBHOUSING</v>
          </cell>
        </row>
        <row r="3120">
          <cell r="A3120" t="str">
            <v>PNC INFRATECH LTD</v>
          </cell>
          <cell r="B3120">
            <v>539150</v>
          </cell>
          <cell r="C3120" t="str">
            <v>PNCINFRA</v>
          </cell>
        </row>
        <row r="3121">
          <cell r="A3121" t="str">
            <v>POCHIRAJU INDUSTRIES LTD</v>
          </cell>
          <cell r="B3121">
            <v>532803</v>
          </cell>
          <cell r="C3121" t="str">
            <v>POCHIRAJU</v>
          </cell>
        </row>
        <row r="3122">
          <cell r="A3122" t="str">
            <v>POCL ENTERPRISES LTD</v>
          </cell>
          <cell r="B3122">
            <v>539195</v>
          </cell>
          <cell r="C3122" t="str">
            <v>Not Listed</v>
          </cell>
        </row>
        <row r="3123">
          <cell r="A3123" t="str">
            <v>PODDAR HOUSING AND DEVELOPMENT LTD</v>
          </cell>
          <cell r="B3123">
            <v>523628</v>
          </cell>
          <cell r="C3123" t="str">
            <v>PODDARHOUS</v>
          </cell>
        </row>
        <row r="3124">
          <cell r="A3124" t="str">
            <v>PODDAR PIGMENTS LTD</v>
          </cell>
          <cell r="B3124">
            <v>524570</v>
          </cell>
          <cell r="C3124" t="str">
            <v>PODDARMENT</v>
          </cell>
        </row>
        <row r="3125">
          <cell r="A3125" t="str">
            <v>POKARNA LTD</v>
          </cell>
          <cell r="B3125">
            <v>532486</v>
          </cell>
          <cell r="C3125" t="str">
            <v>POKARNA</v>
          </cell>
        </row>
        <row r="3126">
          <cell r="A3126" t="str">
            <v>POLO HOTELS LTD</v>
          </cell>
          <cell r="B3126">
            <v>526687</v>
          </cell>
          <cell r="C3126" t="str">
            <v>Not Listed</v>
          </cell>
        </row>
        <row r="3127">
          <cell r="A3127" t="str">
            <v>POLO QUEEN INDUSTRIAL AND FINTECH LTD</v>
          </cell>
          <cell r="B3127">
            <v>540717</v>
          </cell>
          <cell r="C3127" t="str">
            <v>Not Listed</v>
          </cell>
        </row>
        <row r="3128">
          <cell r="A3128" t="str">
            <v>POLSON LTD</v>
          </cell>
          <cell r="B3128">
            <v>507645</v>
          </cell>
          <cell r="C3128" t="str">
            <v>Not Listed</v>
          </cell>
        </row>
        <row r="3129">
          <cell r="A3129" t="str">
            <v>POLY MEDICURE LTD</v>
          </cell>
          <cell r="B3129">
            <v>531768</v>
          </cell>
          <cell r="C3129" t="str">
            <v>POLYMED</v>
          </cell>
        </row>
        <row r="3130">
          <cell r="A3130" t="str">
            <v>Polycab India Ltd</v>
          </cell>
          <cell r="B3130">
            <v>542652</v>
          </cell>
          <cell r="C3130" t="str">
            <v>POLYCAB</v>
          </cell>
        </row>
        <row r="3131">
          <cell r="A3131" t="str">
            <v>POLYCHEM LTD</v>
          </cell>
          <cell r="B3131">
            <v>506605</v>
          </cell>
          <cell r="C3131" t="str">
            <v>Not Listed</v>
          </cell>
        </row>
        <row r="3132">
          <cell r="A3132" t="str">
            <v>POLYCON INTERNATIONAL LTD</v>
          </cell>
          <cell r="B3132">
            <v>531397</v>
          </cell>
          <cell r="C3132" t="str">
            <v>Not Listed</v>
          </cell>
        </row>
        <row r="3133">
          <cell r="A3133" t="str">
            <v>POLYGENTA TECHNOLOGIES LTD</v>
          </cell>
          <cell r="B3133">
            <v>514486</v>
          </cell>
          <cell r="C3133" t="str">
            <v>Not Listed</v>
          </cell>
        </row>
        <row r="3134">
          <cell r="A3134" t="str">
            <v>POLYLINK POLYMERS (INDIA) LTD</v>
          </cell>
          <cell r="B3134">
            <v>531454</v>
          </cell>
          <cell r="C3134" t="str">
            <v>Not Listed</v>
          </cell>
        </row>
        <row r="3135">
          <cell r="A3135" t="str">
            <v>POLYLINK POLYMERS INDIA LTD</v>
          </cell>
          <cell r="B3135">
            <v>531454</v>
          </cell>
          <cell r="C3135" t="str">
            <v>Not Listed</v>
          </cell>
        </row>
        <row r="3136">
          <cell r="A3136" t="str">
            <v>POLYMAC THERMOFORMERS LTD</v>
          </cell>
          <cell r="B3136">
            <v>537573</v>
          </cell>
          <cell r="C3136" t="str">
            <v>Not Listed</v>
          </cell>
        </row>
        <row r="3137">
          <cell r="A3137" t="str">
            <v>POLYMECHPLAST MACHINES LTD</v>
          </cell>
          <cell r="B3137">
            <v>526043</v>
          </cell>
          <cell r="C3137" t="str">
            <v>Not Listed</v>
          </cell>
        </row>
        <row r="3138">
          <cell r="A3138" t="str">
            <v>POLYPLEX CORPORATION LTD</v>
          </cell>
          <cell r="B3138">
            <v>524051</v>
          </cell>
          <cell r="C3138" t="str">
            <v>POLYPLEX</v>
          </cell>
        </row>
        <row r="3139">
          <cell r="A3139" t="str">
            <v>POLYSPIN EXPORTS LTD</v>
          </cell>
          <cell r="B3139">
            <v>539354</v>
          </cell>
          <cell r="C3139" t="str">
            <v>Not Listed</v>
          </cell>
        </row>
        <row r="3140">
          <cell r="A3140" t="str">
            <v>POLYTEX (INDIA) LTD</v>
          </cell>
          <cell r="B3140">
            <v>512481</v>
          </cell>
          <cell r="C3140" t="str">
            <v>Not Listed</v>
          </cell>
        </row>
        <row r="3141">
          <cell r="A3141" t="str">
            <v>POLYTEX INDIA LTD</v>
          </cell>
          <cell r="B3141">
            <v>512481</v>
          </cell>
          <cell r="C3141" t="str">
            <v>Not Listed</v>
          </cell>
        </row>
        <row r="3142">
          <cell r="A3142" t="str">
            <v>PONDY OXIDES &amp; CHEMICALS LTD</v>
          </cell>
          <cell r="B3142">
            <v>532626</v>
          </cell>
          <cell r="C3142" t="str">
            <v>Not Listed</v>
          </cell>
        </row>
        <row r="3143">
          <cell r="A3143" t="str">
            <v>PONNI SUGARS ERODE LTD</v>
          </cell>
          <cell r="B3143">
            <v>532460</v>
          </cell>
          <cell r="C3143" t="str">
            <v>PONNIERODE</v>
          </cell>
        </row>
        <row r="3144">
          <cell r="A3144" t="str">
            <v>POOJA ENTERTAINMENT AND FILMS LTD</v>
          </cell>
          <cell r="B3144">
            <v>532011</v>
          </cell>
          <cell r="C3144" t="str">
            <v>Not Listed</v>
          </cell>
        </row>
        <row r="3145">
          <cell r="A3145" t="str">
            <v>POOJAWESTERN METALIKS LTD</v>
          </cell>
          <cell r="B3145">
            <v>540727</v>
          </cell>
          <cell r="C3145" t="str">
            <v>Not Listed</v>
          </cell>
        </row>
        <row r="3146">
          <cell r="A3146" t="str">
            <v>POONA DAL &amp; OIL INDUSTRIES LTD</v>
          </cell>
          <cell r="B3146">
            <v>519359</v>
          </cell>
          <cell r="C3146" t="str">
            <v>Not Listed</v>
          </cell>
        </row>
        <row r="3147">
          <cell r="A3147" t="str">
            <v>POPULAR ESTATE MANAGEMENT LTD</v>
          </cell>
          <cell r="B3147">
            <v>531870</v>
          </cell>
          <cell r="C3147" t="str">
            <v>Not Listed</v>
          </cell>
        </row>
        <row r="3148">
          <cell r="A3148" t="str">
            <v>PORWAL AUTO COMPONENTS LTD</v>
          </cell>
          <cell r="B3148">
            <v>532933</v>
          </cell>
          <cell r="C3148" t="str">
            <v>Not Listed</v>
          </cell>
        </row>
        <row r="3149">
          <cell r="A3149" t="str">
            <v>POWER &amp; INSTRUMENTATION GUJARAT LTD</v>
          </cell>
          <cell r="B3149" t="str">
            <v>Not Listed</v>
          </cell>
          <cell r="C3149" t="str">
            <v>PIGL</v>
          </cell>
        </row>
        <row r="3150">
          <cell r="A3150" t="str">
            <v>POWER FINANCE CORPORATION LTD</v>
          </cell>
          <cell r="B3150">
            <v>532810</v>
          </cell>
          <cell r="C3150" t="str">
            <v>PFC</v>
          </cell>
        </row>
        <row r="3151">
          <cell r="A3151" t="str">
            <v>POWER GRID CORPORATION OF (INDIA) LTD</v>
          </cell>
          <cell r="B3151">
            <v>532898</v>
          </cell>
          <cell r="C3151" t="str">
            <v>POWERGRID</v>
          </cell>
        </row>
        <row r="3152">
          <cell r="A3152" t="str">
            <v>POWER GRID CORPORATION OF INDIA LTD</v>
          </cell>
          <cell r="B3152">
            <v>532898</v>
          </cell>
          <cell r="C3152" t="str">
            <v>POWERGRID</v>
          </cell>
        </row>
        <row r="3153">
          <cell r="A3153" t="str">
            <v>POWER MECH PROJECTS LTD</v>
          </cell>
          <cell r="B3153">
            <v>539302</v>
          </cell>
          <cell r="C3153" t="str">
            <v>POWERMECH</v>
          </cell>
        </row>
        <row r="3154">
          <cell r="A3154" t="str">
            <v>POWERFUL TECHNOLOGIES LTD</v>
          </cell>
          <cell r="B3154" t="str">
            <v>Not Listed</v>
          </cell>
          <cell r="C3154" t="str">
            <v>POWERFUL</v>
          </cell>
        </row>
        <row r="3155">
          <cell r="A3155" t="str">
            <v>POWERHOUSE GYM &amp; WELLNESS LTD</v>
          </cell>
          <cell r="B3155">
            <v>538731</v>
          </cell>
          <cell r="C3155" t="str">
            <v>Not Listed</v>
          </cell>
        </row>
        <row r="3156">
          <cell r="A3156" t="str">
            <v>PPAP AUTOMOTIVE LTD</v>
          </cell>
          <cell r="B3156">
            <v>532934</v>
          </cell>
          <cell r="C3156" t="str">
            <v>PPAP</v>
          </cell>
        </row>
        <row r="3157">
          <cell r="A3157" t="str">
            <v>PRABHAT DAIRY LTD</v>
          </cell>
          <cell r="B3157">
            <v>539351</v>
          </cell>
          <cell r="C3157" t="str">
            <v>PRABHAT</v>
          </cell>
        </row>
        <row r="3158">
          <cell r="A3158" t="str">
            <v>PRABHAT TELECOMS (INDIA) LTD</v>
          </cell>
          <cell r="B3158">
            <v>540027</v>
          </cell>
          <cell r="C3158" t="str">
            <v>Not Listed</v>
          </cell>
        </row>
        <row r="3159">
          <cell r="A3159" t="str">
            <v>PRABHAT TELECOMS INDIA LTD</v>
          </cell>
          <cell r="B3159">
            <v>540027</v>
          </cell>
          <cell r="C3159" t="str">
            <v>Not Listed</v>
          </cell>
        </row>
        <row r="3160">
          <cell r="A3160" t="str">
            <v>PRABHAV INDUSTRIES LTD</v>
          </cell>
          <cell r="B3160">
            <v>531855</v>
          </cell>
          <cell r="C3160" t="str">
            <v>Not Listed</v>
          </cell>
        </row>
        <row r="3161">
          <cell r="A3161" t="str">
            <v>PRABHU STEEL INDUSTRIES LTD</v>
          </cell>
          <cell r="B3161">
            <v>506042</v>
          </cell>
          <cell r="C3161" t="str">
            <v>Not Listed</v>
          </cell>
        </row>
        <row r="3162">
          <cell r="A3162" t="str">
            <v>PRADEEP METALS LTD</v>
          </cell>
          <cell r="B3162">
            <v>513532</v>
          </cell>
          <cell r="C3162" t="str">
            <v>Not Listed</v>
          </cell>
        </row>
        <row r="3163">
          <cell r="A3163" t="str">
            <v>PRADHIN LTD</v>
          </cell>
          <cell r="B3163">
            <v>530095</v>
          </cell>
          <cell r="C3163" t="str">
            <v>Not Listed</v>
          </cell>
        </row>
        <row r="3164">
          <cell r="A3164" t="str">
            <v>PRADIP OVERSEAS LTD</v>
          </cell>
          <cell r="B3164">
            <v>533178</v>
          </cell>
          <cell r="C3164" t="str">
            <v>PRADIP</v>
          </cell>
        </row>
        <row r="3165">
          <cell r="A3165" t="str">
            <v>PRAG BOSIMI SYNTHETICS LTD</v>
          </cell>
          <cell r="B3165">
            <v>500192</v>
          </cell>
          <cell r="C3165" t="str">
            <v>Not Listed</v>
          </cell>
        </row>
        <row r="3166">
          <cell r="A3166" t="str">
            <v>PRAJ INDUSTRIES LTD</v>
          </cell>
          <cell r="B3166">
            <v>522205</v>
          </cell>
          <cell r="C3166" t="str">
            <v>PRAJIND</v>
          </cell>
        </row>
        <row r="3167">
          <cell r="A3167" t="str">
            <v>PRAJAY ENGINEERS SYNDICATE LTD</v>
          </cell>
          <cell r="B3167">
            <v>531746</v>
          </cell>
          <cell r="C3167" t="str">
            <v>PRAENG</v>
          </cell>
        </row>
        <row r="3168">
          <cell r="A3168" t="str">
            <v>PRAKASH CONSTROWELL LTD</v>
          </cell>
          <cell r="B3168">
            <v>533605</v>
          </cell>
          <cell r="C3168" t="str">
            <v>PRAKASHCON</v>
          </cell>
        </row>
        <row r="3169">
          <cell r="A3169" t="str">
            <v>PRAKASH INDUSTRIES LTD</v>
          </cell>
          <cell r="B3169">
            <v>506022</v>
          </cell>
          <cell r="C3169" t="str">
            <v>PRAKASH</v>
          </cell>
        </row>
        <row r="3170">
          <cell r="A3170" t="str">
            <v>Prakash Pipes Ltd</v>
          </cell>
          <cell r="B3170">
            <v>542684</v>
          </cell>
          <cell r="C3170" t="str">
            <v>PPL</v>
          </cell>
        </row>
        <row r="3171">
          <cell r="A3171" t="str">
            <v>PRAKASH STEELAGE LTD</v>
          </cell>
          <cell r="B3171">
            <v>533239</v>
          </cell>
          <cell r="C3171" t="str">
            <v>PRAKASHSTL</v>
          </cell>
        </row>
        <row r="3172">
          <cell r="A3172" t="str">
            <v>PRAKASH WOOLLEN &amp; SYNTHETIC MILLS LTD</v>
          </cell>
          <cell r="B3172">
            <v>531437</v>
          </cell>
          <cell r="C3172" t="str">
            <v>Not Listed</v>
          </cell>
        </row>
        <row r="3173">
          <cell r="A3173" t="str">
            <v>PRANAVADITYA SPINNING MILLS LTD</v>
          </cell>
          <cell r="B3173">
            <v>531172</v>
          </cell>
          <cell r="C3173" t="str">
            <v>Not Listed</v>
          </cell>
        </row>
        <row r="3174">
          <cell r="A3174" t="str">
            <v>PRASHANT (INDIA) LTD</v>
          </cell>
          <cell r="B3174">
            <v>519014</v>
          </cell>
          <cell r="C3174" t="str">
            <v>Not Listed</v>
          </cell>
        </row>
        <row r="3175">
          <cell r="A3175" t="str">
            <v>PRASHANT INDIA LTD</v>
          </cell>
          <cell r="B3175">
            <v>519014</v>
          </cell>
          <cell r="C3175" t="str">
            <v>Not Listed</v>
          </cell>
        </row>
        <row r="3176">
          <cell r="A3176" t="str">
            <v>PRATAAP SNACKS LTD</v>
          </cell>
          <cell r="B3176">
            <v>540724</v>
          </cell>
          <cell r="C3176" t="str">
            <v>DIAMONDYD</v>
          </cell>
        </row>
        <row r="3177">
          <cell r="A3177" t="str">
            <v>PRATIK PANELS LTD</v>
          </cell>
          <cell r="B3177">
            <v>526490</v>
          </cell>
          <cell r="C3177" t="str">
            <v>Not Listed</v>
          </cell>
        </row>
        <row r="3178">
          <cell r="A3178" t="str">
            <v>PRATIKSHA CHEMICALS LTD</v>
          </cell>
          <cell r="B3178">
            <v>531257</v>
          </cell>
          <cell r="C3178" t="str">
            <v>Not Listed</v>
          </cell>
        </row>
        <row r="3179">
          <cell r="A3179" t="str">
            <v>PRAXIS HOME RETAIL LTD</v>
          </cell>
          <cell r="B3179">
            <v>540901</v>
          </cell>
          <cell r="C3179" t="str">
            <v>PRAXIS</v>
          </cell>
        </row>
        <row r="3180">
          <cell r="A3180" t="str">
            <v>PRECIOUS TRADING &amp; INVESTMENTS LTD</v>
          </cell>
          <cell r="B3180">
            <v>506107</v>
          </cell>
          <cell r="C3180" t="str">
            <v>Not Listed</v>
          </cell>
        </row>
        <row r="3181">
          <cell r="A3181" t="str">
            <v>PRECISION CAMSHAFTS LTD</v>
          </cell>
          <cell r="B3181">
            <v>539636</v>
          </cell>
          <cell r="C3181" t="str">
            <v>PRECAM</v>
          </cell>
        </row>
        <row r="3182">
          <cell r="A3182" t="str">
            <v>PRECISION CONTAINEURS LTD</v>
          </cell>
          <cell r="B3182">
            <v>523874</v>
          </cell>
          <cell r="C3182" t="str">
            <v>Not Listed</v>
          </cell>
        </row>
        <row r="3183">
          <cell r="A3183" t="str">
            <v>PRECISION ELECTRONICS LTD</v>
          </cell>
          <cell r="B3183">
            <v>517258</v>
          </cell>
          <cell r="C3183" t="str">
            <v>Not Listed</v>
          </cell>
        </row>
        <row r="3184">
          <cell r="A3184" t="str">
            <v>PRECISION WIRES (INDIA) LTD</v>
          </cell>
          <cell r="B3184">
            <v>523539</v>
          </cell>
          <cell r="C3184" t="str">
            <v>PRECWIRE</v>
          </cell>
        </row>
        <row r="3185">
          <cell r="A3185" t="str">
            <v>PRECISION WIRES INDIA LTD</v>
          </cell>
          <cell r="B3185">
            <v>523539</v>
          </cell>
          <cell r="C3185" t="str">
            <v>PRECWIRE</v>
          </cell>
        </row>
        <row r="3186">
          <cell r="A3186" t="str">
            <v>PRECOT MERIDIAN LTD</v>
          </cell>
          <cell r="B3186" t="str">
            <v>Not Listed</v>
          </cell>
          <cell r="C3186" t="str">
            <v>PRECOT</v>
          </cell>
        </row>
        <row r="3187">
          <cell r="A3187" t="str">
            <v>PREM SOMANI FINANCIAL SERVICES LTD</v>
          </cell>
          <cell r="B3187">
            <v>530669</v>
          </cell>
          <cell r="C3187" t="str">
            <v>Not Listed</v>
          </cell>
        </row>
        <row r="3188">
          <cell r="A3188" t="str">
            <v>PREMCO GLOBAL LTD</v>
          </cell>
          <cell r="B3188">
            <v>530331</v>
          </cell>
          <cell r="C3188" t="str">
            <v>Not Listed</v>
          </cell>
        </row>
        <row r="3189">
          <cell r="A3189" t="str">
            <v>PREMIER CHENNAI PROPERTIES LTD</v>
          </cell>
          <cell r="B3189">
            <v>780007</v>
          </cell>
          <cell r="C3189" t="str">
            <v>Not Listed</v>
          </cell>
        </row>
        <row r="3190">
          <cell r="A3190" t="str">
            <v>PREMIER EXPLOSIVES LTD</v>
          </cell>
          <cell r="B3190">
            <v>526247</v>
          </cell>
          <cell r="C3190" t="str">
            <v>PREMEXPLN</v>
          </cell>
        </row>
        <row r="3191">
          <cell r="A3191" t="str">
            <v>PREMIER LTD</v>
          </cell>
          <cell r="B3191">
            <v>500540</v>
          </cell>
          <cell r="C3191" t="str">
            <v>PREMIER</v>
          </cell>
        </row>
        <row r="3192">
          <cell r="A3192" t="str">
            <v>PREMIER PIPES LTD</v>
          </cell>
          <cell r="B3192">
            <v>513291</v>
          </cell>
          <cell r="C3192" t="str">
            <v>Not Listed</v>
          </cell>
        </row>
        <row r="3193">
          <cell r="A3193" t="str">
            <v>PREMIER POLYFILM LTD</v>
          </cell>
          <cell r="B3193">
            <v>514354</v>
          </cell>
          <cell r="C3193" t="str">
            <v>PREMIERPOL</v>
          </cell>
        </row>
        <row r="3194">
          <cell r="A3194" t="str">
            <v>PREMIER SYNTHETICS LTD</v>
          </cell>
          <cell r="B3194">
            <v>509835</v>
          </cell>
          <cell r="C3194" t="str">
            <v>Not Listed</v>
          </cell>
        </row>
        <row r="3195">
          <cell r="A3195" t="str">
            <v>PRERNA INFRABUILD LTD</v>
          </cell>
          <cell r="B3195">
            <v>531802</v>
          </cell>
          <cell r="C3195" t="str">
            <v>Not Listed</v>
          </cell>
        </row>
        <row r="3196">
          <cell r="A3196" t="str">
            <v>PRESSMAN ADVERTISING LTD</v>
          </cell>
          <cell r="B3196">
            <v>509077</v>
          </cell>
          <cell r="C3196" t="str">
            <v>PRESSMN</v>
          </cell>
        </row>
        <row r="3197">
          <cell r="A3197" t="str">
            <v>PRESTIGE ESTATES PROJECTS LTD</v>
          </cell>
          <cell r="B3197">
            <v>533274</v>
          </cell>
          <cell r="C3197" t="str">
            <v>PRESTIGE</v>
          </cell>
        </row>
        <row r="3198">
          <cell r="A3198" t="str">
            <v>PRICOL LTD</v>
          </cell>
          <cell r="B3198">
            <v>540293</v>
          </cell>
          <cell r="C3198" t="str">
            <v>PRICOLLTD</v>
          </cell>
        </row>
        <row r="3199">
          <cell r="A3199" t="str">
            <v>PRIMA AGRO LTD</v>
          </cell>
          <cell r="B3199">
            <v>519262</v>
          </cell>
          <cell r="C3199" t="str">
            <v>Not Listed</v>
          </cell>
        </row>
        <row r="3200">
          <cell r="A3200" t="str">
            <v>PRIMA INDUSTRIES LTD</v>
          </cell>
          <cell r="B3200">
            <v>531246</v>
          </cell>
          <cell r="C3200" t="str">
            <v>Not Listed</v>
          </cell>
        </row>
        <row r="3201">
          <cell r="A3201" t="str">
            <v>PRIMA PLASTICS LTD</v>
          </cell>
          <cell r="B3201">
            <v>530589</v>
          </cell>
          <cell r="C3201" t="str">
            <v>Not Listed</v>
          </cell>
        </row>
        <row r="3202">
          <cell r="A3202" t="str">
            <v>PRIME CAPITAL MARKET LTD</v>
          </cell>
          <cell r="B3202">
            <v>535514</v>
          </cell>
          <cell r="C3202" t="str">
            <v>Not Listed</v>
          </cell>
        </row>
        <row r="3203">
          <cell r="A3203" t="str">
            <v>PRIME CUSTOMER SERVICES LTD</v>
          </cell>
          <cell r="B3203">
            <v>540404</v>
          </cell>
          <cell r="C3203" t="str">
            <v>Not Listed</v>
          </cell>
        </row>
        <row r="3204">
          <cell r="A3204" t="str">
            <v>PRIME FOCUS LTD</v>
          </cell>
          <cell r="B3204">
            <v>532748</v>
          </cell>
          <cell r="C3204" t="str">
            <v>PFOCUS</v>
          </cell>
        </row>
        <row r="3205">
          <cell r="A3205" t="str">
            <v>PRIME INDUSTRIES LTD</v>
          </cell>
          <cell r="B3205">
            <v>519299</v>
          </cell>
          <cell r="C3205" t="str">
            <v>Not Listed</v>
          </cell>
        </row>
        <row r="3206">
          <cell r="A3206" t="str">
            <v>PRIME PROPERTY DEVELOPMENT CORPORATION LTD</v>
          </cell>
          <cell r="B3206">
            <v>530695</v>
          </cell>
          <cell r="C3206" t="str">
            <v>Not Listed</v>
          </cell>
        </row>
        <row r="3207">
          <cell r="A3207" t="str">
            <v>PRIME SECURITIES LTD</v>
          </cell>
          <cell r="B3207">
            <v>500337</v>
          </cell>
          <cell r="C3207" t="str">
            <v>PRIMESECU</v>
          </cell>
        </row>
        <row r="3208">
          <cell r="A3208" t="str">
            <v>PRIME URBAN DEVELOPMENT (INDIA) LTD</v>
          </cell>
          <cell r="B3208">
            <v>521149</v>
          </cell>
          <cell r="C3208" t="str">
            <v>Not Listed</v>
          </cell>
        </row>
        <row r="3209">
          <cell r="A3209" t="str">
            <v>PRIME URBAN DEVELOPMENT INDIA LTD</v>
          </cell>
          <cell r="B3209">
            <v>521149</v>
          </cell>
          <cell r="C3209" t="str">
            <v>Not Listed</v>
          </cell>
        </row>
        <row r="3210">
          <cell r="A3210" t="str">
            <v>PRISM FINANCE LTD</v>
          </cell>
          <cell r="B3210">
            <v>531735</v>
          </cell>
          <cell r="C3210" t="str">
            <v>Not Listed</v>
          </cell>
        </row>
        <row r="3211">
          <cell r="A3211" t="str">
            <v>PRISM JOHNSON LTD</v>
          </cell>
          <cell r="B3211">
            <v>500338</v>
          </cell>
          <cell r="C3211" t="str">
            <v>PRSMJOHNSN</v>
          </cell>
        </row>
        <row r="3212">
          <cell r="A3212" t="str">
            <v>PRISM MEDICO AND PHARMACY LTD</v>
          </cell>
          <cell r="B3212">
            <v>512217</v>
          </cell>
          <cell r="C3212" t="str">
            <v>Not Listed</v>
          </cell>
        </row>
        <row r="3213">
          <cell r="A3213" t="str">
            <v>PRITHVI EXCHANGE (INDIA) LTD</v>
          </cell>
          <cell r="B3213">
            <v>531688</v>
          </cell>
          <cell r="C3213" t="str">
            <v>Not Listed</v>
          </cell>
        </row>
        <row r="3214">
          <cell r="A3214" t="str">
            <v>PRITHVI EXCHANGE INDIA LTD</v>
          </cell>
          <cell r="B3214">
            <v>531688</v>
          </cell>
          <cell r="C3214" t="str">
            <v>Not Listed</v>
          </cell>
        </row>
        <row r="3215">
          <cell r="A3215" t="str">
            <v>PRITI INTERNATIONAL LTD</v>
          </cell>
          <cell r="B3215" t="str">
            <v>Not Listed</v>
          </cell>
          <cell r="C3215" t="str">
            <v>PRITI</v>
          </cell>
        </row>
        <row r="3216">
          <cell r="A3216" t="str">
            <v>PRITIKA AUTO INDUSTRIES LTD</v>
          </cell>
          <cell r="B3216">
            <v>539359</v>
          </cell>
          <cell r="C3216" t="str">
            <v>Not Listed</v>
          </cell>
        </row>
        <row r="3217">
          <cell r="A3217" t="str">
            <v>PRITISH NANDY COMMUNICATIONS LTD</v>
          </cell>
          <cell r="B3217">
            <v>532387</v>
          </cell>
          <cell r="C3217" t="str">
            <v>PNC</v>
          </cell>
        </row>
        <row r="3218">
          <cell r="A3218" t="str">
            <v>PRIYA LTD</v>
          </cell>
          <cell r="B3218">
            <v>524580</v>
          </cell>
          <cell r="C3218" t="str">
            <v>Not Listed</v>
          </cell>
        </row>
        <row r="3219">
          <cell r="A3219" t="str">
            <v>PRO FIN CAPITAL SERVICES LTD</v>
          </cell>
          <cell r="B3219">
            <v>511557</v>
          </cell>
          <cell r="C3219" t="str">
            <v>Not Listed</v>
          </cell>
        </row>
        <row r="3220">
          <cell r="A3220" t="str">
            <v>PROAIM ENTERPRISES LTD</v>
          </cell>
          <cell r="B3220">
            <v>512105</v>
          </cell>
          <cell r="C3220" t="str">
            <v>Not Listed</v>
          </cell>
        </row>
        <row r="3221">
          <cell r="A3221" t="str">
            <v>PROCAL ELECTRONICS (INDIA) LTD</v>
          </cell>
          <cell r="B3221">
            <v>526009</v>
          </cell>
          <cell r="C3221" t="str">
            <v>Not Listed</v>
          </cell>
        </row>
        <row r="3222">
          <cell r="A3222" t="str">
            <v>PROCAL ELECTRONICS INDIA LTD</v>
          </cell>
          <cell r="B3222">
            <v>526009</v>
          </cell>
          <cell r="C3222" t="str">
            <v>Not Listed</v>
          </cell>
        </row>
        <row r="3223">
          <cell r="A3223" t="str">
            <v>Procter &amp; Gamble Health LTD</v>
          </cell>
          <cell r="B3223" t="str">
            <v>Not Listed</v>
          </cell>
          <cell r="C3223" t="str">
            <v>PGHL</v>
          </cell>
        </row>
        <row r="3224">
          <cell r="A3224" t="str">
            <v>PROCTER &amp; GAMBLE HYGIENE AND HEALTH CARE LTD</v>
          </cell>
          <cell r="B3224">
            <v>500459</v>
          </cell>
          <cell r="C3224" t="str">
            <v>PGHH</v>
          </cell>
        </row>
        <row r="3225">
          <cell r="A3225" t="str">
            <v>PROGRESSIVE EXTRACTIONS &amp; EXPORTS LTD</v>
          </cell>
          <cell r="B3225">
            <v>531265</v>
          </cell>
          <cell r="C3225" t="str">
            <v>Not Listed</v>
          </cell>
        </row>
        <row r="3226">
          <cell r="A3226" t="str">
            <v>PROLIFE INDUSTRIES LTD</v>
          </cell>
          <cell r="B3226" t="str">
            <v>Not Listed</v>
          </cell>
          <cell r="C3226" t="str">
            <v>PROLIFE</v>
          </cell>
        </row>
        <row r="3227">
          <cell r="A3227" t="str">
            <v>PROMACT IMPEX LTD</v>
          </cell>
          <cell r="B3227">
            <v>526494</v>
          </cell>
          <cell r="C3227" t="str">
            <v>Not Listed</v>
          </cell>
        </row>
        <row r="3228">
          <cell r="A3228" t="str">
            <v>PROSEED (INDIA) LTD</v>
          </cell>
          <cell r="B3228">
            <v>590057</v>
          </cell>
          <cell r="C3228" t="str">
            <v>PROSEED</v>
          </cell>
        </row>
        <row r="3229">
          <cell r="A3229" t="str">
            <v>PROSEED INDIA LTD</v>
          </cell>
          <cell r="B3229">
            <v>590057</v>
          </cell>
          <cell r="C3229" t="str">
            <v>PROSEED</v>
          </cell>
        </row>
        <row r="3230">
          <cell r="A3230" t="str">
            <v>PROVESTMENT SERVICES LTD</v>
          </cell>
          <cell r="B3230">
            <v>540703</v>
          </cell>
          <cell r="C3230" t="str">
            <v>Not Listed</v>
          </cell>
        </row>
        <row r="3231">
          <cell r="A3231" t="str">
            <v>PROVOGUE (INDIA) LTD</v>
          </cell>
          <cell r="B3231">
            <v>532647</v>
          </cell>
          <cell r="C3231" t="str">
            <v>PROVOGE</v>
          </cell>
        </row>
        <row r="3232">
          <cell r="A3232" t="str">
            <v>PROVOGUE INDIA LTD</v>
          </cell>
          <cell r="B3232">
            <v>532647</v>
          </cell>
          <cell r="C3232" t="str">
            <v>PROVOGE</v>
          </cell>
        </row>
        <row r="3233">
          <cell r="A3233" t="str">
            <v>PROZONE INTU PROPERTIES LTD</v>
          </cell>
          <cell r="B3233">
            <v>534675</v>
          </cell>
          <cell r="C3233" t="str">
            <v>PROZONINTU</v>
          </cell>
        </row>
        <row r="3234">
          <cell r="A3234" t="str">
            <v>PS IT INFRASTRUCTURE &amp; SERVICES LTD</v>
          </cell>
          <cell r="B3234">
            <v>505502</v>
          </cell>
          <cell r="C3234" t="str">
            <v>Not Listed</v>
          </cell>
        </row>
        <row r="3235">
          <cell r="A3235" t="str">
            <v>PSL LTD</v>
          </cell>
          <cell r="B3235">
            <v>526801</v>
          </cell>
          <cell r="C3235" t="str">
            <v>PSL</v>
          </cell>
        </row>
        <row r="3236">
          <cell r="A3236" t="str">
            <v>PSP PROJECTS LTD</v>
          </cell>
          <cell r="B3236">
            <v>540544</v>
          </cell>
          <cell r="C3236" t="str">
            <v>PSPPROJECT</v>
          </cell>
        </row>
        <row r="3237">
          <cell r="A3237" t="str">
            <v>PTC (INDIA) LTD</v>
          </cell>
          <cell r="B3237">
            <v>532524</v>
          </cell>
          <cell r="C3237" t="str">
            <v>PTC</v>
          </cell>
        </row>
        <row r="3238">
          <cell r="A3238" t="str">
            <v>PTC INDIA FINANCIAL SERVICES LTD</v>
          </cell>
          <cell r="B3238">
            <v>533344</v>
          </cell>
          <cell r="C3238" t="str">
            <v>PFS</v>
          </cell>
        </row>
        <row r="3239">
          <cell r="A3239" t="str">
            <v>PTC INDIA LTD</v>
          </cell>
          <cell r="B3239">
            <v>532524</v>
          </cell>
          <cell r="C3239" t="str">
            <v>PTC</v>
          </cell>
        </row>
        <row r="3240">
          <cell r="A3240" t="str">
            <v>PTC INDUSTRIES LTD</v>
          </cell>
          <cell r="B3240">
            <v>539006</v>
          </cell>
          <cell r="C3240" t="str">
            <v>Not Listed</v>
          </cell>
        </row>
        <row r="3241">
          <cell r="A3241" t="str">
            <v>PTL ENTERPRISES LTD</v>
          </cell>
          <cell r="B3241">
            <v>509220</v>
          </cell>
          <cell r="C3241" t="str">
            <v>PTL</v>
          </cell>
        </row>
        <row r="3242">
          <cell r="A3242" t="str">
            <v>PUDUMJEE PAPER PRODUCTS LTD</v>
          </cell>
          <cell r="B3242">
            <v>539785</v>
          </cell>
          <cell r="C3242" t="str">
            <v>PDMJEPAPER</v>
          </cell>
        </row>
        <row r="3243">
          <cell r="A3243" t="str">
            <v>PULSAR INTERNATIONAL LTD</v>
          </cell>
          <cell r="B3243">
            <v>512591</v>
          </cell>
          <cell r="C3243" t="str">
            <v>Not Listed</v>
          </cell>
        </row>
        <row r="3244">
          <cell r="A3244" t="str">
            <v>PULZ ELECTRONICS LTD</v>
          </cell>
          <cell r="B3244" t="str">
            <v>Not Listed</v>
          </cell>
          <cell r="C3244" t="str">
            <v>PULZ</v>
          </cell>
        </row>
        <row r="3245">
          <cell r="A3245" t="str">
            <v>PUNCTUAL TRADING LTD</v>
          </cell>
          <cell r="B3245">
            <v>512461</v>
          </cell>
          <cell r="C3245" t="str">
            <v>Not Listed</v>
          </cell>
        </row>
        <row r="3246">
          <cell r="A3246" t="str">
            <v>PUNIT COMMERCIALS LTD</v>
          </cell>
          <cell r="B3246">
            <v>512099</v>
          </cell>
          <cell r="C3246" t="str">
            <v>Not Listed</v>
          </cell>
        </row>
        <row r="3247">
          <cell r="A3247" t="str">
            <v>PUNJ LLOYD LTD</v>
          </cell>
          <cell r="B3247">
            <v>532693</v>
          </cell>
          <cell r="C3247" t="str">
            <v>PUNJLLOYD</v>
          </cell>
        </row>
        <row r="3248">
          <cell r="A3248" t="str">
            <v>PUNJAB &amp; SIND BANK</v>
          </cell>
          <cell r="B3248">
            <v>533295</v>
          </cell>
          <cell r="C3248" t="str">
            <v>PSB</v>
          </cell>
        </row>
        <row r="3249">
          <cell r="A3249" t="str">
            <v>PUNJAB ALKALIES &amp; CHEMICALS LTD</v>
          </cell>
          <cell r="B3249">
            <v>506852</v>
          </cell>
          <cell r="C3249" t="str">
            <v>Not Listed</v>
          </cell>
        </row>
        <row r="3250">
          <cell r="A3250" t="str">
            <v>PUNJAB CHEMICALS &amp; CROP PROTECTION LTD</v>
          </cell>
          <cell r="B3250">
            <v>506618</v>
          </cell>
          <cell r="C3250" t="str">
            <v>PUNJABCHEM</v>
          </cell>
        </row>
        <row r="3251">
          <cell r="A3251" t="str">
            <v>PUNJAB COMMUNICATIONS LTD</v>
          </cell>
          <cell r="B3251">
            <v>500346</v>
          </cell>
          <cell r="C3251" t="str">
            <v>Not Listed</v>
          </cell>
        </row>
        <row r="3252">
          <cell r="A3252" t="str">
            <v>PUNJAB NATIONAL BANK</v>
          </cell>
          <cell r="B3252">
            <v>532461</v>
          </cell>
          <cell r="C3252" t="str">
            <v>PNB</v>
          </cell>
        </row>
        <row r="3253">
          <cell r="A3253" t="str">
            <v>PURAVANKARA LTD</v>
          </cell>
          <cell r="B3253">
            <v>532891</v>
          </cell>
          <cell r="C3253" t="str">
            <v>PURVA</v>
          </cell>
        </row>
        <row r="3254">
          <cell r="A3254" t="str">
            <v>PURE GIFTCARAT LTD</v>
          </cell>
          <cell r="B3254">
            <v>540492</v>
          </cell>
          <cell r="C3254" t="str">
            <v>Not Listed</v>
          </cell>
        </row>
        <row r="3255">
          <cell r="A3255" t="str">
            <v>PURITY FLEX PACK LTD</v>
          </cell>
          <cell r="B3255">
            <v>523315</v>
          </cell>
          <cell r="C3255" t="str">
            <v>Not Listed</v>
          </cell>
        </row>
        <row r="3256">
          <cell r="A3256" t="str">
            <v>PUROHIT CONSTRUCTION LTD</v>
          </cell>
          <cell r="B3256">
            <v>538993</v>
          </cell>
          <cell r="C3256" t="str">
            <v>Not Listed</v>
          </cell>
        </row>
        <row r="3257">
          <cell r="A3257" t="str">
            <v>PURPLE ENTERTAINMENT LTD</v>
          </cell>
          <cell r="B3257">
            <v>540159</v>
          </cell>
          <cell r="C3257" t="str">
            <v>Not Listed</v>
          </cell>
        </row>
        <row r="3258">
          <cell r="A3258" t="str">
            <v>PURSHOTTAM INVESTOFIN LTD</v>
          </cell>
          <cell r="B3258">
            <v>538647</v>
          </cell>
          <cell r="C3258" t="str">
            <v>Not Listed</v>
          </cell>
        </row>
        <row r="3259">
          <cell r="A3259" t="str">
            <v>PUSHPANJALI REALMS AND INFRATECH LTD</v>
          </cell>
          <cell r="B3259" t="str">
            <v>Not Listed</v>
          </cell>
          <cell r="C3259" t="str">
            <v>PUSHPREALM</v>
          </cell>
        </row>
        <row r="3260">
          <cell r="A3260" t="str">
            <v>PUSHPSONS INDUSTRIES LTD</v>
          </cell>
          <cell r="B3260">
            <v>531562</v>
          </cell>
          <cell r="C3260" t="str">
            <v>Not Listed</v>
          </cell>
        </row>
        <row r="3261">
          <cell r="A3261" t="str">
            <v>PVP VENTURES LTD</v>
          </cell>
          <cell r="B3261">
            <v>517556</v>
          </cell>
          <cell r="C3261" t="str">
            <v>PVP</v>
          </cell>
        </row>
        <row r="3262">
          <cell r="A3262" t="str">
            <v>PVR LTD</v>
          </cell>
          <cell r="B3262">
            <v>532689</v>
          </cell>
          <cell r="C3262" t="str">
            <v>PVR</v>
          </cell>
        </row>
        <row r="3263">
          <cell r="A3263" t="str">
            <v>PVV INFRA LTD</v>
          </cell>
          <cell r="B3263">
            <v>536659</v>
          </cell>
          <cell r="C3263" t="str">
            <v>Not Listed</v>
          </cell>
        </row>
        <row r="3264">
          <cell r="A3264" t="str">
            <v>PYXIS FINVEST LTD</v>
          </cell>
          <cell r="B3264">
            <v>534109</v>
          </cell>
          <cell r="C3264" t="str">
            <v>Not Listed</v>
          </cell>
        </row>
        <row r="3265">
          <cell r="A3265" t="str">
            <v>QUADRANT TELEVENTURES LTD</v>
          </cell>
          <cell r="B3265">
            <v>511116</v>
          </cell>
          <cell r="C3265" t="str">
            <v>Not Listed</v>
          </cell>
        </row>
        <row r="3266">
          <cell r="A3266" t="str">
            <v>QUANTUM BUILD-TECH LTD</v>
          </cell>
          <cell r="B3266">
            <v>538596</v>
          </cell>
          <cell r="C3266" t="str">
            <v>Not Listed</v>
          </cell>
        </row>
        <row r="3267">
          <cell r="A3267" t="str">
            <v>QUANTUM DIGITAL VISION (INDIA) LTD</v>
          </cell>
          <cell r="B3267">
            <v>530281</v>
          </cell>
          <cell r="C3267" t="str">
            <v>Not Listed</v>
          </cell>
        </row>
        <row r="3268">
          <cell r="A3268" t="str">
            <v>QUANTUM DIGITAL VISION INDIA LTD</v>
          </cell>
          <cell r="B3268">
            <v>530281</v>
          </cell>
          <cell r="C3268" t="str">
            <v>Not Listed</v>
          </cell>
        </row>
        <row r="3269">
          <cell r="A3269" t="str">
            <v>QUANTUM GOLD FUND - EXCHANGE TRADED FUND (ETF)</v>
          </cell>
          <cell r="B3269">
            <v>590099</v>
          </cell>
          <cell r="C3269" t="str">
            <v>QGOLDHALF</v>
          </cell>
        </row>
        <row r="3270">
          <cell r="A3270" t="str">
            <v>QUANTUM MUTUAL FUND - QUANTUM INDEX FUND ETF</v>
          </cell>
          <cell r="B3270">
            <v>590110</v>
          </cell>
          <cell r="C3270" t="str">
            <v>QNIFTY</v>
          </cell>
        </row>
        <row r="3271">
          <cell r="A3271" t="str">
            <v>QUESS CORP LTD</v>
          </cell>
          <cell r="B3271">
            <v>539978</v>
          </cell>
          <cell r="C3271" t="str">
            <v>QUESS</v>
          </cell>
        </row>
        <row r="3272">
          <cell r="A3272" t="str">
            <v>QUEST FINANCIAL SERVICES LTD</v>
          </cell>
          <cell r="B3272">
            <v>539962</v>
          </cell>
          <cell r="C3272" t="str">
            <v>Not Listed</v>
          </cell>
        </row>
        <row r="3273">
          <cell r="A3273" t="str">
            <v>QUEST SOFTECH (INDIA) LTD</v>
          </cell>
          <cell r="B3273">
            <v>535719</v>
          </cell>
          <cell r="C3273" t="str">
            <v>Not Listed</v>
          </cell>
        </row>
        <row r="3274">
          <cell r="A3274" t="str">
            <v>QUEST SOFTECH INDIA LTD</v>
          </cell>
          <cell r="B3274">
            <v>535719</v>
          </cell>
          <cell r="C3274" t="str">
            <v>Not Listed</v>
          </cell>
        </row>
        <row r="3275">
          <cell r="A3275" t="str">
            <v>QUICK HEAL TECHNOLOGIES LTD</v>
          </cell>
          <cell r="B3275">
            <v>539678</v>
          </cell>
          <cell r="C3275" t="str">
            <v>QUICKHEAL</v>
          </cell>
        </row>
        <row r="3276">
          <cell r="A3276" t="str">
            <v>QUINTEGRA SOLUTIONS LTD</v>
          </cell>
          <cell r="B3276">
            <v>532866</v>
          </cell>
          <cell r="C3276" t="str">
            <v>QUINTEGRA</v>
          </cell>
        </row>
        <row r="3277">
          <cell r="A3277" t="str">
            <v>R B GUPTA FINANCIALS LTD</v>
          </cell>
          <cell r="B3277">
            <v>532024</v>
          </cell>
          <cell r="C3277" t="str">
            <v>Not Listed</v>
          </cell>
        </row>
        <row r="3278">
          <cell r="A3278" t="str">
            <v>R J BIO-TECH LTD</v>
          </cell>
          <cell r="B3278">
            <v>536456</v>
          </cell>
          <cell r="C3278" t="str">
            <v>Not Listed</v>
          </cell>
        </row>
        <row r="3279">
          <cell r="A3279" t="str">
            <v>R J SHAH &amp; CO LTD</v>
          </cell>
          <cell r="B3279">
            <v>509845</v>
          </cell>
          <cell r="C3279" t="str">
            <v>Not Listed</v>
          </cell>
        </row>
        <row r="3280">
          <cell r="A3280" t="str">
            <v>R M DRIP AND SPRINKLERS SYSTEMS LTD</v>
          </cell>
          <cell r="B3280" t="str">
            <v>Not Listed</v>
          </cell>
          <cell r="C3280" t="str">
            <v>RMDRIP</v>
          </cell>
        </row>
        <row r="3281">
          <cell r="A3281" t="str">
            <v>R P P INFRA PROJECTS LTD</v>
          </cell>
          <cell r="B3281">
            <v>533284</v>
          </cell>
          <cell r="C3281" t="str">
            <v>RPPINFRA</v>
          </cell>
        </row>
        <row r="3282">
          <cell r="A3282" t="str">
            <v>R R SECURITIES LTD</v>
          </cell>
          <cell r="B3282">
            <v>530917</v>
          </cell>
          <cell r="C3282" t="str">
            <v>Not Listed</v>
          </cell>
        </row>
        <row r="3283">
          <cell r="A3283" t="str">
            <v>R S SOFTWARE (INDIA) LTD</v>
          </cell>
          <cell r="B3283">
            <v>517447</v>
          </cell>
          <cell r="C3283" t="str">
            <v>RSSOFTWARE</v>
          </cell>
        </row>
        <row r="3284">
          <cell r="A3284" t="str">
            <v>R S SOFTWARE INDIA LTD</v>
          </cell>
          <cell r="B3284">
            <v>517447</v>
          </cell>
          <cell r="C3284" t="str">
            <v>RSSOFTWARE</v>
          </cell>
        </row>
        <row r="3285">
          <cell r="A3285" t="str">
            <v>R SYSTEMS INTERNATIONAL LTD</v>
          </cell>
          <cell r="B3285">
            <v>532735</v>
          </cell>
          <cell r="C3285" t="str">
            <v>RSYSTEMS</v>
          </cell>
        </row>
        <row r="3286">
          <cell r="A3286" t="str">
            <v>R T EXPORTS LTD</v>
          </cell>
          <cell r="B3286">
            <v>512565</v>
          </cell>
          <cell r="C3286" t="str">
            <v>Not Listed</v>
          </cell>
        </row>
        <row r="3287">
          <cell r="A3287" t="str">
            <v>R&amp;B DENIMS LTD</v>
          </cell>
          <cell r="B3287">
            <v>538119</v>
          </cell>
          <cell r="C3287" t="str">
            <v>Not Listed</v>
          </cell>
        </row>
        <row r="3288">
          <cell r="A3288" t="str">
            <v>RAAJ MEDISAFE (INDIA) LTD</v>
          </cell>
          <cell r="B3288">
            <v>524502</v>
          </cell>
          <cell r="C3288" t="str">
            <v>Not Listed</v>
          </cell>
        </row>
        <row r="3289">
          <cell r="A3289" t="str">
            <v>RAAJ MEDISAFE INDIA LTD</v>
          </cell>
          <cell r="B3289">
            <v>524502</v>
          </cell>
          <cell r="C3289" t="str">
            <v>Not Listed</v>
          </cell>
        </row>
        <row r="3290">
          <cell r="A3290" t="str">
            <v>RAASI REFRACTORIES LTD</v>
          </cell>
          <cell r="B3290">
            <v>502271</v>
          </cell>
          <cell r="C3290" t="str">
            <v>Not Listed</v>
          </cell>
        </row>
        <row r="3291">
          <cell r="A3291" t="str">
            <v>RACL GEARTECH LTD</v>
          </cell>
          <cell r="B3291">
            <v>520073</v>
          </cell>
          <cell r="C3291" t="str">
            <v>Not Listed</v>
          </cell>
        </row>
        <row r="3292">
          <cell r="A3292" t="str">
            <v>RADAAN MEDIAWORKS (INDIA) LTD</v>
          </cell>
          <cell r="B3292">
            <v>590070</v>
          </cell>
          <cell r="C3292" t="str">
            <v>RADAAN</v>
          </cell>
        </row>
        <row r="3293">
          <cell r="A3293" t="str">
            <v>RADAAN MEDIAWORKS INDIA LTD</v>
          </cell>
          <cell r="B3293">
            <v>590070</v>
          </cell>
          <cell r="C3293" t="str">
            <v>RADAAN</v>
          </cell>
        </row>
        <row r="3294">
          <cell r="A3294" t="str">
            <v>RADHA MADHAV CORPORATION LTD</v>
          </cell>
          <cell r="B3294">
            <v>532692</v>
          </cell>
          <cell r="C3294" t="str">
            <v>RMCL</v>
          </cell>
        </row>
        <row r="3295">
          <cell r="A3295" t="str">
            <v>RADHAGOBIND COMMERCIAL LTD</v>
          </cell>
          <cell r="B3295">
            <v>539673</v>
          </cell>
          <cell r="C3295" t="str">
            <v>Not Listed</v>
          </cell>
        </row>
        <row r="3296">
          <cell r="A3296" t="str">
            <v>RADHE DEVELOPERS (INDIA) LTD</v>
          </cell>
          <cell r="B3296">
            <v>531273</v>
          </cell>
          <cell r="C3296" t="str">
            <v>Not Listed</v>
          </cell>
        </row>
        <row r="3297">
          <cell r="A3297" t="str">
            <v>RADHE DEVELOPERS INDIA LTD</v>
          </cell>
          <cell r="B3297">
            <v>531273</v>
          </cell>
          <cell r="C3297" t="str">
            <v>Not Listed</v>
          </cell>
        </row>
        <row r="3298">
          <cell r="A3298" t="str">
            <v>RADHEY TRADE HOLDING LTD</v>
          </cell>
          <cell r="B3298">
            <v>539814</v>
          </cell>
          <cell r="C3298" t="str">
            <v>Not Listed</v>
          </cell>
        </row>
        <row r="3299">
          <cell r="A3299" t="str">
            <v>RADHIKA JEWELTECH LTD</v>
          </cell>
          <cell r="B3299">
            <v>540125</v>
          </cell>
          <cell r="C3299" t="str">
            <v>Not Listed</v>
          </cell>
        </row>
        <row r="3300">
          <cell r="A3300" t="str">
            <v>RADICO KHAITAN LTD</v>
          </cell>
          <cell r="B3300">
            <v>532497</v>
          </cell>
          <cell r="C3300" t="str">
            <v>RADICO</v>
          </cell>
        </row>
        <row r="3301">
          <cell r="A3301" t="str">
            <v>RADIX INDUSTRIES (INDIA) LTD</v>
          </cell>
          <cell r="B3301">
            <v>531412</v>
          </cell>
          <cell r="C3301" t="str">
            <v>Not Listed</v>
          </cell>
        </row>
        <row r="3302">
          <cell r="A3302" t="str">
            <v>RADIX INDUSTRIES INDIA LTD</v>
          </cell>
          <cell r="B3302">
            <v>531412</v>
          </cell>
          <cell r="C3302" t="str">
            <v>Not Listed</v>
          </cell>
        </row>
        <row r="3303">
          <cell r="A3303" t="str">
            <v>RAGHAV PRODUCTIVITY ENHANCERS LTD</v>
          </cell>
          <cell r="B3303">
            <v>539837</v>
          </cell>
          <cell r="C3303" t="str">
            <v>Not Listed</v>
          </cell>
        </row>
        <row r="3304">
          <cell r="A3304" t="str">
            <v>RAGHUNATH INTERNATIONAL LTD</v>
          </cell>
          <cell r="B3304">
            <v>526813</v>
          </cell>
          <cell r="C3304" t="str">
            <v>Not Listed</v>
          </cell>
        </row>
        <row r="3305">
          <cell r="A3305" t="str">
            <v>RAGHUNATH TOBACCO CO LTD</v>
          </cell>
          <cell r="B3305">
            <v>531552</v>
          </cell>
          <cell r="C3305" t="str">
            <v>Not Listed</v>
          </cell>
        </row>
        <row r="3306">
          <cell r="A3306" t="str">
            <v>RAGHUVANSH AGROFARMS LTD</v>
          </cell>
          <cell r="B3306">
            <v>538921</v>
          </cell>
          <cell r="C3306" t="str">
            <v>Not Listed</v>
          </cell>
        </row>
        <row r="3307">
          <cell r="A3307" t="str">
            <v>RAGHUVIR SYNTHETICS LTD</v>
          </cell>
          <cell r="B3307">
            <v>514316</v>
          </cell>
          <cell r="C3307" t="str">
            <v>Not Listed</v>
          </cell>
        </row>
        <row r="3308">
          <cell r="A3308" t="str">
            <v>RAHUL MERCHANDISING LTD</v>
          </cell>
          <cell r="B3308">
            <v>531887</v>
          </cell>
          <cell r="C3308" t="str">
            <v>Not Listed</v>
          </cell>
        </row>
        <row r="3309">
          <cell r="A3309" t="str">
            <v>RAIDEEP INDUSTRIES LTD</v>
          </cell>
          <cell r="B3309">
            <v>540270</v>
          </cell>
          <cell r="C3309" t="str">
            <v>Not Listed</v>
          </cell>
        </row>
        <row r="3310">
          <cell r="A3310" t="str">
            <v>Rail Vikas Nigam Ltd</v>
          </cell>
          <cell r="B3310">
            <v>542649</v>
          </cell>
          <cell r="C3310" t="str">
            <v>RVNL</v>
          </cell>
        </row>
        <row r="3311">
          <cell r="A3311" t="str">
            <v>RAIN INDUSTRIES LTD</v>
          </cell>
          <cell r="B3311">
            <v>500339</v>
          </cell>
          <cell r="C3311" t="str">
            <v>RAIN</v>
          </cell>
        </row>
        <row r="3312">
          <cell r="A3312" t="str">
            <v>RAINBOW DENIM LTD</v>
          </cell>
          <cell r="B3312">
            <v>532441</v>
          </cell>
          <cell r="C3312" t="str">
            <v>Not Listed</v>
          </cell>
        </row>
        <row r="3313">
          <cell r="A3313" t="str">
            <v>RAINBOW FOUNDATIONS LTD</v>
          </cell>
          <cell r="B3313">
            <v>531694</v>
          </cell>
          <cell r="C3313" t="str">
            <v>Not Listed</v>
          </cell>
        </row>
        <row r="3314">
          <cell r="A3314" t="str">
            <v>RAINBOW PAPERS LTD</v>
          </cell>
          <cell r="B3314">
            <v>523523</v>
          </cell>
          <cell r="C3314" t="str">
            <v>RAINBOWPAP</v>
          </cell>
        </row>
        <row r="3315">
          <cell r="A3315" t="str">
            <v>RAJ PACKAGING INDUSTRIES LTD</v>
          </cell>
          <cell r="B3315">
            <v>530111</v>
          </cell>
          <cell r="C3315" t="str">
            <v>Not Listed</v>
          </cell>
        </row>
        <row r="3316">
          <cell r="A3316" t="str">
            <v>RAJ RAYON INDUSTRIES LTD</v>
          </cell>
          <cell r="B3316">
            <v>530699</v>
          </cell>
          <cell r="C3316" t="str">
            <v>RAJRAYON</v>
          </cell>
        </row>
        <row r="3317">
          <cell r="A3317" t="str">
            <v>RAJ TELEVISION NETWORK LTD</v>
          </cell>
          <cell r="B3317">
            <v>532826</v>
          </cell>
          <cell r="C3317" t="str">
            <v>RAJTV</v>
          </cell>
        </row>
        <row r="3318">
          <cell r="A3318" t="str">
            <v>RAJA BAHADUR INTERNATIONAL LTD</v>
          </cell>
          <cell r="B3318">
            <v>503127</v>
          </cell>
          <cell r="C3318" t="str">
            <v>Not Listed</v>
          </cell>
        </row>
        <row r="3319">
          <cell r="A3319" t="str">
            <v>RAJAPALAYAM MILLS LTD</v>
          </cell>
          <cell r="B3319">
            <v>532503</v>
          </cell>
          <cell r="C3319" t="str">
            <v>Not Listed</v>
          </cell>
        </row>
        <row r="3320">
          <cell r="A3320" t="str">
            <v>RAJASTHAN CYLINDERS &amp; CONTAINERS LTD</v>
          </cell>
          <cell r="B3320">
            <v>538707</v>
          </cell>
          <cell r="C3320" t="str">
            <v>Not Listed</v>
          </cell>
        </row>
        <row r="3321">
          <cell r="A3321" t="str">
            <v>RAJASTHAN GASES LTD</v>
          </cell>
          <cell r="B3321">
            <v>526873</v>
          </cell>
          <cell r="C3321" t="str">
            <v>Not Listed</v>
          </cell>
        </row>
        <row r="3322">
          <cell r="A3322" t="str">
            <v>RAJASTHAN TUBE MANUFACTURING CO LTD</v>
          </cell>
          <cell r="B3322">
            <v>530253</v>
          </cell>
          <cell r="C3322" t="str">
            <v>Not Listed</v>
          </cell>
        </row>
        <row r="3323">
          <cell r="A3323" t="str">
            <v>RAJATH FINANCE LTD</v>
          </cell>
          <cell r="B3323">
            <v>507962</v>
          </cell>
          <cell r="C3323" t="str">
            <v>Not Listed</v>
          </cell>
        </row>
        <row r="3324">
          <cell r="A3324" t="str">
            <v>RAJDARSHAN INDUSTRIES LTD</v>
          </cell>
          <cell r="B3324">
            <v>526662</v>
          </cell>
          <cell r="C3324" t="str">
            <v>ARENTERP</v>
          </cell>
        </row>
        <row r="3325">
          <cell r="A3325" t="str">
            <v>RAJESH EXPORTS LTD</v>
          </cell>
          <cell r="B3325">
            <v>531500</v>
          </cell>
          <cell r="C3325" t="str">
            <v>RAJESHEXPO</v>
          </cell>
        </row>
        <row r="3326">
          <cell r="A3326" t="str">
            <v>RAJESWARI INFRASTRUCTURE LTD</v>
          </cell>
          <cell r="B3326">
            <v>526823</v>
          </cell>
          <cell r="C3326" t="str">
            <v>Not Listed</v>
          </cell>
        </row>
        <row r="3327">
          <cell r="A3327" t="str">
            <v>RAJKAMAL SYNTHETICS LTD</v>
          </cell>
          <cell r="B3327">
            <v>514028</v>
          </cell>
          <cell r="C3327" t="str">
            <v>Not Listed</v>
          </cell>
        </row>
        <row r="3328">
          <cell r="A3328" t="str">
            <v>RAJKOT INVESTMENT TRUST LTD</v>
          </cell>
          <cell r="B3328">
            <v>539495</v>
          </cell>
          <cell r="C3328" t="str">
            <v>Not Listed</v>
          </cell>
        </row>
        <row r="3329">
          <cell r="A3329" t="str">
            <v>RAJKUMAR FORGE LTD</v>
          </cell>
          <cell r="B3329">
            <v>513369</v>
          </cell>
          <cell r="C3329" t="str">
            <v>Not Listed</v>
          </cell>
        </row>
        <row r="3330">
          <cell r="A3330" t="str">
            <v>RAJNANDINI METAL LTD</v>
          </cell>
          <cell r="B3330" t="str">
            <v>Not Listed</v>
          </cell>
          <cell r="C3330" t="str">
            <v>RAJMET</v>
          </cell>
        </row>
        <row r="3331">
          <cell r="A3331" t="str">
            <v>RAJNISH WELLNESS LTD</v>
          </cell>
          <cell r="B3331">
            <v>541601</v>
          </cell>
          <cell r="C3331" t="str">
            <v>Not Listed</v>
          </cell>
        </row>
        <row r="3332">
          <cell r="A3332" t="str">
            <v>RAJOO ENGINEERS LTD</v>
          </cell>
          <cell r="B3332">
            <v>522257</v>
          </cell>
          <cell r="C3332" t="str">
            <v>Not Listed</v>
          </cell>
        </row>
        <row r="3333">
          <cell r="A3333" t="str">
            <v>RAJRATAN GLOBAL WIRE LTD</v>
          </cell>
          <cell r="B3333">
            <v>517522</v>
          </cell>
          <cell r="C3333" t="str">
            <v>Not Listed</v>
          </cell>
        </row>
        <row r="3334">
          <cell r="A3334" t="str">
            <v>RAJSANKET REALTY LTD</v>
          </cell>
          <cell r="B3334">
            <v>512409</v>
          </cell>
          <cell r="C3334" t="str">
            <v>Not Listed</v>
          </cell>
        </row>
        <row r="3335">
          <cell r="A3335" t="str">
            <v>RAJSHREE POLYPACK LTD</v>
          </cell>
          <cell r="B3335" t="str">
            <v>Not Listed</v>
          </cell>
          <cell r="C3335" t="str">
            <v>RPPL</v>
          </cell>
        </row>
        <row r="3336">
          <cell r="A3336" t="str">
            <v>RAJSHREE SUGARS &amp; CHEMICALS LTD</v>
          </cell>
          <cell r="B3336">
            <v>500354</v>
          </cell>
          <cell r="C3336" t="str">
            <v>RAJSREESUG</v>
          </cell>
        </row>
        <row r="3337">
          <cell r="A3337" t="str">
            <v>RAJVIR INDUSTRIES LTD</v>
          </cell>
          <cell r="B3337">
            <v>532665</v>
          </cell>
          <cell r="C3337" t="str">
            <v>RAJVIR</v>
          </cell>
        </row>
        <row r="3338">
          <cell r="A3338" t="str">
            <v>RALLIS (INDIA) LTD</v>
          </cell>
          <cell r="B3338">
            <v>500355</v>
          </cell>
          <cell r="C3338" t="str">
            <v>RALLIS</v>
          </cell>
        </row>
        <row r="3339">
          <cell r="A3339" t="str">
            <v>RALLIS INDIA LTD</v>
          </cell>
          <cell r="B3339">
            <v>500355</v>
          </cell>
          <cell r="C3339" t="str">
            <v>RALLIS</v>
          </cell>
        </row>
        <row r="3340">
          <cell r="A3340" t="str">
            <v>RAM MINERALS AND CHEMICALS LTD</v>
          </cell>
          <cell r="B3340">
            <v>534734</v>
          </cell>
          <cell r="C3340" t="str">
            <v>Not Listed</v>
          </cell>
        </row>
        <row r="3341">
          <cell r="A3341" t="str">
            <v>RAM RATNA WIRES LTD</v>
          </cell>
          <cell r="B3341">
            <v>522281</v>
          </cell>
          <cell r="C3341" t="str">
            <v>Not Listed</v>
          </cell>
        </row>
        <row r="3342">
          <cell r="A3342" t="str">
            <v>RAMA PAPER MILLS LTD</v>
          </cell>
          <cell r="B3342">
            <v>500357</v>
          </cell>
          <cell r="C3342" t="str">
            <v>Not Listed</v>
          </cell>
        </row>
        <row r="3343">
          <cell r="A3343" t="str">
            <v>RAMA PETROCHEMICALS LTD</v>
          </cell>
          <cell r="B3343">
            <v>500358</v>
          </cell>
          <cell r="C3343" t="str">
            <v>Not Listed</v>
          </cell>
        </row>
        <row r="3344">
          <cell r="A3344" t="str">
            <v>RAMA PHOSPHATES LTD</v>
          </cell>
          <cell r="B3344">
            <v>524037</v>
          </cell>
          <cell r="C3344" t="str">
            <v>Not Listed</v>
          </cell>
        </row>
        <row r="3345">
          <cell r="A3345" t="str">
            <v>RAMA PULP &amp; PAPERS LTD</v>
          </cell>
          <cell r="B3345">
            <v>502587</v>
          </cell>
          <cell r="C3345" t="str">
            <v>Not Listed</v>
          </cell>
        </row>
        <row r="3346">
          <cell r="A3346" t="str">
            <v>RAMA STEEL TUBES LTD</v>
          </cell>
          <cell r="B3346">
            <v>539309</v>
          </cell>
          <cell r="C3346" t="str">
            <v>RAMASTEEL</v>
          </cell>
        </row>
        <row r="3347">
          <cell r="A3347" t="str">
            <v>RAMA VISION LTD</v>
          </cell>
          <cell r="B3347">
            <v>523289</v>
          </cell>
          <cell r="C3347" t="str">
            <v>Not Listed</v>
          </cell>
        </row>
        <row r="3348">
          <cell r="A3348" t="str">
            <v>RAMASIGNS INDUSTRIES LTD</v>
          </cell>
          <cell r="B3348">
            <v>515127</v>
          </cell>
          <cell r="C3348" t="str">
            <v>Not Listed</v>
          </cell>
        </row>
        <row r="3349">
          <cell r="A3349" t="str">
            <v>RAMCHANDRA LEASING &amp; FINANCE LTD</v>
          </cell>
          <cell r="B3349">
            <v>538540</v>
          </cell>
          <cell r="C3349" t="str">
            <v>Not Listed</v>
          </cell>
        </row>
        <row r="3350">
          <cell r="A3350" t="str">
            <v>RAMCO INDUSTRIES LTD</v>
          </cell>
          <cell r="B3350">
            <v>532369</v>
          </cell>
          <cell r="C3350" t="str">
            <v>RAMCOIND</v>
          </cell>
        </row>
        <row r="3351">
          <cell r="A3351" t="str">
            <v>RAMCO SYSTEMS LTD</v>
          </cell>
          <cell r="B3351">
            <v>532370</v>
          </cell>
          <cell r="C3351" t="str">
            <v>RAMCOSYS</v>
          </cell>
        </row>
        <row r="3352">
          <cell r="A3352" t="str">
            <v>RAMGOPAL POLYTEX LTD</v>
          </cell>
          <cell r="B3352">
            <v>514223</v>
          </cell>
          <cell r="C3352" t="str">
            <v>RAMGOPOLY</v>
          </cell>
        </row>
        <row r="3353">
          <cell r="A3353" t="str">
            <v>RAMINFO LTD</v>
          </cell>
          <cell r="B3353">
            <v>530951</v>
          </cell>
          <cell r="C3353" t="str">
            <v>Not Listed</v>
          </cell>
        </row>
        <row r="3354">
          <cell r="A3354" t="str">
            <v>RAMKRISHNA FORGINGS LTD</v>
          </cell>
          <cell r="B3354">
            <v>532527</v>
          </cell>
          <cell r="C3354" t="str">
            <v>RKFORGE</v>
          </cell>
        </row>
        <row r="3355">
          <cell r="A3355" t="str">
            <v>RAMKY INFRASTRUCTURE LTD</v>
          </cell>
          <cell r="B3355">
            <v>533262</v>
          </cell>
          <cell r="C3355" t="str">
            <v>RAMKY</v>
          </cell>
        </row>
        <row r="3356">
          <cell r="A3356" t="str">
            <v>RAMSARUP INDUSTRIES LTD</v>
          </cell>
          <cell r="B3356">
            <v>532690</v>
          </cell>
          <cell r="C3356" t="str">
            <v>RAMSARUP</v>
          </cell>
        </row>
        <row r="3357">
          <cell r="A3357" t="str">
            <v>RAMSONS PROJECTS LTD</v>
          </cell>
          <cell r="B3357">
            <v>530925</v>
          </cell>
          <cell r="C3357" t="str">
            <v>Not Listed</v>
          </cell>
        </row>
        <row r="3358">
          <cell r="A3358" t="str">
            <v>RANA SUGARS LTD</v>
          </cell>
          <cell r="B3358">
            <v>507490</v>
          </cell>
          <cell r="C3358" t="str">
            <v>RANASUG</v>
          </cell>
        </row>
        <row r="3359">
          <cell r="A3359" t="str">
            <v>RANDER CORPORATION LTD</v>
          </cell>
          <cell r="B3359">
            <v>531228</v>
          </cell>
          <cell r="C3359" t="str">
            <v>Not Listed</v>
          </cell>
        </row>
        <row r="3360">
          <cell r="A3360" t="str">
            <v>RANE BRAKE LINING LTD</v>
          </cell>
          <cell r="B3360">
            <v>532987</v>
          </cell>
          <cell r="C3360" t="str">
            <v>RBL</v>
          </cell>
        </row>
        <row r="3361">
          <cell r="A3361" t="str">
            <v>RANE ENGINE VALVE LTD</v>
          </cell>
          <cell r="B3361">
            <v>532988</v>
          </cell>
          <cell r="C3361" t="str">
            <v>RANEENGINE</v>
          </cell>
        </row>
        <row r="3362">
          <cell r="A3362" t="str">
            <v>RANE HOLDINGS LTD</v>
          </cell>
          <cell r="B3362">
            <v>505800</v>
          </cell>
          <cell r="C3362" t="str">
            <v>RANEHOLDIN</v>
          </cell>
        </row>
        <row r="3363">
          <cell r="A3363" t="str">
            <v>RANE MADRAS LTD</v>
          </cell>
          <cell r="B3363">
            <v>532661</v>
          </cell>
          <cell r="C3363" t="str">
            <v>RML</v>
          </cell>
        </row>
        <row r="3364">
          <cell r="A3364" t="str">
            <v>RANJEET MECHATRONICS LTD</v>
          </cell>
          <cell r="B3364">
            <v>541945</v>
          </cell>
          <cell r="C3364" t="str">
            <v>Not Listed</v>
          </cell>
        </row>
        <row r="3365">
          <cell r="A3365" t="str">
            <v>RAP MEDIA LTD</v>
          </cell>
          <cell r="B3365">
            <v>531583</v>
          </cell>
          <cell r="C3365" t="str">
            <v>Not Listed</v>
          </cell>
        </row>
        <row r="3366">
          <cell r="A3366" t="str">
            <v>RAPICUT CARBIDES LTD</v>
          </cell>
          <cell r="B3366">
            <v>500360</v>
          </cell>
          <cell r="C3366" t="str">
            <v>Not Listed</v>
          </cell>
        </row>
        <row r="3367">
          <cell r="A3367" t="str">
            <v>RAPID INVESTMENTS LTD</v>
          </cell>
          <cell r="B3367">
            <v>501351</v>
          </cell>
          <cell r="C3367" t="str">
            <v>Not Listed</v>
          </cell>
        </row>
        <row r="3368">
          <cell r="A3368" t="str">
            <v>RAS RESORTS &amp; APART HOTELS LTD</v>
          </cell>
          <cell r="B3368">
            <v>507966</v>
          </cell>
          <cell r="C3368" t="str">
            <v>Not Listed</v>
          </cell>
        </row>
        <row r="3369">
          <cell r="A3369" t="str">
            <v>RASANDIK ENGINEERING INDUSTRIES (INDIA) LTD</v>
          </cell>
          <cell r="B3369">
            <v>522207</v>
          </cell>
          <cell r="C3369" t="str">
            <v>Not Listed</v>
          </cell>
        </row>
        <row r="3370">
          <cell r="A3370" t="str">
            <v>RASANDIK ENGINEERING INDUSTRIES INDIA LTD</v>
          </cell>
          <cell r="B3370">
            <v>522207</v>
          </cell>
          <cell r="C3370" t="str">
            <v>Not Listed</v>
          </cell>
        </row>
        <row r="3371">
          <cell r="A3371" t="str">
            <v>RASHTRIYA CHEMICALS AND FERTILIZERS LTD</v>
          </cell>
          <cell r="B3371">
            <v>524230</v>
          </cell>
          <cell r="C3371" t="str">
            <v>RCF</v>
          </cell>
        </row>
        <row r="3372">
          <cell r="A3372" t="str">
            <v>RASI ELECTRODES LTD</v>
          </cell>
          <cell r="B3372">
            <v>531233</v>
          </cell>
          <cell r="C3372" t="str">
            <v>Not Listed</v>
          </cell>
        </row>
        <row r="3373">
          <cell r="A3373" t="str">
            <v>RASOI LTD</v>
          </cell>
          <cell r="B3373">
            <v>507649</v>
          </cell>
          <cell r="C3373" t="str">
            <v>Not Listed</v>
          </cell>
        </row>
        <row r="3374">
          <cell r="A3374" t="str">
            <v>RATHI BARS LTD</v>
          </cell>
          <cell r="B3374">
            <v>532918</v>
          </cell>
          <cell r="C3374" t="str">
            <v>Not Listed</v>
          </cell>
        </row>
        <row r="3375">
          <cell r="A3375" t="str">
            <v>RATHI GRAPHIC TECHNOLOGIES LTD</v>
          </cell>
          <cell r="B3375">
            <v>524610</v>
          </cell>
          <cell r="C3375" t="str">
            <v>Not Listed</v>
          </cell>
        </row>
        <row r="3376">
          <cell r="A3376" t="str">
            <v>RATNABHUMI DEVELOPERS LTD</v>
          </cell>
          <cell r="B3376">
            <v>540796</v>
          </cell>
          <cell r="C3376" t="str">
            <v>Not Listed</v>
          </cell>
        </row>
        <row r="3377">
          <cell r="A3377" t="str">
            <v>RATNAMANI METALS &amp; TUBES LTD</v>
          </cell>
          <cell r="B3377">
            <v>520111</v>
          </cell>
          <cell r="C3377" t="str">
            <v>RATNAMANI</v>
          </cell>
        </row>
        <row r="3378">
          <cell r="A3378" t="str">
            <v>RATTANINDIA INFRASTRUCTURE LTD</v>
          </cell>
          <cell r="B3378">
            <v>534597</v>
          </cell>
          <cell r="C3378" t="str">
            <v>RTNINFRA</v>
          </cell>
        </row>
        <row r="3379">
          <cell r="A3379" t="str">
            <v>RATTANINDIA POWER LTD</v>
          </cell>
          <cell r="B3379">
            <v>533122</v>
          </cell>
          <cell r="C3379" t="str">
            <v>RTNPOWER</v>
          </cell>
        </row>
        <row r="3380">
          <cell r="A3380" t="str">
            <v>RAUNAQ EPC INTERNATIONAL LTD</v>
          </cell>
          <cell r="B3380">
            <v>537840</v>
          </cell>
          <cell r="C3380" t="str">
            <v>Not Listed</v>
          </cell>
        </row>
        <row r="3381">
          <cell r="A3381" t="str">
            <v>RAVALGAON SUGAR FARM LTD</v>
          </cell>
          <cell r="B3381">
            <v>507300</v>
          </cell>
          <cell r="C3381" t="str">
            <v>Not Listed</v>
          </cell>
        </row>
        <row r="3382">
          <cell r="A3382" t="str">
            <v>RAVI KUMAR DISTILLERIES LTD</v>
          </cell>
          <cell r="B3382">
            <v>533294</v>
          </cell>
          <cell r="C3382" t="str">
            <v>RKDL</v>
          </cell>
        </row>
        <row r="3383">
          <cell r="A3383" t="str">
            <v>RAVILEELA GRANITES LTD</v>
          </cell>
          <cell r="B3383">
            <v>526095</v>
          </cell>
          <cell r="C3383" t="str">
            <v>Not Listed</v>
          </cell>
        </row>
        <row r="3384">
          <cell r="A3384" t="str">
            <v>RAVINDRA ENERGY LTD</v>
          </cell>
          <cell r="B3384">
            <v>504341</v>
          </cell>
          <cell r="C3384" t="str">
            <v>Not Listed</v>
          </cell>
        </row>
        <row r="3385">
          <cell r="A3385" t="str">
            <v>RAW EDGE INDUSTRIAL SOLUTIONS LTD</v>
          </cell>
          <cell r="B3385">
            <v>541634</v>
          </cell>
          <cell r="C3385" t="str">
            <v>Not Listed</v>
          </cell>
        </row>
        <row r="3386">
          <cell r="A3386" t="str">
            <v>RAYMED LABS LTD</v>
          </cell>
          <cell r="B3386">
            <v>531207</v>
          </cell>
          <cell r="C3386" t="str">
            <v>Not Listed</v>
          </cell>
        </row>
        <row r="3387">
          <cell r="A3387" t="str">
            <v>RAYMOND LTD</v>
          </cell>
          <cell r="B3387">
            <v>500330</v>
          </cell>
          <cell r="C3387" t="str">
            <v>RAYMOND</v>
          </cell>
        </row>
        <row r="3388">
          <cell r="A3388" t="str">
            <v>RBL BANK LTD</v>
          </cell>
          <cell r="B3388">
            <v>540065</v>
          </cell>
          <cell r="C3388" t="str">
            <v>RBLBANK</v>
          </cell>
        </row>
        <row r="3389">
          <cell r="A3389" t="str">
            <v>RCC CEMENTS LTD</v>
          </cell>
          <cell r="B3389">
            <v>531825</v>
          </cell>
          <cell r="C3389" t="str">
            <v>Not Listed</v>
          </cell>
        </row>
        <row r="3390">
          <cell r="A3390" t="str">
            <v>RCI INDUSTRIES &amp; TECHNOLOGIES LTD</v>
          </cell>
          <cell r="B3390">
            <v>537254</v>
          </cell>
          <cell r="C3390" t="str">
            <v>Not Listed</v>
          </cell>
        </row>
        <row r="3391">
          <cell r="A3391" t="str">
            <v>RCL RETAIL LTD</v>
          </cell>
          <cell r="B3391">
            <v>534708</v>
          </cell>
          <cell r="C3391" t="str">
            <v>Not Listed</v>
          </cell>
        </row>
        <row r="3392">
          <cell r="A3392" t="str">
            <v>RDB RASAYANS LTD</v>
          </cell>
          <cell r="B3392">
            <v>533608</v>
          </cell>
          <cell r="C3392" t="str">
            <v>Not Listed</v>
          </cell>
        </row>
        <row r="3393">
          <cell r="A3393" t="str">
            <v>RDB REALTY &amp; INFRASTRUCTURE LTD</v>
          </cell>
          <cell r="B3393">
            <v>533285</v>
          </cell>
          <cell r="C3393" t="str">
            <v>Not Listed</v>
          </cell>
        </row>
        <row r="3394">
          <cell r="A3394" t="str">
            <v>REAL GROWTH COMMERCIAL ENTERPRISES LTD</v>
          </cell>
          <cell r="B3394">
            <v>539691</v>
          </cell>
          <cell r="C3394" t="str">
            <v>Not Listed</v>
          </cell>
        </row>
        <row r="3395">
          <cell r="A3395" t="str">
            <v>REAL NEWS &amp; VIEWS LTD</v>
          </cell>
          <cell r="B3395">
            <v>530053</v>
          </cell>
          <cell r="C3395" t="str">
            <v>Not Listed</v>
          </cell>
        </row>
        <row r="3396">
          <cell r="A3396" t="str">
            <v>REAL STRIPS LTD</v>
          </cell>
          <cell r="B3396">
            <v>513558</v>
          </cell>
          <cell r="C3396" t="str">
            <v>Not Listed</v>
          </cell>
        </row>
        <row r="3397">
          <cell r="A3397" t="str">
            <v>REAL TOUCH FINANCE LTD</v>
          </cell>
          <cell r="B3397">
            <v>538611</v>
          </cell>
          <cell r="C3397" t="str">
            <v>Not Listed</v>
          </cell>
        </row>
        <row r="3398">
          <cell r="A3398" t="str">
            <v>REC LTD</v>
          </cell>
          <cell r="B3398">
            <v>532955</v>
          </cell>
          <cell r="C3398" t="str">
            <v>RECLTD</v>
          </cell>
        </row>
        <row r="3399">
          <cell r="A3399" t="str">
            <v>REDEX PROTECH LTD</v>
          </cell>
          <cell r="B3399">
            <v>523650</v>
          </cell>
          <cell r="C3399" t="str">
            <v>Not Listed</v>
          </cell>
        </row>
        <row r="3400">
          <cell r="A3400" t="str">
            <v>REDINGTON (INDIA) LTD</v>
          </cell>
          <cell r="B3400">
            <v>532805</v>
          </cell>
          <cell r="C3400" t="str">
            <v>REDINGTON</v>
          </cell>
        </row>
        <row r="3401">
          <cell r="A3401" t="str">
            <v>REDINGTON INDIA LTD</v>
          </cell>
          <cell r="B3401">
            <v>532805</v>
          </cell>
          <cell r="C3401" t="str">
            <v>REDINGTON</v>
          </cell>
        </row>
        <row r="3402">
          <cell r="A3402" t="str">
            <v>REFEX INDUSTRIES LTD</v>
          </cell>
          <cell r="B3402">
            <v>532884</v>
          </cell>
          <cell r="C3402" t="str">
            <v>REFEX</v>
          </cell>
        </row>
        <row r="3403">
          <cell r="A3403" t="str">
            <v>REFNOL RESINS &amp; CHEMICALS LTD</v>
          </cell>
          <cell r="B3403">
            <v>530815</v>
          </cell>
          <cell r="C3403" t="str">
            <v>Not Listed</v>
          </cell>
        </row>
        <row r="3404">
          <cell r="A3404" t="str">
            <v>REGAL ENTERTAINMENT &amp; CONSULTANTS LTD</v>
          </cell>
          <cell r="B3404">
            <v>531033</v>
          </cell>
          <cell r="C3404" t="str">
            <v>Not Listed</v>
          </cell>
        </row>
        <row r="3405">
          <cell r="A3405" t="str">
            <v>REGALIAA REALTY LTD</v>
          </cell>
          <cell r="B3405">
            <v>530807</v>
          </cell>
          <cell r="C3405" t="str">
            <v>Not Listed</v>
          </cell>
        </row>
        <row r="3406">
          <cell r="A3406" t="str">
            <v>REGENCY CERAMICS LTD</v>
          </cell>
          <cell r="B3406">
            <v>515018</v>
          </cell>
          <cell r="C3406" t="str">
            <v>REGENCERAM</v>
          </cell>
        </row>
        <row r="3407">
          <cell r="A3407" t="str">
            <v>REGENCY INVESTMENTS LTD</v>
          </cell>
          <cell r="B3407">
            <v>540175</v>
          </cell>
          <cell r="C3407" t="str">
            <v>Not Listed</v>
          </cell>
        </row>
        <row r="3408">
          <cell r="A3408" t="str">
            <v>REGENCY TRUST LTD</v>
          </cell>
          <cell r="B3408">
            <v>511585</v>
          </cell>
          <cell r="C3408" t="str">
            <v>Not Listed</v>
          </cell>
        </row>
        <row r="3409">
          <cell r="A3409" t="str">
            <v>REGENT ENTERPRISES LTD</v>
          </cell>
          <cell r="B3409">
            <v>512624</v>
          </cell>
          <cell r="C3409" t="str">
            <v>Not Listed</v>
          </cell>
        </row>
        <row r="3410">
          <cell r="A3410" t="str">
            <v>REIL ELECTRICALS (INDIA) LTD</v>
          </cell>
          <cell r="B3410">
            <v>505817</v>
          </cell>
          <cell r="C3410" t="str">
            <v>Not Listed</v>
          </cell>
        </row>
        <row r="3411">
          <cell r="A3411" t="str">
            <v>REIL ELECTRICALS INDIA LTD</v>
          </cell>
          <cell r="B3411">
            <v>505817</v>
          </cell>
          <cell r="C3411" t="str">
            <v>Not Listed</v>
          </cell>
        </row>
        <row r="3412">
          <cell r="A3412" t="str">
            <v>REKVINA LABORATORIES LTD</v>
          </cell>
          <cell r="B3412">
            <v>526075</v>
          </cell>
          <cell r="C3412" t="str">
            <v>Not Listed</v>
          </cell>
        </row>
        <row r="3413">
          <cell r="A3413" t="str">
            <v>RELAXO FOOTWEARS LTD</v>
          </cell>
          <cell r="B3413">
            <v>530517</v>
          </cell>
          <cell r="C3413" t="str">
            <v>RELAXO</v>
          </cell>
        </row>
        <row r="3414">
          <cell r="A3414" t="str">
            <v>RELIABLE DATA SERVICES LTD</v>
          </cell>
          <cell r="B3414" t="str">
            <v>Not Listed</v>
          </cell>
          <cell r="C3414" t="str">
            <v>RELIABLE</v>
          </cell>
        </row>
        <row r="3415">
          <cell r="A3415" t="str">
            <v>RELIABLE VENTURES (INDIA) LTD</v>
          </cell>
          <cell r="B3415">
            <v>532124</v>
          </cell>
          <cell r="C3415" t="str">
            <v>Not Listed</v>
          </cell>
        </row>
        <row r="3416">
          <cell r="A3416" t="str">
            <v>RELIABLE VENTURES INDIA LTD</v>
          </cell>
          <cell r="B3416">
            <v>532124</v>
          </cell>
          <cell r="C3416" t="str">
            <v>Not Listed</v>
          </cell>
        </row>
        <row r="3417">
          <cell r="A3417" t="str">
            <v>RELIANCE CAPITAL LTD</v>
          </cell>
          <cell r="B3417">
            <v>500111</v>
          </cell>
          <cell r="C3417" t="str">
            <v>RELCAPITAL</v>
          </cell>
        </row>
        <row r="3418">
          <cell r="A3418" t="str">
            <v>RELIANCE CHEMOTEX INDUSTRIES LTD</v>
          </cell>
          <cell r="B3418">
            <v>503162</v>
          </cell>
          <cell r="C3418" t="str">
            <v>Not Listed</v>
          </cell>
        </row>
        <row r="3419">
          <cell r="A3419" t="str">
            <v>RELIANCE COMMUNICATIONS LTD</v>
          </cell>
          <cell r="B3419">
            <v>532712</v>
          </cell>
          <cell r="C3419" t="str">
            <v>RCOM</v>
          </cell>
        </row>
        <row r="3420">
          <cell r="A3420" t="str">
            <v>Reliance ETF Bank BeES</v>
          </cell>
          <cell r="B3420">
            <v>590106</v>
          </cell>
          <cell r="C3420" t="str">
            <v>BANKBEES</v>
          </cell>
        </row>
        <row r="3421">
          <cell r="A3421" t="str">
            <v>Reliance ETF Gold BeES</v>
          </cell>
          <cell r="B3421">
            <v>590095</v>
          </cell>
          <cell r="C3421" t="str">
            <v>GOLDBEES</v>
          </cell>
        </row>
        <row r="3422">
          <cell r="A3422" t="str">
            <v>Reliance ETF Hang Seng BeES</v>
          </cell>
          <cell r="B3422">
            <v>590113</v>
          </cell>
          <cell r="C3422" t="str">
            <v>HNGSNGBEES</v>
          </cell>
        </row>
        <row r="3423">
          <cell r="A3423" t="str">
            <v>Reliance ETF Junior BeES</v>
          </cell>
          <cell r="B3423">
            <v>590104</v>
          </cell>
          <cell r="C3423" t="str">
            <v>JUNIORBEES</v>
          </cell>
        </row>
        <row r="3424">
          <cell r="A3424" t="str">
            <v>Reliance ETF Nifty BeES</v>
          </cell>
          <cell r="B3424">
            <v>590103</v>
          </cell>
          <cell r="C3424" t="str">
            <v>NIFTYBEES</v>
          </cell>
        </row>
        <row r="3425">
          <cell r="A3425" t="str">
            <v>Reliance ETF PSU Bank BeES</v>
          </cell>
          <cell r="B3425">
            <v>590108</v>
          </cell>
          <cell r="C3425" t="str">
            <v>PSUBNKBEES</v>
          </cell>
        </row>
        <row r="3426">
          <cell r="A3426" t="str">
            <v>Reliance ETF Shariah BeES</v>
          </cell>
          <cell r="B3426">
            <v>590109</v>
          </cell>
          <cell r="C3426" t="str">
            <v>SHARIABEES</v>
          </cell>
        </row>
        <row r="3427">
          <cell r="A3427" t="str">
            <v>RELIANCE HOME FINANCE LTD</v>
          </cell>
          <cell r="B3427">
            <v>540709</v>
          </cell>
          <cell r="C3427" t="str">
            <v>RHFL</v>
          </cell>
        </row>
        <row r="3428">
          <cell r="A3428" t="str">
            <v>RELIANCE INDUSTRIAL INFRASTRUCTURE LTD</v>
          </cell>
          <cell r="B3428">
            <v>523445</v>
          </cell>
          <cell r="C3428" t="str">
            <v>RIIL</v>
          </cell>
        </row>
        <row r="3429">
          <cell r="A3429" t="str">
            <v>RELIANCE INDUSTRIES LTD</v>
          </cell>
          <cell r="B3429">
            <v>500325</v>
          </cell>
          <cell r="C3429" t="str">
            <v>RELIANCE</v>
          </cell>
        </row>
        <row r="3430">
          <cell r="A3430" t="str">
            <v>RELIANCE INFRASTRUCTURE LTD</v>
          </cell>
          <cell r="B3430">
            <v>500390</v>
          </cell>
          <cell r="C3430" t="str">
            <v>RELINFRA</v>
          </cell>
        </row>
        <row r="3431">
          <cell r="A3431" t="str">
            <v>RELIANCE NAVAL AND ENGINEERING LTD</v>
          </cell>
          <cell r="B3431">
            <v>533107</v>
          </cell>
          <cell r="C3431" t="str">
            <v>RNAVAL</v>
          </cell>
        </row>
        <row r="3432">
          <cell r="A3432" t="str">
            <v>RELIANCE NIPPON LIFE ASSET MANAGEMENT LTD</v>
          </cell>
          <cell r="B3432">
            <v>540767</v>
          </cell>
          <cell r="C3432" t="str">
            <v>RNAM</v>
          </cell>
        </row>
        <row r="3433">
          <cell r="A3433" t="str">
            <v>RELIANCE POWER LTD</v>
          </cell>
          <cell r="B3433">
            <v>532939</v>
          </cell>
          <cell r="C3433" t="str">
            <v>RPOWER</v>
          </cell>
        </row>
        <row r="3434">
          <cell r="A3434" t="str">
            <v>RELIC TECHNOLOGIES LTD</v>
          </cell>
          <cell r="B3434">
            <v>511712</v>
          </cell>
          <cell r="C3434" t="str">
            <v>Not Listed</v>
          </cell>
        </row>
        <row r="3435">
          <cell r="A3435" t="str">
            <v>RELICAB CABLE MANUFACTURING LTD</v>
          </cell>
          <cell r="B3435">
            <v>539760</v>
          </cell>
          <cell r="C3435" t="str">
            <v>Not Listed</v>
          </cell>
        </row>
        <row r="3436">
          <cell r="A3436" t="str">
            <v>RELIGARE ENTERPRISES LTD</v>
          </cell>
          <cell r="B3436">
            <v>532915</v>
          </cell>
          <cell r="C3436" t="str">
            <v>RELIGARE</v>
          </cell>
        </row>
        <row r="3437">
          <cell r="A3437" t="str">
            <v>RELSTRUCT BUILDCON LTD</v>
          </cell>
          <cell r="B3437">
            <v>540426</v>
          </cell>
          <cell r="C3437" t="str">
            <v>Not Listed</v>
          </cell>
        </row>
        <row r="3438">
          <cell r="A3438" t="str">
            <v>REMI EDELSTAHL TUBULARS LTD</v>
          </cell>
          <cell r="B3438">
            <v>513043</v>
          </cell>
          <cell r="C3438" t="str">
            <v>Not Listed</v>
          </cell>
        </row>
        <row r="3439">
          <cell r="A3439" t="str">
            <v>REMI ELEKTROTECHNIK LTD</v>
          </cell>
          <cell r="B3439">
            <v>512487</v>
          </cell>
          <cell r="C3439" t="str">
            <v>Not Listed</v>
          </cell>
        </row>
        <row r="3440">
          <cell r="A3440" t="str">
            <v>REMI PROCESS PLANT &amp; MACHINERY LTD</v>
          </cell>
          <cell r="B3440">
            <v>505658</v>
          </cell>
          <cell r="C3440" t="str">
            <v>Not Listed</v>
          </cell>
        </row>
        <row r="3441">
          <cell r="A3441" t="str">
            <v>REMI SALES &amp; ENGINEERING LTD</v>
          </cell>
          <cell r="B3441">
            <v>504360</v>
          </cell>
          <cell r="C3441" t="str">
            <v>Not Listed</v>
          </cell>
        </row>
        <row r="3442">
          <cell r="A3442" t="str">
            <v>REMI SECURITIES LTD</v>
          </cell>
          <cell r="B3442">
            <v>511149</v>
          </cell>
          <cell r="C3442" t="str">
            <v>Not Listed</v>
          </cell>
        </row>
        <row r="3443">
          <cell r="A3443" t="str">
            <v>REMSONS INDUSTRIES LTD.</v>
          </cell>
          <cell r="B3443">
            <v>530919</v>
          </cell>
          <cell r="C3443" t="str">
            <v>REMSONSIND</v>
          </cell>
        </row>
        <row r="3444">
          <cell r="A3444" t="str">
            <v>Renaissance Global LTD</v>
          </cell>
          <cell r="B3444" t="str">
            <v>Not Listed</v>
          </cell>
          <cell r="C3444" t="str">
            <v>RGL</v>
          </cell>
        </row>
        <row r="3445">
          <cell r="A3445" t="str">
            <v>RENAISSANCE JEWELLERY LTD</v>
          </cell>
          <cell r="B3445">
            <v>532923</v>
          </cell>
          <cell r="C3445" t="str">
            <v>RJL</v>
          </cell>
        </row>
        <row r="3446">
          <cell r="A3446" t="str">
            <v>REPCO HOME FINANCE LTD</v>
          </cell>
          <cell r="B3446">
            <v>535322</v>
          </cell>
          <cell r="C3446" t="str">
            <v>REPCOHOME</v>
          </cell>
        </row>
        <row r="3447">
          <cell r="A3447" t="str">
            <v>REPRO (INDIA) LTD</v>
          </cell>
          <cell r="B3447">
            <v>532687</v>
          </cell>
          <cell r="C3447" t="str">
            <v>REPRO</v>
          </cell>
        </row>
        <row r="3448">
          <cell r="A3448" t="str">
            <v>REPRO INDIA LTD</v>
          </cell>
          <cell r="B3448">
            <v>532687</v>
          </cell>
          <cell r="C3448" t="str">
            <v>REPRO</v>
          </cell>
        </row>
        <row r="3449">
          <cell r="A3449" t="str">
            <v>RESONANCE SPECIALTIES LTD</v>
          </cell>
          <cell r="B3449">
            <v>524218</v>
          </cell>
          <cell r="C3449" t="str">
            <v>Not Listed</v>
          </cell>
        </row>
        <row r="3450">
          <cell r="A3450" t="str">
            <v>RESPONSIVE INDUSTRIES LTD</v>
          </cell>
          <cell r="B3450">
            <v>505509</v>
          </cell>
          <cell r="C3450" t="str">
            <v>RESPONIND</v>
          </cell>
        </row>
        <row r="3451">
          <cell r="A3451" t="str">
            <v>RESTILE CERAMICS LTD</v>
          </cell>
          <cell r="B3451">
            <v>515085</v>
          </cell>
          <cell r="C3451" t="str">
            <v>Not Listed</v>
          </cell>
        </row>
        <row r="3452">
          <cell r="A3452" t="str">
            <v>Retro Green Revolution Ltd</v>
          </cell>
          <cell r="B3452">
            <v>519191</v>
          </cell>
          <cell r="C3452" t="str">
            <v>RGRL</v>
          </cell>
        </row>
        <row r="3453">
          <cell r="A3453" t="str">
            <v>REVATHI EQUIPMENT LTD</v>
          </cell>
          <cell r="B3453">
            <v>505368</v>
          </cell>
          <cell r="C3453" t="str">
            <v>REVATHI</v>
          </cell>
        </row>
        <row r="3454">
          <cell r="A3454" t="str">
            <v>REXNORD ELECTRONICS &amp; CONTROLS LTD</v>
          </cell>
          <cell r="B3454">
            <v>531888</v>
          </cell>
          <cell r="C3454" t="str">
            <v>Not Listed</v>
          </cell>
        </row>
        <row r="3455">
          <cell r="A3455" t="str">
            <v>RGF CAPITAL MARKETS LTD</v>
          </cell>
          <cell r="B3455">
            <v>539669</v>
          </cell>
          <cell r="C3455" t="str">
            <v>Not Listed</v>
          </cell>
        </row>
        <row r="3456">
          <cell r="A3456" t="str">
            <v>RIBA TEXTILES LTD</v>
          </cell>
          <cell r="B3456">
            <v>531952</v>
          </cell>
          <cell r="C3456" t="str">
            <v>Not Listed</v>
          </cell>
        </row>
        <row r="3457">
          <cell r="A3457" t="str">
            <v>RICH UNIVERSE NETWORK LTD</v>
          </cell>
          <cell r="B3457">
            <v>530271</v>
          </cell>
          <cell r="C3457" t="str">
            <v>Not Listed</v>
          </cell>
        </row>
        <row r="3458">
          <cell r="A3458" t="str">
            <v>RICHA INDUSTRIES LTD</v>
          </cell>
          <cell r="B3458">
            <v>532766</v>
          </cell>
          <cell r="C3458" t="str">
            <v>Not Listed</v>
          </cell>
        </row>
        <row r="3459">
          <cell r="A3459" t="str">
            <v>RICHFIELD FINANCIAL SERVICES LTD</v>
          </cell>
          <cell r="B3459">
            <v>539435</v>
          </cell>
          <cell r="C3459" t="str">
            <v>Not Listed</v>
          </cell>
        </row>
        <row r="3460">
          <cell r="A3460" t="str">
            <v>RICHIRICH INVENTURES LTD</v>
          </cell>
          <cell r="B3460">
            <v>519230</v>
          </cell>
          <cell r="C3460" t="str">
            <v>Not Listed</v>
          </cell>
        </row>
        <row r="3461">
          <cell r="A3461" t="str">
            <v>RICO AUTO INDUSTRIES LTD</v>
          </cell>
          <cell r="B3461">
            <v>520008</v>
          </cell>
          <cell r="C3461" t="str">
            <v>RICOAUTO</v>
          </cell>
        </row>
        <row r="3462">
          <cell r="A3462" t="str">
            <v>RIDDHI CORPORATE SERVICES LTD</v>
          </cell>
          <cell r="B3462">
            <v>540590</v>
          </cell>
          <cell r="C3462" t="str">
            <v>Not Listed</v>
          </cell>
        </row>
        <row r="3463">
          <cell r="A3463" t="str">
            <v>RIDDHI SIDDHI GLUCO BIOLS LTD</v>
          </cell>
          <cell r="B3463">
            <v>524480</v>
          </cell>
          <cell r="C3463" t="str">
            <v>Not Listed</v>
          </cell>
        </row>
        <row r="3464">
          <cell r="A3464" t="str">
            <v>RIDDHI STEEL AND TUBE LTD</v>
          </cell>
          <cell r="B3464">
            <v>540082</v>
          </cell>
          <cell r="C3464" t="str">
            <v>Not Listed</v>
          </cell>
        </row>
        <row r="3465">
          <cell r="A3465" t="str">
            <v>RIDHI SYNTHETICS LTD</v>
          </cell>
          <cell r="B3465">
            <v>504365</v>
          </cell>
          <cell r="C3465" t="str">
            <v>Not Listed</v>
          </cell>
        </row>
        <row r="3466">
          <cell r="A3466" t="str">
            <v>RIDINGS CONSULTING ENGINEERS (INDIA) LTD</v>
          </cell>
          <cell r="B3466">
            <v>541151</v>
          </cell>
          <cell r="C3466" t="str">
            <v>Not Listed</v>
          </cell>
        </row>
        <row r="3467">
          <cell r="A3467" t="str">
            <v>RIDINGS CONSULTING ENGINEERS INDIA LTD</v>
          </cell>
          <cell r="B3467">
            <v>541151</v>
          </cell>
          <cell r="C3467" t="str">
            <v>Not Listed</v>
          </cell>
        </row>
        <row r="3468">
          <cell r="A3468" t="str">
            <v>RIGA SUGAR COMPANY LTD</v>
          </cell>
          <cell r="B3468">
            <v>507508</v>
          </cell>
          <cell r="C3468" t="str">
            <v>Not Listed</v>
          </cell>
        </row>
        <row r="3469">
          <cell r="A3469" t="str">
            <v>RISA INTERNATIONAL LTD</v>
          </cell>
          <cell r="B3469">
            <v>530251</v>
          </cell>
          <cell r="C3469" t="str">
            <v>Not Listed</v>
          </cell>
        </row>
        <row r="3470">
          <cell r="A3470" t="str">
            <v>RISHAB SPECIAL YARNS LTD</v>
          </cell>
          <cell r="B3470">
            <v>514177</v>
          </cell>
          <cell r="C3470" t="str">
            <v>Not Listed</v>
          </cell>
        </row>
        <row r="3471">
          <cell r="A3471" t="str">
            <v>RISHABH DIGHA STEEL &amp; ALLIED PRODUCTS LTD</v>
          </cell>
          <cell r="B3471">
            <v>531539</v>
          </cell>
          <cell r="C3471" t="str">
            <v>Not Listed</v>
          </cell>
        </row>
        <row r="3472">
          <cell r="A3472" t="str">
            <v>RISHI LASER LTD</v>
          </cell>
          <cell r="B3472">
            <v>526861</v>
          </cell>
          <cell r="C3472" t="str">
            <v>Not Listed</v>
          </cell>
        </row>
        <row r="3473">
          <cell r="A3473" t="str">
            <v>RISHI TECHTEX LTD</v>
          </cell>
          <cell r="B3473">
            <v>523021</v>
          </cell>
          <cell r="C3473" t="str">
            <v>Not Listed</v>
          </cell>
        </row>
        <row r="3474">
          <cell r="A3474" t="str">
            <v>RISHIROOP LTD</v>
          </cell>
          <cell r="B3474">
            <v>526492</v>
          </cell>
          <cell r="C3474" t="str">
            <v>Not Listed</v>
          </cell>
        </row>
        <row r="3475">
          <cell r="A3475" t="str">
            <v>Ritco Logistics Ltd</v>
          </cell>
          <cell r="B3475">
            <v>542383</v>
          </cell>
          <cell r="C3475" t="str">
            <v>RITCO</v>
          </cell>
        </row>
        <row r="3476">
          <cell r="A3476" t="str">
            <v>RITES LTD</v>
          </cell>
          <cell r="B3476">
            <v>541556</v>
          </cell>
          <cell r="C3476" t="str">
            <v>RITES</v>
          </cell>
        </row>
        <row r="3477">
          <cell r="A3477" t="str">
            <v>RITESH INTERNATIONAL LTD</v>
          </cell>
          <cell r="B3477">
            <v>519097</v>
          </cell>
          <cell r="C3477" t="str">
            <v>Not Listed</v>
          </cell>
        </row>
        <row r="3478">
          <cell r="A3478" t="str">
            <v>RITESH PROPERTIES &amp; INDUSTRIES LTD</v>
          </cell>
          <cell r="B3478">
            <v>526407</v>
          </cell>
          <cell r="C3478" t="str">
            <v>Not Listed</v>
          </cell>
        </row>
        <row r="3479">
          <cell r="A3479" t="str">
            <v>RITHWIK FACILITY MANAGEMENT SERVICES LTD</v>
          </cell>
          <cell r="B3479">
            <v>540843</v>
          </cell>
          <cell r="C3479" t="str">
            <v>Not Listed</v>
          </cell>
        </row>
        <row r="3480">
          <cell r="A3480" t="str">
            <v>RKEC PROJECTS LTD</v>
          </cell>
          <cell r="B3480" t="str">
            <v>Not Listed</v>
          </cell>
          <cell r="C3480" t="str">
            <v>RKEC</v>
          </cell>
        </row>
        <row r="3481">
          <cell r="A3481" t="str">
            <v>RLF LTD</v>
          </cell>
          <cell r="B3481">
            <v>512618</v>
          </cell>
          <cell r="C3481" t="str">
            <v>Not Listed</v>
          </cell>
        </row>
        <row r="3482">
          <cell r="A3482" t="str">
            <v>RMC SWITCHGEARS LTD</v>
          </cell>
          <cell r="B3482">
            <v>540358</v>
          </cell>
          <cell r="C3482" t="str">
            <v>Not Listed</v>
          </cell>
        </row>
        <row r="3483">
          <cell r="A3483" t="str">
            <v>RMG ALLOY STEEL LTD</v>
          </cell>
          <cell r="B3483">
            <v>500365</v>
          </cell>
          <cell r="C3483" t="str">
            <v>Not Listed</v>
          </cell>
        </row>
        <row r="3484">
          <cell r="A3484" t="str">
            <v>ROCKON ENTERPRISES LTD</v>
          </cell>
          <cell r="B3484">
            <v>531447</v>
          </cell>
          <cell r="C3484" t="str">
            <v>Not Listed</v>
          </cell>
        </row>
        <row r="3485">
          <cell r="A3485" t="str">
            <v>RODIUM REALTY LTD</v>
          </cell>
          <cell r="B3485">
            <v>531822</v>
          </cell>
          <cell r="C3485" t="str">
            <v>Not Listed</v>
          </cell>
        </row>
        <row r="3486">
          <cell r="A3486" t="str">
            <v>ROHIT FERRO-TECH LTD</v>
          </cell>
          <cell r="B3486">
            <v>532731</v>
          </cell>
          <cell r="C3486" t="str">
            <v>ROHITFERRO</v>
          </cell>
        </row>
        <row r="3487">
          <cell r="A3487" t="str">
            <v>ROLCON ENGINEERING CO LTD</v>
          </cell>
          <cell r="B3487">
            <v>505807</v>
          </cell>
          <cell r="C3487" t="str">
            <v>Not Listed</v>
          </cell>
        </row>
        <row r="3488">
          <cell r="A3488" t="str">
            <v>ROLLATAINERS LTD</v>
          </cell>
          <cell r="B3488">
            <v>502448</v>
          </cell>
          <cell r="C3488" t="str">
            <v>ROLLT</v>
          </cell>
        </row>
        <row r="3489">
          <cell r="A3489" t="str">
            <v>ROLTA (INDIA) LTD</v>
          </cell>
          <cell r="B3489">
            <v>500366</v>
          </cell>
          <cell r="C3489" t="str">
            <v>ROLTA</v>
          </cell>
        </row>
        <row r="3490">
          <cell r="A3490" t="str">
            <v>ROLTA INDIA LTD</v>
          </cell>
          <cell r="B3490">
            <v>500366</v>
          </cell>
          <cell r="C3490" t="str">
            <v>ROLTA</v>
          </cell>
        </row>
        <row r="3491">
          <cell r="A3491" t="str">
            <v>RONI HOUSEHOLDS LTD</v>
          </cell>
          <cell r="B3491">
            <v>542145</v>
          </cell>
          <cell r="C3491" t="str">
            <v>Not Listed</v>
          </cell>
        </row>
        <row r="3492">
          <cell r="A3492" t="str">
            <v>ROOPA INDUSTRIES LTD</v>
          </cell>
          <cell r="B3492">
            <v>530991</v>
          </cell>
          <cell r="C3492" t="str">
            <v>Not Listed</v>
          </cell>
        </row>
        <row r="3493">
          <cell r="A3493" t="str">
            <v>Roopshri Resorts Ltd</v>
          </cell>
          <cell r="B3493">
            <v>542599</v>
          </cell>
          <cell r="C3493" t="str">
            <v>ROOPSHRI</v>
          </cell>
        </row>
        <row r="3494">
          <cell r="A3494" t="str">
            <v>ROSELABS FINANCE LTD</v>
          </cell>
          <cell r="B3494">
            <v>531324</v>
          </cell>
          <cell r="C3494" t="str">
            <v>Not Listed</v>
          </cell>
        </row>
        <row r="3495">
          <cell r="A3495" t="str">
            <v>ROSSELL (INDIA) LTD</v>
          </cell>
          <cell r="B3495">
            <v>533168</v>
          </cell>
          <cell r="C3495" t="str">
            <v>ROSSELLIND</v>
          </cell>
        </row>
        <row r="3496">
          <cell r="A3496" t="str">
            <v>ROSSELL INDIA LTD</v>
          </cell>
          <cell r="B3496">
            <v>533168</v>
          </cell>
          <cell r="C3496" t="str">
            <v>ROSSELLIND</v>
          </cell>
        </row>
        <row r="3497">
          <cell r="A3497" t="str">
            <v>ROTO PUMPS LTD</v>
          </cell>
          <cell r="B3497">
            <v>517500</v>
          </cell>
          <cell r="C3497" t="str">
            <v>Not Listed</v>
          </cell>
        </row>
        <row r="3498">
          <cell r="A3498" t="str">
            <v>ROTOGRAPHICS (INDIA) LTD</v>
          </cell>
          <cell r="B3498">
            <v>539922</v>
          </cell>
          <cell r="C3498" t="str">
            <v>Not Listed</v>
          </cell>
        </row>
        <row r="3499">
          <cell r="A3499" t="str">
            <v>ROTOGRAPHICS INDIA LTD</v>
          </cell>
          <cell r="B3499">
            <v>539922</v>
          </cell>
          <cell r="C3499" t="str">
            <v>Not Listed</v>
          </cell>
        </row>
        <row r="3500">
          <cell r="A3500" t="str">
            <v>ROYAL CUSHION VINYL PRODUCTS LTD</v>
          </cell>
          <cell r="B3500">
            <v>526193</v>
          </cell>
          <cell r="C3500" t="str">
            <v>Not Listed</v>
          </cell>
        </row>
        <row r="3501">
          <cell r="A3501" t="str">
            <v>ROYAL INDIA CORPORATION LTD</v>
          </cell>
          <cell r="B3501">
            <v>512047</v>
          </cell>
          <cell r="C3501" t="str">
            <v>Not Listed</v>
          </cell>
        </row>
        <row r="3502">
          <cell r="A3502" t="str">
            <v>ROYAL ORCHID HOTELS LTD</v>
          </cell>
          <cell r="B3502">
            <v>532699</v>
          </cell>
          <cell r="C3502" t="str">
            <v>ROHLTD</v>
          </cell>
        </row>
        <row r="3503">
          <cell r="A3503" t="str">
            <v>ROYALE MANOR HOTELS &amp; INDUSTRIES LTD</v>
          </cell>
          <cell r="B3503">
            <v>526640</v>
          </cell>
          <cell r="C3503" t="str">
            <v>Not Listed</v>
          </cell>
        </row>
        <row r="3504">
          <cell r="A3504" t="str">
            <v>RPG LIFE SCIENCES LTD</v>
          </cell>
          <cell r="B3504">
            <v>532983</v>
          </cell>
          <cell r="C3504" t="str">
            <v>RPGLIFE</v>
          </cell>
        </row>
        <row r="3505">
          <cell r="A3505" t="str">
            <v>RR FINANCIAL CONSULTANTS LTD</v>
          </cell>
          <cell r="B3505">
            <v>511626</v>
          </cell>
          <cell r="C3505" t="str">
            <v>Not Listed</v>
          </cell>
        </row>
        <row r="3506">
          <cell r="A3506" t="str">
            <v>RSC INTERNATIONAL LTD</v>
          </cell>
          <cell r="B3506">
            <v>530179</v>
          </cell>
          <cell r="C3506" t="str">
            <v>Not Listed</v>
          </cell>
        </row>
        <row r="3507">
          <cell r="A3507" t="str">
            <v>RSD FINANCE LTD</v>
          </cell>
          <cell r="B3507">
            <v>539875</v>
          </cell>
          <cell r="C3507" t="str">
            <v>Not Listed</v>
          </cell>
        </row>
        <row r="3508">
          <cell r="A3508" t="str">
            <v>RSWM LTD</v>
          </cell>
          <cell r="B3508">
            <v>500350</v>
          </cell>
          <cell r="C3508" t="str">
            <v>RSWM</v>
          </cell>
        </row>
        <row r="3509">
          <cell r="A3509" t="str">
            <v>RTS POWER CORPORATION LTD</v>
          </cell>
          <cell r="B3509">
            <v>531215</v>
          </cell>
          <cell r="C3509" t="str">
            <v>Not Listed</v>
          </cell>
        </row>
        <row r="3510">
          <cell r="A3510" t="str">
            <v>RUBFILA INTERNATIONAL LTD</v>
          </cell>
          <cell r="B3510">
            <v>500367</v>
          </cell>
          <cell r="C3510" t="str">
            <v>Not Listed</v>
          </cell>
        </row>
        <row r="3511">
          <cell r="A3511" t="str">
            <v>RUBRA MEDICAMENTS LTD</v>
          </cell>
          <cell r="B3511">
            <v>531099</v>
          </cell>
          <cell r="C3511" t="str">
            <v>Not Listed</v>
          </cell>
        </row>
        <row r="3512">
          <cell r="A3512" t="str">
            <v>RUCHI INFRASTRUCTURE LTD</v>
          </cell>
          <cell r="B3512">
            <v>509020</v>
          </cell>
          <cell r="C3512" t="str">
            <v>RUCHINFRA</v>
          </cell>
        </row>
        <row r="3513">
          <cell r="A3513" t="str">
            <v>RUCHI SOYA INDUSTRIES LTD</v>
          </cell>
          <cell r="B3513">
            <v>500368</v>
          </cell>
          <cell r="C3513" t="str">
            <v>RUCHISOYA</v>
          </cell>
        </row>
        <row r="3514">
          <cell r="A3514" t="str">
            <v>RUCHIKA INDUSTRIES (INDIA) LTD</v>
          </cell>
          <cell r="B3514">
            <v>540696</v>
          </cell>
          <cell r="C3514" t="str">
            <v>Not Listed</v>
          </cell>
        </row>
        <row r="3515">
          <cell r="A3515" t="str">
            <v>RUCHIKA INDUSTRIES INDIA LTD</v>
          </cell>
          <cell r="B3515">
            <v>540696</v>
          </cell>
          <cell r="C3515" t="str">
            <v>Not Listed</v>
          </cell>
        </row>
        <row r="3516">
          <cell r="A3516" t="str">
            <v>RUCHIRA PAPERS LTD</v>
          </cell>
          <cell r="B3516">
            <v>532785</v>
          </cell>
          <cell r="C3516" t="str">
            <v>RUCHIRA</v>
          </cell>
        </row>
        <row r="3517">
          <cell r="A3517" t="str">
            <v>RUDRA GLOBAL INFRA PRODUCTS LTD</v>
          </cell>
          <cell r="B3517">
            <v>539226</v>
          </cell>
          <cell r="C3517" t="str">
            <v>Not Listed</v>
          </cell>
        </row>
        <row r="3518">
          <cell r="A3518" t="str">
            <v>RUDRABHISHEK ENTERPRISES LTD</v>
          </cell>
          <cell r="B3518" t="str">
            <v>Not Listed</v>
          </cell>
          <cell r="C3518" t="str">
            <v>REPL</v>
          </cell>
        </row>
        <row r="3519">
          <cell r="A3519" t="str">
            <v>RUIA AQUACULTURE FARMS LTD</v>
          </cell>
          <cell r="B3519">
            <v>519413</v>
          </cell>
          <cell r="C3519" t="str">
            <v>Not Listed</v>
          </cell>
        </row>
        <row r="3520">
          <cell r="A3520" t="str">
            <v>RUNGTA IRRIGATION LTD</v>
          </cell>
          <cell r="B3520">
            <v>530449</v>
          </cell>
          <cell r="C3520" t="str">
            <v>Not Listed</v>
          </cell>
        </row>
        <row r="3521">
          <cell r="A3521" t="str">
            <v>RUPA &amp; COMPANY LTD</v>
          </cell>
          <cell r="B3521">
            <v>533552</v>
          </cell>
          <cell r="C3521" t="str">
            <v>RUPA</v>
          </cell>
        </row>
        <row r="3522">
          <cell r="A3522" t="str">
            <v>RUSHIL DECOR LTD</v>
          </cell>
          <cell r="B3522">
            <v>533470</v>
          </cell>
          <cell r="C3522" t="str">
            <v>RUSHIL</v>
          </cell>
        </row>
        <row r="3523">
          <cell r="A3523" t="str">
            <v>RUTRON INTERNATIONAL LTD</v>
          </cell>
          <cell r="B3523">
            <v>504335</v>
          </cell>
          <cell r="C3523" t="str">
            <v>Not Listed</v>
          </cell>
        </row>
        <row r="3524">
          <cell r="A3524" t="str">
            <v>RUTTONSHA INTERNATIONAL RECTIFIER LTD</v>
          </cell>
          <cell r="B3524">
            <v>517035</v>
          </cell>
          <cell r="C3524" t="str">
            <v>Not Listed</v>
          </cell>
        </row>
        <row r="3525">
          <cell r="A3525" t="str">
            <v>S  M  GOLD LTD</v>
          </cell>
          <cell r="B3525">
            <v>542034</v>
          </cell>
          <cell r="C3525" t="str">
            <v>Not Listed</v>
          </cell>
        </row>
        <row r="3526">
          <cell r="A3526" t="str">
            <v>S A L STEEL LTD</v>
          </cell>
          <cell r="B3526">
            <v>532604</v>
          </cell>
          <cell r="C3526" t="str">
            <v>SALSTEEL</v>
          </cell>
        </row>
        <row r="3527">
          <cell r="A3527" t="str">
            <v>S CHAND AND COMPANY LTD</v>
          </cell>
          <cell r="B3527">
            <v>540497</v>
          </cell>
          <cell r="C3527" t="str">
            <v>SCHAND</v>
          </cell>
        </row>
        <row r="3528">
          <cell r="A3528" t="str">
            <v>S E POWER LTD</v>
          </cell>
          <cell r="B3528">
            <v>534598</v>
          </cell>
          <cell r="C3528" t="str">
            <v>SEPOWER</v>
          </cell>
        </row>
        <row r="3529">
          <cell r="A3529" t="str">
            <v>S H KELKAR AND COMPANY LTD</v>
          </cell>
          <cell r="B3529">
            <v>539450</v>
          </cell>
          <cell r="C3529" t="str">
            <v>SHK</v>
          </cell>
        </row>
        <row r="3530">
          <cell r="A3530" t="str">
            <v>S KUMARS.COM LTD.</v>
          </cell>
          <cell r="B3530">
            <v>532316</v>
          </cell>
          <cell r="C3530" t="str">
            <v>SKUMAR</v>
          </cell>
        </row>
        <row r="3531">
          <cell r="A3531" t="str">
            <v>S P APPARELS LTD</v>
          </cell>
          <cell r="B3531">
            <v>540048</v>
          </cell>
          <cell r="C3531" t="str">
            <v>SPAL</v>
          </cell>
        </row>
        <row r="3532">
          <cell r="A3532" t="str">
            <v>S R G SECURITIES FINANCE LTD</v>
          </cell>
          <cell r="B3532">
            <v>536710</v>
          </cell>
          <cell r="C3532" t="str">
            <v>Not Listed</v>
          </cell>
        </row>
        <row r="3533">
          <cell r="A3533" t="str">
            <v>S R INDUSTRIES LTD</v>
          </cell>
          <cell r="B3533">
            <v>513515</v>
          </cell>
          <cell r="C3533" t="str">
            <v>Not Listed</v>
          </cell>
        </row>
        <row r="3534">
          <cell r="A3534" t="str">
            <v>S R K INDUSTRIES LTD</v>
          </cell>
          <cell r="B3534">
            <v>531307</v>
          </cell>
          <cell r="C3534" t="str">
            <v>Not Listed</v>
          </cell>
        </row>
        <row r="3535">
          <cell r="A3535" t="str">
            <v>S S INFRASTRUCTURE DEVELOPMENT CONSULTANTS LTD</v>
          </cell>
          <cell r="B3535" t="str">
            <v>Not Listed</v>
          </cell>
          <cell r="C3535" t="str">
            <v>SSINFRA</v>
          </cell>
        </row>
        <row r="3536">
          <cell r="A3536" t="str">
            <v>S T SERVICES LTD</v>
          </cell>
          <cell r="B3536">
            <v>538876</v>
          </cell>
          <cell r="C3536" t="str">
            <v>Not Listed</v>
          </cell>
        </row>
        <row r="3537">
          <cell r="A3537" t="str">
            <v>S V GLOBAL MILL LTD</v>
          </cell>
          <cell r="B3537">
            <v>535621</v>
          </cell>
          <cell r="C3537" t="str">
            <v>Not Listed</v>
          </cell>
        </row>
        <row r="3538">
          <cell r="A3538" t="str">
            <v>S V TRADING &amp; AGENCIES LTD</v>
          </cell>
          <cell r="B3538">
            <v>503622</v>
          </cell>
          <cell r="C3538" t="str">
            <v>Not Listed</v>
          </cell>
        </row>
        <row r="3539">
          <cell r="A3539" t="str">
            <v>S&amp;T CORPORATION LTD</v>
          </cell>
          <cell r="B3539">
            <v>514197</v>
          </cell>
          <cell r="C3539" t="str">
            <v>Not Listed</v>
          </cell>
        </row>
        <row r="3540">
          <cell r="A3540" t="str">
            <v>SAB EVENTS &amp; GOVERNANCE NOW MEDIA LTD</v>
          </cell>
          <cell r="B3540">
            <v>540081</v>
          </cell>
          <cell r="C3540" t="str">
            <v>SABEVENTS</v>
          </cell>
        </row>
        <row r="3541">
          <cell r="A3541" t="str">
            <v>SAB INDUSTRIES LTD</v>
          </cell>
          <cell r="B3541">
            <v>539112</v>
          </cell>
          <cell r="C3541" t="str">
            <v>Not Listed</v>
          </cell>
        </row>
        <row r="3542">
          <cell r="A3542" t="str">
            <v>SABOO BROTHERS LTD</v>
          </cell>
          <cell r="B3542">
            <v>530267</v>
          </cell>
          <cell r="C3542" t="str">
            <v>Not Listed</v>
          </cell>
        </row>
        <row r="3543">
          <cell r="A3543" t="str">
            <v>SABOO SODIUM CHLORO LTD</v>
          </cell>
          <cell r="B3543">
            <v>530461</v>
          </cell>
          <cell r="C3543" t="str">
            <v>Not Listed</v>
          </cell>
        </row>
        <row r="3544">
          <cell r="A3544" t="str">
            <v>SABRIMALA INDUSTRIES (INDIA) LTD</v>
          </cell>
          <cell r="B3544">
            <v>540132</v>
          </cell>
          <cell r="C3544" t="str">
            <v>Not Listed</v>
          </cell>
        </row>
        <row r="3545">
          <cell r="A3545" t="str">
            <v>SABRIMALA INDUSTRIES INDIA LTD</v>
          </cell>
          <cell r="B3545">
            <v>540132</v>
          </cell>
          <cell r="C3545" t="str">
            <v>Not Listed</v>
          </cell>
        </row>
        <row r="3546">
          <cell r="A3546" t="str">
            <v>SACHETA METALS LTD</v>
          </cell>
          <cell r="B3546">
            <v>531869</v>
          </cell>
          <cell r="C3546" t="str">
            <v>Not Listed</v>
          </cell>
        </row>
        <row r="3547">
          <cell r="A3547" t="str">
            <v>SADBHAV ENGINEERING LTD</v>
          </cell>
          <cell r="B3547">
            <v>532710</v>
          </cell>
          <cell r="C3547" t="str">
            <v>SADBHAV</v>
          </cell>
        </row>
        <row r="3548">
          <cell r="A3548" t="str">
            <v>SADBHAV INFRASTRUCTURE PROJECT LTD</v>
          </cell>
          <cell r="B3548">
            <v>539346</v>
          </cell>
          <cell r="C3548" t="str">
            <v>SADBHIN</v>
          </cell>
        </row>
        <row r="3549">
          <cell r="A3549" t="str">
            <v>SADHANA NITROCHEM LTD</v>
          </cell>
          <cell r="B3549">
            <v>506642</v>
          </cell>
          <cell r="C3549" t="str">
            <v>Not Listed</v>
          </cell>
        </row>
        <row r="3550">
          <cell r="A3550" t="str">
            <v>SADHNA BROADCAST LTD</v>
          </cell>
          <cell r="B3550">
            <v>540821</v>
          </cell>
          <cell r="C3550" t="str">
            <v>Not Listed</v>
          </cell>
        </row>
        <row r="3551">
          <cell r="A3551" t="str">
            <v>SAFAL HERBS LTD</v>
          </cell>
          <cell r="B3551">
            <v>532034</v>
          </cell>
          <cell r="C3551" t="str">
            <v>Not Listed</v>
          </cell>
        </row>
        <row r="3552">
          <cell r="A3552" t="str">
            <v>SAFAL SECURITIES LTD</v>
          </cell>
          <cell r="B3552">
            <v>531448</v>
          </cell>
          <cell r="C3552" t="str">
            <v>Not Listed</v>
          </cell>
        </row>
        <row r="3553">
          <cell r="A3553" t="str">
            <v>SAFARI INDUSTRIES (INDIA) LTD</v>
          </cell>
          <cell r="B3553">
            <v>523025</v>
          </cell>
          <cell r="C3553" t="str">
            <v>Not Listed</v>
          </cell>
        </row>
        <row r="3554">
          <cell r="A3554" t="str">
            <v>SAFARI INDUSTRIES INDIA LTD</v>
          </cell>
          <cell r="B3554">
            <v>523025</v>
          </cell>
          <cell r="C3554" t="str">
            <v>Not Listed</v>
          </cell>
        </row>
        <row r="3555">
          <cell r="A3555" t="str">
            <v>SAGAR CEMENTS LTD</v>
          </cell>
          <cell r="B3555">
            <v>502090</v>
          </cell>
          <cell r="C3555" t="str">
            <v>SAGCEM</v>
          </cell>
        </row>
        <row r="3556">
          <cell r="A3556" t="str">
            <v>SAGAR DIAMONDS LTD</v>
          </cell>
          <cell r="B3556">
            <v>540715</v>
          </cell>
          <cell r="C3556" t="str">
            <v>Not Listed</v>
          </cell>
        </row>
        <row r="3557">
          <cell r="A3557" t="str">
            <v>SAGAR PRODUCTIONS LTD</v>
          </cell>
          <cell r="B3557">
            <v>532092</v>
          </cell>
          <cell r="C3557" t="str">
            <v>Not Listed</v>
          </cell>
        </row>
        <row r="3558">
          <cell r="A3558" t="str">
            <v>SAGAR SOYA PRODUCTS LTD</v>
          </cell>
          <cell r="B3558">
            <v>507663</v>
          </cell>
          <cell r="C3558" t="str">
            <v>Not Listed</v>
          </cell>
        </row>
        <row r="3559">
          <cell r="A3559" t="str">
            <v>SAGAR SYSTECH LTD</v>
          </cell>
          <cell r="B3559">
            <v>511254</v>
          </cell>
          <cell r="C3559" t="str">
            <v>Not Listed</v>
          </cell>
        </row>
        <row r="3560">
          <cell r="A3560" t="str">
            <v>SAGAR TOURIST RESORTS LTD</v>
          </cell>
          <cell r="B3560">
            <v>526085</v>
          </cell>
          <cell r="C3560" t="str">
            <v>Not Listed</v>
          </cell>
        </row>
        <row r="3561">
          <cell r="A3561" t="str">
            <v>SAGARDEEP ALLOYS LTD</v>
          </cell>
          <cell r="B3561" t="str">
            <v>Not Listed</v>
          </cell>
          <cell r="C3561" t="str">
            <v>SAGARDEEP</v>
          </cell>
        </row>
        <row r="3562">
          <cell r="A3562" t="str">
            <v>SAGARSOFT (INDIA) LTD</v>
          </cell>
          <cell r="B3562">
            <v>540143</v>
          </cell>
          <cell r="C3562" t="str">
            <v>Not Listed</v>
          </cell>
        </row>
        <row r="3563">
          <cell r="A3563" t="str">
            <v>SAGARSOFT INDIA LTD</v>
          </cell>
          <cell r="B3563">
            <v>540143</v>
          </cell>
          <cell r="C3563" t="str">
            <v>Not Listed</v>
          </cell>
        </row>
        <row r="3564">
          <cell r="A3564" t="str">
            <v>SAHARA HOUSINGFINA CORPORATION LTD</v>
          </cell>
          <cell r="B3564">
            <v>511533</v>
          </cell>
          <cell r="C3564" t="str">
            <v>Not Listed</v>
          </cell>
        </row>
        <row r="3565">
          <cell r="A3565" t="str">
            <v>SAHARA ONE MEDIA &amp; ENTERTAINMENT LTD</v>
          </cell>
          <cell r="B3565">
            <v>503691</v>
          </cell>
          <cell r="C3565" t="str">
            <v>Not Listed</v>
          </cell>
        </row>
        <row r="3566">
          <cell r="A3566" t="str">
            <v>SAHYADRI INDUSTRIES LTD</v>
          </cell>
          <cell r="B3566">
            <v>532841</v>
          </cell>
          <cell r="C3566" t="str">
            <v>Not Listed</v>
          </cell>
        </row>
        <row r="3567">
          <cell r="A3567" t="str">
            <v>SAHYOG MULTIBASE LTD</v>
          </cell>
          <cell r="B3567">
            <v>539660</v>
          </cell>
          <cell r="C3567" t="str">
            <v>Not Listed</v>
          </cell>
        </row>
        <row r="3568">
          <cell r="A3568" t="str">
            <v>SAI BABA INVESTMENT AND COMMERCIAL ENTERPRISES LTD</v>
          </cell>
          <cell r="B3568">
            <v>538557</v>
          </cell>
          <cell r="C3568" t="str">
            <v>Not Listed</v>
          </cell>
        </row>
        <row r="3569">
          <cell r="A3569" t="str">
            <v>SAI CAPITAL LTD</v>
          </cell>
          <cell r="B3569">
            <v>531931</v>
          </cell>
          <cell r="C3569" t="str">
            <v>Not Listed</v>
          </cell>
        </row>
        <row r="3570">
          <cell r="A3570" t="str">
            <v>SAI INDUSTRIES LTD</v>
          </cell>
          <cell r="B3570">
            <v>530905</v>
          </cell>
          <cell r="C3570" t="str">
            <v>Not Listed</v>
          </cell>
        </row>
        <row r="3571">
          <cell r="A3571" t="str">
            <v>SAI MOH AUTO LINKS LTD</v>
          </cell>
          <cell r="B3571">
            <v>540066</v>
          </cell>
          <cell r="C3571" t="str">
            <v>Not Listed</v>
          </cell>
        </row>
        <row r="3572">
          <cell r="A3572" t="str">
            <v>SAINIK FINANCE &amp; INDUSTRIES LTD</v>
          </cell>
          <cell r="B3572">
            <v>530265</v>
          </cell>
          <cell r="C3572" t="str">
            <v>Not Listed</v>
          </cell>
        </row>
        <row r="3573">
          <cell r="A3573" t="str">
            <v>SAINT-GOBAIN SEKURIT (INDIA) LTD</v>
          </cell>
          <cell r="B3573">
            <v>515043</v>
          </cell>
          <cell r="C3573" t="str">
            <v>Not Listed</v>
          </cell>
        </row>
        <row r="3574">
          <cell r="A3574" t="str">
            <v>SAINT-GOBAIN SEKURIT INDIA LTD</v>
          </cell>
          <cell r="B3574">
            <v>515043</v>
          </cell>
          <cell r="C3574" t="str">
            <v>Not Listed</v>
          </cell>
        </row>
        <row r="3575">
          <cell r="A3575" t="str">
            <v>SAKAR HEALTHCARE LTD</v>
          </cell>
          <cell r="B3575" t="str">
            <v>Not Listed</v>
          </cell>
          <cell r="C3575" t="str">
            <v>SAKAR</v>
          </cell>
        </row>
        <row r="3576">
          <cell r="A3576" t="str">
            <v>SAKETH EXIM LTD</v>
          </cell>
          <cell r="B3576" t="str">
            <v>Not Listed</v>
          </cell>
          <cell r="C3576" t="str">
            <v>SAKETH</v>
          </cell>
        </row>
        <row r="3577">
          <cell r="A3577" t="str">
            <v>SAKSOFT LTD</v>
          </cell>
          <cell r="B3577">
            <v>590051</v>
          </cell>
          <cell r="C3577" t="str">
            <v>SAKSOFT</v>
          </cell>
        </row>
        <row r="3578">
          <cell r="A3578" t="str">
            <v>SAKTHI FINANCE LTD</v>
          </cell>
          <cell r="B3578">
            <v>511066</v>
          </cell>
          <cell r="C3578" t="str">
            <v>Not Listed</v>
          </cell>
        </row>
        <row r="3579">
          <cell r="A3579" t="str">
            <v>SAKTHI SUGARS LTD</v>
          </cell>
          <cell r="B3579">
            <v>507315</v>
          </cell>
          <cell r="C3579" t="str">
            <v>SAKHTISUG</v>
          </cell>
        </row>
        <row r="3580">
          <cell r="A3580" t="str">
            <v>SAKUMA EXPORTS LTD</v>
          </cell>
          <cell r="B3580">
            <v>532713</v>
          </cell>
          <cell r="C3580" t="str">
            <v>SAKUMA</v>
          </cell>
        </row>
        <row r="3581">
          <cell r="A3581" t="str">
            <v>SALASAR TECHNO ENGINEERING LTD</v>
          </cell>
          <cell r="B3581">
            <v>540642</v>
          </cell>
          <cell r="C3581" t="str">
            <v>SALASAR</v>
          </cell>
        </row>
        <row r="3582">
          <cell r="A3582" t="str">
            <v>SALEM ERODE INVESTMENTS LTD</v>
          </cell>
          <cell r="B3582">
            <v>540181</v>
          </cell>
          <cell r="C3582" t="str">
            <v>Not Listed</v>
          </cell>
        </row>
        <row r="3583">
          <cell r="A3583" t="str">
            <v>SALGUTI INDUSTRIES LTD</v>
          </cell>
          <cell r="B3583">
            <v>526554</v>
          </cell>
          <cell r="C3583" t="str">
            <v>Not Listed</v>
          </cell>
        </row>
        <row r="3584">
          <cell r="A3584" t="str">
            <v>SALONA COTSPIN LTD</v>
          </cell>
          <cell r="B3584">
            <v>590056</v>
          </cell>
          <cell r="C3584" t="str">
            <v>SALONA</v>
          </cell>
        </row>
        <row r="3585">
          <cell r="A3585" t="str">
            <v>SALORA INTERNATIONAL LTD</v>
          </cell>
          <cell r="B3585">
            <v>500370</v>
          </cell>
          <cell r="C3585" t="str">
            <v>SALORAINTL</v>
          </cell>
        </row>
        <row r="3586">
          <cell r="A3586" t="str">
            <v>SALZER ELECTRONICS LTD</v>
          </cell>
          <cell r="B3586">
            <v>517059</v>
          </cell>
          <cell r="C3586" t="str">
            <v>SALZERELEC</v>
          </cell>
        </row>
        <row r="3587">
          <cell r="A3587" t="str">
            <v>SAM INDUSTRIES LTD</v>
          </cell>
          <cell r="B3587">
            <v>532005</v>
          </cell>
          <cell r="C3587" t="str">
            <v>Not Listed</v>
          </cell>
        </row>
        <row r="3588">
          <cell r="A3588" t="str">
            <v>SAMBANDAM SPINNING MILLS LTD</v>
          </cell>
          <cell r="B3588">
            <v>521240</v>
          </cell>
          <cell r="C3588" t="str">
            <v>Not Listed</v>
          </cell>
        </row>
        <row r="3589">
          <cell r="A3589" t="str">
            <v>SAMBHAAV MEDIA LTD</v>
          </cell>
          <cell r="B3589">
            <v>511630</v>
          </cell>
          <cell r="C3589" t="str">
            <v>SAMBHAAV</v>
          </cell>
        </row>
        <row r="3590">
          <cell r="A3590" t="str">
            <v>SAMKRG PISTONS &amp; RINGS LTD</v>
          </cell>
          <cell r="B3590">
            <v>520075</v>
          </cell>
          <cell r="C3590" t="str">
            <v>Not Listed</v>
          </cell>
        </row>
        <row r="3591">
          <cell r="A3591" t="str">
            <v>SAMPRE NUTRITIONS LTD</v>
          </cell>
          <cell r="B3591">
            <v>530617</v>
          </cell>
          <cell r="C3591" t="str">
            <v>Not Listed</v>
          </cell>
        </row>
        <row r="3592">
          <cell r="A3592" t="str">
            <v>SAMRAT PHARMACHEM LTD</v>
          </cell>
          <cell r="B3592">
            <v>530125</v>
          </cell>
          <cell r="C3592" t="str">
            <v>Not Listed</v>
          </cell>
        </row>
        <row r="3593">
          <cell r="A3593" t="str">
            <v>SAMTEL (INDIA) LTD</v>
          </cell>
          <cell r="B3593">
            <v>500371</v>
          </cell>
          <cell r="C3593" t="str">
            <v>Not Listed</v>
          </cell>
        </row>
        <row r="3594">
          <cell r="A3594" t="str">
            <v>SAMTEL INDIA LTD</v>
          </cell>
          <cell r="B3594">
            <v>500371</v>
          </cell>
          <cell r="C3594" t="str">
            <v>Not Listed</v>
          </cell>
        </row>
        <row r="3595">
          <cell r="A3595" t="str">
            <v>SAMTEX FASHIONS LTD</v>
          </cell>
          <cell r="B3595">
            <v>521206</v>
          </cell>
          <cell r="C3595" t="str">
            <v>Not Listed</v>
          </cell>
        </row>
        <row r="3596">
          <cell r="A3596" t="str">
            <v>SAMYAK INTERNATIONAL LTD</v>
          </cell>
          <cell r="B3596">
            <v>530025</v>
          </cell>
          <cell r="C3596" t="str">
            <v>Not Listed</v>
          </cell>
        </row>
        <row r="3597">
          <cell r="A3597" t="str">
            <v>SANASA TECH FEB LTD</v>
          </cell>
          <cell r="B3597">
            <v>780015</v>
          </cell>
          <cell r="C3597" t="str">
            <v>Not Listed</v>
          </cell>
        </row>
        <row r="3598">
          <cell r="A3598" t="str">
            <v>SANATHNAGAR ENTERPRISES LTD</v>
          </cell>
          <cell r="B3598">
            <v>509423</v>
          </cell>
          <cell r="C3598" t="str">
            <v>Not Listed</v>
          </cell>
        </row>
        <row r="3599">
          <cell r="A3599" t="str">
            <v>SANBLUE CORPORATION LTD</v>
          </cell>
          <cell r="B3599">
            <v>521222</v>
          </cell>
          <cell r="C3599" t="str">
            <v>Not Listed</v>
          </cell>
        </row>
        <row r="3600">
          <cell r="A3600" t="str">
            <v>SANCO INDUSTRIES LTD</v>
          </cell>
          <cell r="B3600" t="str">
            <v>Not Listed</v>
          </cell>
          <cell r="C3600" t="str">
            <v>SANCO</v>
          </cell>
        </row>
        <row r="3601">
          <cell r="A3601" t="str">
            <v>SANCO TRANS LTD</v>
          </cell>
          <cell r="B3601">
            <v>523116</v>
          </cell>
          <cell r="C3601" t="str">
            <v>Not Listed</v>
          </cell>
        </row>
        <row r="3602">
          <cell r="A3602" t="str">
            <v>SANDHAR TECHNOLOGIES LTD</v>
          </cell>
          <cell r="B3602">
            <v>541163</v>
          </cell>
          <cell r="C3602" t="str">
            <v>SANDHAR</v>
          </cell>
        </row>
        <row r="3603">
          <cell r="A3603" t="str">
            <v>SANDU PHARMACEUTICALS LTD</v>
          </cell>
          <cell r="B3603">
            <v>524703</v>
          </cell>
          <cell r="C3603" t="str">
            <v>Not Listed</v>
          </cell>
        </row>
        <row r="3604">
          <cell r="A3604" t="str">
            <v>SANDUR MANGANESE &amp; IRON ORES LTD</v>
          </cell>
          <cell r="B3604">
            <v>504918</v>
          </cell>
          <cell r="C3604" t="str">
            <v>Not Listed</v>
          </cell>
        </row>
        <row r="3605">
          <cell r="A3605" t="str">
            <v>SANG FROID LABS (INDIA) LTD</v>
          </cell>
          <cell r="B3605">
            <v>539392</v>
          </cell>
          <cell r="C3605" t="str">
            <v>Not Listed</v>
          </cell>
        </row>
        <row r="3606">
          <cell r="A3606" t="str">
            <v>SANG FROID LABS INDIA LTD</v>
          </cell>
          <cell r="B3606">
            <v>539392</v>
          </cell>
          <cell r="C3606" t="str">
            <v>Not Listed</v>
          </cell>
        </row>
        <row r="3607">
          <cell r="A3607" t="str">
            <v>SANGAL PAPERS LTD</v>
          </cell>
          <cell r="B3607">
            <v>516096</v>
          </cell>
          <cell r="C3607" t="str">
            <v>Not Listed</v>
          </cell>
        </row>
        <row r="3608">
          <cell r="A3608" t="str">
            <v>SANGAM (INDIA) LTD</v>
          </cell>
          <cell r="B3608">
            <v>514234</v>
          </cell>
          <cell r="C3608" t="str">
            <v>SANGAMIND</v>
          </cell>
        </row>
        <row r="3609">
          <cell r="A3609" t="str">
            <v>SANGAM INDIA LTD</v>
          </cell>
          <cell r="B3609">
            <v>514234</v>
          </cell>
          <cell r="C3609" t="str">
            <v>SANGAMIND</v>
          </cell>
        </row>
        <row r="3610">
          <cell r="A3610" t="str">
            <v>SANGAM RENEWABLES LTD</v>
          </cell>
          <cell r="B3610">
            <v>534618</v>
          </cell>
          <cell r="C3610" t="str">
            <v>Not Listed</v>
          </cell>
        </row>
        <row r="3611">
          <cell r="A3611" t="str">
            <v>SANGHI CORPORATE SERVICES LTD</v>
          </cell>
          <cell r="B3611">
            <v>511640</v>
          </cell>
          <cell r="C3611" t="str">
            <v>Not Listed</v>
          </cell>
        </row>
        <row r="3612">
          <cell r="A3612" t="str">
            <v>SANGHI INDUSTRIES LTD</v>
          </cell>
          <cell r="B3612">
            <v>526521</v>
          </cell>
          <cell r="C3612" t="str">
            <v>SANGHIIND</v>
          </cell>
        </row>
        <row r="3613">
          <cell r="A3613" t="str">
            <v>SANGHVI BRANDS LTD</v>
          </cell>
          <cell r="B3613">
            <v>540782</v>
          </cell>
          <cell r="C3613" t="str">
            <v>Not Listed</v>
          </cell>
        </row>
        <row r="3614">
          <cell r="A3614" t="str">
            <v>SANGHVI FORGING AND ENGINEERING LTD</v>
          </cell>
          <cell r="B3614">
            <v>533411</v>
          </cell>
          <cell r="C3614" t="str">
            <v>SANGHVIFOR</v>
          </cell>
        </row>
        <row r="3615">
          <cell r="A3615" t="str">
            <v>SANGHVI MOVERS LTD</v>
          </cell>
          <cell r="B3615">
            <v>530073</v>
          </cell>
          <cell r="C3615" t="str">
            <v>SANGHVIMOV</v>
          </cell>
        </row>
        <row r="3616">
          <cell r="A3616" t="str">
            <v>SANGINITA CHEMICALS LTD</v>
          </cell>
          <cell r="B3616" t="str">
            <v>Not Listed</v>
          </cell>
          <cell r="C3616" t="str">
            <v>SANGINITA</v>
          </cell>
        </row>
        <row r="3617">
          <cell r="A3617" t="str">
            <v>SANGUINE MEDIA LTD</v>
          </cell>
          <cell r="B3617">
            <v>531898</v>
          </cell>
          <cell r="C3617" t="str">
            <v>Not Listed</v>
          </cell>
        </row>
        <row r="3618">
          <cell r="A3618" t="str">
            <v>SANJIVANI PARANTERAL LTD</v>
          </cell>
          <cell r="B3618">
            <v>531569</v>
          </cell>
          <cell r="C3618" t="str">
            <v>Not Listed</v>
          </cell>
        </row>
        <row r="3619">
          <cell r="A3619" t="str">
            <v>SANKHYA INFOTECH LTD</v>
          </cell>
          <cell r="B3619">
            <v>532972</v>
          </cell>
          <cell r="C3619" t="str">
            <v>Not Listed</v>
          </cell>
        </row>
        <row r="3620">
          <cell r="A3620" t="str">
            <v>SANMIT INFRA LTD</v>
          </cell>
          <cell r="B3620">
            <v>532435</v>
          </cell>
          <cell r="C3620" t="str">
            <v>Not Listed</v>
          </cell>
        </row>
        <row r="3621">
          <cell r="A3621" t="str">
            <v>SANMITRA COMMERCIAL LTD</v>
          </cell>
          <cell r="B3621">
            <v>512062</v>
          </cell>
          <cell r="C3621" t="str">
            <v>Not Listed</v>
          </cell>
        </row>
        <row r="3622">
          <cell r="A3622" t="str">
            <v>SANOFI (INDIA) LTD</v>
          </cell>
          <cell r="B3622">
            <v>500674</v>
          </cell>
          <cell r="C3622" t="str">
            <v>SANOFI</v>
          </cell>
        </row>
        <row r="3623">
          <cell r="A3623" t="str">
            <v>SANOFI INDIA LTD</v>
          </cell>
          <cell r="B3623">
            <v>500674</v>
          </cell>
          <cell r="C3623" t="str">
            <v>SANOFI</v>
          </cell>
        </row>
        <row r="3624">
          <cell r="A3624" t="str">
            <v>SANRHEA TECHNICAL TEXTILES LTD</v>
          </cell>
          <cell r="B3624">
            <v>514280</v>
          </cell>
          <cell r="C3624" t="str">
            <v>Not Listed</v>
          </cell>
        </row>
        <row r="3625">
          <cell r="A3625" t="str">
            <v>SANTOSH FINE-FAB LTD</v>
          </cell>
          <cell r="B3625">
            <v>530035</v>
          </cell>
          <cell r="C3625" t="str">
            <v>Not Listed</v>
          </cell>
        </row>
        <row r="3626">
          <cell r="A3626" t="str">
            <v>SANTOSH INDUSTRIES LTD</v>
          </cell>
          <cell r="B3626">
            <v>540822</v>
          </cell>
          <cell r="C3626" t="str">
            <v>Not Listed</v>
          </cell>
        </row>
        <row r="3627">
          <cell r="A3627" t="str">
            <v>SANWARIA CONSUMER LTD</v>
          </cell>
          <cell r="B3627">
            <v>519260</v>
          </cell>
          <cell r="C3627" t="str">
            <v>SANWARIA</v>
          </cell>
        </row>
        <row r="3628">
          <cell r="A3628" t="str">
            <v>SAPTAK CHEM AND BUSINESS LTD</v>
          </cell>
          <cell r="B3628">
            <v>506906</v>
          </cell>
          <cell r="C3628" t="str">
            <v>Not Listed</v>
          </cell>
        </row>
        <row r="3629">
          <cell r="A3629" t="str">
            <v>SAPTARISHI AGRO INDUSTRIES LTD</v>
          </cell>
          <cell r="B3629">
            <v>519238</v>
          </cell>
          <cell r="C3629" t="str">
            <v>Not Listed</v>
          </cell>
        </row>
        <row r="3630">
          <cell r="A3630" t="str">
            <v>SAR AUTO PRODUCTS LTD</v>
          </cell>
          <cell r="B3630">
            <v>538992</v>
          </cell>
          <cell r="C3630" t="str">
            <v>Not Listed</v>
          </cell>
        </row>
        <row r="3631">
          <cell r="A3631" t="str">
            <v>SARASWATI COMMERCIAL (INDIA) LTD</v>
          </cell>
          <cell r="B3631">
            <v>512020</v>
          </cell>
          <cell r="C3631" t="str">
            <v>Not Listed</v>
          </cell>
        </row>
        <row r="3632">
          <cell r="A3632" t="str">
            <v>SARASWATI COMMERCIAL INDIA LTD</v>
          </cell>
          <cell r="B3632">
            <v>512020</v>
          </cell>
          <cell r="C3632" t="str">
            <v>Not Listed</v>
          </cell>
        </row>
        <row r="3633">
          <cell r="A3633" t="str">
            <v>SARDA ENERGY &amp; MINERALS LTD</v>
          </cell>
          <cell r="B3633">
            <v>504614</v>
          </cell>
          <cell r="C3633" t="str">
            <v>SARDAEN</v>
          </cell>
        </row>
        <row r="3634">
          <cell r="A3634" t="str">
            <v>SARDA PAPERS LTD</v>
          </cell>
          <cell r="B3634">
            <v>516032</v>
          </cell>
          <cell r="C3634" t="str">
            <v>Not Listed</v>
          </cell>
        </row>
        <row r="3635">
          <cell r="A3635" t="str">
            <v>SARDA PLYWOOD INDUSTRIES LTD</v>
          </cell>
          <cell r="B3635">
            <v>516003</v>
          </cell>
          <cell r="C3635" t="str">
            <v>Not Listed</v>
          </cell>
        </row>
        <row r="3636">
          <cell r="A3636" t="str">
            <v>SARDA PROTEINS LTD</v>
          </cell>
          <cell r="B3636">
            <v>519242</v>
          </cell>
          <cell r="C3636" t="str">
            <v>Not Listed</v>
          </cell>
        </row>
        <row r="3637">
          <cell r="A3637" t="str">
            <v>SAREGAMA (INDIA) LTD</v>
          </cell>
          <cell r="B3637">
            <v>532163</v>
          </cell>
          <cell r="C3637" t="str">
            <v>SAREGAMA</v>
          </cell>
        </row>
        <row r="3638">
          <cell r="A3638" t="str">
            <v>SAREGAMA INDIA LTD</v>
          </cell>
          <cell r="B3638">
            <v>532163</v>
          </cell>
          <cell r="C3638" t="str">
            <v>SAREGAMA</v>
          </cell>
        </row>
        <row r="3639">
          <cell r="A3639" t="str">
            <v>SARLA PERFORMANCE FIBERS LTD</v>
          </cell>
          <cell r="B3639">
            <v>526885</v>
          </cell>
          <cell r="C3639" t="str">
            <v>SARLAPOLY</v>
          </cell>
        </row>
        <row r="3640">
          <cell r="A3640" t="str">
            <v>SARTHAK GLOBAL LTD</v>
          </cell>
          <cell r="B3640">
            <v>530993</v>
          </cell>
          <cell r="C3640" t="str">
            <v>Not Listed</v>
          </cell>
        </row>
        <row r="3641">
          <cell r="A3641" t="str">
            <v>SARTHAK INDUSTRIES LTD</v>
          </cell>
          <cell r="B3641">
            <v>531930</v>
          </cell>
          <cell r="C3641" t="str">
            <v>Not Listed</v>
          </cell>
        </row>
        <row r="3642">
          <cell r="A3642" t="str">
            <v>SARTHAK METALS LTD</v>
          </cell>
          <cell r="B3642">
            <v>540393</v>
          </cell>
          <cell r="C3642" t="str">
            <v>Not Listed</v>
          </cell>
        </row>
        <row r="3643">
          <cell r="A3643" t="str">
            <v>SARUP INDUSTRIES LTD</v>
          </cell>
          <cell r="B3643">
            <v>514412</v>
          </cell>
          <cell r="C3643" t="str">
            <v>Not Listed</v>
          </cell>
        </row>
        <row r="3644">
          <cell r="A3644" t="str">
            <v>SARVAMANGAL MERCANTILE CO LTD</v>
          </cell>
          <cell r="B3644">
            <v>506190</v>
          </cell>
          <cell r="C3644" t="str">
            <v>Not Listed</v>
          </cell>
        </row>
        <row r="3645">
          <cell r="A3645" t="str">
            <v>SARVESHWAR FOODS LTD</v>
          </cell>
          <cell r="B3645" t="str">
            <v>Not Listed</v>
          </cell>
          <cell r="C3645" t="str">
            <v>SARVESHWAR</v>
          </cell>
        </row>
        <row r="3646">
          <cell r="A3646" t="str">
            <v>SARVOTTAM FINVEST LTD</v>
          </cell>
          <cell r="B3646">
            <v>539124</v>
          </cell>
          <cell r="C3646" t="str">
            <v>Not Listed</v>
          </cell>
        </row>
        <row r="3647">
          <cell r="A3647" t="str">
            <v>SASHWAT TECHNOCRATS LTD</v>
          </cell>
          <cell r="B3647">
            <v>506313</v>
          </cell>
          <cell r="C3647" t="str">
            <v>Not Listed</v>
          </cell>
        </row>
        <row r="3648">
          <cell r="A3648" t="str">
            <v>SASKEN TECHNOLOGIES LTD</v>
          </cell>
          <cell r="B3648">
            <v>532663</v>
          </cell>
          <cell r="C3648" t="str">
            <v>SASKEN</v>
          </cell>
        </row>
        <row r="3649">
          <cell r="A3649" t="str">
            <v>SASTASUNDAR VENTURES LTD</v>
          </cell>
          <cell r="B3649">
            <v>533259</v>
          </cell>
          <cell r="C3649" t="str">
            <v>SASTASUNDR</v>
          </cell>
        </row>
        <row r="3650">
          <cell r="A3650" t="str">
            <v>SAT INDUSTRIES LTD</v>
          </cell>
          <cell r="B3650">
            <v>511076</v>
          </cell>
          <cell r="C3650" t="str">
            <v>Not Listed</v>
          </cell>
        </row>
        <row r="3651">
          <cell r="A3651" t="str">
            <v>SATHAVAHANA ISPAT LTD</v>
          </cell>
          <cell r="B3651">
            <v>526093</v>
          </cell>
          <cell r="C3651" t="str">
            <v>SATHAISPAT</v>
          </cell>
        </row>
        <row r="3652">
          <cell r="A3652" t="str">
            <v>SATIA INDUSTRIES LTD</v>
          </cell>
          <cell r="B3652">
            <v>539201</v>
          </cell>
          <cell r="C3652" t="str">
            <v>Not Listed</v>
          </cell>
        </row>
        <row r="3653">
          <cell r="A3653" t="str">
            <v>SATIN CREDITCARE NETWORK LTD</v>
          </cell>
          <cell r="B3653">
            <v>539404</v>
          </cell>
          <cell r="C3653" t="str">
            <v>SATIN</v>
          </cell>
        </row>
        <row r="3654">
          <cell r="A3654" t="str">
            <v>SATKAR FINLEASE LTD</v>
          </cell>
          <cell r="B3654">
            <v>536592</v>
          </cell>
          <cell r="C3654" t="str">
            <v>Not Listed</v>
          </cell>
        </row>
        <row r="3655">
          <cell r="A3655" t="str">
            <v>SATRA PROPERTIES (INDIA) LTD.</v>
          </cell>
          <cell r="B3655">
            <v>508996</v>
          </cell>
          <cell r="C3655" t="str">
            <v>SATRAPROP</v>
          </cell>
        </row>
        <row r="3656">
          <cell r="A3656" t="str">
            <v>SATYAM SILK MILLS LTD</v>
          </cell>
          <cell r="B3656">
            <v>503893</v>
          </cell>
          <cell r="C3656" t="str">
            <v>Not Listed</v>
          </cell>
        </row>
        <row r="3657">
          <cell r="A3657" t="str">
            <v>SAUMYA CONSULTANTS LTD</v>
          </cell>
          <cell r="B3657">
            <v>539218</v>
          </cell>
          <cell r="C3657" t="str">
            <v>Not Listed</v>
          </cell>
        </row>
        <row r="3658">
          <cell r="A3658" t="str">
            <v>SAURASHTRA CEMENT LTD</v>
          </cell>
          <cell r="B3658">
            <v>502175</v>
          </cell>
          <cell r="C3658" t="str">
            <v>Not Listed</v>
          </cell>
        </row>
        <row r="3659">
          <cell r="A3659" t="str">
            <v>SAVANI FINANCIALS LTD</v>
          </cell>
          <cell r="B3659">
            <v>511577</v>
          </cell>
          <cell r="C3659" t="str">
            <v>Not Listed</v>
          </cell>
        </row>
        <row r="3660">
          <cell r="A3660" t="str">
            <v>SAVANT INFOCOMM LTD</v>
          </cell>
          <cell r="B3660">
            <v>517320</v>
          </cell>
          <cell r="C3660" t="str">
            <v>Not Listed</v>
          </cell>
        </row>
        <row r="3661">
          <cell r="A3661" t="str">
            <v>SAVEN TECHNOLOGIES LTD</v>
          </cell>
          <cell r="B3661">
            <v>532404</v>
          </cell>
          <cell r="C3661" t="str">
            <v>Not Listed</v>
          </cell>
        </row>
        <row r="3662">
          <cell r="A3662" t="str">
            <v>SAVERA INDUSTRIES LTD</v>
          </cell>
          <cell r="B3662">
            <v>512634</v>
          </cell>
          <cell r="C3662" t="str">
            <v>Not Listed</v>
          </cell>
        </row>
        <row r="3663">
          <cell r="A3663" t="str">
            <v>SAVITA OIL TECHNOLOGIES LTD</v>
          </cell>
          <cell r="B3663">
            <v>524667</v>
          </cell>
          <cell r="C3663" t="str">
            <v>SOTL</v>
          </cell>
        </row>
        <row r="3664">
          <cell r="A3664" t="str">
            <v>SAWACA BUSINESS MACHINES LTD</v>
          </cell>
          <cell r="B3664">
            <v>531893</v>
          </cell>
          <cell r="C3664" t="str">
            <v>Not Listed</v>
          </cell>
        </row>
        <row r="3665">
          <cell r="A3665" t="str">
            <v>SAYAJI HOTELS LTD</v>
          </cell>
          <cell r="B3665">
            <v>523710</v>
          </cell>
          <cell r="C3665" t="str">
            <v>Not Listed</v>
          </cell>
        </row>
        <row r="3666">
          <cell r="A3666" t="str">
            <v>SAYAJI INDUSTRIES LTD</v>
          </cell>
          <cell r="B3666">
            <v>540728</v>
          </cell>
          <cell r="C3666" t="str">
            <v>Not Listed</v>
          </cell>
        </row>
        <row r="3667">
          <cell r="A3667" t="str">
            <v>SBEC SUGAR LTD</v>
          </cell>
          <cell r="B3667">
            <v>532102</v>
          </cell>
          <cell r="C3667" t="str">
            <v>Not Listed</v>
          </cell>
        </row>
        <row r="3668">
          <cell r="A3668" t="str">
            <v>SBI LIFE INSURANCE COMPANY LTD</v>
          </cell>
          <cell r="B3668">
            <v>540719</v>
          </cell>
          <cell r="C3668" t="str">
            <v>SBILIFE</v>
          </cell>
        </row>
        <row r="3669">
          <cell r="A3669" t="str">
            <v>SBI MUTUAL FUND - SBI GOLD EXCHANGE TRADED SCHEME - GROWTH OPTION</v>
          </cell>
          <cell r="B3669">
            <v>590098</v>
          </cell>
          <cell r="C3669" t="str">
            <v>SBIGETS</v>
          </cell>
        </row>
        <row r="3670">
          <cell r="A3670" t="str">
            <v>SC Agrotech Ltd</v>
          </cell>
          <cell r="B3670">
            <v>526081</v>
          </cell>
          <cell r="C3670" t="str">
            <v>SCAGRO</v>
          </cell>
        </row>
        <row r="3671">
          <cell r="A3671" t="str">
            <v>SCAN PROJECTS LTD</v>
          </cell>
          <cell r="B3671">
            <v>531797</v>
          </cell>
          <cell r="C3671" t="str">
            <v>Not Listed</v>
          </cell>
        </row>
        <row r="3672">
          <cell r="A3672" t="str">
            <v>SCAN STEELS LTD</v>
          </cell>
          <cell r="B3672">
            <v>511672</v>
          </cell>
          <cell r="C3672" t="str">
            <v>Not Listed</v>
          </cell>
        </row>
        <row r="3673">
          <cell r="A3673" t="str">
            <v>Scandent Imaging LTD</v>
          </cell>
          <cell r="B3673">
            <v>516110</v>
          </cell>
          <cell r="C3673" t="str">
            <v>SCANDENT</v>
          </cell>
        </row>
        <row r="3674">
          <cell r="A3674" t="str">
            <v>SCANPOINT GEOMATICS LTD</v>
          </cell>
          <cell r="B3674">
            <v>526544</v>
          </cell>
          <cell r="C3674" t="str">
            <v>Not Listed</v>
          </cell>
        </row>
        <row r="3675">
          <cell r="A3675" t="str">
            <v>SCHABLONA (INDIA) LTD</v>
          </cell>
          <cell r="B3675">
            <v>507894</v>
          </cell>
          <cell r="C3675" t="str">
            <v>Not Listed</v>
          </cell>
        </row>
        <row r="3676">
          <cell r="A3676" t="str">
            <v>SCHABLONA INDIA LTD</v>
          </cell>
          <cell r="B3676">
            <v>507894</v>
          </cell>
          <cell r="C3676" t="str">
            <v>Not Listed</v>
          </cell>
        </row>
        <row r="3677">
          <cell r="A3677" t="str">
            <v>SCHAEFFLER (INDIA) LTD</v>
          </cell>
          <cell r="B3677">
            <v>505790</v>
          </cell>
          <cell r="C3677" t="str">
            <v>SCHAEFFLER</v>
          </cell>
        </row>
        <row r="3678">
          <cell r="A3678" t="str">
            <v>SCHAEFFLER INDIA LTD</v>
          </cell>
          <cell r="B3678">
            <v>505790</v>
          </cell>
          <cell r="C3678" t="str">
            <v>SCHAEFFLER</v>
          </cell>
        </row>
        <row r="3679">
          <cell r="A3679" t="str">
            <v>SCHNEIDER ELECTRIC INFRASTRUCTURE LTD</v>
          </cell>
          <cell r="B3679">
            <v>534139</v>
          </cell>
          <cell r="C3679" t="str">
            <v>SCHNEIDER</v>
          </cell>
        </row>
        <row r="3680">
          <cell r="A3680" t="str">
            <v>SCINTILLA COMMERCIAL &amp; CREDIT LTD</v>
          </cell>
          <cell r="B3680">
            <v>538857</v>
          </cell>
          <cell r="C3680" t="str">
            <v>Not Listed</v>
          </cell>
        </row>
        <row r="3681">
          <cell r="A3681" t="str">
            <v>SCOOTERS (INDIA) LTD</v>
          </cell>
          <cell r="B3681">
            <v>505141</v>
          </cell>
          <cell r="C3681" t="str">
            <v>Not Listed</v>
          </cell>
        </row>
        <row r="3682">
          <cell r="A3682" t="str">
            <v>SCOOTERS INDIA LTD</v>
          </cell>
          <cell r="B3682">
            <v>505141</v>
          </cell>
          <cell r="C3682" t="str">
            <v>Not Listed</v>
          </cell>
        </row>
        <row r="3683">
          <cell r="A3683" t="str">
            <v>SEA GOLD AQUA FARMS LTD</v>
          </cell>
          <cell r="B3683">
            <v>530361</v>
          </cell>
          <cell r="C3683" t="str">
            <v>Not Listed</v>
          </cell>
        </row>
        <row r="3684">
          <cell r="A3684" t="str">
            <v>SEA TV NETWORK LTD</v>
          </cell>
          <cell r="B3684">
            <v>533268</v>
          </cell>
          <cell r="C3684" t="str">
            <v>Not Listed</v>
          </cell>
        </row>
        <row r="3685">
          <cell r="A3685" t="str">
            <v>SEAMEC LTD</v>
          </cell>
          <cell r="B3685">
            <v>526807</v>
          </cell>
          <cell r="C3685" t="str">
            <v>SEAMECLTD</v>
          </cell>
        </row>
        <row r="3686">
          <cell r="A3686" t="str">
            <v>SEASONS FURNISHINGS LTD</v>
          </cell>
          <cell r="B3686">
            <v>521182</v>
          </cell>
          <cell r="C3686" t="str">
            <v>Not Listed</v>
          </cell>
        </row>
        <row r="3687">
          <cell r="A3687" t="str">
            <v>SEASONS TEXTILES LTD</v>
          </cell>
          <cell r="B3687">
            <v>514264</v>
          </cell>
          <cell r="C3687" t="str">
            <v>Not Listed</v>
          </cell>
        </row>
        <row r="3688">
          <cell r="A3688" t="str">
            <v>SECUR CREDENTIALS LTD</v>
          </cell>
          <cell r="B3688" t="str">
            <v>Not Listed</v>
          </cell>
          <cell r="C3688" t="str">
            <v>SECURCRED</v>
          </cell>
        </row>
        <row r="3689">
          <cell r="A3689" t="str">
            <v>SECURITY AND INTELLIGENCE SERVICES (INDIA) LTD</v>
          </cell>
          <cell r="B3689">
            <v>540673</v>
          </cell>
          <cell r="C3689" t="str">
            <v>SIS</v>
          </cell>
        </row>
        <row r="3690">
          <cell r="A3690" t="str">
            <v>SECURITY AND INTELLIGENCE SERVICES INDIA LTD</v>
          </cell>
          <cell r="B3690">
            <v>540673</v>
          </cell>
          <cell r="C3690" t="str">
            <v>SIS</v>
          </cell>
        </row>
        <row r="3691">
          <cell r="A3691" t="str">
            <v>SEL MANUFACTURING COMPANY LTD</v>
          </cell>
          <cell r="B3691">
            <v>532886</v>
          </cell>
          <cell r="C3691" t="str">
            <v>SELMCL</v>
          </cell>
        </row>
        <row r="3692">
          <cell r="A3692" t="str">
            <v>SELAN EXPLORATION TECHNOLOGY LTD</v>
          </cell>
          <cell r="B3692">
            <v>530075</v>
          </cell>
          <cell r="C3692" t="str">
            <v>SELAN</v>
          </cell>
        </row>
        <row r="3693">
          <cell r="A3693" t="str">
            <v>SELLWIN TRADERS LTD</v>
          </cell>
          <cell r="B3693">
            <v>538875</v>
          </cell>
          <cell r="C3693" t="str">
            <v>Not Listed</v>
          </cell>
        </row>
        <row r="3694">
          <cell r="A3694" t="str">
            <v>SENBO INDUSTRIES LTD</v>
          </cell>
          <cell r="B3694">
            <v>532021</v>
          </cell>
          <cell r="C3694" t="str">
            <v>Not Listed</v>
          </cell>
        </row>
        <row r="3695">
          <cell r="A3695" t="str">
            <v>SENTHIL INFOTEK LTD</v>
          </cell>
          <cell r="B3695">
            <v>531980</v>
          </cell>
          <cell r="C3695" t="str">
            <v>Not Listed</v>
          </cell>
        </row>
        <row r="3696">
          <cell r="A3696" t="str">
            <v>SEQUENT SCIENTIFIC LTD</v>
          </cell>
          <cell r="B3696">
            <v>512529</v>
          </cell>
          <cell r="C3696" t="str">
            <v>SEQUENT</v>
          </cell>
        </row>
        <row r="3697">
          <cell r="A3697" t="str">
            <v>SERVOTECH POWER SYSTEMS LTD</v>
          </cell>
          <cell r="B3697" t="str">
            <v>Not Listed</v>
          </cell>
          <cell r="C3697" t="str">
            <v>SERVOTECH</v>
          </cell>
        </row>
        <row r="3698">
          <cell r="A3698" t="str">
            <v>SESHASAYEE PAPER AND BOARDS LTD</v>
          </cell>
          <cell r="B3698">
            <v>502450</v>
          </cell>
          <cell r="C3698" t="str">
            <v>SESHAPAPER</v>
          </cell>
        </row>
        <row r="3699">
          <cell r="A3699" t="str">
            <v>SETCO AUTOMOTIVE LTD</v>
          </cell>
          <cell r="B3699">
            <v>505075</v>
          </cell>
          <cell r="C3699" t="str">
            <v>SETCO</v>
          </cell>
        </row>
        <row r="3700">
          <cell r="A3700" t="str">
            <v>SEVEN HILL INDUSTRIES LTD</v>
          </cell>
          <cell r="B3700">
            <v>511760</v>
          </cell>
          <cell r="C3700" t="str">
            <v>Not Listed</v>
          </cell>
        </row>
        <row r="3701">
          <cell r="A3701" t="str">
            <v>SEYA INDUSTRIES LTD</v>
          </cell>
          <cell r="B3701">
            <v>524324</v>
          </cell>
          <cell r="C3701" t="str">
            <v>Not Listed</v>
          </cell>
        </row>
        <row r="3702">
          <cell r="A3702" t="str">
            <v>SEZAL GLASS LTD</v>
          </cell>
          <cell r="B3702">
            <v>532993</v>
          </cell>
          <cell r="C3702" t="str">
            <v>SEZAL</v>
          </cell>
        </row>
        <row r="3703">
          <cell r="A3703" t="str">
            <v>SFL INTERNATIONAL LTD</v>
          </cell>
          <cell r="B3703">
            <v>530867</v>
          </cell>
          <cell r="C3703" t="str">
            <v>Not Listed</v>
          </cell>
        </row>
        <row r="3704">
          <cell r="A3704" t="str">
            <v>SHABA CHEMICALS LTD</v>
          </cell>
          <cell r="B3704">
            <v>524546</v>
          </cell>
          <cell r="C3704" t="str">
            <v>Not Listed</v>
          </cell>
        </row>
        <row r="3705">
          <cell r="A3705" t="str">
            <v>SHAH ALLOYS LTD</v>
          </cell>
          <cell r="B3705">
            <v>513436</v>
          </cell>
          <cell r="C3705" t="str">
            <v>SHAHALLOYS</v>
          </cell>
        </row>
        <row r="3706">
          <cell r="A3706" t="str">
            <v>SHAH CONSTRUCTION CO LTD</v>
          </cell>
          <cell r="B3706">
            <v>509870</v>
          </cell>
          <cell r="C3706" t="str">
            <v>Not Listed</v>
          </cell>
        </row>
        <row r="3707">
          <cell r="A3707" t="str">
            <v>SHAH FOODS LTD</v>
          </cell>
          <cell r="B3707">
            <v>519031</v>
          </cell>
          <cell r="C3707" t="str">
            <v>Not Listed</v>
          </cell>
        </row>
        <row r="3708">
          <cell r="A3708" t="str">
            <v>SHAHI SHIPPING LTD</v>
          </cell>
          <cell r="B3708">
            <v>526508</v>
          </cell>
          <cell r="C3708" t="str">
            <v>Not Listed</v>
          </cell>
        </row>
        <row r="3709">
          <cell r="A3709" t="str">
            <v>SHAILJA COMMERCIAL TRADE FRENZY LTD</v>
          </cell>
          <cell r="B3709">
            <v>539520</v>
          </cell>
          <cell r="C3709" t="str">
            <v>Not Listed</v>
          </cell>
        </row>
        <row r="3710">
          <cell r="A3710" t="str">
            <v>SHAILY ENGINEERING PLASTICS LTD</v>
          </cell>
          <cell r="B3710">
            <v>501423</v>
          </cell>
          <cell r="C3710" t="str">
            <v>Not Listed</v>
          </cell>
        </row>
        <row r="3711">
          <cell r="A3711" t="str">
            <v>SHAIVAL REALITY LTD</v>
          </cell>
          <cell r="B3711" t="str">
            <v>Not Listed</v>
          </cell>
          <cell r="C3711" t="str">
            <v>SHAIVAL</v>
          </cell>
        </row>
        <row r="3712">
          <cell r="A3712" t="str">
            <v>SHAKTI PUMPS (INDIA) LTD</v>
          </cell>
          <cell r="B3712">
            <v>531431</v>
          </cell>
          <cell r="C3712" t="str">
            <v>SHAKTIPUMP</v>
          </cell>
        </row>
        <row r="3713">
          <cell r="A3713" t="str">
            <v>SHAKTI PUMPS INDIA LTD</v>
          </cell>
          <cell r="B3713">
            <v>531431</v>
          </cell>
          <cell r="C3713" t="str">
            <v>SHAKTIPUMP</v>
          </cell>
        </row>
        <row r="3714">
          <cell r="A3714" t="str">
            <v>SHALBY LTD</v>
          </cell>
          <cell r="B3714">
            <v>540797</v>
          </cell>
          <cell r="C3714" t="str">
            <v>SHALBY</v>
          </cell>
        </row>
        <row r="3715">
          <cell r="A3715" t="str">
            <v>SHALIBHADRA FINANCE LTD</v>
          </cell>
          <cell r="B3715">
            <v>511754</v>
          </cell>
          <cell r="C3715" t="str">
            <v>Not Listed</v>
          </cell>
        </row>
        <row r="3716">
          <cell r="A3716" t="str">
            <v>SHALIMAR AGENCIES LTD</v>
          </cell>
          <cell r="B3716">
            <v>539895</v>
          </cell>
          <cell r="C3716" t="str">
            <v>Not Listed</v>
          </cell>
        </row>
        <row r="3717">
          <cell r="A3717" t="str">
            <v>SHALIMAR PAINTS LTD</v>
          </cell>
          <cell r="B3717">
            <v>509874</v>
          </cell>
          <cell r="C3717" t="str">
            <v>SHALPAINTS</v>
          </cell>
        </row>
        <row r="3718">
          <cell r="A3718" t="str">
            <v>SHALIMAR PRODUCTIONS LTD</v>
          </cell>
          <cell r="B3718">
            <v>512499</v>
          </cell>
          <cell r="C3718" t="str">
            <v>Not Listed</v>
          </cell>
        </row>
        <row r="3719">
          <cell r="A3719" t="str">
            <v>SHALIMAR WIRES INDUSTRIES LTD</v>
          </cell>
          <cell r="B3719">
            <v>532455</v>
          </cell>
          <cell r="C3719" t="str">
            <v>Not Listed</v>
          </cell>
        </row>
        <row r="3720">
          <cell r="A3720" t="str">
            <v>SHANGAR DECOR LTD</v>
          </cell>
          <cell r="B3720">
            <v>540259</v>
          </cell>
          <cell r="C3720" t="str">
            <v>Not Listed</v>
          </cell>
        </row>
        <row r="3721">
          <cell r="A3721" t="str">
            <v>Shankar Lal Rampal Dye-Chem Ltd</v>
          </cell>
          <cell r="B3721">
            <v>542232</v>
          </cell>
          <cell r="C3721" t="str">
            <v>SRD</v>
          </cell>
        </row>
        <row r="3722">
          <cell r="A3722" t="str">
            <v>SHANKARA BUILDING PRODUCTS LTD</v>
          </cell>
          <cell r="B3722">
            <v>540425</v>
          </cell>
          <cell r="C3722" t="str">
            <v>SHANKARA</v>
          </cell>
        </row>
        <row r="3723">
          <cell r="A3723" t="str">
            <v>SHANTAI INDUSTRIES LTD</v>
          </cell>
          <cell r="B3723">
            <v>512297</v>
          </cell>
          <cell r="C3723" t="str">
            <v>Not Listed</v>
          </cell>
        </row>
        <row r="3724">
          <cell r="A3724" t="str">
            <v>SHANTANU SHEOREY AQUAKULT LTD</v>
          </cell>
          <cell r="B3724">
            <v>531925</v>
          </cell>
          <cell r="C3724" t="str">
            <v>Not Listed</v>
          </cell>
        </row>
        <row r="3725">
          <cell r="A3725" t="str">
            <v>SHANTHI GEARS LTD</v>
          </cell>
          <cell r="B3725">
            <v>522034</v>
          </cell>
          <cell r="C3725" t="str">
            <v>SHANTIGEAR</v>
          </cell>
        </row>
        <row r="3726">
          <cell r="A3726" t="str">
            <v>SHANTI EDUCATIONAL INITIATIVES LTD</v>
          </cell>
          <cell r="B3726">
            <v>539921</v>
          </cell>
          <cell r="C3726" t="str">
            <v>Not Listed</v>
          </cell>
        </row>
        <row r="3727">
          <cell r="A3727" t="str">
            <v>SHANTI OVERSEAS (INDIA) LTD</v>
          </cell>
          <cell r="B3727" t="str">
            <v>Not Listed</v>
          </cell>
          <cell r="C3727" t="str">
            <v>SHANTI</v>
          </cell>
        </row>
        <row r="3728">
          <cell r="A3728" t="str">
            <v>SHANTI OVERSEAS INDIA LTD</v>
          </cell>
          <cell r="B3728" t="str">
            <v>Not Listed</v>
          </cell>
          <cell r="C3728" t="str">
            <v>SHANTI</v>
          </cell>
        </row>
        <row r="3729">
          <cell r="A3729" t="str">
            <v>SHARAD FIBRES &amp; YARN PROCESSORS LTD</v>
          </cell>
          <cell r="B3729">
            <v>514402</v>
          </cell>
          <cell r="C3729" t="str">
            <v>Not Listed</v>
          </cell>
        </row>
        <row r="3730">
          <cell r="A3730" t="str">
            <v>SHARANAM INFRAPROJECT AND TRADING LTD</v>
          </cell>
          <cell r="B3730">
            <v>539584</v>
          </cell>
          <cell r="C3730" t="str">
            <v>Not Listed</v>
          </cell>
        </row>
        <row r="3731">
          <cell r="A3731" t="str">
            <v>SHARDA CROPCHEM LTD</v>
          </cell>
          <cell r="B3731">
            <v>538666</v>
          </cell>
          <cell r="C3731" t="str">
            <v>SHARDACROP</v>
          </cell>
        </row>
        <row r="3732">
          <cell r="A3732" t="str">
            <v>SHARDA ISPAT LTD</v>
          </cell>
          <cell r="B3732">
            <v>513548</v>
          </cell>
          <cell r="C3732" t="str">
            <v>Not Listed</v>
          </cell>
        </row>
        <row r="3733">
          <cell r="A3733" t="str">
            <v>SHARDA MOTOR INDUSTRIES LTD</v>
          </cell>
          <cell r="B3733">
            <v>535602</v>
          </cell>
          <cell r="C3733" t="str">
            <v>SHARDAMOTR</v>
          </cell>
        </row>
        <row r="3734">
          <cell r="A3734" t="str">
            <v>SHARDUL SECURITIES LTD</v>
          </cell>
          <cell r="B3734">
            <v>512393</v>
          </cell>
          <cell r="C3734" t="str">
            <v>Not Listed</v>
          </cell>
        </row>
        <row r="3735">
          <cell r="A3735" t="str">
            <v>SHARE INDIA SECURITIES LTD</v>
          </cell>
          <cell r="B3735">
            <v>540725</v>
          </cell>
          <cell r="C3735" t="str">
            <v>Not Listed</v>
          </cell>
        </row>
        <row r="3736">
          <cell r="A3736" t="str">
            <v>SHARIKA ENTERPRISES LTD</v>
          </cell>
          <cell r="B3736">
            <v>540786</v>
          </cell>
          <cell r="C3736" t="str">
            <v>Not Listed</v>
          </cell>
        </row>
        <row r="3737">
          <cell r="A3737" t="str">
            <v>SHARON BIO-MEDICINE LTD</v>
          </cell>
          <cell r="B3737">
            <v>532908</v>
          </cell>
          <cell r="C3737" t="str">
            <v>SHARONBIO</v>
          </cell>
        </row>
        <row r="3738">
          <cell r="A3738" t="str">
            <v>SHARP (INDIA) LTD</v>
          </cell>
          <cell r="B3738">
            <v>523449</v>
          </cell>
          <cell r="C3738" t="str">
            <v>Not Listed</v>
          </cell>
        </row>
        <row r="3739">
          <cell r="A3739" t="str">
            <v>SHARP INDIA LTD</v>
          </cell>
          <cell r="B3739">
            <v>523449</v>
          </cell>
          <cell r="C3739" t="str">
            <v>Not Listed</v>
          </cell>
        </row>
        <row r="3740">
          <cell r="A3740" t="str">
            <v>SHARP INVESTMENTS LTD</v>
          </cell>
          <cell r="B3740">
            <v>538212</v>
          </cell>
          <cell r="C3740" t="str">
            <v>Not Listed</v>
          </cell>
        </row>
        <row r="3741">
          <cell r="A3741" t="str">
            <v>SHASHANK TRADERS LTD</v>
          </cell>
          <cell r="B3741">
            <v>540221</v>
          </cell>
          <cell r="C3741" t="str">
            <v>Not Listed</v>
          </cell>
        </row>
        <row r="3742">
          <cell r="A3742" t="str">
            <v>SHASHIJIT INFRAPROJECTS LTD</v>
          </cell>
          <cell r="B3742">
            <v>540147</v>
          </cell>
          <cell r="C3742" t="str">
            <v>Not Listed</v>
          </cell>
        </row>
        <row r="3743">
          <cell r="A3743" t="str">
            <v>SHEELA FOAM LTD</v>
          </cell>
          <cell r="B3743">
            <v>540203</v>
          </cell>
          <cell r="C3743" t="str">
            <v>SFL</v>
          </cell>
        </row>
        <row r="3744">
          <cell r="A3744" t="str">
            <v>SHEETAL COOL PRODUCTS LTD</v>
          </cell>
          <cell r="B3744">
            <v>540757</v>
          </cell>
          <cell r="C3744" t="str">
            <v>Not Listed</v>
          </cell>
        </row>
        <row r="3745">
          <cell r="A3745" t="str">
            <v>SHEETAL DIAMONDS LTD</v>
          </cell>
          <cell r="B3745">
            <v>530525</v>
          </cell>
          <cell r="C3745" t="str">
            <v>Not Listed</v>
          </cell>
        </row>
        <row r="3746">
          <cell r="A3746" t="str">
            <v>SHEKHAWATI POLY-YARN LTD</v>
          </cell>
          <cell r="B3746">
            <v>533301</v>
          </cell>
          <cell r="C3746" t="str">
            <v>SPYL</v>
          </cell>
        </row>
        <row r="3747">
          <cell r="A3747" t="str">
            <v>SHELTER INFRA PROJECTS LTD</v>
          </cell>
          <cell r="B3747">
            <v>526839</v>
          </cell>
          <cell r="C3747" t="str">
            <v>Not Listed</v>
          </cell>
        </row>
        <row r="3748">
          <cell r="A3748" t="str">
            <v>SHEMAROO ENTERTAINMENT LTD</v>
          </cell>
          <cell r="B3748">
            <v>538685</v>
          </cell>
          <cell r="C3748" t="str">
            <v>SHEMAROO</v>
          </cell>
        </row>
        <row r="3749">
          <cell r="A3749" t="str">
            <v>SHERATON PROPERTIES &amp; FINANCE LTD</v>
          </cell>
          <cell r="B3749">
            <v>512367</v>
          </cell>
          <cell r="C3749" t="str">
            <v>Not Listed</v>
          </cell>
        </row>
        <row r="3750">
          <cell r="A3750" t="str">
            <v>SHERVANI INDUSTRIAL SYNDICATE LTD</v>
          </cell>
          <cell r="B3750">
            <v>526117</v>
          </cell>
          <cell r="C3750" t="str">
            <v>Not Listed</v>
          </cell>
        </row>
        <row r="3751">
          <cell r="A3751" t="str">
            <v>SHESHADRI INDUSTRIES LTD</v>
          </cell>
          <cell r="B3751">
            <v>539111</v>
          </cell>
          <cell r="C3751" t="str">
            <v>Not Listed</v>
          </cell>
        </row>
        <row r="3752">
          <cell r="A3752" t="str">
            <v>SHETRON LTD</v>
          </cell>
          <cell r="B3752">
            <v>526137</v>
          </cell>
          <cell r="C3752" t="str">
            <v>Not Listed</v>
          </cell>
        </row>
        <row r="3753">
          <cell r="A3753" t="str">
            <v>SHIKHAR LEASING &amp; TRADING LTD</v>
          </cell>
          <cell r="B3753">
            <v>507952</v>
          </cell>
          <cell r="C3753" t="str">
            <v>Not Listed</v>
          </cell>
        </row>
        <row r="3754">
          <cell r="A3754" t="str">
            <v>SHILCHAR TECHNOLOGIES LTD</v>
          </cell>
          <cell r="B3754">
            <v>531201</v>
          </cell>
          <cell r="C3754" t="str">
            <v>Not Listed</v>
          </cell>
        </row>
        <row r="3755">
          <cell r="A3755" t="str">
            <v>SHILP GRAVURES LTD</v>
          </cell>
          <cell r="B3755">
            <v>513709</v>
          </cell>
          <cell r="C3755" t="str">
            <v>Not Listed</v>
          </cell>
        </row>
        <row r="3756">
          <cell r="A3756" t="str">
            <v>SHILPA MEDICARE LTD</v>
          </cell>
          <cell r="B3756">
            <v>530549</v>
          </cell>
          <cell r="C3756" t="str">
            <v>SHILPAMED</v>
          </cell>
        </row>
        <row r="3757">
          <cell r="A3757" t="str">
            <v>SHILPI CABLE TECHNOLOGIES LTD</v>
          </cell>
          <cell r="B3757">
            <v>533389</v>
          </cell>
          <cell r="C3757" t="str">
            <v>SHILPI</v>
          </cell>
        </row>
        <row r="3758">
          <cell r="A3758" t="str">
            <v>SHIPPING CORPORATION OF (INDIA) LTD</v>
          </cell>
          <cell r="B3758">
            <v>523598</v>
          </cell>
          <cell r="C3758" t="str">
            <v>SCI</v>
          </cell>
        </row>
        <row r="3759">
          <cell r="A3759" t="str">
            <v>SHIPPING CORPORATION OF INDIA LTD</v>
          </cell>
          <cell r="B3759">
            <v>523598</v>
          </cell>
          <cell r="C3759" t="str">
            <v>SCI</v>
          </cell>
        </row>
        <row r="3760">
          <cell r="A3760" t="str">
            <v>SHIRPUR GOLD REFINERY LTD</v>
          </cell>
          <cell r="B3760">
            <v>512289</v>
          </cell>
          <cell r="C3760" t="str">
            <v>SHIRPUR-G</v>
          </cell>
        </row>
        <row r="3761">
          <cell r="A3761" t="str">
            <v>SHISH INDUSTRIES LTD</v>
          </cell>
          <cell r="B3761">
            <v>540693</v>
          </cell>
          <cell r="C3761" t="str">
            <v>Not Listed</v>
          </cell>
        </row>
        <row r="3762">
          <cell r="A3762" t="str">
            <v>SHIVA CEMENT LTD</v>
          </cell>
          <cell r="B3762">
            <v>532323</v>
          </cell>
          <cell r="C3762" t="str">
            <v>Not Listed</v>
          </cell>
        </row>
        <row r="3763">
          <cell r="A3763" t="str">
            <v>SHIVA GLOBAL AGRO INDUSTRIES LTD</v>
          </cell>
          <cell r="B3763">
            <v>530433</v>
          </cell>
          <cell r="C3763" t="str">
            <v>Not Listed</v>
          </cell>
        </row>
        <row r="3764">
          <cell r="A3764" t="str">
            <v>SHIVA GRANITO EXPORT LTD</v>
          </cell>
          <cell r="B3764">
            <v>540072</v>
          </cell>
          <cell r="C3764" t="str">
            <v>Not Listed</v>
          </cell>
        </row>
        <row r="3765">
          <cell r="A3765" t="str">
            <v>SHIVA MEDICARE LTD.</v>
          </cell>
          <cell r="B3765">
            <v>524602</v>
          </cell>
          <cell r="C3765" t="str">
            <v>SHIVMED</v>
          </cell>
        </row>
        <row r="3766">
          <cell r="A3766" t="str">
            <v>SHIVA MILLS LTD</v>
          </cell>
          <cell r="B3766">
            <v>540961</v>
          </cell>
          <cell r="C3766" t="str">
            <v>SHIVAMILLS</v>
          </cell>
        </row>
        <row r="3767">
          <cell r="A3767" t="str">
            <v>SHIVA SUITINGS LTD</v>
          </cell>
          <cell r="B3767">
            <v>521003</v>
          </cell>
          <cell r="C3767" t="str">
            <v>Not Listed</v>
          </cell>
        </row>
        <row r="3768">
          <cell r="A3768" t="str">
            <v>SHIVA TEXYARN LTD</v>
          </cell>
          <cell r="B3768">
            <v>511108</v>
          </cell>
          <cell r="C3768" t="str">
            <v>SHIVATEX</v>
          </cell>
        </row>
        <row r="3769">
          <cell r="A3769" t="str">
            <v>SHIVAGRICO IMPLEMENTS LTD</v>
          </cell>
          <cell r="B3769">
            <v>522237</v>
          </cell>
          <cell r="C3769" t="str">
            <v>Not Listed</v>
          </cell>
        </row>
        <row r="3770">
          <cell r="A3770" t="str">
            <v>SHIVALIK BIMETAL CONTROLS LTD</v>
          </cell>
          <cell r="B3770">
            <v>513097</v>
          </cell>
          <cell r="C3770" t="str">
            <v>Not Listed</v>
          </cell>
        </row>
        <row r="3771">
          <cell r="A3771" t="str">
            <v>SHIVALIK RASAYAN LTD</v>
          </cell>
          <cell r="B3771">
            <v>539148</v>
          </cell>
          <cell r="C3771" t="str">
            <v>Not Listed</v>
          </cell>
        </row>
        <row r="3772">
          <cell r="A3772" t="str">
            <v>SHIVAM AUTOTECH LTD</v>
          </cell>
          <cell r="B3772">
            <v>532776</v>
          </cell>
          <cell r="C3772" t="str">
            <v>SHIVAMAUTO</v>
          </cell>
        </row>
        <row r="3773">
          <cell r="A3773" t="str">
            <v>SHIVANSH FINSERVE LTD</v>
          </cell>
          <cell r="B3773">
            <v>539593</v>
          </cell>
          <cell r="C3773" t="str">
            <v>Not Listed</v>
          </cell>
        </row>
        <row r="3774">
          <cell r="A3774" t="str">
            <v>SHIVKAMAL IMPEX LTD</v>
          </cell>
          <cell r="B3774">
            <v>539683</v>
          </cell>
          <cell r="C3774" t="str">
            <v>Not Listed</v>
          </cell>
        </row>
        <row r="3775">
          <cell r="A3775" t="str">
            <v>SHIVOM INVESTMENT &amp; CONSULTANCY LTD</v>
          </cell>
          <cell r="B3775">
            <v>539833</v>
          </cell>
          <cell r="C3775" t="str">
            <v>Not Listed</v>
          </cell>
        </row>
        <row r="3776">
          <cell r="A3776" t="str">
            <v>SHOPPERS STOP LTD</v>
          </cell>
          <cell r="B3776">
            <v>532638</v>
          </cell>
          <cell r="C3776" t="str">
            <v>SHOPERSTOP</v>
          </cell>
        </row>
        <row r="3777">
          <cell r="A3777" t="str">
            <v>SHRADHA INFRAPROJECTS NAGPUR LTD</v>
          </cell>
          <cell r="B3777" t="str">
            <v>Not Listed</v>
          </cell>
          <cell r="C3777" t="str">
            <v>SHRADHA</v>
          </cell>
        </row>
        <row r="3778">
          <cell r="A3778" t="str">
            <v>SHREE AJIT PULP AND PAPER LTD</v>
          </cell>
          <cell r="B3778">
            <v>538795</v>
          </cell>
          <cell r="C3778" t="str">
            <v>Not Listed</v>
          </cell>
        </row>
        <row r="3779">
          <cell r="A3779" t="str">
            <v>SHREE BHAVYA FABRICS LTD</v>
          </cell>
          <cell r="B3779">
            <v>521131</v>
          </cell>
          <cell r="C3779" t="str">
            <v>Not Listed</v>
          </cell>
        </row>
        <row r="3780">
          <cell r="A3780" t="str">
            <v>SHREE BHAWANI PAPER MILLS LTD</v>
          </cell>
          <cell r="B3780">
            <v>502563</v>
          </cell>
          <cell r="C3780" t="str">
            <v>Not Listed</v>
          </cell>
        </row>
        <row r="3781">
          <cell r="A3781" t="str">
            <v>SHREE CEMENT LTD</v>
          </cell>
          <cell r="B3781">
            <v>500387</v>
          </cell>
          <cell r="C3781" t="str">
            <v>SHREECEM</v>
          </cell>
        </row>
        <row r="3782">
          <cell r="A3782" t="str">
            <v>SHREE DIGVIJAY CEMENT CO LTD</v>
          </cell>
          <cell r="B3782">
            <v>502180</v>
          </cell>
          <cell r="C3782" t="str">
            <v>Not Listed</v>
          </cell>
        </row>
        <row r="3783">
          <cell r="A3783" t="str">
            <v>SHREE GANESH BIOTECH (INDIA) LTD</v>
          </cell>
          <cell r="B3783">
            <v>539470</v>
          </cell>
          <cell r="C3783" t="str">
            <v>Not Listed</v>
          </cell>
        </row>
        <row r="3784">
          <cell r="A3784" t="str">
            <v>SHREE GANESH BIOTECH INDIA LTD</v>
          </cell>
          <cell r="B3784">
            <v>539470</v>
          </cell>
          <cell r="C3784" t="str">
            <v>Not Listed</v>
          </cell>
        </row>
        <row r="3785">
          <cell r="A3785" t="str">
            <v>SHREE GANESH ELASTOPLAST LTD</v>
          </cell>
          <cell r="B3785">
            <v>530797</v>
          </cell>
          <cell r="C3785" t="str">
            <v>Not Listed</v>
          </cell>
        </row>
        <row r="3786">
          <cell r="A3786" t="str">
            <v>SHREE GANESH FORGINGS LTD</v>
          </cell>
          <cell r="B3786">
            <v>532643</v>
          </cell>
          <cell r="C3786" t="str">
            <v>SGFL</v>
          </cell>
        </row>
        <row r="3787">
          <cell r="A3787" t="str">
            <v>SHREE GANESH REMEDIES LTD</v>
          </cell>
          <cell r="B3787">
            <v>540737</v>
          </cell>
          <cell r="C3787" t="str">
            <v>Not Listed</v>
          </cell>
        </row>
        <row r="3788">
          <cell r="A3788" t="str">
            <v>SHREE GLOBAL TRADEFIN LTD</v>
          </cell>
          <cell r="B3788">
            <v>512463</v>
          </cell>
          <cell r="C3788" t="str">
            <v>Not Listed</v>
          </cell>
        </row>
        <row r="3789">
          <cell r="A3789" t="str">
            <v>SHREE HARI CHEMICALS EXPORT LTD</v>
          </cell>
          <cell r="B3789">
            <v>524336</v>
          </cell>
          <cell r="C3789" t="str">
            <v>Not Listed</v>
          </cell>
        </row>
        <row r="3790">
          <cell r="A3790" t="str">
            <v>SHREE KARTHIK PAPERS LTD</v>
          </cell>
          <cell r="B3790">
            <v>516106</v>
          </cell>
          <cell r="C3790" t="str">
            <v>Not Listed</v>
          </cell>
        </row>
        <row r="3791">
          <cell r="A3791" t="str">
            <v>SHREE KRISHNA INFRASTRUCTURE LTD</v>
          </cell>
          <cell r="B3791">
            <v>542146</v>
          </cell>
          <cell r="C3791" t="str">
            <v>Not Listed</v>
          </cell>
        </row>
        <row r="3792">
          <cell r="A3792" t="str">
            <v>SHREE KRISHNA PAPER MILLS &amp; INDUSTRIES LTD</v>
          </cell>
          <cell r="B3792">
            <v>500388</v>
          </cell>
          <cell r="C3792" t="str">
            <v>Not Listed</v>
          </cell>
        </row>
        <row r="3793">
          <cell r="A3793" t="str">
            <v>SHREE MANUFACTURING CO LTD</v>
          </cell>
          <cell r="B3793">
            <v>503863</v>
          </cell>
          <cell r="C3793" t="str">
            <v>Not Listed</v>
          </cell>
        </row>
        <row r="3794">
          <cell r="A3794" t="str">
            <v>SHREE METALLOYS LTD</v>
          </cell>
          <cell r="B3794">
            <v>531962</v>
          </cell>
          <cell r="C3794" t="str">
            <v>Not Listed</v>
          </cell>
        </row>
        <row r="3795">
          <cell r="A3795" t="str">
            <v>SHREE NIDHI TRADING CO  LTD</v>
          </cell>
          <cell r="B3795">
            <v>540253</v>
          </cell>
          <cell r="C3795" t="str">
            <v>Not Listed</v>
          </cell>
        </row>
        <row r="3796">
          <cell r="A3796" t="str">
            <v>SHREE OM TRADES LTD</v>
          </cell>
          <cell r="B3796">
            <v>506180</v>
          </cell>
          <cell r="C3796" t="str">
            <v>Not Listed</v>
          </cell>
        </row>
        <row r="3797">
          <cell r="A3797" t="str">
            <v>SHREE PACETRONIX LTD</v>
          </cell>
          <cell r="B3797">
            <v>527005</v>
          </cell>
          <cell r="C3797" t="str">
            <v>Not Listed</v>
          </cell>
        </row>
        <row r="3798">
          <cell r="A3798" t="str">
            <v>SHREE PRECOATED STEELS LTD</v>
          </cell>
          <cell r="B3798">
            <v>533110</v>
          </cell>
          <cell r="C3798" t="str">
            <v>Not Listed</v>
          </cell>
        </row>
        <row r="3799">
          <cell r="A3799" t="str">
            <v>SHREE PUSHKAR CHEMICALS &amp; FERTILISERS LTD</v>
          </cell>
          <cell r="B3799">
            <v>539334</v>
          </cell>
          <cell r="C3799" t="str">
            <v>SHREEPUSHK</v>
          </cell>
        </row>
        <row r="3800">
          <cell r="A3800" t="str">
            <v>SHREE RAJASTHAN SYNTEX LTD</v>
          </cell>
          <cell r="B3800">
            <v>503837</v>
          </cell>
          <cell r="C3800" t="str">
            <v>Not Listed</v>
          </cell>
        </row>
        <row r="3801">
          <cell r="A3801" t="str">
            <v>SHREE RAJESHWARANAND PAPER MILLS LTD</v>
          </cell>
          <cell r="B3801">
            <v>516086</v>
          </cell>
          <cell r="C3801" t="str">
            <v>Not Listed</v>
          </cell>
        </row>
        <row r="3802">
          <cell r="A3802" t="str">
            <v>SHREE RAM PROTEINS LTD</v>
          </cell>
          <cell r="B3802" t="str">
            <v>Not Listed</v>
          </cell>
          <cell r="C3802" t="str">
            <v>SRPL</v>
          </cell>
        </row>
        <row r="3803">
          <cell r="A3803" t="str">
            <v>SHREE RAMA MULTI-TECH LTD</v>
          </cell>
          <cell r="B3803">
            <v>532310</v>
          </cell>
          <cell r="C3803" t="str">
            <v>SHREERAMA</v>
          </cell>
        </row>
        <row r="3804">
          <cell r="A3804" t="str">
            <v>SHREE RAMA NEWSPRINT LTD</v>
          </cell>
          <cell r="B3804">
            <v>500356</v>
          </cell>
          <cell r="C3804" t="str">
            <v>RAMANEWS</v>
          </cell>
        </row>
        <row r="3805">
          <cell r="A3805" t="str">
            <v>SHREE RENUKA SUGARS LTD</v>
          </cell>
          <cell r="B3805">
            <v>532670</v>
          </cell>
          <cell r="C3805" t="str">
            <v>RENUKA</v>
          </cell>
        </row>
        <row r="3806">
          <cell r="A3806" t="str">
            <v>SHREE SALASAR INVESTMENT LTD</v>
          </cell>
          <cell r="B3806">
            <v>503635</v>
          </cell>
          <cell r="C3806" t="str">
            <v>Not Listed</v>
          </cell>
        </row>
        <row r="3807">
          <cell r="A3807" t="str">
            <v>SHREE SECURITIES LTD</v>
          </cell>
          <cell r="B3807">
            <v>538975</v>
          </cell>
          <cell r="C3807" t="str">
            <v>Not Listed</v>
          </cell>
        </row>
        <row r="3808">
          <cell r="A3808" t="str">
            <v>SHREE STEEL WIRE ROPES LTD</v>
          </cell>
          <cell r="B3808">
            <v>513488</v>
          </cell>
          <cell r="C3808" t="str">
            <v>Not Listed</v>
          </cell>
        </row>
        <row r="3809">
          <cell r="A3809" t="str">
            <v>SHREE SURGOVIND TRADELINK LTD</v>
          </cell>
          <cell r="B3809">
            <v>531667</v>
          </cell>
          <cell r="C3809" t="str">
            <v>Not Listed</v>
          </cell>
        </row>
        <row r="3810">
          <cell r="A3810" t="str">
            <v>SHREE TIRUPATI BALAJEE FIBC LTD</v>
          </cell>
          <cell r="B3810" t="str">
            <v>Not Listed</v>
          </cell>
          <cell r="C3810" t="str">
            <v>TIRUPATI</v>
          </cell>
        </row>
        <row r="3811">
          <cell r="A3811" t="str">
            <v>SHREE TULSI ONLINE COM LTD</v>
          </cell>
          <cell r="B3811">
            <v>590128</v>
          </cell>
          <cell r="C3811" t="str">
            <v>Not Listed</v>
          </cell>
        </row>
        <row r="3812">
          <cell r="A3812" t="str">
            <v>SHREE VASU LOGISTICS LTD</v>
          </cell>
          <cell r="B3812" t="str">
            <v>Not Listed</v>
          </cell>
          <cell r="C3812" t="str">
            <v>SVLL</v>
          </cell>
        </row>
        <row r="3813">
          <cell r="A3813" t="str">
            <v>SHREE WORSTEX LTD</v>
          </cell>
          <cell r="B3813">
            <v>541358</v>
          </cell>
          <cell r="C3813" t="str">
            <v>Not Listed</v>
          </cell>
        </row>
        <row r="3814">
          <cell r="A3814" t="str">
            <v>SHREEJI TRANSLOGISTICS LTD</v>
          </cell>
          <cell r="B3814">
            <v>540738</v>
          </cell>
          <cell r="C3814" t="str">
            <v>Not Listed</v>
          </cell>
        </row>
        <row r="3815">
          <cell r="A3815" t="str">
            <v>SHREENATH INVESTMENTS CO LTD</v>
          </cell>
          <cell r="B3815">
            <v>503696</v>
          </cell>
          <cell r="C3815" t="str">
            <v>Not Listed</v>
          </cell>
        </row>
        <row r="3816">
          <cell r="A3816" t="str">
            <v>SHREEOSWAL SEEDS AND CHEMICALS LTD</v>
          </cell>
          <cell r="B3816" t="str">
            <v>Not Listed</v>
          </cell>
          <cell r="C3816" t="str">
            <v>OSWALSEEDS</v>
          </cell>
        </row>
        <row r="3817">
          <cell r="A3817" t="str">
            <v>SHREESHAY ENGINEERS LTD</v>
          </cell>
          <cell r="B3817">
            <v>541112</v>
          </cell>
          <cell r="C3817" t="str">
            <v>Not Listed</v>
          </cell>
        </row>
        <row r="3818">
          <cell r="A3818" t="str">
            <v>SHREEVATSAA FINANCE &amp; LEASING LTD</v>
          </cell>
          <cell r="B3818">
            <v>532007</v>
          </cell>
          <cell r="C3818" t="str">
            <v>Not Listed</v>
          </cell>
        </row>
        <row r="3819">
          <cell r="A3819" t="str">
            <v>SHRENIK LTD</v>
          </cell>
          <cell r="B3819" t="str">
            <v>Not Listed</v>
          </cell>
          <cell r="C3819" t="str">
            <v>SHRENIK</v>
          </cell>
        </row>
        <row r="3820">
          <cell r="A3820" t="str">
            <v>SHREYANS INDUSTRIES LTD</v>
          </cell>
          <cell r="B3820">
            <v>516016</v>
          </cell>
          <cell r="C3820" t="str">
            <v>SHREYANIND</v>
          </cell>
        </row>
        <row r="3821">
          <cell r="A3821" t="str">
            <v>SHREYAS INTERMEDIATES LTD</v>
          </cell>
          <cell r="B3821">
            <v>526335</v>
          </cell>
          <cell r="C3821" t="str">
            <v>Not Listed</v>
          </cell>
        </row>
        <row r="3822">
          <cell r="A3822" t="str">
            <v>SHREYAS SHIPPING &amp; LOGISTICS LTD</v>
          </cell>
          <cell r="B3822">
            <v>520151</v>
          </cell>
          <cell r="C3822" t="str">
            <v>SHREYAS</v>
          </cell>
        </row>
        <row r="3823">
          <cell r="A3823" t="str">
            <v>SHRI BAJRANG ALLOYS LTD</v>
          </cell>
          <cell r="B3823">
            <v>526981</v>
          </cell>
          <cell r="C3823" t="str">
            <v>Not Listed</v>
          </cell>
        </row>
        <row r="3824">
          <cell r="A3824" t="str">
            <v>SHRI BHOLANATH CARPETS LTD</v>
          </cell>
          <cell r="B3824">
            <v>530841</v>
          </cell>
          <cell r="C3824" t="str">
            <v>Not Listed</v>
          </cell>
        </row>
        <row r="3825">
          <cell r="A3825" t="str">
            <v>SHRI DINESH MILLS LTD</v>
          </cell>
          <cell r="B3825">
            <v>503804</v>
          </cell>
          <cell r="C3825" t="str">
            <v>Not Listed</v>
          </cell>
        </row>
        <row r="3826">
          <cell r="A3826" t="str">
            <v>SHRI JAGDAMBA POLYMERS LTD</v>
          </cell>
          <cell r="B3826">
            <v>512453</v>
          </cell>
          <cell r="C3826" t="str">
            <v>Not Listed</v>
          </cell>
        </row>
        <row r="3827">
          <cell r="A3827" t="str">
            <v>SHRI KALYAN HOLDINGS LTD</v>
          </cell>
          <cell r="B3827">
            <v>532083</v>
          </cell>
          <cell r="C3827" t="str">
            <v>Not Listed</v>
          </cell>
        </row>
        <row r="3828">
          <cell r="A3828" t="str">
            <v>SHRI KESHAV CEMENTS AND INFRA LTD</v>
          </cell>
          <cell r="B3828">
            <v>530977</v>
          </cell>
          <cell r="C3828" t="str">
            <v>Not Listed</v>
          </cell>
        </row>
        <row r="3829">
          <cell r="A3829" t="str">
            <v>SHRI KRISHNA DEVCON LTD</v>
          </cell>
          <cell r="B3829">
            <v>531080</v>
          </cell>
          <cell r="C3829" t="str">
            <v>Not Listed</v>
          </cell>
        </row>
        <row r="3830">
          <cell r="A3830" t="str">
            <v>SHRI NIWAS LEASING AND FINANCE LTD</v>
          </cell>
          <cell r="B3830">
            <v>538897</v>
          </cell>
          <cell r="C3830" t="str">
            <v>Not Listed</v>
          </cell>
        </row>
        <row r="3831">
          <cell r="A3831" t="str">
            <v>SHRI RAM SWITCHGEARS LTD</v>
          </cell>
          <cell r="B3831" t="str">
            <v>Not Listed</v>
          </cell>
          <cell r="C3831" t="str">
            <v>SRIRAM</v>
          </cell>
        </row>
        <row r="3832">
          <cell r="A3832" t="str">
            <v>SHRICON INDUSTRIES LTD</v>
          </cell>
          <cell r="B3832">
            <v>508961</v>
          </cell>
          <cell r="C3832" t="str">
            <v>Not Listed</v>
          </cell>
        </row>
        <row r="3833">
          <cell r="A3833" t="str">
            <v>SHRIRAM ASSET MANAGEMENT CO LTD</v>
          </cell>
          <cell r="B3833">
            <v>531359</v>
          </cell>
          <cell r="C3833" t="str">
            <v>Not Listed</v>
          </cell>
        </row>
        <row r="3834">
          <cell r="A3834" t="str">
            <v>SHRIRAM CITY UNION FINANCE LTD</v>
          </cell>
          <cell r="B3834">
            <v>532498</v>
          </cell>
          <cell r="C3834" t="str">
            <v>SHRIRAMCIT</v>
          </cell>
        </row>
        <row r="3835">
          <cell r="A3835" t="str">
            <v>SHRIRAM EPC LTD</v>
          </cell>
          <cell r="B3835">
            <v>532945</v>
          </cell>
          <cell r="C3835" t="str">
            <v>SHRIRAMEPC</v>
          </cell>
        </row>
        <row r="3836">
          <cell r="A3836" t="str">
            <v>SHRIRAM PISTONS &amp; RINGS LTD</v>
          </cell>
          <cell r="B3836" t="str">
            <v>Not Listed</v>
          </cell>
          <cell r="C3836" t="str">
            <v>SHRIPISTON</v>
          </cell>
        </row>
        <row r="3837">
          <cell r="A3837" t="str">
            <v>SHRIRAM TRANSPORT FINANCE COMPANY LTD</v>
          </cell>
          <cell r="B3837">
            <v>511218</v>
          </cell>
          <cell r="C3837" t="str">
            <v>SRTRANSFIN</v>
          </cell>
        </row>
        <row r="3838">
          <cell r="A3838" t="str">
            <v>SHRISTI INFRASTRUCTURE DEVELOPMENT CORPORATION LTD</v>
          </cell>
          <cell r="B3838">
            <v>511411</v>
          </cell>
          <cell r="C3838" t="str">
            <v>Not Listed</v>
          </cell>
        </row>
        <row r="3839">
          <cell r="A3839" t="str">
            <v>SHUBHAM POLYSPIN LTD</v>
          </cell>
          <cell r="B3839">
            <v>542019</v>
          </cell>
          <cell r="C3839" t="str">
            <v>Not Listed</v>
          </cell>
        </row>
        <row r="3840">
          <cell r="A3840" t="str">
            <v>SHUBHLAXMI JEWEL ART LTD</v>
          </cell>
          <cell r="B3840" t="str">
            <v>Not Listed</v>
          </cell>
          <cell r="C3840" t="str">
            <v>SHUBHLAXMI</v>
          </cell>
        </row>
        <row r="3841">
          <cell r="A3841" t="str">
            <v>SHUKRA BULLIONS LTD.</v>
          </cell>
          <cell r="B3841">
            <v>531506</v>
          </cell>
          <cell r="C3841" t="str">
            <v>SKRABUL</v>
          </cell>
        </row>
        <row r="3842">
          <cell r="A3842" t="str">
            <v>SHUKRA JEWELLERS LTD</v>
          </cell>
          <cell r="B3842">
            <v>523790</v>
          </cell>
          <cell r="C3842" t="str">
            <v>Not Listed</v>
          </cell>
        </row>
        <row r="3843">
          <cell r="A3843" t="str">
            <v>SHUKRA PHARMACEUTICALS LTD</v>
          </cell>
          <cell r="B3843">
            <v>524632</v>
          </cell>
          <cell r="C3843" t="str">
            <v>Not Listed</v>
          </cell>
        </row>
        <row r="3844">
          <cell r="A3844" t="str">
            <v>SHYAM CENTURY FERROUS LTD</v>
          </cell>
          <cell r="B3844">
            <v>539252</v>
          </cell>
          <cell r="C3844" t="str">
            <v>SHYAMCENT</v>
          </cell>
        </row>
        <row r="3845">
          <cell r="A3845" t="str">
            <v>SHYAM TELECOM LTD</v>
          </cell>
          <cell r="B3845">
            <v>517411</v>
          </cell>
          <cell r="C3845" t="str">
            <v>SHYAMTEL</v>
          </cell>
        </row>
        <row r="3846">
          <cell r="A3846" t="str">
            <v>SHYAMA INFOSYS LTD</v>
          </cell>
          <cell r="B3846">
            <v>531219</v>
          </cell>
          <cell r="C3846" t="str">
            <v>Not Listed</v>
          </cell>
        </row>
        <row r="3847">
          <cell r="A3847" t="str">
            <v>SHYAMKAMAL INVESTMENTS LTD</v>
          </cell>
          <cell r="B3847">
            <v>505515</v>
          </cell>
          <cell r="C3847" t="str">
            <v>Not Listed</v>
          </cell>
        </row>
        <row r="3848">
          <cell r="A3848" t="str">
            <v>SI CAPITAL &amp; FINANCIAL SERVICES LTD</v>
          </cell>
          <cell r="B3848">
            <v>530907</v>
          </cell>
          <cell r="C3848" t="str">
            <v>Not Listed</v>
          </cell>
        </row>
        <row r="3849">
          <cell r="A3849" t="str">
            <v>SIBAR AUTO PARTS LTD</v>
          </cell>
          <cell r="B3849">
            <v>520141</v>
          </cell>
          <cell r="C3849" t="str">
            <v>Not Listed</v>
          </cell>
        </row>
        <row r="3850">
          <cell r="A3850" t="str">
            <v>SICAGEN (INDIA) LTD</v>
          </cell>
          <cell r="B3850">
            <v>533014</v>
          </cell>
          <cell r="C3850" t="str">
            <v>SICAGEN</v>
          </cell>
        </row>
        <row r="3851">
          <cell r="A3851" t="str">
            <v>SICAGEN INDIA LTD</v>
          </cell>
          <cell r="B3851">
            <v>533014</v>
          </cell>
          <cell r="C3851" t="str">
            <v>SICAGEN</v>
          </cell>
        </row>
        <row r="3852">
          <cell r="A3852" t="str">
            <v>SICAL LOGISTICS LTD</v>
          </cell>
          <cell r="B3852">
            <v>520086</v>
          </cell>
          <cell r="C3852" t="str">
            <v>SICAL</v>
          </cell>
        </row>
        <row r="3853">
          <cell r="A3853" t="str">
            <v>SIDDHARTH EDUCATION SERVICES LTD</v>
          </cell>
          <cell r="B3853">
            <v>540736</v>
          </cell>
          <cell r="C3853" t="str">
            <v>Not Listed</v>
          </cell>
        </row>
        <row r="3854">
          <cell r="A3854" t="str">
            <v>SIDH AUTOMOBILES LTD</v>
          </cell>
          <cell r="B3854">
            <v>539983</v>
          </cell>
          <cell r="C3854" t="str">
            <v>Not Listed</v>
          </cell>
        </row>
        <row r="3855">
          <cell r="A3855" t="str">
            <v>SIEL FINANCIAL SERVICES LTD</v>
          </cell>
          <cell r="B3855">
            <v>532217</v>
          </cell>
          <cell r="C3855" t="str">
            <v>Not Listed</v>
          </cell>
        </row>
        <row r="3856">
          <cell r="A3856" t="str">
            <v>SIEMENS LTD</v>
          </cell>
          <cell r="B3856">
            <v>500550</v>
          </cell>
          <cell r="C3856" t="str">
            <v>SIEMENS</v>
          </cell>
        </row>
        <row r="3857">
          <cell r="A3857" t="str">
            <v>SIGNET INDUSTRIES LTD</v>
          </cell>
          <cell r="B3857">
            <v>512131</v>
          </cell>
          <cell r="C3857" t="str">
            <v>SIGIND</v>
          </cell>
        </row>
        <row r="3858">
          <cell r="A3858" t="str">
            <v>SIKA INTERPLANT SYSTEMS LTD</v>
          </cell>
          <cell r="B3858">
            <v>523606</v>
          </cell>
          <cell r="C3858" t="str">
            <v>Not Listed</v>
          </cell>
        </row>
        <row r="3859">
          <cell r="A3859" t="str">
            <v>SIKKO INDUSTRIES LTD</v>
          </cell>
          <cell r="B3859" t="str">
            <v>Not Listed</v>
          </cell>
          <cell r="C3859" t="str">
            <v>SIKKO</v>
          </cell>
        </row>
        <row r="3860">
          <cell r="A3860" t="str">
            <v>SIKOZY REALTORS LTD</v>
          </cell>
          <cell r="B3860">
            <v>524642</v>
          </cell>
          <cell r="C3860" t="str">
            <v>Not Listed</v>
          </cell>
        </row>
        <row r="3861">
          <cell r="A3861" t="str">
            <v>SIL INVESTMENTS LTD</v>
          </cell>
          <cell r="B3861">
            <v>521194</v>
          </cell>
          <cell r="C3861" t="str">
            <v>SILINV</v>
          </cell>
        </row>
        <row r="3862">
          <cell r="A3862" t="str">
            <v>SILGO RETAIL LTD</v>
          </cell>
          <cell r="B3862" t="str">
            <v>Not Listed</v>
          </cell>
          <cell r="C3862" t="str">
            <v>SILGO</v>
          </cell>
        </row>
        <row r="3863">
          <cell r="A3863" t="str">
            <v>SILLY MONKS ENTERTAINMENT LTD</v>
          </cell>
          <cell r="B3863" t="str">
            <v>Not Listed</v>
          </cell>
          <cell r="C3863" t="str">
            <v>SILLYMONKS</v>
          </cell>
        </row>
        <row r="3864">
          <cell r="A3864" t="str">
            <v>SILVER OAK (INDIA) LTD</v>
          </cell>
          <cell r="B3864">
            <v>531635</v>
          </cell>
          <cell r="C3864" t="str">
            <v>Not Listed</v>
          </cell>
        </row>
        <row r="3865">
          <cell r="A3865" t="str">
            <v>SILVER OAK COMMERCIAL LTD</v>
          </cell>
          <cell r="B3865">
            <v>512197</v>
          </cell>
          <cell r="C3865" t="str">
            <v>Not Listed</v>
          </cell>
        </row>
        <row r="3866">
          <cell r="A3866" t="str">
            <v>SILVER OAK INDIA LTD</v>
          </cell>
          <cell r="B3866">
            <v>531635</v>
          </cell>
          <cell r="C3866" t="str">
            <v>Not Listed</v>
          </cell>
        </row>
        <row r="3867">
          <cell r="A3867" t="str">
            <v>SILVER TOUCH TECHNOLOGIES LTD</v>
          </cell>
          <cell r="B3867" t="str">
            <v>Not Listed</v>
          </cell>
          <cell r="C3867" t="str">
            <v>SILVERTUC</v>
          </cell>
        </row>
        <row r="3868">
          <cell r="A3868" t="str">
            <v>SILVERPOINT INFRATECH LTD</v>
          </cell>
          <cell r="B3868">
            <v>536073</v>
          </cell>
          <cell r="C3868" t="str">
            <v>Not Listed</v>
          </cell>
        </row>
        <row r="3869">
          <cell r="A3869" t="str">
            <v>SIMBHAOLI SUGARS LTD</v>
          </cell>
          <cell r="B3869">
            <v>539742</v>
          </cell>
          <cell r="C3869" t="str">
            <v>SIMBHALS</v>
          </cell>
        </row>
        <row r="3870">
          <cell r="A3870" t="str">
            <v>SIMMONDS MARSHALL LTD</v>
          </cell>
          <cell r="B3870">
            <v>507998</v>
          </cell>
          <cell r="C3870" t="str">
            <v>Not Listed</v>
          </cell>
        </row>
        <row r="3871">
          <cell r="A3871" t="str">
            <v>SIMPLEX CASTINGS LTD</v>
          </cell>
          <cell r="B3871">
            <v>513472</v>
          </cell>
          <cell r="C3871" t="str">
            <v>Not Listed</v>
          </cell>
        </row>
        <row r="3872">
          <cell r="A3872" t="str">
            <v>SIMPLEX INFRASTRUCTURES LTD</v>
          </cell>
          <cell r="B3872">
            <v>523838</v>
          </cell>
          <cell r="C3872" t="str">
            <v>SIMPLEXINF</v>
          </cell>
        </row>
        <row r="3873">
          <cell r="A3873" t="str">
            <v>SIMPLEX MILLS COMPANY LTD</v>
          </cell>
          <cell r="B3873">
            <v>533018</v>
          </cell>
          <cell r="C3873" t="str">
            <v>Not Listed</v>
          </cell>
        </row>
        <row r="3874">
          <cell r="A3874" t="str">
            <v>SIMPLEX PAPERS LTD</v>
          </cell>
          <cell r="B3874">
            <v>533019</v>
          </cell>
          <cell r="C3874" t="str">
            <v>Not Listed</v>
          </cell>
        </row>
        <row r="3875">
          <cell r="A3875" t="str">
            <v>SIMPLEX REALTY LTD</v>
          </cell>
          <cell r="B3875">
            <v>503229</v>
          </cell>
          <cell r="C3875" t="str">
            <v>Not Listed</v>
          </cell>
        </row>
        <row r="3876">
          <cell r="A3876" t="str">
            <v>SIMRAN FARMS LTD</v>
          </cell>
          <cell r="B3876">
            <v>519566</v>
          </cell>
          <cell r="C3876" t="str">
            <v>Not Listed</v>
          </cell>
        </row>
        <row r="3877">
          <cell r="A3877" t="str">
            <v>SINCLAIRS HOTELS LTD</v>
          </cell>
          <cell r="B3877">
            <v>523023</v>
          </cell>
          <cell r="C3877" t="str">
            <v>Not Listed</v>
          </cell>
        </row>
        <row r="3878">
          <cell r="A3878" t="str">
            <v>SINDHU TRADE LINKS LTD</v>
          </cell>
          <cell r="B3878">
            <v>532029</v>
          </cell>
          <cell r="C3878" t="str">
            <v>Not Listed</v>
          </cell>
        </row>
        <row r="3879">
          <cell r="A3879" t="str">
            <v>SINDU VALLEY TECHNOLOGIES LTD</v>
          </cell>
          <cell r="B3879">
            <v>505504</v>
          </cell>
          <cell r="C3879" t="str">
            <v>Not Listed</v>
          </cell>
        </row>
        <row r="3880">
          <cell r="A3880" t="str">
            <v>SINGER (INDIA) LTD</v>
          </cell>
          <cell r="B3880">
            <v>505729</v>
          </cell>
          <cell r="C3880" t="str">
            <v>Not Listed</v>
          </cell>
        </row>
        <row r="3881">
          <cell r="A3881" t="str">
            <v>SINGER INDIA LTD</v>
          </cell>
          <cell r="B3881">
            <v>505729</v>
          </cell>
          <cell r="C3881" t="str">
            <v>Not Listed</v>
          </cell>
        </row>
        <row r="3882">
          <cell r="A3882" t="str">
            <v>SINNAR BIDI UDYOG LTD</v>
          </cell>
          <cell r="B3882">
            <v>509887</v>
          </cell>
          <cell r="C3882" t="str">
            <v>Not Listed</v>
          </cell>
        </row>
        <row r="3883">
          <cell r="A3883" t="str">
            <v>SINNER ENERGY (INDIA) LTD</v>
          </cell>
          <cell r="B3883">
            <v>539410</v>
          </cell>
          <cell r="C3883" t="str">
            <v>Not Listed</v>
          </cell>
        </row>
        <row r="3884">
          <cell r="A3884" t="str">
            <v>SINNER ENERGY INDIA LTD</v>
          </cell>
          <cell r="B3884">
            <v>539410</v>
          </cell>
          <cell r="C3884" t="str">
            <v>Not Listed</v>
          </cell>
        </row>
        <row r="3885">
          <cell r="A3885" t="str">
            <v>SINTERCOM (INDIA) LTD</v>
          </cell>
          <cell r="B3885" t="str">
            <v>Not Listed</v>
          </cell>
          <cell r="C3885" t="str">
            <v>SINTERCOM</v>
          </cell>
        </row>
        <row r="3886">
          <cell r="A3886" t="str">
            <v>SINTERCOM INDIA LTD</v>
          </cell>
          <cell r="B3886" t="str">
            <v>Not Listed</v>
          </cell>
          <cell r="C3886" t="str">
            <v>SINTERCOM</v>
          </cell>
        </row>
        <row r="3887">
          <cell r="A3887" t="str">
            <v>SINTEX INDUSTRIES LTD</v>
          </cell>
          <cell r="B3887">
            <v>502742</v>
          </cell>
          <cell r="C3887" t="str">
            <v>SINTEX</v>
          </cell>
        </row>
        <row r="3888">
          <cell r="A3888" t="str">
            <v>SINTEX PLASTICS TECHNOLOGY LTD</v>
          </cell>
          <cell r="B3888">
            <v>540653</v>
          </cell>
          <cell r="C3888" t="str">
            <v>SPTL</v>
          </cell>
        </row>
        <row r="3889">
          <cell r="A3889" t="str">
            <v>SIP INDUSTRIES LTD</v>
          </cell>
          <cell r="B3889">
            <v>523164</v>
          </cell>
          <cell r="C3889" t="str">
            <v>Not Listed</v>
          </cell>
        </row>
        <row r="3890">
          <cell r="A3890" t="str">
            <v>SIR SHADI LAL ENTERPRISES LTD</v>
          </cell>
          <cell r="B3890">
            <v>532879</v>
          </cell>
          <cell r="C3890" t="str">
            <v>Not Listed</v>
          </cell>
        </row>
        <row r="3891">
          <cell r="A3891" t="str">
            <v>SIRCA PAINTS (INDIA) LTD</v>
          </cell>
          <cell r="B3891" t="str">
            <v>Not Listed</v>
          </cell>
          <cell r="C3891" t="str">
            <v>SIRCA</v>
          </cell>
        </row>
        <row r="3892">
          <cell r="A3892" t="str">
            <v>SIRCA PAINTS INDIA LTD</v>
          </cell>
          <cell r="B3892" t="str">
            <v>Not Listed</v>
          </cell>
          <cell r="C3892" t="str">
            <v>SIRCA</v>
          </cell>
        </row>
        <row r="3893">
          <cell r="A3893" t="str">
            <v>SIROHIA &amp; SONS LTD</v>
          </cell>
          <cell r="B3893">
            <v>538667</v>
          </cell>
          <cell r="C3893" t="str">
            <v>Not Listed</v>
          </cell>
        </row>
        <row r="3894">
          <cell r="A3894" t="str">
            <v>SITA ENTERPRISES LTD</v>
          </cell>
          <cell r="B3894">
            <v>512589</v>
          </cell>
          <cell r="C3894" t="str">
            <v>Not Listed</v>
          </cell>
        </row>
        <row r="3895">
          <cell r="A3895" t="str">
            <v>SITA SHREE FOOD PRODUCTS LTD</v>
          </cell>
          <cell r="B3895">
            <v>532961</v>
          </cell>
          <cell r="C3895" t="str">
            <v>SITASHREE</v>
          </cell>
        </row>
        <row r="3896">
          <cell r="A3896" t="str">
            <v>SITI NETWORKS LTD</v>
          </cell>
          <cell r="B3896">
            <v>532795</v>
          </cell>
          <cell r="C3896" t="str">
            <v>SITINET</v>
          </cell>
        </row>
        <row r="3897">
          <cell r="A3897" t="str">
            <v>SIYARAM SILK MILLS LTD</v>
          </cell>
          <cell r="B3897">
            <v>503811</v>
          </cell>
          <cell r="C3897" t="str">
            <v>SIYSIL</v>
          </cell>
        </row>
        <row r="3898">
          <cell r="A3898" t="str">
            <v>SJ CORPORATION LTD</v>
          </cell>
          <cell r="B3898">
            <v>504398</v>
          </cell>
          <cell r="C3898" t="str">
            <v>Not Listed</v>
          </cell>
        </row>
        <row r="3899">
          <cell r="A3899" t="str">
            <v>SJVN LTD</v>
          </cell>
          <cell r="B3899">
            <v>533206</v>
          </cell>
          <cell r="C3899" t="str">
            <v>SJVN</v>
          </cell>
        </row>
        <row r="3900">
          <cell r="A3900" t="str">
            <v>SKF (INDIA) LTD</v>
          </cell>
          <cell r="B3900">
            <v>500472</v>
          </cell>
          <cell r="C3900" t="str">
            <v>SKF(INDIA)</v>
          </cell>
        </row>
        <row r="3901">
          <cell r="A3901" t="str">
            <v>SKF INDIA LTD</v>
          </cell>
          <cell r="B3901">
            <v>500472</v>
          </cell>
          <cell r="C3901" t="str">
            <v>SKFINDIA</v>
          </cell>
        </row>
        <row r="3902">
          <cell r="A3902" t="str">
            <v>SKIL INFRASTRUCTURE LTD</v>
          </cell>
          <cell r="B3902">
            <v>539861</v>
          </cell>
          <cell r="C3902" t="str">
            <v>SKIL</v>
          </cell>
        </row>
        <row r="3903">
          <cell r="A3903" t="str">
            <v>SKIPPER LTD</v>
          </cell>
          <cell r="B3903">
            <v>538562</v>
          </cell>
          <cell r="C3903" t="str">
            <v>SKIPPER</v>
          </cell>
        </row>
        <row r="3904">
          <cell r="A3904" t="str">
            <v>SKM EGG PRODUCTS EXPORT (INDIA) LTD</v>
          </cell>
          <cell r="B3904">
            <v>532143</v>
          </cell>
          <cell r="C3904" t="str">
            <v>SKMEGGPROD</v>
          </cell>
        </row>
        <row r="3905">
          <cell r="A3905" t="str">
            <v>SKM EGG PRODUCTS EXPORT INDIA LTD</v>
          </cell>
          <cell r="B3905">
            <v>532143</v>
          </cell>
          <cell r="C3905" t="str">
            <v>SKMEGGPROD</v>
          </cell>
        </row>
        <row r="3906">
          <cell r="A3906" t="str">
            <v>SKP SECURITIES LTD</v>
          </cell>
          <cell r="B3906">
            <v>531169</v>
          </cell>
          <cell r="C3906" t="str">
            <v>Not Listed</v>
          </cell>
        </row>
        <row r="3907">
          <cell r="A3907" t="str">
            <v>SKS TEXTILES LTD</v>
          </cell>
          <cell r="B3907" t="str">
            <v>Not Listed</v>
          </cell>
          <cell r="C3907" t="str">
            <v>SKSTEXTILE</v>
          </cell>
        </row>
        <row r="3908">
          <cell r="A3908" t="str">
            <v>SKY GOLD LTD</v>
          </cell>
          <cell r="B3908">
            <v>541967</v>
          </cell>
          <cell r="C3908" t="str">
            <v>Not Listed</v>
          </cell>
        </row>
        <row r="3909">
          <cell r="A3909" t="str">
            <v>SKY INDUSTRIES LTD</v>
          </cell>
          <cell r="B3909">
            <v>526479</v>
          </cell>
          <cell r="C3909" t="str">
            <v>Not Listed</v>
          </cell>
        </row>
        <row r="3910">
          <cell r="A3910" t="str">
            <v>SKYLINE MILLARS LTD</v>
          </cell>
          <cell r="B3910">
            <v>505650</v>
          </cell>
          <cell r="C3910" t="str">
            <v>Not Listed</v>
          </cell>
        </row>
        <row r="3911">
          <cell r="A3911" t="str">
            <v>SKYLINE VENTURES (INDIA) LTD</v>
          </cell>
          <cell r="B3911">
            <v>538919</v>
          </cell>
          <cell r="C3911" t="str">
            <v>Not Listed</v>
          </cell>
        </row>
        <row r="3912">
          <cell r="A3912" t="str">
            <v>SKYLINE VENTURES INDIA LTD</v>
          </cell>
          <cell r="B3912">
            <v>538919</v>
          </cell>
          <cell r="C3912" t="str">
            <v>Not Listed</v>
          </cell>
        </row>
        <row r="3913">
          <cell r="A3913" t="str">
            <v>SMART FINSEC LTD</v>
          </cell>
          <cell r="B3913">
            <v>539494</v>
          </cell>
          <cell r="C3913" t="str">
            <v>Not Listed</v>
          </cell>
        </row>
        <row r="3914">
          <cell r="A3914" t="str">
            <v>SMARTLINK HOLDINGS LTD</v>
          </cell>
          <cell r="B3914">
            <v>532419</v>
          </cell>
          <cell r="C3914" t="str">
            <v>SMARTLINK</v>
          </cell>
        </row>
        <row r="3915">
          <cell r="A3915" t="str">
            <v>SMIFS CAPITAL MARKETS LTD</v>
          </cell>
          <cell r="B3915">
            <v>508905</v>
          </cell>
          <cell r="C3915" t="str">
            <v>Not Listed</v>
          </cell>
        </row>
        <row r="3916">
          <cell r="A3916" t="str">
            <v>SML ISUZU LTD</v>
          </cell>
          <cell r="B3916">
            <v>505192</v>
          </cell>
          <cell r="C3916" t="str">
            <v>SMLISUZU</v>
          </cell>
        </row>
        <row r="3917">
          <cell r="A3917" t="str">
            <v>SMRUTHI ORGANICS LTD</v>
          </cell>
          <cell r="B3917">
            <v>540686</v>
          </cell>
          <cell r="C3917" t="str">
            <v>Not Listed</v>
          </cell>
        </row>
        <row r="3918">
          <cell r="A3918" t="str">
            <v>SMS LIFESCIENCES (INDIA) LTD</v>
          </cell>
          <cell r="B3918">
            <v>540679</v>
          </cell>
          <cell r="C3918" t="str">
            <v>SMSLIFE</v>
          </cell>
        </row>
        <row r="3919">
          <cell r="A3919" t="str">
            <v>SMS LIFESCIENCES INDIA LTD</v>
          </cell>
          <cell r="B3919">
            <v>540679</v>
          </cell>
          <cell r="C3919" t="str">
            <v>SMSLIFE</v>
          </cell>
        </row>
        <row r="3920">
          <cell r="A3920" t="str">
            <v>SMS PHARMACEUTICALS LTD</v>
          </cell>
          <cell r="B3920">
            <v>532815</v>
          </cell>
          <cell r="C3920" t="str">
            <v>SMSPHARMA</v>
          </cell>
        </row>
        <row r="3921">
          <cell r="A3921" t="str">
            <v>SMVD POLY PACK LTD</v>
          </cell>
          <cell r="B3921" t="str">
            <v>Not Listed</v>
          </cell>
          <cell r="C3921" t="str">
            <v>SMVD</v>
          </cell>
        </row>
        <row r="3922">
          <cell r="A3922" t="str">
            <v>SNL BEARINGS LTD</v>
          </cell>
          <cell r="B3922">
            <v>505827</v>
          </cell>
          <cell r="C3922" t="str">
            <v>Not Listed</v>
          </cell>
        </row>
        <row r="3923">
          <cell r="A3923" t="str">
            <v>SNOWMAN LOGISTICS LTD</v>
          </cell>
          <cell r="B3923">
            <v>538635</v>
          </cell>
          <cell r="C3923" t="str">
            <v>SNOWMAN</v>
          </cell>
        </row>
        <row r="3924">
          <cell r="A3924" t="str">
            <v>SOBHA LTD</v>
          </cell>
          <cell r="B3924">
            <v>532784</v>
          </cell>
          <cell r="C3924" t="str">
            <v>SOBHA</v>
          </cell>
        </row>
        <row r="3925">
          <cell r="A3925" t="str">
            <v>SOBHAGYA MERCHANTILE LTD</v>
          </cell>
          <cell r="B3925">
            <v>512014</v>
          </cell>
          <cell r="C3925" t="str">
            <v>Not Listed</v>
          </cell>
        </row>
        <row r="3926">
          <cell r="A3926" t="str">
            <v>SOFCOM SYSTEMS LTD</v>
          </cell>
          <cell r="B3926">
            <v>538923</v>
          </cell>
          <cell r="C3926" t="str">
            <v>Not Listed</v>
          </cell>
        </row>
        <row r="3927">
          <cell r="A3927" t="str">
            <v>SOFTBPO GLOBAL SERVICES LTD</v>
          </cell>
          <cell r="B3927">
            <v>504375</v>
          </cell>
          <cell r="C3927" t="str">
            <v>Not Listed</v>
          </cell>
        </row>
        <row r="3928">
          <cell r="A3928" t="str">
            <v>SOFTSOL (INDIA) LTD</v>
          </cell>
          <cell r="B3928">
            <v>532344</v>
          </cell>
          <cell r="C3928" t="str">
            <v>Not Listed</v>
          </cell>
        </row>
        <row r="3929">
          <cell r="A3929" t="str">
            <v>SOFTSOL INDIA LTD</v>
          </cell>
          <cell r="B3929">
            <v>532344</v>
          </cell>
          <cell r="C3929" t="str">
            <v>Not Listed</v>
          </cell>
        </row>
        <row r="3930">
          <cell r="A3930" t="str">
            <v>SOFTTECH ENGINEERS LTD</v>
          </cell>
          <cell r="B3930" t="str">
            <v>Not Listed</v>
          </cell>
          <cell r="C3930" t="str">
            <v>SOFTTECH</v>
          </cell>
        </row>
        <row r="3931">
          <cell r="A3931" t="str">
            <v>SOLAR INDUSTRIES (INDIA) LTD</v>
          </cell>
          <cell r="B3931">
            <v>532725</v>
          </cell>
          <cell r="C3931" t="str">
            <v>SOLARINDS</v>
          </cell>
        </row>
        <row r="3932">
          <cell r="A3932" t="str">
            <v>SOLAR INDUSTRIES INDIA LTD</v>
          </cell>
          <cell r="B3932">
            <v>532725</v>
          </cell>
          <cell r="C3932" t="str">
            <v>SOLARINDS</v>
          </cell>
        </row>
        <row r="3933">
          <cell r="A3933" t="str">
            <v>SOLARA ACTIVE PHARMA SCIENCES LTD</v>
          </cell>
          <cell r="B3933">
            <v>541540</v>
          </cell>
          <cell r="C3933" t="str">
            <v>SOLARA</v>
          </cell>
        </row>
        <row r="3934">
          <cell r="A3934" t="str">
            <v>SOLEX ENERGY LTD</v>
          </cell>
          <cell r="B3934" t="str">
            <v>Not Listed</v>
          </cell>
          <cell r="C3934" t="str">
            <v>SOLEX</v>
          </cell>
        </row>
        <row r="3935">
          <cell r="A3935" t="str">
            <v>SOLID CARBIDE TOOLS LTD</v>
          </cell>
          <cell r="B3935">
            <v>500394</v>
          </cell>
          <cell r="C3935" t="str">
            <v>Not Listed</v>
          </cell>
        </row>
        <row r="3936">
          <cell r="A3936" t="str">
            <v>SOLID CONTAINERS LTD</v>
          </cell>
          <cell r="B3936">
            <v>502460</v>
          </cell>
          <cell r="C3936" t="str">
            <v>Not Listed</v>
          </cell>
        </row>
        <row r="3937">
          <cell r="A3937" t="str">
            <v>SOLID STONE COMPANY LTD</v>
          </cell>
          <cell r="B3937">
            <v>513699</v>
          </cell>
          <cell r="C3937" t="str">
            <v>Not Listed</v>
          </cell>
        </row>
        <row r="3938">
          <cell r="A3938" t="str">
            <v>SOLIS MARKETING LTD</v>
          </cell>
          <cell r="B3938">
            <v>538575</v>
          </cell>
          <cell r="C3938" t="str">
            <v>Not Listed</v>
          </cell>
        </row>
        <row r="3939">
          <cell r="A3939" t="str">
            <v>SOLITAIRE MACHINE TOOLS LTD</v>
          </cell>
          <cell r="B3939">
            <v>522152</v>
          </cell>
          <cell r="C3939" t="str">
            <v>Not Listed</v>
          </cell>
        </row>
        <row r="3940">
          <cell r="A3940" t="str">
            <v>SOM DATT FINANCE CORPORATION LTD</v>
          </cell>
          <cell r="B3940">
            <v>511571</v>
          </cell>
          <cell r="C3940" t="str">
            <v>Not Listed</v>
          </cell>
        </row>
        <row r="3941">
          <cell r="A3941" t="str">
            <v>SOM DISTILLERIES &amp; BREWERIES LTD</v>
          </cell>
          <cell r="B3941">
            <v>507514</v>
          </cell>
          <cell r="C3941" t="str">
            <v>SDBL</v>
          </cell>
        </row>
        <row r="3942">
          <cell r="A3942" t="str">
            <v>SOMA TEXTILES &amp; INDUSTRIES LTD</v>
          </cell>
          <cell r="B3942">
            <v>521034</v>
          </cell>
          <cell r="C3942" t="str">
            <v>SOMATEX</v>
          </cell>
        </row>
        <row r="3943">
          <cell r="A3943" t="str">
            <v>SOMANY CERAMICS LTD</v>
          </cell>
          <cell r="B3943">
            <v>531548</v>
          </cell>
          <cell r="C3943" t="str">
            <v>SOMANYCERA</v>
          </cell>
        </row>
        <row r="3944">
          <cell r="A3944" t="str">
            <v>SOMI CONVEYOR BELTINGS LTD</v>
          </cell>
          <cell r="B3944">
            <v>533001</v>
          </cell>
          <cell r="C3944" t="str">
            <v>SOMICONVEY</v>
          </cell>
        </row>
        <row r="3945">
          <cell r="A3945" t="str">
            <v>SONAL ADHESIVES LTD</v>
          </cell>
          <cell r="B3945">
            <v>526901</v>
          </cell>
          <cell r="C3945" t="str">
            <v>Not Listed</v>
          </cell>
        </row>
        <row r="3946">
          <cell r="A3946" t="str">
            <v>SONAL MERCANTILE LTD</v>
          </cell>
          <cell r="B3946">
            <v>538943</v>
          </cell>
          <cell r="C3946" t="str">
            <v>Not Listed</v>
          </cell>
        </row>
        <row r="3947">
          <cell r="A3947" t="str">
            <v>SONAM CLOCK LTD</v>
          </cell>
          <cell r="B3947" t="str">
            <v>Not Listed</v>
          </cell>
          <cell r="C3947" t="str">
            <v>SONAMCLOCK</v>
          </cell>
        </row>
        <row r="3948">
          <cell r="A3948" t="str">
            <v>SONATA SOFTWARE LTD</v>
          </cell>
          <cell r="B3948">
            <v>532221</v>
          </cell>
          <cell r="C3948" t="str">
            <v>SONATSOFTW</v>
          </cell>
        </row>
        <row r="3949">
          <cell r="A3949" t="str">
            <v>SONI MEDICARE LTD</v>
          </cell>
          <cell r="B3949">
            <v>539378</v>
          </cell>
          <cell r="C3949" t="str">
            <v>Not Listed</v>
          </cell>
        </row>
        <row r="3950">
          <cell r="A3950" t="str">
            <v>SONI SOYA PRODUCTS LTD</v>
          </cell>
          <cell r="B3950" t="str">
            <v>Not Listed</v>
          </cell>
          <cell r="C3950" t="str">
            <v>SONISOYA</v>
          </cell>
        </row>
        <row r="3951">
          <cell r="A3951" t="str">
            <v>SOPHIA TRAEXPO LTD</v>
          </cell>
          <cell r="B3951">
            <v>541633</v>
          </cell>
          <cell r="C3951" t="str">
            <v>Not Listed</v>
          </cell>
        </row>
        <row r="3952">
          <cell r="A3952" t="str">
            <v>SORIL INFRA RESOURCES LTD</v>
          </cell>
          <cell r="B3952">
            <v>532679</v>
          </cell>
          <cell r="C3952" t="str">
            <v>SORILINFRA</v>
          </cell>
        </row>
        <row r="3953">
          <cell r="A3953" t="str">
            <v>SOURCE INDUSTRIES (INDIA) LTD</v>
          </cell>
          <cell r="B3953">
            <v>521036</v>
          </cell>
          <cell r="C3953" t="str">
            <v>Not Listed</v>
          </cell>
        </row>
        <row r="3954">
          <cell r="A3954" t="str">
            <v>SOURCE INDUSTRIES INDIA LTD</v>
          </cell>
          <cell r="B3954">
            <v>521036</v>
          </cell>
          <cell r="C3954" t="str">
            <v>Not Listed</v>
          </cell>
        </row>
        <row r="3955">
          <cell r="A3955" t="str">
            <v>SOURCE NATURAL FOODS &amp; HERBAL SUPPL LTD</v>
          </cell>
          <cell r="B3955">
            <v>531398</v>
          </cell>
          <cell r="C3955" t="str">
            <v>Not Listed</v>
          </cell>
        </row>
        <row r="3956">
          <cell r="A3956" t="str">
            <v>SOUTH ASIAN ENTERPRISES LTD</v>
          </cell>
          <cell r="B3956">
            <v>526477</v>
          </cell>
          <cell r="C3956" t="str">
            <v>Not Listed</v>
          </cell>
        </row>
        <row r="3957">
          <cell r="A3957" t="str">
            <v>SOUTH INDIA PAPER MILLS LTD</v>
          </cell>
          <cell r="B3957">
            <v>516108</v>
          </cell>
          <cell r="C3957" t="str">
            <v>Not Listed</v>
          </cell>
        </row>
        <row r="3958">
          <cell r="A3958" t="str">
            <v>SOUTH INDIA PROJECTS LTD</v>
          </cell>
          <cell r="B3958">
            <v>538891</v>
          </cell>
          <cell r="C3958" t="str">
            <v>Not Listed</v>
          </cell>
        </row>
        <row r="3959">
          <cell r="A3959" t="str">
            <v>SOUTH WEST PINNACLE EXPLORATION LTD</v>
          </cell>
          <cell r="B3959" t="str">
            <v>Not Listed</v>
          </cell>
          <cell r="C3959" t="str">
            <v>SOUTHWEST</v>
          </cell>
        </row>
        <row r="3960">
          <cell r="A3960" t="str">
            <v>SOUTHERN GAS LTD</v>
          </cell>
          <cell r="B3960">
            <v>509910</v>
          </cell>
          <cell r="C3960" t="str">
            <v>Not Listed</v>
          </cell>
        </row>
        <row r="3961">
          <cell r="A3961" t="str">
            <v>SOUTHERN INFOSYS LTD</v>
          </cell>
          <cell r="B3961">
            <v>540174</v>
          </cell>
          <cell r="C3961" t="str">
            <v>Not Listed</v>
          </cell>
        </row>
        <row r="3962">
          <cell r="A3962" t="str">
            <v>SOUTHERN LATEX LTD</v>
          </cell>
          <cell r="B3962">
            <v>514454</v>
          </cell>
          <cell r="C3962" t="str">
            <v>Not Listed</v>
          </cell>
        </row>
        <row r="3963">
          <cell r="A3963" t="str">
            <v>SOUTHERN MAGNESIUM &amp; CHEMICALS LTD</v>
          </cell>
          <cell r="B3963">
            <v>513498</v>
          </cell>
          <cell r="C3963" t="str">
            <v>Not Listed</v>
          </cell>
        </row>
        <row r="3964">
          <cell r="A3964" t="str">
            <v>SOUTHERN ONLINE BIO TECHNOLOGIES LTD</v>
          </cell>
          <cell r="B3964">
            <v>532669</v>
          </cell>
          <cell r="C3964" t="str">
            <v>Not Listed</v>
          </cell>
        </row>
        <row r="3965">
          <cell r="A3965" t="str">
            <v>SOUTHERN PETROCHEMICALS INDUSTRIES CORPORATION LTD</v>
          </cell>
          <cell r="B3965">
            <v>590030</v>
          </cell>
          <cell r="C3965" t="str">
            <v>SPIC</v>
          </cell>
        </row>
        <row r="3966">
          <cell r="A3966" t="str">
            <v>SOVEREIGN DIAMONDS LTD</v>
          </cell>
          <cell r="B3966">
            <v>523826</v>
          </cell>
          <cell r="C3966" t="str">
            <v>Not Listed</v>
          </cell>
        </row>
        <row r="3967">
          <cell r="A3967" t="str">
            <v>SOWBHAGYA MEDIA LTD</v>
          </cell>
          <cell r="B3967">
            <v>532025</v>
          </cell>
          <cell r="C3967" t="str">
            <v>Not Listed</v>
          </cell>
        </row>
        <row r="3968">
          <cell r="A3968" t="str">
            <v>SP CAPITAL FINANCING LTD</v>
          </cell>
          <cell r="B3968">
            <v>530289</v>
          </cell>
          <cell r="C3968" t="str">
            <v>Not Listed</v>
          </cell>
        </row>
        <row r="3969">
          <cell r="A3969" t="str">
            <v>SPA Capital Services Ltd</v>
          </cell>
          <cell r="B3969">
            <v>542376</v>
          </cell>
          <cell r="C3969" t="str">
            <v>SPACAPS</v>
          </cell>
        </row>
        <row r="3970">
          <cell r="A3970" t="str">
            <v>SPACE INCUBATRICS TECHNOLOGIES LTD</v>
          </cell>
          <cell r="B3970">
            <v>541890</v>
          </cell>
          <cell r="C3970" t="str">
            <v>Not Listed</v>
          </cell>
        </row>
        <row r="3971">
          <cell r="A3971" t="str">
            <v>SPACEAGE PRODUCTS LTD</v>
          </cell>
          <cell r="B3971">
            <v>538920</v>
          </cell>
          <cell r="C3971" t="str">
            <v>Not Listed</v>
          </cell>
        </row>
        <row r="3972">
          <cell r="A3972" t="str">
            <v>SPACENET ENTERPRISES (INDIA) LTD</v>
          </cell>
          <cell r="B3972" t="str">
            <v>Not Listed</v>
          </cell>
          <cell r="C3972" t="str">
            <v>SPCENET</v>
          </cell>
        </row>
        <row r="3973">
          <cell r="A3973" t="str">
            <v>SPACENET ENTERPRISES INDIA LTD</v>
          </cell>
          <cell r="B3973" t="str">
            <v>Not Listed</v>
          </cell>
          <cell r="C3973" t="str">
            <v>SPCENET</v>
          </cell>
        </row>
        <row r="3974">
          <cell r="A3974" t="str">
            <v>SPAN DIVERGENT LTD</v>
          </cell>
          <cell r="B3974">
            <v>524727</v>
          </cell>
          <cell r="C3974" t="str">
            <v>Not Listed</v>
          </cell>
        </row>
        <row r="3975">
          <cell r="A3975" t="str">
            <v>SPARC SYSTEMS LTD</v>
          </cell>
          <cell r="B3975">
            <v>531370</v>
          </cell>
          <cell r="C3975" t="str">
            <v>Not Listed</v>
          </cell>
        </row>
        <row r="3976">
          <cell r="A3976" t="str">
            <v>SPARKLING INDIA FINSHARES LTD</v>
          </cell>
          <cell r="B3976">
            <v>540211</v>
          </cell>
          <cell r="C3976" t="str">
            <v>Not Listed</v>
          </cell>
        </row>
        <row r="3977">
          <cell r="A3977" t="str">
            <v>SPECIALITY RESTAURANTS LTD</v>
          </cell>
          <cell r="B3977">
            <v>534425</v>
          </cell>
          <cell r="C3977" t="str">
            <v>SPECIALITY</v>
          </cell>
        </row>
        <row r="3978">
          <cell r="A3978" t="str">
            <v>SPECTRA INDUSTRIES LTD</v>
          </cell>
          <cell r="B3978">
            <v>513687</v>
          </cell>
          <cell r="C3978" t="str">
            <v>Not Listed</v>
          </cell>
        </row>
        <row r="3979">
          <cell r="A3979" t="str">
            <v>SPECTRUM ELECTRICAL INDUSTRIES LTD</v>
          </cell>
          <cell r="B3979" t="str">
            <v>Not Listed</v>
          </cell>
          <cell r="C3979" t="str">
            <v>SPECTRUM</v>
          </cell>
        </row>
        <row r="3980">
          <cell r="A3980" t="str">
            <v>SPECTRUM FOODS LTD</v>
          </cell>
          <cell r="B3980">
            <v>531982</v>
          </cell>
          <cell r="C3980" t="str">
            <v>Not Listed</v>
          </cell>
        </row>
        <row r="3981">
          <cell r="A3981" t="str">
            <v>SPECULAR MARKETING &amp; FINANCING LTD</v>
          </cell>
          <cell r="B3981">
            <v>512153</v>
          </cell>
          <cell r="C3981" t="str">
            <v>Not Listed</v>
          </cell>
        </row>
        <row r="3982">
          <cell r="A3982" t="str">
            <v>SPEEDAGE COMMERCIALS LTD</v>
          </cell>
          <cell r="B3982">
            <v>512291</v>
          </cell>
          <cell r="C3982" t="str">
            <v>Not Listed</v>
          </cell>
        </row>
        <row r="3983">
          <cell r="A3983" t="str">
            <v>SPEL SEMICONDUCTOR LTD</v>
          </cell>
          <cell r="B3983">
            <v>517166</v>
          </cell>
          <cell r="C3983" t="str">
            <v>Not Listed</v>
          </cell>
        </row>
        <row r="3984">
          <cell r="A3984" t="str">
            <v>Spencers Retail Ltd</v>
          </cell>
          <cell r="B3984">
            <v>542337</v>
          </cell>
          <cell r="C3984" t="str">
            <v>SPENCER</v>
          </cell>
        </row>
        <row r="3985">
          <cell r="A3985" t="str">
            <v>Spencer's Retail LTD</v>
          </cell>
          <cell r="B3985" t="str">
            <v>Not Listed</v>
          </cell>
          <cell r="C3985" t="str">
            <v>SPENCERS</v>
          </cell>
        </row>
        <row r="3986">
          <cell r="A3986" t="str">
            <v>SPENTA INTERNATIONAL LTD</v>
          </cell>
          <cell r="B3986">
            <v>526161</v>
          </cell>
          <cell r="C3986" t="str">
            <v>Not Listed</v>
          </cell>
        </row>
        <row r="3987">
          <cell r="A3987" t="str">
            <v>SPENTEX INDUSTRIES LTD</v>
          </cell>
          <cell r="B3987">
            <v>521082</v>
          </cell>
          <cell r="C3987" t="str">
            <v>SPENTEX</v>
          </cell>
        </row>
        <row r="3988">
          <cell r="A3988" t="str">
            <v>SPICE ISLANDS APPARELS LTD</v>
          </cell>
          <cell r="B3988">
            <v>526827</v>
          </cell>
          <cell r="C3988" t="str">
            <v>Not Listed</v>
          </cell>
        </row>
        <row r="3989">
          <cell r="A3989" t="str">
            <v>SPICE MOBILITY LTD</v>
          </cell>
          <cell r="B3989">
            <v>517214</v>
          </cell>
          <cell r="C3989" t="str">
            <v>SPICEMOBI</v>
          </cell>
        </row>
        <row r="3990">
          <cell r="A3990" t="str">
            <v>SPICEJET LTD</v>
          </cell>
          <cell r="B3990">
            <v>500285</v>
          </cell>
          <cell r="C3990" t="str">
            <v>Not Listed</v>
          </cell>
        </row>
        <row r="3991">
          <cell r="A3991" t="str">
            <v>SPICY ENTERTAINMENT AND MEDIA LTD</v>
          </cell>
          <cell r="B3991">
            <v>540084</v>
          </cell>
          <cell r="C3991" t="str">
            <v>Not Listed</v>
          </cell>
        </row>
        <row r="3992">
          <cell r="A3992" t="str">
            <v>SPL INDUSTRIES LTD</v>
          </cell>
          <cell r="B3992">
            <v>532651</v>
          </cell>
          <cell r="C3992" t="str">
            <v>SPLIL</v>
          </cell>
        </row>
        <row r="3993">
          <cell r="A3993" t="str">
            <v>SPLENDID METAL PRODUCTS LTD</v>
          </cell>
          <cell r="B3993">
            <v>513414</v>
          </cell>
          <cell r="C3993" t="str">
            <v>SMPL</v>
          </cell>
        </row>
        <row r="3994">
          <cell r="A3994" t="str">
            <v>SPML INFRA LTD</v>
          </cell>
          <cell r="B3994">
            <v>500402</v>
          </cell>
          <cell r="C3994" t="str">
            <v>SPMLINFRA</v>
          </cell>
        </row>
        <row r="3995">
          <cell r="A3995" t="str">
            <v>SPORTKING (INDIA) LTD</v>
          </cell>
          <cell r="B3995">
            <v>539221</v>
          </cell>
          <cell r="C3995" t="str">
            <v>Not Listed</v>
          </cell>
        </row>
        <row r="3996">
          <cell r="A3996" t="str">
            <v>SPORTKING INDIA LTD</v>
          </cell>
          <cell r="B3996">
            <v>539221</v>
          </cell>
          <cell r="C3996" t="str">
            <v>Not Listed</v>
          </cell>
        </row>
        <row r="3997">
          <cell r="A3997" t="str">
            <v>SPRAYKING AGRO EQUIPMENT LTD</v>
          </cell>
          <cell r="B3997">
            <v>540079</v>
          </cell>
          <cell r="C3997" t="str">
            <v>Not Listed</v>
          </cell>
        </row>
        <row r="3998">
          <cell r="A3998" t="str">
            <v>Spring Fields Infraventure Ltd</v>
          </cell>
          <cell r="B3998">
            <v>540570</v>
          </cell>
          <cell r="C3998" t="str">
            <v>SFIVL</v>
          </cell>
        </row>
        <row r="3999">
          <cell r="A3999" t="str">
            <v>SPS FINQUEST LTD</v>
          </cell>
          <cell r="B3999">
            <v>538402</v>
          </cell>
          <cell r="C3999" t="str">
            <v>Not Listed</v>
          </cell>
        </row>
        <row r="4000">
          <cell r="A4000" t="str">
            <v>SPS INTERNATIONAL LTD</v>
          </cell>
          <cell r="B4000">
            <v>530177</v>
          </cell>
          <cell r="C4000" t="str">
            <v>Not Listed</v>
          </cell>
        </row>
        <row r="4001">
          <cell r="A4001" t="str">
            <v>SQS INDIA BFSI LTD</v>
          </cell>
          <cell r="B4001">
            <v>533121</v>
          </cell>
          <cell r="C4001" t="str">
            <v>SQSBFSI</v>
          </cell>
        </row>
        <row r="4002">
          <cell r="A4002" t="str">
            <v>SQUARE FOUR PROJECTS (INDIA) LTD</v>
          </cell>
          <cell r="B4002">
            <v>526532</v>
          </cell>
          <cell r="C4002" t="str">
            <v>Not Listed</v>
          </cell>
        </row>
        <row r="4003">
          <cell r="A4003" t="str">
            <v>SQUARE FOUR PROJECTS INDIA LTD</v>
          </cell>
          <cell r="B4003">
            <v>526532</v>
          </cell>
          <cell r="C4003" t="str">
            <v>Not Listed</v>
          </cell>
        </row>
        <row r="4004">
          <cell r="A4004" t="str">
            <v>SREE JAYALAKSHMI AUTOSPIN LTD</v>
          </cell>
          <cell r="B4004">
            <v>530037</v>
          </cell>
          <cell r="C4004" t="str">
            <v>Not Listed</v>
          </cell>
        </row>
        <row r="4005">
          <cell r="A4005" t="str">
            <v>SREE RAYALASEEMA HI-STRENGTH HYPO LTD</v>
          </cell>
          <cell r="B4005">
            <v>532842</v>
          </cell>
          <cell r="C4005" t="str">
            <v>SRHHYPOLTD</v>
          </cell>
        </row>
        <row r="4006">
          <cell r="A4006" t="str">
            <v>SREECHEM RESINS LTD</v>
          </cell>
          <cell r="B4006">
            <v>514248</v>
          </cell>
          <cell r="C4006" t="str">
            <v>Not Listed</v>
          </cell>
        </row>
        <row r="4007">
          <cell r="A4007" t="str">
            <v>SREELEATHERS LTD</v>
          </cell>
          <cell r="B4007">
            <v>535601</v>
          </cell>
          <cell r="C4007" t="str">
            <v>SREEL</v>
          </cell>
        </row>
        <row r="4008">
          <cell r="A4008" t="str">
            <v>SREI INFRASTRUCTURE FINANCE LTD</v>
          </cell>
          <cell r="B4008">
            <v>523756</v>
          </cell>
          <cell r="C4008" t="str">
            <v>SREINFRA</v>
          </cell>
        </row>
        <row r="4009">
          <cell r="A4009" t="str">
            <v>SRESTHA FINVEST LTD</v>
          </cell>
          <cell r="B4009">
            <v>539217</v>
          </cell>
          <cell r="C4009" t="str">
            <v>Not Listed</v>
          </cell>
        </row>
        <row r="4010">
          <cell r="A4010" t="str">
            <v>SRF LTD</v>
          </cell>
          <cell r="B4010">
            <v>503806</v>
          </cell>
          <cell r="C4010" t="str">
            <v>SRF</v>
          </cell>
        </row>
        <row r="4011">
          <cell r="A4011" t="str">
            <v>SRG HOUSING FINANCE LTD</v>
          </cell>
          <cell r="B4011">
            <v>534680</v>
          </cell>
          <cell r="C4011" t="str">
            <v>Not Listed</v>
          </cell>
        </row>
        <row r="4012">
          <cell r="A4012" t="str">
            <v>SRI ADHIKARI BROTHERS TELEVISION NETWORK LTD</v>
          </cell>
          <cell r="B4012">
            <v>530943</v>
          </cell>
          <cell r="C4012" t="str">
            <v>SABTN</v>
          </cell>
        </row>
        <row r="4013">
          <cell r="A4013" t="str">
            <v>SRI AMARNATH FINANCE LTD</v>
          </cell>
          <cell r="B4013">
            <v>538863</v>
          </cell>
          <cell r="C4013" t="str">
            <v>Not Listed</v>
          </cell>
        </row>
        <row r="4014">
          <cell r="A4014" t="str">
            <v>SRI HAVISHA HOSPITALITY AND INFRASTRUCTURE LTD</v>
          </cell>
          <cell r="B4014">
            <v>531322</v>
          </cell>
          <cell r="C4014" t="str">
            <v>HAVISHA</v>
          </cell>
        </row>
        <row r="4015">
          <cell r="A4015" t="str">
            <v>SRI KPR INDUSTRIES LTD</v>
          </cell>
          <cell r="B4015">
            <v>514442</v>
          </cell>
          <cell r="C4015" t="str">
            <v>Not Listed</v>
          </cell>
        </row>
        <row r="4016">
          <cell r="A4016" t="str">
            <v>SRI KRISHNA CONSTRUCTIONS (INDIA) LTD</v>
          </cell>
          <cell r="B4016">
            <v>539363</v>
          </cell>
          <cell r="C4016" t="str">
            <v>Not Listed</v>
          </cell>
        </row>
        <row r="4017">
          <cell r="A4017" t="str">
            <v>SRI KRISHNA CONSTRUCTIONS INDIA LTD</v>
          </cell>
          <cell r="B4017">
            <v>539363</v>
          </cell>
          <cell r="C4017" t="str">
            <v>Not Listed</v>
          </cell>
        </row>
        <row r="4018">
          <cell r="A4018" t="str">
            <v>SRI KRISHNA METCOM LTD</v>
          </cell>
          <cell r="B4018" t="str">
            <v>Not Listed</v>
          </cell>
          <cell r="C4018" t="str">
            <v>SKML</v>
          </cell>
        </row>
        <row r="4019">
          <cell r="A4019" t="str">
            <v>SRI LAKSHMI SARASWATHI TEXTILES ARNI LTD</v>
          </cell>
          <cell r="B4019">
            <v>521161</v>
          </cell>
          <cell r="C4019" t="str">
            <v>Not Listed</v>
          </cell>
        </row>
        <row r="4020">
          <cell r="A4020" t="str">
            <v>SRI NACHAMMAI COTTON MILLS LTD</v>
          </cell>
          <cell r="B4020">
            <v>521234</v>
          </cell>
          <cell r="C4020" t="str">
            <v>Not Listed</v>
          </cell>
        </row>
        <row r="4021">
          <cell r="A4021" t="str">
            <v>SRI RAMAKRISHNA MILLS COIMBATORE LTD</v>
          </cell>
          <cell r="B4021">
            <v>521178</v>
          </cell>
          <cell r="C4021" t="str">
            <v>Not Listed</v>
          </cell>
        </row>
        <row r="4022">
          <cell r="A4022" t="str">
            <v>SRI VAJRA GRANITES LTD</v>
          </cell>
          <cell r="B4022">
            <v>515081</v>
          </cell>
          <cell r="C4022" t="str">
            <v>Not Listed</v>
          </cell>
        </row>
        <row r="4023">
          <cell r="A4023" t="str">
            <v>SRIKALAHASTHI PIPES LTD</v>
          </cell>
          <cell r="B4023">
            <v>513605</v>
          </cell>
          <cell r="C4023" t="str">
            <v>SRIPIPES</v>
          </cell>
        </row>
        <row r="4024">
          <cell r="A4024" t="str">
            <v>SRM ENERGY LTD</v>
          </cell>
          <cell r="B4024">
            <v>523222</v>
          </cell>
          <cell r="C4024" t="str">
            <v>Not Listed</v>
          </cell>
        </row>
        <row r="4025">
          <cell r="A4025" t="str">
            <v>SRS FINANCE LTD</v>
          </cell>
          <cell r="B4025">
            <v>536799</v>
          </cell>
          <cell r="C4025" t="str">
            <v>Not Listed</v>
          </cell>
        </row>
        <row r="4026">
          <cell r="A4026" t="str">
            <v>SRS LTD</v>
          </cell>
          <cell r="B4026">
            <v>533569</v>
          </cell>
          <cell r="C4026" t="str">
            <v>SRSLTD</v>
          </cell>
        </row>
        <row r="4027">
          <cell r="A4027" t="str">
            <v>SRU STEELS LTD</v>
          </cell>
          <cell r="B4027">
            <v>540914</v>
          </cell>
          <cell r="C4027" t="str">
            <v>Not Listed</v>
          </cell>
        </row>
        <row r="4028">
          <cell r="A4028" t="str">
            <v>SS ORGANICS LTD</v>
          </cell>
          <cell r="B4028">
            <v>524636</v>
          </cell>
          <cell r="C4028" t="str">
            <v>Not Listed</v>
          </cell>
        </row>
        <row r="4029">
          <cell r="A4029" t="str">
            <v>SSPDL LTD</v>
          </cell>
          <cell r="B4029">
            <v>530821</v>
          </cell>
          <cell r="C4029" t="str">
            <v>Not Listed</v>
          </cell>
        </row>
        <row r="4030">
          <cell r="A4030" t="str">
            <v>SSPN FINANCE LTD</v>
          </cell>
          <cell r="B4030">
            <v>539026</v>
          </cell>
          <cell r="C4030" t="str">
            <v>Not Listed</v>
          </cell>
        </row>
        <row r="4031">
          <cell r="A4031" t="str">
            <v>STAMPEDE CAPITAL LTD</v>
          </cell>
          <cell r="B4031">
            <v>531723</v>
          </cell>
          <cell r="C4031" t="str">
            <v>STAMPEDE</v>
          </cell>
        </row>
        <row r="4032">
          <cell r="A4032" t="str">
            <v>STAMPEDE CAPITAL LTD</v>
          </cell>
          <cell r="B4032">
            <v>570005</v>
          </cell>
          <cell r="C4032" t="str">
            <v>SCAPDVR</v>
          </cell>
        </row>
        <row r="4033">
          <cell r="A4033" t="str">
            <v>STANDARD BATTERIES LTD</v>
          </cell>
          <cell r="B4033">
            <v>504180</v>
          </cell>
          <cell r="C4033" t="str">
            <v>Not Listed</v>
          </cell>
        </row>
        <row r="4034">
          <cell r="A4034" t="str">
            <v>STANDARD CAPITAL MARKETS LTD</v>
          </cell>
          <cell r="B4034">
            <v>511700</v>
          </cell>
          <cell r="C4034" t="str">
            <v>Not Listed</v>
          </cell>
        </row>
        <row r="4035">
          <cell r="A4035" t="str">
            <v>STANDARD CHARTERED PLC</v>
          </cell>
          <cell r="B4035">
            <v>580001</v>
          </cell>
          <cell r="C4035" t="str">
            <v>Not Listed</v>
          </cell>
        </row>
        <row r="4036">
          <cell r="A4036" t="str">
            <v>STANDARD INDUSTRIES LTD</v>
          </cell>
          <cell r="B4036">
            <v>530017</v>
          </cell>
          <cell r="C4036" t="str">
            <v>SIL</v>
          </cell>
        </row>
        <row r="4037">
          <cell r="A4037" t="str">
            <v>STANDARD SHOE SOLE AND MOULD (INDIA) LTD</v>
          </cell>
          <cell r="B4037">
            <v>523351</v>
          </cell>
          <cell r="C4037" t="str">
            <v>Not Listed</v>
          </cell>
        </row>
        <row r="4038">
          <cell r="A4038" t="str">
            <v>STANDARD SHOE SOLE AND MOULD INDIA LTD</v>
          </cell>
          <cell r="B4038">
            <v>523351</v>
          </cell>
          <cell r="C4038" t="str">
            <v>Not Listed</v>
          </cell>
        </row>
        <row r="4039">
          <cell r="A4039" t="str">
            <v>STANDARD SURFACTANTS LTD</v>
          </cell>
          <cell r="B4039">
            <v>526231</v>
          </cell>
          <cell r="C4039" t="str">
            <v>Not Listed</v>
          </cell>
        </row>
        <row r="4040">
          <cell r="A4040" t="str">
            <v>STANPACKS (INDIA) LTD</v>
          </cell>
          <cell r="B4040">
            <v>530931</v>
          </cell>
          <cell r="C4040" t="str">
            <v>Not Listed</v>
          </cell>
        </row>
        <row r="4041">
          <cell r="A4041" t="str">
            <v>STANPACKS INDIA LTD</v>
          </cell>
          <cell r="B4041">
            <v>530931</v>
          </cell>
          <cell r="C4041" t="str">
            <v>Not Listed</v>
          </cell>
        </row>
        <row r="4042">
          <cell r="A4042" t="str">
            <v>STANROSE MAFATLAL INVESTMENTS AND FINANCE LTD</v>
          </cell>
          <cell r="B4042">
            <v>506105</v>
          </cell>
          <cell r="C4042" t="str">
            <v>Not Listed</v>
          </cell>
        </row>
        <row r="4043">
          <cell r="A4043" t="str">
            <v>STAR CEMENT LTD</v>
          </cell>
          <cell r="B4043">
            <v>540575</v>
          </cell>
          <cell r="C4043" t="str">
            <v>STARCEMENT</v>
          </cell>
        </row>
        <row r="4044">
          <cell r="A4044" t="str">
            <v>STAR DELTA TRANSFORMERS LTD</v>
          </cell>
          <cell r="B4044">
            <v>539255</v>
          </cell>
          <cell r="C4044" t="str">
            <v>Not Listed</v>
          </cell>
        </row>
        <row r="4045">
          <cell r="A4045" t="str">
            <v>STAR PAPER MILLS LTD</v>
          </cell>
          <cell r="B4045">
            <v>516022</v>
          </cell>
          <cell r="C4045" t="str">
            <v>STARPAPER</v>
          </cell>
        </row>
        <row r="4046">
          <cell r="A4046" t="str">
            <v>STARCOM INFORMATION TECHNOLOGY LTD</v>
          </cell>
          <cell r="B4046">
            <v>531616</v>
          </cell>
          <cell r="C4046" t="str">
            <v>Not Listed</v>
          </cell>
        </row>
        <row r="4047">
          <cell r="A4047" t="str">
            <v>STARLIT POWER SYSTEMS LTD</v>
          </cell>
          <cell r="B4047">
            <v>538733</v>
          </cell>
          <cell r="C4047" t="str">
            <v>Not Listed</v>
          </cell>
        </row>
        <row r="4048">
          <cell r="A4048" t="str">
            <v>STARLITE COMPONENTS LTD</v>
          </cell>
          <cell r="B4048">
            <v>517548</v>
          </cell>
          <cell r="C4048" t="str">
            <v>Not Listed</v>
          </cell>
        </row>
        <row r="4049">
          <cell r="A4049" t="str">
            <v>STARLOG ENTERPRISES LTD</v>
          </cell>
          <cell r="B4049">
            <v>520155</v>
          </cell>
          <cell r="C4049" t="str">
            <v>Not Listed</v>
          </cell>
        </row>
        <row r="4050">
          <cell r="A4050" t="str">
            <v>STATE BANK OF INDIA</v>
          </cell>
          <cell r="B4050">
            <v>500112</v>
          </cell>
          <cell r="C4050" t="str">
            <v>SBIN</v>
          </cell>
        </row>
        <row r="4051">
          <cell r="A4051" t="str">
            <v>STEEL AUTHORITY OF (INDIA) LTD</v>
          </cell>
          <cell r="B4051">
            <v>500113</v>
          </cell>
          <cell r="C4051" t="str">
            <v>SAIL</v>
          </cell>
        </row>
        <row r="4052">
          <cell r="A4052" t="str">
            <v>STEEL AUTHORITY OF INDIA LTD</v>
          </cell>
          <cell r="B4052">
            <v>500113</v>
          </cell>
          <cell r="C4052" t="str">
            <v>SAIL</v>
          </cell>
        </row>
        <row r="4053">
          <cell r="A4053" t="str">
            <v>STEEL CITY SECURITIES LTD</v>
          </cell>
          <cell r="B4053" t="str">
            <v>Not Listed</v>
          </cell>
          <cell r="C4053" t="str">
            <v>STEELCITY</v>
          </cell>
        </row>
        <row r="4054">
          <cell r="A4054" t="str">
            <v>STEEL EXCHANGE (INDIA) LTD</v>
          </cell>
          <cell r="B4054">
            <v>534748</v>
          </cell>
          <cell r="C4054" t="str">
            <v>STEELXIND</v>
          </cell>
        </row>
        <row r="4055">
          <cell r="A4055" t="str">
            <v>STEEL EXCHANGE INDIA LTD</v>
          </cell>
          <cell r="B4055">
            <v>534748</v>
          </cell>
          <cell r="C4055" t="str">
            <v>STEELXIND</v>
          </cell>
        </row>
        <row r="4056">
          <cell r="A4056" t="str">
            <v>STEEL STRIPS INFRASTRUCTURES LTD</v>
          </cell>
          <cell r="B4056">
            <v>513173</v>
          </cell>
          <cell r="C4056" t="str">
            <v>Not Listed</v>
          </cell>
        </row>
        <row r="4057">
          <cell r="A4057" t="str">
            <v>STEEL STRIPS LTD.</v>
          </cell>
          <cell r="B4057">
            <v>504717</v>
          </cell>
          <cell r="C4057" t="str">
            <v>STRIPMT</v>
          </cell>
        </row>
        <row r="4058">
          <cell r="A4058" t="str">
            <v>STEEL STRIPS WHEELS LTD</v>
          </cell>
          <cell r="B4058">
            <v>513262</v>
          </cell>
          <cell r="C4058" t="str">
            <v>SSWL</v>
          </cell>
        </row>
        <row r="4059">
          <cell r="A4059" t="str">
            <v>STEELCAST LTD</v>
          </cell>
          <cell r="B4059">
            <v>513517</v>
          </cell>
          <cell r="C4059" t="str">
            <v>Not Listed</v>
          </cell>
        </row>
        <row r="4060">
          <cell r="A4060" t="str">
            <v>STEELCO GUJARAT LTD</v>
          </cell>
          <cell r="B4060">
            <v>500399</v>
          </cell>
          <cell r="C4060" t="str">
            <v>Not Listed</v>
          </cell>
        </row>
        <row r="4061">
          <cell r="A4061" t="str">
            <v>STEL HOLDINGS LTD</v>
          </cell>
          <cell r="B4061">
            <v>533316</v>
          </cell>
          <cell r="C4061" t="str">
            <v>STEL</v>
          </cell>
        </row>
        <row r="4062">
          <cell r="A4062" t="str">
            <v>STELLANT SECURITIES (INDIA) LTD</v>
          </cell>
          <cell r="B4062">
            <v>526071</v>
          </cell>
          <cell r="C4062" t="str">
            <v>Not Listed</v>
          </cell>
        </row>
        <row r="4063">
          <cell r="A4063" t="str">
            <v>STELLANT SECURITIES INDIA LTD</v>
          </cell>
          <cell r="B4063">
            <v>526071</v>
          </cell>
          <cell r="C4063" t="str">
            <v>Not Listed</v>
          </cell>
        </row>
        <row r="4064">
          <cell r="A4064" t="str">
            <v>STELLAR CAPITAL SERVICES LTD</v>
          </cell>
          <cell r="B4064">
            <v>536738</v>
          </cell>
          <cell r="C4064" t="str">
            <v>Not Listed</v>
          </cell>
        </row>
        <row r="4065">
          <cell r="A4065" t="str">
            <v>STEP TWO CORPORATION LTD</v>
          </cell>
          <cell r="B4065">
            <v>531509</v>
          </cell>
          <cell r="C4065" t="str">
            <v>Not Listed</v>
          </cell>
        </row>
        <row r="4066">
          <cell r="A4066" t="str">
            <v>STERLING GREEN WOODS LTD</v>
          </cell>
          <cell r="B4066">
            <v>526500</v>
          </cell>
          <cell r="C4066" t="str">
            <v>Not Listed</v>
          </cell>
        </row>
        <row r="4067">
          <cell r="A4067" t="str">
            <v>STERLING GUARANTY &amp;amp; FINANCE LTD.</v>
          </cell>
          <cell r="B4067">
            <v>508963</v>
          </cell>
          <cell r="C4067" t="str">
            <v>STRLGUA</v>
          </cell>
        </row>
        <row r="4068">
          <cell r="A4068" t="str">
            <v>STERLING SPINNERS LTD</v>
          </cell>
          <cell r="B4068">
            <v>531628</v>
          </cell>
          <cell r="C4068" t="str">
            <v>Not Listed</v>
          </cell>
        </row>
        <row r="4069">
          <cell r="A4069" t="str">
            <v>STERLING TOOLS LTD</v>
          </cell>
          <cell r="B4069">
            <v>530759</v>
          </cell>
          <cell r="C4069" t="str">
            <v>STERTOOLS</v>
          </cell>
        </row>
        <row r="4070">
          <cell r="A4070" t="str">
            <v>STERLITE TECHNOLOGIES LTD</v>
          </cell>
          <cell r="B4070">
            <v>532374</v>
          </cell>
          <cell r="C4070" t="str">
            <v>STRTECH</v>
          </cell>
        </row>
        <row r="4071">
          <cell r="A4071" t="str">
            <v>STI (INDIA) LTD</v>
          </cell>
          <cell r="B4071">
            <v>513151</v>
          </cell>
          <cell r="C4071" t="str">
            <v>ST(INDIA)</v>
          </cell>
        </row>
        <row r="4072">
          <cell r="A4072" t="str">
            <v>STI INDIA LTD</v>
          </cell>
          <cell r="B4072">
            <v>513151</v>
          </cell>
          <cell r="C4072" t="str">
            <v>STINDIA</v>
          </cell>
        </row>
        <row r="4073">
          <cell r="A4073" t="str">
            <v>STL GLOBAL LTD</v>
          </cell>
          <cell r="B4073">
            <v>532730</v>
          </cell>
          <cell r="C4073" t="str">
            <v>SGL</v>
          </cell>
        </row>
        <row r="4074">
          <cell r="A4074" t="str">
            <v>STOVEC INDUSTRIES LTD</v>
          </cell>
          <cell r="B4074">
            <v>504959</v>
          </cell>
          <cell r="C4074" t="str">
            <v>Not Listed</v>
          </cell>
        </row>
        <row r="4075">
          <cell r="A4075" t="str">
            <v>STRATMONT INDUSTRIES LTD</v>
          </cell>
          <cell r="B4075">
            <v>530495</v>
          </cell>
          <cell r="C4075" t="str">
            <v>Not Listed</v>
          </cell>
        </row>
        <row r="4076">
          <cell r="A4076" t="str">
            <v>STRIDES PHARMA SCIENCE LTD</v>
          </cell>
          <cell r="B4076">
            <v>532531</v>
          </cell>
          <cell r="C4076" t="str">
            <v>STAR</v>
          </cell>
        </row>
        <row r="4077">
          <cell r="A4077" t="str">
            <v>STURDY INDUSTRIES LTD</v>
          </cell>
          <cell r="B4077">
            <v>530611</v>
          </cell>
          <cell r="C4077" t="str">
            <v>Not Listed</v>
          </cell>
        </row>
        <row r="4078">
          <cell r="A4078" t="str">
            <v>STYLAM INDUSTRIES LTD</v>
          </cell>
          <cell r="B4078">
            <v>526951</v>
          </cell>
          <cell r="C4078" t="str">
            <v>Not Listed</v>
          </cell>
        </row>
        <row r="4079">
          <cell r="A4079" t="str">
            <v>Subex LTD</v>
          </cell>
          <cell r="B4079" t="str">
            <v>Not Listed</v>
          </cell>
          <cell r="C4079" t="str">
            <v>SUBEX</v>
          </cell>
        </row>
        <row r="4080">
          <cell r="A4080" t="str">
            <v>SUBEX LTD</v>
          </cell>
          <cell r="B4080">
            <v>532348</v>
          </cell>
          <cell r="C4080" t="str">
            <v>Not Listed</v>
          </cell>
        </row>
        <row r="4081">
          <cell r="A4081" t="str">
            <v>SUBHASH SILK MILLS LTD</v>
          </cell>
          <cell r="B4081">
            <v>530231</v>
          </cell>
          <cell r="C4081" t="str">
            <v>Not Listed</v>
          </cell>
        </row>
        <row r="4082">
          <cell r="A4082" t="str">
            <v>SUBROS LTD</v>
          </cell>
          <cell r="B4082">
            <v>517168</v>
          </cell>
          <cell r="C4082" t="str">
            <v>SUBROS</v>
          </cell>
        </row>
        <row r="4083">
          <cell r="A4083" t="str">
            <v>SUBWAY FINANCE &amp; INVESTMENT CO LTD</v>
          </cell>
          <cell r="B4083">
            <v>511024</v>
          </cell>
          <cell r="C4083" t="str">
            <v>Not Listed</v>
          </cell>
        </row>
        <row r="4084">
          <cell r="A4084" t="str">
            <v>SUCHITRA FINANCE &amp; TRADING COMPANY LTD</v>
          </cell>
          <cell r="B4084">
            <v>538714</v>
          </cell>
          <cell r="C4084" t="str">
            <v>Not Listed</v>
          </cell>
        </row>
        <row r="4085">
          <cell r="A4085" t="str">
            <v>SUDAL INDUSTRIES LTD</v>
          </cell>
          <cell r="B4085">
            <v>506003</v>
          </cell>
          <cell r="C4085" t="str">
            <v>Not Listed</v>
          </cell>
        </row>
        <row r="4086">
          <cell r="A4086" t="str">
            <v>SUDARSHAN CHEMICAL INDUSTRIES LTD</v>
          </cell>
          <cell r="B4086">
            <v>506655</v>
          </cell>
          <cell r="C4086" t="str">
            <v>SUDARSCHEM</v>
          </cell>
        </row>
        <row r="4087">
          <cell r="A4087" t="str">
            <v>SUDITI INDUSTRIES LTD</v>
          </cell>
          <cell r="B4087">
            <v>521113</v>
          </cell>
          <cell r="C4087" t="str">
            <v>Not Listed</v>
          </cell>
        </row>
        <row r="4088">
          <cell r="A4088" t="str">
            <v>SUERYAA KNITWEAR LTD</v>
          </cell>
          <cell r="B4088">
            <v>540318</v>
          </cell>
          <cell r="C4088" t="str">
            <v>Not Listed</v>
          </cell>
        </row>
        <row r="4089">
          <cell r="A4089" t="str">
            <v>SUGAL &amp; DAMANI SHARE BROKERS LTD</v>
          </cell>
          <cell r="B4089">
            <v>511654</v>
          </cell>
          <cell r="C4089" t="str">
            <v>Not Listed</v>
          </cell>
        </row>
        <row r="4090">
          <cell r="A4090" t="str">
            <v>Suich Industries Ltd</v>
          </cell>
          <cell r="B4090">
            <v>542683</v>
          </cell>
          <cell r="C4090" t="str">
            <v>SUICH</v>
          </cell>
        </row>
        <row r="4091">
          <cell r="A4091" t="str">
            <v>SUJALA TRADING &amp; HOLDINGS LTD</v>
          </cell>
          <cell r="B4091">
            <v>539117</v>
          </cell>
          <cell r="C4091" t="str">
            <v>Not Listed</v>
          </cell>
        </row>
        <row r="4092">
          <cell r="A4092" t="str">
            <v>SUJANA UNIVERSAL INDUSTRIES LTD</v>
          </cell>
          <cell r="B4092">
            <v>517224</v>
          </cell>
          <cell r="C4092" t="str">
            <v>SUJANAUNI</v>
          </cell>
        </row>
        <row r="4093">
          <cell r="A4093" t="str">
            <v>SUKHJIT STARCH &amp; CHEMICALS LTD</v>
          </cell>
          <cell r="B4093">
            <v>524542</v>
          </cell>
          <cell r="C4093" t="str">
            <v>Not Listed</v>
          </cell>
        </row>
        <row r="4094">
          <cell r="A4094" t="str">
            <v>SULABH ENGINEERS &amp; SERVICES LTD</v>
          </cell>
          <cell r="B4094">
            <v>508969</v>
          </cell>
          <cell r="C4094" t="str">
            <v>Not Listed</v>
          </cell>
        </row>
        <row r="4095">
          <cell r="A4095" t="str">
            <v>SUMEDHA FISCAL SERVICES LTD</v>
          </cell>
          <cell r="B4095">
            <v>530419</v>
          </cell>
          <cell r="C4095" t="str">
            <v>Not Listed</v>
          </cell>
        </row>
        <row r="4096">
          <cell r="A4096" t="str">
            <v>SUMEET INDUSTRIES LTD</v>
          </cell>
          <cell r="B4096">
            <v>514211</v>
          </cell>
          <cell r="C4096" t="str">
            <v>SUMEETINDS</v>
          </cell>
        </row>
        <row r="4097">
          <cell r="A4097" t="str">
            <v>SUMERU INDUSTRIES LTD</v>
          </cell>
          <cell r="B4097">
            <v>530445</v>
          </cell>
          <cell r="C4097" t="str">
            <v>Not Listed</v>
          </cell>
        </row>
        <row r="4098">
          <cell r="A4098" t="str">
            <v>SUMIT WOODS LTD</v>
          </cell>
          <cell r="B4098" t="str">
            <v>Not Listed</v>
          </cell>
          <cell r="C4098" t="str">
            <v>SUMIT</v>
          </cell>
        </row>
        <row r="4099">
          <cell r="A4099" t="str">
            <v>SUMMIT SECURITIES LTD</v>
          </cell>
          <cell r="B4099">
            <v>533306</v>
          </cell>
          <cell r="C4099" t="str">
            <v>SUMMITSEC</v>
          </cell>
        </row>
        <row r="4100">
          <cell r="A4100" t="str">
            <v>SUN AND SHINE WORLDWIDE LTD</v>
          </cell>
          <cell r="B4100">
            <v>532154</v>
          </cell>
          <cell r="C4100" t="str">
            <v>Not Listed</v>
          </cell>
        </row>
        <row r="4101">
          <cell r="A4101" t="str">
            <v>SUN PHARMA ADVANCED RESEARCH COMPANY LTD</v>
          </cell>
          <cell r="B4101">
            <v>532872</v>
          </cell>
          <cell r="C4101" t="str">
            <v>SPARC</v>
          </cell>
        </row>
        <row r="4102">
          <cell r="A4102" t="str">
            <v>SUN PHARMACEUTICAL INDUSTRIES LTD</v>
          </cell>
          <cell r="B4102">
            <v>524715</v>
          </cell>
          <cell r="C4102" t="str">
            <v>SUNPHARMA</v>
          </cell>
        </row>
        <row r="4103">
          <cell r="A4103" t="str">
            <v>SUN RETAIL LTD</v>
          </cell>
          <cell r="B4103">
            <v>542025</v>
          </cell>
          <cell r="C4103" t="str">
            <v>Not Listed</v>
          </cell>
        </row>
        <row r="4104">
          <cell r="A4104" t="str">
            <v>SUN SOURCE (INDIA) LTD</v>
          </cell>
          <cell r="B4104">
            <v>517403</v>
          </cell>
          <cell r="C4104" t="str">
            <v>Not Listed</v>
          </cell>
        </row>
        <row r="4105">
          <cell r="A4105" t="str">
            <v>SUN SOURCE INDIA LTD</v>
          </cell>
          <cell r="B4105">
            <v>517403</v>
          </cell>
          <cell r="C4105" t="str">
            <v>Not Listed</v>
          </cell>
        </row>
        <row r="4106">
          <cell r="A4106" t="str">
            <v>SUN TECHNO OVERSEAS LTD</v>
          </cell>
          <cell r="B4106">
            <v>531752</v>
          </cell>
          <cell r="C4106" t="str">
            <v>Not Listed</v>
          </cell>
        </row>
        <row r="4107">
          <cell r="A4107" t="str">
            <v>SUN TV NETWORK LTD</v>
          </cell>
          <cell r="B4107">
            <v>532733</v>
          </cell>
          <cell r="C4107" t="str">
            <v>SUNTV</v>
          </cell>
        </row>
        <row r="4108">
          <cell r="A4108" t="str">
            <v>SUNCARE TRADERS LTD</v>
          </cell>
          <cell r="B4108">
            <v>539526</v>
          </cell>
          <cell r="C4108" t="str">
            <v>Not Listed</v>
          </cell>
        </row>
        <row r="4109">
          <cell r="A4109" t="str">
            <v>SUNCITY SYNTHETICS LTD</v>
          </cell>
          <cell r="B4109">
            <v>530795</v>
          </cell>
          <cell r="C4109" t="str">
            <v>Not Listed</v>
          </cell>
        </row>
        <row r="4110">
          <cell r="A4110" t="str">
            <v>SUNDARAM BRAKE LININGS LTD</v>
          </cell>
          <cell r="B4110">
            <v>590072</v>
          </cell>
          <cell r="C4110" t="str">
            <v>SUNDRMBRAK</v>
          </cell>
        </row>
        <row r="4111">
          <cell r="A4111" t="str">
            <v>SUNDARAM CLAYTON LTD</v>
          </cell>
          <cell r="B4111">
            <v>520056</v>
          </cell>
          <cell r="C4111" t="str">
            <v>SUNCLAYLTD</v>
          </cell>
        </row>
        <row r="4112">
          <cell r="A4112" t="str">
            <v>SUNDARAM FINANCE HOLDINGS LTD</v>
          </cell>
          <cell r="B4112" t="str">
            <v>Not Listed</v>
          </cell>
          <cell r="C4112" t="str">
            <v>SUNDARMHLD</v>
          </cell>
        </row>
        <row r="4113">
          <cell r="A4113" t="str">
            <v>SUNDARAM FINANCE LTD</v>
          </cell>
          <cell r="B4113">
            <v>590071</v>
          </cell>
          <cell r="C4113" t="str">
            <v>SUNDARMFIN</v>
          </cell>
        </row>
        <row r="4114">
          <cell r="A4114" t="str">
            <v>SUNDARAM MULTI PAP LTD</v>
          </cell>
          <cell r="B4114">
            <v>533166</v>
          </cell>
          <cell r="C4114" t="str">
            <v>SUNDARAM</v>
          </cell>
        </row>
        <row r="4115">
          <cell r="A4115" t="str">
            <v>SUNDRAM FASTENERS LTD</v>
          </cell>
          <cell r="B4115">
            <v>500403</v>
          </cell>
          <cell r="C4115" t="str">
            <v>SUNDRMFAST</v>
          </cell>
        </row>
        <row r="4116">
          <cell r="A4116" t="str">
            <v>SUNFLAG IRON AND STEEL COMPANY LTD</v>
          </cell>
          <cell r="B4116">
            <v>500404</v>
          </cell>
          <cell r="C4116" t="str">
            <v>SUNFLAG</v>
          </cell>
        </row>
        <row r="4117">
          <cell r="A4117" t="str">
            <v>SUNGOLD CAPITAL LTD</v>
          </cell>
          <cell r="B4117">
            <v>531433</v>
          </cell>
          <cell r="C4117" t="str">
            <v>Not Listed</v>
          </cell>
        </row>
        <row r="4118">
          <cell r="A4118" t="str">
            <v>SUNGOLD MEDIA AND ENTERTAINMENT LTD</v>
          </cell>
          <cell r="B4118">
            <v>541799</v>
          </cell>
          <cell r="C4118" t="str">
            <v>Not Listed</v>
          </cell>
        </row>
        <row r="4119">
          <cell r="A4119" t="str">
            <v>SUNIL AGRO FOODS LTD</v>
          </cell>
          <cell r="B4119">
            <v>530953</v>
          </cell>
          <cell r="C4119" t="str">
            <v>Not Listed</v>
          </cell>
        </row>
        <row r="4120">
          <cell r="A4120" t="str">
            <v>SUNIL HEALTHCARE LTD</v>
          </cell>
          <cell r="B4120">
            <v>537253</v>
          </cell>
          <cell r="C4120" t="str">
            <v>Not Listed</v>
          </cell>
        </row>
        <row r="4121">
          <cell r="A4121" t="str">
            <v>SUNIL HITECH ENGINEERS LTD</v>
          </cell>
          <cell r="B4121">
            <v>532711</v>
          </cell>
          <cell r="C4121" t="str">
            <v>SUNILHITEC</v>
          </cell>
        </row>
        <row r="4122">
          <cell r="A4122" t="str">
            <v>SUNIL INDUSTRIES LTD</v>
          </cell>
          <cell r="B4122">
            <v>521232</v>
          </cell>
          <cell r="C4122" t="str">
            <v>Not Listed</v>
          </cell>
        </row>
        <row r="4123">
          <cell r="A4123" t="str">
            <v>SUNRAJ DIAMOND EXPORTS LTD.</v>
          </cell>
          <cell r="B4123">
            <v>523425</v>
          </cell>
          <cell r="C4123" t="str">
            <v>SUNRAJDI</v>
          </cell>
        </row>
        <row r="4124">
          <cell r="A4124" t="str">
            <v>SUNRISE INDUSTRIAL TRADERS LTD</v>
          </cell>
          <cell r="B4124">
            <v>501110</v>
          </cell>
          <cell r="C4124" t="str">
            <v>Not Listed</v>
          </cell>
        </row>
        <row r="4125">
          <cell r="A4125" t="str">
            <v>SUNSHIELD CHEMICALS LTD</v>
          </cell>
          <cell r="B4125">
            <v>530845</v>
          </cell>
          <cell r="C4125" t="str">
            <v>Not Listed</v>
          </cell>
        </row>
        <row r="4126">
          <cell r="A4126" t="str">
            <v>SUNSHINE CAPITAL LTD</v>
          </cell>
          <cell r="B4126">
            <v>539574</v>
          </cell>
          <cell r="C4126" t="str">
            <v>Not Listed</v>
          </cell>
        </row>
        <row r="4127">
          <cell r="A4127" t="str">
            <v>SUNSTAR REALTY DEVELOPMENT LTD</v>
          </cell>
          <cell r="B4127">
            <v>535141</v>
          </cell>
          <cell r="C4127" t="str">
            <v>Not Listed</v>
          </cell>
        </row>
        <row r="4128">
          <cell r="A4128" t="str">
            <v>SUNTECK REALTY LTD</v>
          </cell>
          <cell r="B4128">
            <v>512179</v>
          </cell>
          <cell r="C4128" t="str">
            <v>SUNTECK</v>
          </cell>
        </row>
        <row r="4129">
          <cell r="A4129" t="str">
            <v>SUPER BAKERS (INDIA) LTD</v>
          </cell>
          <cell r="B4129">
            <v>530735</v>
          </cell>
          <cell r="C4129" t="str">
            <v>Not Listed</v>
          </cell>
        </row>
        <row r="4130">
          <cell r="A4130" t="str">
            <v>SUPER BAKERS INDIA LTD</v>
          </cell>
          <cell r="B4130">
            <v>530735</v>
          </cell>
          <cell r="C4130" t="str">
            <v>Not Listed</v>
          </cell>
        </row>
        <row r="4131">
          <cell r="A4131" t="str">
            <v>SUPER CROP SAFE LTD</v>
          </cell>
          <cell r="B4131">
            <v>530883</v>
          </cell>
          <cell r="C4131" t="str">
            <v>Not Listed</v>
          </cell>
        </row>
        <row r="4132">
          <cell r="A4132" t="str">
            <v>SUPER DOMESTIC MACHINES LTD</v>
          </cell>
          <cell r="B4132">
            <v>531699</v>
          </cell>
          <cell r="C4132" t="str">
            <v>Not Listed</v>
          </cell>
        </row>
        <row r="4133">
          <cell r="A4133" t="str">
            <v>SUPER FINE KNITTERS LTD</v>
          </cell>
          <cell r="B4133">
            <v>540269</v>
          </cell>
          <cell r="C4133" t="str">
            <v>Not Listed</v>
          </cell>
        </row>
        <row r="4134">
          <cell r="A4134" t="str">
            <v>SUPER SALES (INDIA) LTD</v>
          </cell>
          <cell r="B4134">
            <v>512527</v>
          </cell>
          <cell r="C4134" t="str">
            <v>Not Listed</v>
          </cell>
        </row>
        <row r="4135">
          <cell r="A4135" t="str">
            <v>SUPER SALES INDIA LTD</v>
          </cell>
          <cell r="B4135">
            <v>512527</v>
          </cell>
          <cell r="C4135" t="str">
            <v>Not Listed</v>
          </cell>
        </row>
        <row r="4136">
          <cell r="A4136" t="str">
            <v>SUPER SPINNING MILLS LTD</v>
          </cell>
          <cell r="B4136">
            <v>521180</v>
          </cell>
          <cell r="C4136" t="str">
            <v>SUPERSPIN</v>
          </cell>
        </row>
        <row r="4137">
          <cell r="A4137" t="str">
            <v>SUPER TANNERY LTD</v>
          </cell>
          <cell r="B4137">
            <v>523842</v>
          </cell>
          <cell r="C4137" t="str">
            <v>Not Listed</v>
          </cell>
        </row>
        <row r="4138">
          <cell r="A4138" t="str">
            <v>SUPERB PAPERS LTD</v>
          </cell>
          <cell r="B4138">
            <v>532070</v>
          </cell>
          <cell r="C4138" t="str">
            <v>Not Listed</v>
          </cell>
        </row>
        <row r="4139">
          <cell r="A4139" t="str">
            <v>SUPERHOUSE LTD</v>
          </cell>
          <cell r="B4139">
            <v>523283</v>
          </cell>
          <cell r="C4139" t="str">
            <v>SUPERHOUSE</v>
          </cell>
        </row>
        <row r="4140">
          <cell r="A4140" t="str">
            <v>SUPERIOR FINLEASE LTD</v>
          </cell>
          <cell r="B4140">
            <v>539835</v>
          </cell>
          <cell r="C4140" t="str">
            <v>Not Listed</v>
          </cell>
        </row>
        <row r="4141">
          <cell r="A4141" t="str">
            <v>Superior Industrial Enterprises LTD</v>
          </cell>
          <cell r="B4141">
            <v>519234</v>
          </cell>
          <cell r="C4141" t="str">
            <v>SIEL</v>
          </cell>
        </row>
        <row r="4142">
          <cell r="A4142" t="str">
            <v>SUPERNOVA ADVERTISING LTD</v>
          </cell>
          <cell r="B4142">
            <v>780008</v>
          </cell>
          <cell r="C4142" t="str">
            <v>Not Listed</v>
          </cell>
        </row>
        <row r="4143">
          <cell r="A4143" t="str">
            <v>SUPERSHAKTI METALIKS LTD</v>
          </cell>
          <cell r="B4143">
            <v>541701</v>
          </cell>
          <cell r="C4143" t="str">
            <v>Not Listed</v>
          </cell>
        </row>
        <row r="4144">
          <cell r="A4144" t="str">
            <v>SUPERTEX INDUSTRIES LTD</v>
          </cell>
          <cell r="B4144">
            <v>526133</v>
          </cell>
          <cell r="C4144" t="str">
            <v>Not Listed</v>
          </cell>
        </row>
        <row r="4145">
          <cell r="A4145" t="str">
            <v>SUPRA PACIFIC MANAGEMENT CONSULTANCY LTD</v>
          </cell>
          <cell r="B4145">
            <v>540168</v>
          </cell>
          <cell r="C4145" t="str">
            <v>Not Listed</v>
          </cell>
        </row>
        <row r="4146">
          <cell r="A4146" t="str">
            <v>SUPRA TRENDS LTD</v>
          </cell>
          <cell r="B4146">
            <v>511539</v>
          </cell>
          <cell r="C4146" t="str">
            <v>Not Listed</v>
          </cell>
        </row>
        <row r="4147">
          <cell r="A4147" t="str">
            <v>SUPRAJIT ENGINEERING LTD</v>
          </cell>
          <cell r="B4147">
            <v>532509</v>
          </cell>
          <cell r="C4147" t="str">
            <v>SUPRAJIT</v>
          </cell>
        </row>
        <row r="4148">
          <cell r="A4148" t="str">
            <v>SUPREME ENGINEERING LTD</v>
          </cell>
          <cell r="B4148" t="str">
            <v>Not Listed</v>
          </cell>
          <cell r="C4148" t="str">
            <v>SUPREMEENG</v>
          </cell>
        </row>
        <row r="4149">
          <cell r="A4149" t="str">
            <v>SUPREME HOLDINGS &amp; HOSPITALITY (INDIA) LTD</v>
          </cell>
          <cell r="B4149">
            <v>530677</v>
          </cell>
          <cell r="C4149" t="str">
            <v>Not Listed</v>
          </cell>
        </row>
        <row r="4150">
          <cell r="A4150" t="str">
            <v>SUPREME HOLDINGS &amp; HOSPITALITY INDIA LTD</v>
          </cell>
          <cell r="B4150">
            <v>530677</v>
          </cell>
          <cell r="C4150" t="str">
            <v>Not Listed</v>
          </cell>
        </row>
        <row r="4151">
          <cell r="A4151" t="str">
            <v>SUPREME INDIA IMPEX LTD</v>
          </cell>
          <cell r="B4151" t="str">
            <v>Not Listed</v>
          </cell>
          <cell r="C4151" t="str">
            <v>SIIL</v>
          </cell>
        </row>
        <row r="4152">
          <cell r="A4152" t="str">
            <v>SUPREME INDUSTRIES LTD</v>
          </cell>
          <cell r="B4152">
            <v>509930</v>
          </cell>
          <cell r="C4152" t="str">
            <v>SUPREMEIND</v>
          </cell>
        </row>
        <row r="4153">
          <cell r="A4153" t="str">
            <v>SUPREME INFRASTRUCTURE (INDIA) LTD</v>
          </cell>
          <cell r="B4153">
            <v>532904</v>
          </cell>
          <cell r="C4153" t="str">
            <v>SUPREMEINF</v>
          </cell>
        </row>
        <row r="4154">
          <cell r="A4154" t="str">
            <v>SUPREME INFRASTRUCTURE INDIA LTD</v>
          </cell>
          <cell r="B4154">
            <v>532904</v>
          </cell>
          <cell r="C4154" t="str">
            <v>SUPREMEINF</v>
          </cell>
        </row>
        <row r="4155">
          <cell r="A4155" t="str">
            <v>SUPREME PETROCHEM LTD</v>
          </cell>
          <cell r="B4155">
            <v>500405</v>
          </cell>
          <cell r="C4155" t="str">
            <v>SUPPETRO</v>
          </cell>
        </row>
        <row r="4156">
          <cell r="A4156" t="str">
            <v>SUPREMEX SHINE STEELS LTD</v>
          </cell>
          <cell r="B4156">
            <v>534733</v>
          </cell>
          <cell r="C4156" t="str">
            <v>Not Listed</v>
          </cell>
        </row>
        <row r="4157">
          <cell r="A4157" t="str">
            <v>SURAJ LTD</v>
          </cell>
          <cell r="B4157">
            <v>531638</v>
          </cell>
          <cell r="C4157" t="str">
            <v>Not Listed</v>
          </cell>
        </row>
        <row r="4158">
          <cell r="A4158" t="str">
            <v>SURAJ PRODUCTS LTD</v>
          </cell>
          <cell r="B4158">
            <v>518075</v>
          </cell>
          <cell r="C4158" t="str">
            <v>Not Listed</v>
          </cell>
        </row>
        <row r="4159">
          <cell r="A4159" t="str">
            <v>SURANA SOLAR LTD</v>
          </cell>
          <cell r="B4159">
            <v>533298</v>
          </cell>
          <cell r="C4159" t="str">
            <v>SURANASOL</v>
          </cell>
        </row>
        <row r="4160">
          <cell r="A4160" t="str">
            <v>SURANA TELECOM AND POWER LTD</v>
          </cell>
          <cell r="B4160">
            <v>517530</v>
          </cell>
          <cell r="C4160" t="str">
            <v>SURANAT&amp;P</v>
          </cell>
        </row>
        <row r="4161">
          <cell r="A4161" t="str">
            <v>SURAT TEXTILE MILLS LTD</v>
          </cell>
          <cell r="B4161">
            <v>530185</v>
          </cell>
          <cell r="C4161" t="str">
            <v>Not Listed</v>
          </cell>
        </row>
        <row r="4162">
          <cell r="A4162" t="str">
            <v>SUREVIN BPO SERVICES LTD</v>
          </cell>
          <cell r="B4162" t="str">
            <v>Not Listed</v>
          </cell>
          <cell r="C4162" t="str">
            <v>SUREVIN</v>
          </cell>
        </row>
        <row r="4163">
          <cell r="A4163" t="str">
            <v>SURYA (INDIA) LTD</v>
          </cell>
          <cell r="B4163">
            <v>539253</v>
          </cell>
          <cell r="C4163" t="str">
            <v>Not Listed</v>
          </cell>
        </row>
        <row r="4164">
          <cell r="A4164" t="str">
            <v>SURYA INDIA LTD</v>
          </cell>
          <cell r="B4164">
            <v>539253</v>
          </cell>
          <cell r="C4164" t="str">
            <v>Not Listed</v>
          </cell>
        </row>
        <row r="4165">
          <cell r="A4165" t="str">
            <v>SURYA ROSHNI LTD</v>
          </cell>
          <cell r="B4165">
            <v>500336</v>
          </cell>
          <cell r="C4165" t="str">
            <v>SURYAROSNI</v>
          </cell>
        </row>
        <row r="4166">
          <cell r="A4166" t="str">
            <v>SURYAAMBA SPINNING MILLS LTD</v>
          </cell>
          <cell r="B4166">
            <v>533101</v>
          </cell>
          <cell r="C4166" t="str">
            <v>Not Listed</v>
          </cell>
        </row>
        <row r="4167">
          <cell r="A4167" t="str">
            <v>SURYACHAKRA POWER CORPORATION LTD</v>
          </cell>
          <cell r="B4167">
            <v>532874</v>
          </cell>
          <cell r="C4167" t="str">
            <v>Not Listed</v>
          </cell>
        </row>
        <row r="4168">
          <cell r="A4168" t="str">
            <v>SURYAKRIPA FINANCE LTD</v>
          </cell>
          <cell r="B4168">
            <v>511185</v>
          </cell>
          <cell r="C4168" t="str">
            <v>Not Listed</v>
          </cell>
        </row>
        <row r="4169">
          <cell r="A4169" t="str">
            <v>SURYALAKSHMI COTTON MILLS LTD</v>
          </cell>
          <cell r="B4169">
            <v>521200</v>
          </cell>
          <cell r="C4169" t="str">
            <v>SURYALAXMI</v>
          </cell>
        </row>
        <row r="4170">
          <cell r="A4170" t="str">
            <v>SURYALATA SPINNING MILLS LTD</v>
          </cell>
          <cell r="B4170">
            <v>514138</v>
          </cell>
          <cell r="C4170" t="str">
            <v>Not Listed</v>
          </cell>
        </row>
        <row r="4171">
          <cell r="A4171" t="str">
            <v>SURYAVANSHI SPINNING MILLS LTD</v>
          </cell>
          <cell r="B4171">
            <v>514140</v>
          </cell>
          <cell r="C4171" t="str">
            <v>Not Listed</v>
          </cell>
        </row>
        <row r="4172">
          <cell r="A4172" t="str">
            <v>SURYO FOODS &amp;amp; INDUSTRIES LTD.</v>
          </cell>
          <cell r="B4172">
            <v>519604</v>
          </cell>
          <cell r="C4172" t="str">
            <v>SURFI</v>
          </cell>
        </row>
        <row r="4173">
          <cell r="A4173" t="str">
            <v>SUTLEJ TEXTILES AND INDUSTRIES LTD</v>
          </cell>
          <cell r="B4173">
            <v>532782</v>
          </cell>
          <cell r="C4173" t="str">
            <v>SUTLEJTEX</v>
          </cell>
        </row>
        <row r="4174">
          <cell r="A4174" t="str">
            <v>SUUMAYA LIFESTYLE LTD</v>
          </cell>
          <cell r="B4174" t="str">
            <v>Not Listed</v>
          </cell>
          <cell r="C4174" t="str">
            <v>SUULD</v>
          </cell>
        </row>
        <row r="4175">
          <cell r="A4175" t="str">
            <v>SUVEN LIFE SCIENCES LTD</v>
          </cell>
          <cell r="B4175">
            <v>530239</v>
          </cell>
          <cell r="C4175" t="str">
            <v>SUVEN</v>
          </cell>
        </row>
        <row r="4176">
          <cell r="A4176" t="str">
            <v>SUVIDHA INFRAESTATE CORPORATION LTD</v>
          </cell>
          <cell r="B4176">
            <v>531640</v>
          </cell>
          <cell r="C4176" t="str">
            <v>Not Listed</v>
          </cell>
        </row>
        <row r="4177">
          <cell r="A4177" t="str">
            <v>SUYOG TELEMATICS LTD</v>
          </cell>
          <cell r="B4177">
            <v>537259</v>
          </cell>
          <cell r="C4177" t="str">
            <v>Not Listed</v>
          </cell>
        </row>
        <row r="4178">
          <cell r="A4178" t="str">
            <v>SUZLON ENERGY LTD</v>
          </cell>
          <cell r="B4178">
            <v>532667</v>
          </cell>
          <cell r="C4178" t="str">
            <v>SUZLON</v>
          </cell>
        </row>
        <row r="4179">
          <cell r="A4179" t="str">
            <v>SVA (INDIA) LTD</v>
          </cell>
          <cell r="B4179">
            <v>531885</v>
          </cell>
          <cell r="C4179" t="str">
            <v>Not Listed</v>
          </cell>
        </row>
        <row r="4180">
          <cell r="A4180" t="str">
            <v>SVA INDIA LTD</v>
          </cell>
          <cell r="B4180">
            <v>531885</v>
          </cell>
          <cell r="C4180" t="str">
            <v>Not Listed</v>
          </cell>
        </row>
        <row r="4181">
          <cell r="A4181" t="str">
            <v>SVAM SOFTWARE LTD</v>
          </cell>
          <cell r="B4181">
            <v>523722</v>
          </cell>
          <cell r="C4181" t="str">
            <v>Not Listed</v>
          </cell>
        </row>
        <row r="4182">
          <cell r="A4182" t="str">
            <v>SVARAJ TRADING &amp; AGENCIES LTD</v>
          </cell>
          <cell r="B4182">
            <v>503624</v>
          </cell>
          <cell r="C4182" t="str">
            <v>Not Listed</v>
          </cell>
        </row>
        <row r="4183">
          <cell r="A4183" t="str">
            <v>SVARNIM TRADE UDYOG LTD</v>
          </cell>
          <cell r="B4183">
            <v>539911</v>
          </cell>
          <cell r="C4183" t="str">
            <v>Not Listed</v>
          </cell>
        </row>
        <row r="4184">
          <cell r="A4184" t="str">
            <v>SVC INDUSTRIES Ltd</v>
          </cell>
          <cell r="B4184">
            <v>524488</v>
          </cell>
          <cell r="C4184" t="str">
            <v>SVCIND</v>
          </cell>
        </row>
        <row r="4185">
          <cell r="A4185" t="str">
            <v>SVC RESOURCES LTD</v>
          </cell>
          <cell r="B4185">
            <v>512449</v>
          </cell>
          <cell r="C4185" t="str">
            <v>Not Listed</v>
          </cell>
        </row>
        <row r="4186">
          <cell r="A4186" t="str">
            <v>SVP GLOBAL VENTURES LTD</v>
          </cell>
          <cell r="B4186">
            <v>505590</v>
          </cell>
          <cell r="C4186" t="str">
            <v>Not Listed</v>
          </cell>
        </row>
        <row r="4187">
          <cell r="A4187" t="str">
            <v>SVP HOUSING LTD</v>
          </cell>
          <cell r="B4187">
            <v>539041</v>
          </cell>
          <cell r="C4187" t="str">
            <v>Not Listed</v>
          </cell>
        </row>
        <row r="4188">
          <cell r="A4188" t="str">
            <v>SW INVESTMENTS LTD</v>
          </cell>
          <cell r="B4188">
            <v>503659</v>
          </cell>
          <cell r="C4188" t="str">
            <v>Not Listed</v>
          </cell>
        </row>
        <row r="4189">
          <cell r="A4189" t="str">
            <v>SWADESHI INDUSTRIES LEASING CO LTD</v>
          </cell>
          <cell r="B4189">
            <v>506863</v>
          </cell>
          <cell r="C4189" t="str">
            <v>Not Listed</v>
          </cell>
        </row>
        <row r="4190">
          <cell r="A4190" t="str">
            <v>SWADESHI POLYTEX LTD</v>
          </cell>
          <cell r="B4190">
            <v>503816</v>
          </cell>
          <cell r="C4190" t="str">
            <v>Not Listed</v>
          </cell>
        </row>
        <row r="4191">
          <cell r="A4191" t="str">
            <v>SWAGRUHA INFRASTRUCTURE LTD</v>
          </cell>
          <cell r="B4191">
            <v>531909</v>
          </cell>
          <cell r="C4191" t="str">
            <v>Not Listed</v>
          </cell>
        </row>
        <row r="4192">
          <cell r="A4192" t="str">
            <v>SWAGTAM TRADING &amp; SERVICES LTD</v>
          </cell>
          <cell r="B4192">
            <v>539406</v>
          </cell>
          <cell r="C4192" t="str">
            <v>Not Listed</v>
          </cell>
        </row>
        <row r="4193">
          <cell r="A4193" t="str">
            <v>SWAN ENERGY LTD</v>
          </cell>
          <cell r="B4193">
            <v>503310</v>
          </cell>
          <cell r="C4193" t="str">
            <v>SWANENERGY</v>
          </cell>
        </row>
        <row r="4194">
          <cell r="A4194" t="str">
            <v>SWARAJ AUTOMOTIVES LTD</v>
          </cell>
          <cell r="B4194">
            <v>539353</v>
          </cell>
          <cell r="C4194" t="str">
            <v>Not Listed</v>
          </cell>
        </row>
        <row r="4195">
          <cell r="A4195" t="str">
            <v>SWARAJ ENGINES LTD</v>
          </cell>
          <cell r="B4195">
            <v>500407</v>
          </cell>
          <cell r="C4195" t="str">
            <v>SWARAJENG</v>
          </cell>
        </row>
        <row r="4196">
          <cell r="A4196" t="str">
            <v>SWARNA SECURITIES LTD</v>
          </cell>
          <cell r="B4196">
            <v>531003</v>
          </cell>
          <cell r="C4196" t="str">
            <v>Not Listed</v>
          </cell>
        </row>
        <row r="4197">
          <cell r="A4197" t="str">
            <v>SWARNSARITA GEMS LTD</v>
          </cell>
          <cell r="B4197">
            <v>526365</v>
          </cell>
          <cell r="C4197" t="str">
            <v>Not Listed</v>
          </cell>
        </row>
        <row r="4198">
          <cell r="A4198" t="str">
            <v>SWASTI VINAYAKA ART AND HERITAGE CORPORATION LTD</v>
          </cell>
          <cell r="B4198">
            <v>512257</v>
          </cell>
          <cell r="C4198" t="str">
            <v>Not Listed</v>
          </cell>
        </row>
        <row r="4199">
          <cell r="A4199" t="str">
            <v>SWASTI VINAYAKA SYNTHETICS LTD</v>
          </cell>
          <cell r="B4199">
            <v>510245</v>
          </cell>
          <cell r="C4199" t="str">
            <v>Not Listed</v>
          </cell>
        </row>
        <row r="4200">
          <cell r="A4200" t="str">
            <v>SWASTIK SAFE DEPOSIT &amp; INVESTMENTS LTD</v>
          </cell>
          <cell r="B4200">
            <v>501386</v>
          </cell>
          <cell r="C4200" t="str">
            <v>Not Listed</v>
          </cell>
        </row>
        <row r="4201">
          <cell r="A4201" t="str">
            <v>SWASTIKA INVESTMART LTD</v>
          </cell>
          <cell r="B4201">
            <v>530585</v>
          </cell>
          <cell r="C4201" t="str">
            <v>Not Listed</v>
          </cell>
        </row>
        <row r="4202">
          <cell r="A4202" t="str">
            <v>SWELECT ENERGY SYSTEMS LTD</v>
          </cell>
          <cell r="B4202">
            <v>532051</v>
          </cell>
          <cell r="C4202" t="str">
            <v>SWELECTES</v>
          </cell>
        </row>
        <row r="4203">
          <cell r="A4203" t="str">
            <v>SWISS GLASCOAT EQUIPMENTS LTD</v>
          </cell>
          <cell r="B4203">
            <v>522215</v>
          </cell>
          <cell r="C4203" t="str">
            <v>Not Listed</v>
          </cell>
        </row>
        <row r="4204">
          <cell r="A4204" t="str">
            <v>SWITCHING TECHNOLOGIES GUNTHER LTD</v>
          </cell>
          <cell r="B4204">
            <v>517201</v>
          </cell>
          <cell r="C4204" t="str">
            <v>Not Listed</v>
          </cell>
        </row>
        <row r="4205">
          <cell r="A4205" t="str">
            <v>SWORD &amp; SHIELD PHARMA LTD</v>
          </cell>
          <cell r="B4205">
            <v>531637</v>
          </cell>
          <cell r="C4205" t="str">
            <v>Not Listed</v>
          </cell>
        </row>
        <row r="4206">
          <cell r="A4206" t="str">
            <v>SWORD-EDGE COMMERCIALS LTD</v>
          </cell>
          <cell r="B4206">
            <v>512359</v>
          </cell>
          <cell r="C4206" t="str">
            <v>Not Listed</v>
          </cell>
        </row>
        <row r="4207">
          <cell r="A4207" t="str">
            <v>SYBLY INDUSTRIES LTD</v>
          </cell>
          <cell r="B4207">
            <v>531499</v>
          </cell>
          <cell r="C4207" t="str">
            <v>Not Listed</v>
          </cell>
        </row>
        <row r="4208">
          <cell r="A4208" t="str">
            <v>SYLPH EDUCATION SOLUTIONS LTD</v>
          </cell>
          <cell r="B4208">
            <v>539682</v>
          </cell>
          <cell r="C4208" t="str">
            <v>Not Listed</v>
          </cell>
        </row>
        <row r="4209">
          <cell r="A4209" t="str">
            <v>SYLPH TECHNOLOGIES LTD</v>
          </cell>
          <cell r="B4209">
            <v>511447</v>
          </cell>
          <cell r="C4209" t="str">
            <v>Not Listed</v>
          </cell>
        </row>
        <row r="4210">
          <cell r="A4210" t="str">
            <v>SYMBIOX INVESTMENT &amp; TRADING COMPANY LTD</v>
          </cell>
          <cell r="B4210">
            <v>539278</v>
          </cell>
          <cell r="C4210" t="str">
            <v>Not Listed</v>
          </cell>
        </row>
        <row r="4211">
          <cell r="A4211" t="str">
            <v>SYMPHONY LTD</v>
          </cell>
          <cell r="B4211">
            <v>517385</v>
          </cell>
          <cell r="C4211" t="str">
            <v>SYMPHONY</v>
          </cell>
        </row>
        <row r="4212">
          <cell r="A4212" t="str">
            <v>SYNCOM FORMULATIONS (INDIA) LTD</v>
          </cell>
          <cell r="B4212">
            <v>524470</v>
          </cell>
          <cell r="C4212" t="str">
            <v>Not Listed</v>
          </cell>
        </row>
        <row r="4213">
          <cell r="A4213" t="str">
            <v>SYNCOM FORMULATIONS INDIA LTD</v>
          </cell>
          <cell r="B4213">
            <v>524470</v>
          </cell>
          <cell r="C4213" t="str">
            <v>Not Listed</v>
          </cell>
        </row>
        <row r="4214">
          <cell r="A4214" t="str">
            <v>SYNCOM HEALTHCARE LTD</v>
          </cell>
          <cell r="B4214">
            <v>533157</v>
          </cell>
          <cell r="C4214" t="str">
            <v>SYNCOM</v>
          </cell>
        </row>
        <row r="4215">
          <cell r="A4215" t="str">
            <v>SYNDICATE BANK</v>
          </cell>
          <cell r="B4215">
            <v>532276</v>
          </cell>
          <cell r="C4215" t="str">
            <v>SYNDIBANK</v>
          </cell>
        </row>
        <row r="4216">
          <cell r="A4216" t="str">
            <v>SYNERGY GREEN INDUSTRIES LTD</v>
          </cell>
          <cell r="B4216">
            <v>541929</v>
          </cell>
          <cell r="C4216" t="str">
            <v>Not Listed</v>
          </cell>
        </row>
        <row r="4217">
          <cell r="A4217" t="str">
            <v>SYNGENE INTERNATIONAL LTD</v>
          </cell>
          <cell r="B4217">
            <v>539268</v>
          </cell>
          <cell r="C4217" t="str">
            <v>SYNGENE</v>
          </cell>
        </row>
        <row r="4218">
          <cell r="A4218" t="str">
            <v>SYNTHIKO FOILS LTD</v>
          </cell>
          <cell r="B4218">
            <v>513307</v>
          </cell>
          <cell r="C4218" t="str">
            <v>Not Listed</v>
          </cell>
        </row>
        <row r="4219">
          <cell r="A4219" t="str">
            <v>SYSCHEM (INDIA) LTD</v>
          </cell>
          <cell r="B4219">
            <v>531173</v>
          </cell>
          <cell r="C4219" t="str">
            <v>Not Listed</v>
          </cell>
        </row>
        <row r="4220">
          <cell r="A4220" t="str">
            <v>SYSCHEM INDIA LTD</v>
          </cell>
          <cell r="B4220">
            <v>531173</v>
          </cell>
          <cell r="C4220" t="str">
            <v>Not Listed</v>
          </cell>
        </row>
        <row r="4221">
          <cell r="A4221" t="str">
            <v>SYSCO INDUSTRIES LTD</v>
          </cell>
          <cell r="B4221">
            <v>539842</v>
          </cell>
          <cell r="C4221" t="str">
            <v>Not Listed</v>
          </cell>
        </row>
        <row r="4222">
          <cell r="A4222" t="str">
            <v>SYSTEMATIX CORPORATE SERVICES LTD</v>
          </cell>
          <cell r="B4222">
            <v>526506</v>
          </cell>
          <cell r="C4222" t="str">
            <v>Not Listed</v>
          </cell>
        </row>
        <row r="4223">
          <cell r="A4223" t="str">
            <v>SYSTEMATIX SECURITIES LTD</v>
          </cell>
          <cell r="B4223">
            <v>531432</v>
          </cell>
          <cell r="C4223" t="str">
            <v>Not Listed</v>
          </cell>
        </row>
        <row r="4224">
          <cell r="A4224" t="str">
            <v>T &amp; I GLOBAL LTD</v>
          </cell>
          <cell r="B4224">
            <v>522294</v>
          </cell>
          <cell r="C4224" t="str">
            <v>Not Listed</v>
          </cell>
        </row>
        <row r="4225">
          <cell r="A4225" t="str">
            <v>T D POWER SYSTEMS LTD</v>
          </cell>
          <cell r="B4225">
            <v>533553</v>
          </cell>
          <cell r="C4225" t="str">
            <v>Not Listed</v>
          </cell>
        </row>
        <row r="4226">
          <cell r="A4226" t="str">
            <v>T SPIRITUAL WORLD LTD</v>
          </cell>
          <cell r="B4226">
            <v>532444</v>
          </cell>
          <cell r="C4226" t="str">
            <v>Not Listed</v>
          </cell>
        </row>
        <row r="4227">
          <cell r="A4227" t="str">
            <v>T T LTD</v>
          </cell>
          <cell r="B4227">
            <v>514142</v>
          </cell>
          <cell r="C4227" t="str">
            <v>TTL</v>
          </cell>
        </row>
        <row r="4228">
          <cell r="A4228" t="str">
            <v>TAAL ENTERPRISES LTD</v>
          </cell>
          <cell r="B4228">
            <v>539956</v>
          </cell>
          <cell r="C4228" t="str">
            <v>Not Listed</v>
          </cell>
        </row>
        <row r="4229">
          <cell r="A4229" t="str">
            <v>TAAZA INTERNATIONAL LTD</v>
          </cell>
          <cell r="B4229">
            <v>537392</v>
          </cell>
          <cell r="C4229" t="str">
            <v>Not Listed</v>
          </cell>
        </row>
        <row r="4230">
          <cell r="A4230" t="str">
            <v>TAI INDUSTRIES LTD</v>
          </cell>
          <cell r="B4230">
            <v>519483</v>
          </cell>
          <cell r="C4230" t="str">
            <v>Not Listed</v>
          </cell>
        </row>
        <row r="4231">
          <cell r="A4231" t="str">
            <v>TAINWALA CHEMICAL AND PLASTIC I LTD</v>
          </cell>
          <cell r="B4231">
            <v>507785</v>
          </cell>
          <cell r="C4231" t="str">
            <v>TAINWALCHM</v>
          </cell>
        </row>
        <row r="4232">
          <cell r="A4232" t="str">
            <v>TAJ GVK HOTELS &amp; RESORTS LTD</v>
          </cell>
          <cell r="B4232">
            <v>532390</v>
          </cell>
          <cell r="C4232" t="str">
            <v>TAJGVK</v>
          </cell>
        </row>
        <row r="4233">
          <cell r="A4233" t="str">
            <v>TAKE SOLUTIONS LTD</v>
          </cell>
          <cell r="B4233">
            <v>532890</v>
          </cell>
          <cell r="C4233" t="str">
            <v>TAKE</v>
          </cell>
        </row>
        <row r="4234">
          <cell r="A4234" t="str">
            <v>TALBROS AUTOMOTIVE COMPONENTS LTD</v>
          </cell>
          <cell r="B4234">
            <v>505160</v>
          </cell>
          <cell r="C4234" t="str">
            <v>TALBROAUTO</v>
          </cell>
        </row>
        <row r="4235">
          <cell r="A4235" t="str">
            <v>TALBROS ENGINEERING LTD</v>
          </cell>
          <cell r="B4235">
            <v>538987</v>
          </cell>
          <cell r="C4235" t="str">
            <v>Not Listed</v>
          </cell>
        </row>
        <row r="4236">
          <cell r="A4236" t="str">
            <v>TALWALKARS BETTER VALUE FITNESS LTD</v>
          </cell>
          <cell r="B4236">
            <v>533200</v>
          </cell>
          <cell r="C4236" t="str">
            <v>TALWALKARS</v>
          </cell>
        </row>
        <row r="4237">
          <cell r="A4237" t="str">
            <v>TALWALKARS LIFESTYLES LTD</v>
          </cell>
          <cell r="B4237">
            <v>541545</v>
          </cell>
          <cell r="C4237" t="str">
            <v>TALWGYM</v>
          </cell>
        </row>
        <row r="4238">
          <cell r="A4238" t="str">
            <v>TAMBOLI CAPITAL LTD</v>
          </cell>
          <cell r="B4238">
            <v>533170</v>
          </cell>
          <cell r="C4238" t="str">
            <v>Not Listed</v>
          </cell>
        </row>
        <row r="4239">
          <cell r="A4239" t="str">
            <v>TAMIL NADU NEWSPRINT &amp; PAPERS LTD</v>
          </cell>
          <cell r="B4239">
            <v>531426</v>
          </cell>
          <cell r="C4239" t="str">
            <v>TNPL</v>
          </cell>
        </row>
        <row r="4240">
          <cell r="A4240" t="str">
            <v>TAMILNADU JAIBHARAT MILLS LTD</v>
          </cell>
          <cell r="B4240">
            <v>521038</v>
          </cell>
          <cell r="C4240" t="str">
            <v>Not Listed</v>
          </cell>
        </row>
        <row r="4241">
          <cell r="A4241" t="str">
            <v>TAMILNADU PETROPRODUCTS LTD</v>
          </cell>
          <cell r="B4241">
            <v>500777</v>
          </cell>
          <cell r="C4241" t="str">
            <v>TNPETRO</v>
          </cell>
        </row>
        <row r="4242">
          <cell r="A4242" t="str">
            <v>TAMILNADU STEEL TUBES LTD</v>
          </cell>
          <cell r="B4242">
            <v>513540</v>
          </cell>
          <cell r="C4242" t="str">
            <v>Not Listed</v>
          </cell>
        </row>
        <row r="4243">
          <cell r="A4243" t="str">
            <v>TAMILNADU TELECOMMUNICATION LTD</v>
          </cell>
          <cell r="B4243">
            <v>523419</v>
          </cell>
          <cell r="C4243" t="str">
            <v>TNTELE</v>
          </cell>
        </row>
        <row r="4244">
          <cell r="A4244" t="str">
            <v>TANEJA AEROSPACE &amp; AVIATION LTD</v>
          </cell>
          <cell r="B4244">
            <v>522229</v>
          </cell>
          <cell r="C4244" t="str">
            <v>Not Listed</v>
          </cell>
        </row>
        <row r="4245">
          <cell r="A4245" t="str">
            <v>TANFAC INDUSTRIES LTD</v>
          </cell>
          <cell r="B4245">
            <v>506854</v>
          </cell>
          <cell r="C4245" t="str">
            <v>Not Listed</v>
          </cell>
        </row>
        <row r="4246">
          <cell r="A4246" t="str">
            <v>TANLA SOLUTIONS LTD</v>
          </cell>
          <cell r="B4246">
            <v>532790</v>
          </cell>
          <cell r="C4246" t="str">
            <v>TANLA</v>
          </cell>
        </row>
        <row r="4247">
          <cell r="A4247" t="str">
            <v>TANTIA CONSTRUCTIONS LTD</v>
          </cell>
          <cell r="B4247">
            <v>532738</v>
          </cell>
          <cell r="C4247" t="str">
            <v>TANTIACONS</v>
          </cell>
        </row>
        <row r="4248">
          <cell r="A4248" t="str">
            <v>TANVI FOODS (INDIA) LTD</v>
          </cell>
          <cell r="B4248">
            <v>540332</v>
          </cell>
          <cell r="C4248" t="str">
            <v>Not Listed</v>
          </cell>
        </row>
        <row r="4249">
          <cell r="A4249" t="str">
            <v>TANVI FOODS INDIA LTD</v>
          </cell>
          <cell r="B4249">
            <v>540332</v>
          </cell>
          <cell r="C4249" t="str">
            <v>Not Listed</v>
          </cell>
        </row>
        <row r="4250">
          <cell r="A4250" t="str">
            <v>TAPARIA TOOLS LTD</v>
          </cell>
          <cell r="B4250">
            <v>505685</v>
          </cell>
          <cell r="C4250" t="str">
            <v>Not Listed</v>
          </cell>
        </row>
        <row r="4251">
          <cell r="A4251" t="str">
            <v>TARA CHAND LOGISTIC SOLUTIONS LTD</v>
          </cell>
          <cell r="B4251" t="str">
            <v>Not Listed</v>
          </cell>
          <cell r="C4251" t="str">
            <v>TARACHAND</v>
          </cell>
        </row>
        <row r="4252">
          <cell r="A4252" t="str">
            <v>TARA JEWELS LTD</v>
          </cell>
          <cell r="B4252">
            <v>534756</v>
          </cell>
          <cell r="C4252" t="str">
            <v>TARAJEWELS</v>
          </cell>
        </row>
        <row r="4253">
          <cell r="A4253" t="str">
            <v>TARAI FOODS LTD</v>
          </cell>
          <cell r="B4253">
            <v>519285</v>
          </cell>
          <cell r="C4253" t="str">
            <v>Not Listed</v>
          </cell>
        </row>
        <row r="4254">
          <cell r="A4254" t="str">
            <v>TARAPUR TRANSFORMERS LTD</v>
          </cell>
          <cell r="B4254">
            <v>533203</v>
          </cell>
          <cell r="C4254" t="str">
            <v>TARAPUR</v>
          </cell>
        </row>
        <row r="4255">
          <cell r="A4255" t="str">
            <v>TARINI INTERNATIONAL LTD</v>
          </cell>
          <cell r="B4255">
            <v>538496</v>
          </cell>
          <cell r="C4255" t="str">
            <v>Not Listed</v>
          </cell>
        </row>
        <row r="4256">
          <cell r="A4256" t="str">
            <v>TARMAT LTD</v>
          </cell>
          <cell r="B4256">
            <v>532869</v>
          </cell>
          <cell r="C4256" t="str">
            <v>TARMAT</v>
          </cell>
        </row>
        <row r="4257">
          <cell r="A4257" t="str">
            <v>TASHI (INDIA) LTD</v>
          </cell>
          <cell r="B4257">
            <v>512271</v>
          </cell>
          <cell r="C4257" t="str">
            <v>Not Listed</v>
          </cell>
        </row>
        <row r="4258">
          <cell r="A4258" t="str">
            <v>TASHI INDIA LTD</v>
          </cell>
          <cell r="B4258">
            <v>512271</v>
          </cell>
          <cell r="C4258" t="str">
            <v>Not Listed</v>
          </cell>
        </row>
        <row r="4259">
          <cell r="A4259" t="str">
            <v>TASTY BITE EATABLES LTD</v>
          </cell>
          <cell r="B4259">
            <v>519091</v>
          </cell>
          <cell r="C4259" t="str">
            <v>TASTYBITE</v>
          </cell>
        </row>
        <row r="4260">
          <cell r="A4260" t="str">
            <v>TASTY DAIRY SPECIALITIES LTD</v>
          </cell>
          <cell r="B4260">
            <v>540955</v>
          </cell>
          <cell r="C4260" t="str">
            <v>Not Listed</v>
          </cell>
        </row>
        <row r="4261">
          <cell r="A4261" t="str">
            <v>TATA CHEMICALS LTD</v>
          </cell>
          <cell r="B4261">
            <v>500770</v>
          </cell>
          <cell r="C4261" t="str">
            <v>TATACHEM</v>
          </cell>
        </row>
        <row r="4262">
          <cell r="A4262" t="str">
            <v>TATA COFFEE LTD</v>
          </cell>
          <cell r="B4262">
            <v>532301</v>
          </cell>
          <cell r="C4262" t="str">
            <v>TATACOFFEE</v>
          </cell>
        </row>
        <row r="4263">
          <cell r="A4263" t="str">
            <v>TATA COMMUNICATIONS LTD</v>
          </cell>
          <cell r="B4263">
            <v>500483</v>
          </cell>
          <cell r="C4263" t="str">
            <v>TATACOMM</v>
          </cell>
        </row>
        <row r="4264">
          <cell r="A4264" t="str">
            <v>TATA CONSULTANCY SERVICES LTD</v>
          </cell>
          <cell r="B4264">
            <v>532540</v>
          </cell>
          <cell r="C4264" t="str">
            <v>TCS</v>
          </cell>
        </row>
        <row r="4265">
          <cell r="A4265" t="str">
            <v>TATA ELXSI LTD</v>
          </cell>
          <cell r="B4265">
            <v>500408</v>
          </cell>
          <cell r="C4265" t="str">
            <v>TATAELXSI</v>
          </cell>
        </row>
        <row r="4266">
          <cell r="A4266" t="str">
            <v>TATA GLOBAL BEVERAGES LTD</v>
          </cell>
          <cell r="B4266">
            <v>500800</v>
          </cell>
          <cell r="C4266" t="str">
            <v>TATAGLOBAL</v>
          </cell>
        </row>
        <row r="4267">
          <cell r="A4267" t="str">
            <v>TATA INVESTMENT CORPORATION LTD</v>
          </cell>
          <cell r="B4267">
            <v>501301</v>
          </cell>
          <cell r="C4267" t="str">
            <v>TATAINVEST</v>
          </cell>
        </row>
        <row r="4268">
          <cell r="A4268" t="str">
            <v>TATA METALIKS LTD</v>
          </cell>
          <cell r="B4268">
            <v>513434</v>
          </cell>
          <cell r="C4268" t="str">
            <v>TATAMETALI</v>
          </cell>
        </row>
        <row r="4269">
          <cell r="A4269" t="str">
            <v>TATA MOTORS LTD</v>
          </cell>
          <cell r="B4269">
            <v>500570</v>
          </cell>
          <cell r="C4269" t="str">
            <v>TATAMOTORS</v>
          </cell>
        </row>
        <row r="4270">
          <cell r="A4270" t="str">
            <v>TATA MOTORS LTD</v>
          </cell>
          <cell r="B4270">
            <v>570001</v>
          </cell>
          <cell r="C4270" t="str">
            <v>TATAMTRDVR</v>
          </cell>
        </row>
        <row r="4271">
          <cell r="A4271" t="str">
            <v>TATA POWER COMPANY LTD</v>
          </cell>
          <cell r="B4271">
            <v>500400</v>
          </cell>
          <cell r="C4271" t="str">
            <v>TATAPOWER</v>
          </cell>
        </row>
        <row r="4272">
          <cell r="A4272" t="str">
            <v>TATA SPONGE IRON LTD</v>
          </cell>
          <cell r="B4272">
            <v>513010</v>
          </cell>
          <cell r="C4272" t="str">
            <v>TATASPONGE</v>
          </cell>
        </row>
        <row r="4273">
          <cell r="A4273" t="str">
            <v>Tata Steel Bsl LTD</v>
          </cell>
          <cell r="B4273" t="str">
            <v>Not Listed</v>
          </cell>
          <cell r="C4273" t="str">
            <v>TATASTLBSL</v>
          </cell>
        </row>
        <row r="4274">
          <cell r="A4274" t="str">
            <v>TATA STEEL LTD</v>
          </cell>
          <cell r="B4274">
            <v>500470</v>
          </cell>
          <cell r="C4274" t="str">
            <v>TATASTEEL</v>
          </cell>
        </row>
        <row r="4275">
          <cell r="A4275" t="str">
            <v>TATA TELESERVICES MAHARASHTRA LTD</v>
          </cell>
          <cell r="B4275">
            <v>532371</v>
          </cell>
          <cell r="C4275" t="str">
            <v>TTML</v>
          </cell>
        </row>
        <row r="4276">
          <cell r="A4276" t="str">
            <v>TATIA GLOBAL VENNTURE LTD</v>
          </cell>
          <cell r="B4276">
            <v>521228</v>
          </cell>
          <cell r="C4276" t="str">
            <v>Not Listed</v>
          </cell>
        </row>
        <row r="4277">
          <cell r="A4277" t="str">
            <v>TAVERNIER RESOURCES LTD</v>
          </cell>
          <cell r="B4277">
            <v>531190</v>
          </cell>
          <cell r="C4277" t="str">
            <v>Not Listed</v>
          </cell>
        </row>
        <row r="4278">
          <cell r="A4278" t="str">
            <v>TAYLORMADE RENEWABLES LTD</v>
          </cell>
          <cell r="B4278">
            <v>541228</v>
          </cell>
          <cell r="C4278" t="str">
            <v>Not Listed</v>
          </cell>
        </row>
        <row r="4279">
          <cell r="A4279" t="str">
            <v>TAYO ROLLS LTD</v>
          </cell>
          <cell r="B4279">
            <v>504961</v>
          </cell>
          <cell r="C4279" t="str">
            <v>Not Listed</v>
          </cell>
        </row>
        <row r="4280">
          <cell r="A4280" t="str">
            <v>TCFC FINANCE LTD</v>
          </cell>
          <cell r="B4280">
            <v>532284</v>
          </cell>
          <cell r="C4280" t="str">
            <v>Not Listed</v>
          </cell>
        </row>
        <row r="4281">
          <cell r="A4281" t="str">
            <v>TCI DEVELOPERS LTD</v>
          </cell>
          <cell r="B4281">
            <v>533393</v>
          </cell>
          <cell r="C4281" t="str">
            <v>TCIDEVELOP</v>
          </cell>
        </row>
        <row r="4282">
          <cell r="A4282" t="str">
            <v>TCI EXPRESS LTD</v>
          </cell>
          <cell r="B4282">
            <v>540212</v>
          </cell>
          <cell r="C4282" t="str">
            <v>TCIEXP</v>
          </cell>
        </row>
        <row r="4283">
          <cell r="A4283" t="str">
            <v>TCI FINANCE LTD</v>
          </cell>
          <cell r="B4283">
            <v>501242</v>
          </cell>
          <cell r="C4283" t="str">
            <v>TCIFINANCE</v>
          </cell>
        </row>
        <row r="4284">
          <cell r="A4284" t="str">
            <v>TCI INDUSTRIES LTD</v>
          </cell>
          <cell r="B4284">
            <v>532262</v>
          </cell>
          <cell r="C4284" t="str">
            <v>Not Listed</v>
          </cell>
        </row>
        <row r="4285">
          <cell r="A4285" t="str">
            <v>TCM LTD</v>
          </cell>
          <cell r="B4285">
            <v>524156</v>
          </cell>
          <cell r="C4285" t="str">
            <v>Not Listed</v>
          </cell>
        </row>
        <row r="4286">
          <cell r="A4286" t="str">
            <v>TCNS CLOTHING CO LTD</v>
          </cell>
          <cell r="B4286">
            <v>541700</v>
          </cell>
          <cell r="C4286" t="str">
            <v>TCNSBRANDS</v>
          </cell>
        </row>
        <row r="4287">
          <cell r="A4287" t="str">
            <v>TCPL PACKAGING LTD</v>
          </cell>
          <cell r="B4287">
            <v>523301</v>
          </cell>
          <cell r="C4287" t="str">
            <v>TCPLPACK</v>
          </cell>
        </row>
        <row r="4288">
          <cell r="A4288" t="str">
            <v>TD POWER SYSTEMS LTD</v>
          </cell>
          <cell r="B4288" t="str">
            <v>Not Listed</v>
          </cell>
          <cell r="C4288" t="str">
            <v>TDPOWERSYS</v>
          </cell>
        </row>
        <row r="4289">
          <cell r="A4289" t="str">
            <v>TEA TIME LTD</v>
          </cell>
          <cell r="B4289">
            <v>512011</v>
          </cell>
          <cell r="C4289" t="str">
            <v>Not Listed</v>
          </cell>
        </row>
        <row r="4290">
          <cell r="A4290" t="str">
            <v>TEAMLEASE SERVICES LTD</v>
          </cell>
          <cell r="B4290">
            <v>539658</v>
          </cell>
          <cell r="C4290" t="str">
            <v>TEAMLEASE</v>
          </cell>
        </row>
        <row r="4291">
          <cell r="A4291" t="str">
            <v>TECH MAHINDRA LTD</v>
          </cell>
          <cell r="B4291">
            <v>532755</v>
          </cell>
          <cell r="C4291" t="str">
            <v>TECHM</v>
          </cell>
        </row>
        <row r="4292">
          <cell r="A4292" t="str">
            <v>TECHINDIA NIRMAN LTD</v>
          </cell>
          <cell r="B4292">
            <v>526576</v>
          </cell>
          <cell r="C4292" t="str">
            <v>TECHIN</v>
          </cell>
        </row>
        <row r="4293">
          <cell r="A4293" t="str">
            <v>TECHNO ELECTRIC &amp; ENGINEERING COMPANY LTD</v>
          </cell>
          <cell r="B4293">
            <v>542141</v>
          </cell>
          <cell r="C4293" t="str">
            <v>TECHNOE</v>
          </cell>
        </row>
        <row r="4294">
          <cell r="A4294" t="str">
            <v>TECHNOCRAFT INDUSTRIES (INDIA) LTD</v>
          </cell>
          <cell r="B4294">
            <v>532804</v>
          </cell>
          <cell r="C4294" t="str">
            <v>TIIL</v>
          </cell>
        </row>
        <row r="4295">
          <cell r="A4295" t="str">
            <v>TECHNOCRAFT INDUSTRIES INDIA LTD</v>
          </cell>
          <cell r="B4295">
            <v>532804</v>
          </cell>
          <cell r="C4295" t="str">
            <v>TIIL</v>
          </cell>
        </row>
        <row r="4296">
          <cell r="A4296" t="str">
            <v>TECHNOFAB ENGINEERING LTD</v>
          </cell>
          <cell r="B4296">
            <v>533216</v>
          </cell>
          <cell r="C4296" t="str">
            <v>TECHNOFAB</v>
          </cell>
        </row>
        <row r="4297">
          <cell r="A4297" t="str">
            <v>TECHNOJET CONSULTANTS LTD</v>
          </cell>
          <cell r="B4297">
            <v>509917</v>
          </cell>
          <cell r="C4297" t="str">
            <v>Not Listed</v>
          </cell>
        </row>
        <row r="4298">
          <cell r="A4298" t="str">
            <v>TECHNVISION VENTURES LTD</v>
          </cell>
          <cell r="B4298">
            <v>501421</v>
          </cell>
          <cell r="C4298" t="str">
            <v>Not Listed</v>
          </cell>
        </row>
        <row r="4299">
          <cell r="A4299" t="str">
            <v>TEESTA AGRO INDUSTRIES LTD</v>
          </cell>
          <cell r="B4299">
            <v>524204</v>
          </cell>
          <cell r="C4299" t="str">
            <v>Not Listed</v>
          </cell>
        </row>
        <row r="4300">
          <cell r="A4300" t="str">
            <v>TEJAS NETWORKS LTD</v>
          </cell>
          <cell r="B4300">
            <v>540595</v>
          </cell>
          <cell r="C4300" t="str">
            <v>TEJASNET</v>
          </cell>
        </row>
        <row r="4301">
          <cell r="A4301" t="str">
            <v>TEJNAKSH HEALTHCARE LTD</v>
          </cell>
          <cell r="B4301">
            <v>539428</v>
          </cell>
          <cell r="C4301" t="str">
            <v>Not Listed</v>
          </cell>
        </row>
        <row r="4302">
          <cell r="A4302" t="str">
            <v>TELECANOR GLOBAL LTD</v>
          </cell>
          <cell r="B4302">
            <v>530595</v>
          </cell>
          <cell r="C4302" t="str">
            <v>Not Listed</v>
          </cell>
        </row>
        <row r="4303">
          <cell r="A4303" t="str">
            <v>TERA SOFTWARE LTD</v>
          </cell>
          <cell r="B4303">
            <v>533982</v>
          </cell>
          <cell r="C4303" t="str">
            <v>TERASOFT</v>
          </cell>
        </row>
        <row r="4304">
          <cell r="A4304" t="str">
            <v>TERAI TEA CO LTD</v>
          </cell>
          <cell r="B4304">
            <v>530533</v>
          </cell>
          <cell r="C4304" t="str">
            <v>Not Listed</v>
          </cell>
        </row>
        <row r="4305">
          <cell r="A4305" t="str">
            <v>TERRAFORM MAGNUM LTD</v>
          </cell>
          <cell r="B4305">
            <v>506162</v>
          </cell>
          <cell r="C4305" t="str">
            <v>Not Listed</v>
          </cell>
        </row>
        <row r="4306">
          <cell r="A4306" t="str">
            <v>TERRAFORM REALSTATE LTD</v>
          </cell>
          <cell r="B4306">
            <v>512157</v>
          </cell>
          <cell r="C4306" t="str">
            <v>Not Listed</v>
          </cell>
        </row>
        <row r="4307">
          <cell r="A4307" t="str">
            <v>TEXMACO INFRASTRUCTURE &amp; HOLDINGS LTD</v>
          </cell>
          <cell r="B4307">
            <v>505400</v>
          </cell>
          <cell r="C4307" t="str">
            <v>TEXINFRA</v>
          </cell>
        </row>
        <row r="4308">
          <cell r="A4308" t="str">
            <v>TEXMACO RAIL &amp; ENGINEERING LTD</v>
          </cell>
          <cell r="B4308">
            <v>533326</v>
          </cell>
          <cell r="C4308" t="str">
            <v>TEXRAIL</v>
          </cell>
        </row>
        <row r="4309">
          <cell r="A4309" t="str">
            <v>TEXMO PIPES AND PRODUCTS LTD</v>
          </cell>
          <cell r="B4309">
            <v>533164</v>
          </cell>
          <cell r="C4309" t="str">
            <v>TEXMOPIPES</v>
          </cell>
        </row>
        <row r="4310">
          <cell r="A4310" t="str">
            <v>TGB BANQUETS AND HOTELS LTD</v>
          </cell>
          <cell r="B4310">
            <v>532845</v>
          </cell>
          <cell r="C4310" t="str">
            <v>TGBHOTELS</v>
          </cell>
        </row>
        <row r="4311">
          <cell r="A4311" t="str">
            <v>TGV SRAAC LTD</v>
          </cell>
          <cell r="B4311">
            <v>507753</v>
          </cell>
          <cell r="C4311" t="str">
            <v>Not Listed</v>
          </cell>
        </row>
        <row r="4312">
          <cell r="A4312" t="str">
            <v>THACKER &amp; CO LTD</v>
          </cell>
          <cell r="B4312">
            <v>509945</v>
          </cell>
          <cell r="C4312" t="str">
            <v>Not Listed</v>
          </cell>
        </row>
        <row r="4313">
          <cell r="A4313" t="str">
            <v>THAKKERS DEVELOPERS LTD</v>
          </cell>
          <cell r="B4313">
            <v>526654</v>
          </cell>
          <cell r="C4313" t="str">
            <v>Not Listed</v>
          </cell>
        </row>
        <row r="4314">
          <cell r="A4314" t="str">
            <v>THAKRAL SERVICES (INDIA) LTD</v>
          </cell>
          <cell r="B4314">
            <v>509015</v>
          </cell>
          <cell r="C4314" t="str">
            <v>Not Listed</v>
          </cell>
        </row>
        <row r="4315">
          <cell r="A4315" t="str">
            <v>THAKRAL SERVICES INDIA LTD</v>
          </cell>
          <cell r="B4315">
            <v>509015</v>
          </cell>
          <cell r="C4315" t="str">
            <v>Not Listed</v>
          </cell>
        </row>
        <row r="4316">
          <cell r="A4316" t="str">
            <v>THAMBBI MODERN SPINNING MILLS LTD</v>
          </cell>
          <cell r="B4316">
            <v>514484</v>
          </cell>
          <cell r="C4316" t="str">
            <v>Not Listed</v>
          </cell>
        </row>
        <row r="4317">
          <cell r="A4317" t="str">
            <v>THANGAMAYIL JEWELLERY LTD</v>
          </cell>
          <cell r="B4317">
            <v>533158</v>
          </cell>
          <cell r="C4317" t="str">
            <v>THANGAMAYL</v>
          </cell>
        </row>
        <row r="4318">
          <cell r="A4318" t="str">
            <v>THE ANDHRA SUGARS LTD</v>
          </cell>
          <cell r="B4318">
            <v>590062</v>
          </cell>
          <cell r="C4318" t="str">
            <v>ANDHRSUGAR</v>
          </cell>
        </row>
        <row r="4319">
          <cell r="A4319" t="str">
            <v>The Anup Engineering Ltd</v>
          </cell>
          <cell r="B4319">
            <v>542460</v>
          </cell>
          <cell r="C4319" t="str">
            <v>ANUP</v>
          </cell>
        </row>
        <row r="4320">
          <cell r="A4320" t="str">
            <v>THE BYKE HOSPITALITY LTD</v>
          </cell>
          <cell r="B4320">
            <v>531373</v>
          </cell>
          <cell r="C4320" t="str">
            <v>BYKE</v>
          </cell>
        </row>
        <row r="4321">
          <cell r="A4321" t="str">
            <v>THE FEDERAL BANK LTD</v>
          </cell>
          <cell r="B4321">
            <v>500469</v>
          </cell>
          <cell r="C4321" t="str">
            <v>FEDERALBNK</v>
          </cell>
        </row>
        <row r="4322">
          <cell r="A4322" t="str">
            <v>THE GREAT EASTERN SHIPPING COMPANY LTD</v>
          </cell>
          <cell r="B4322">
            <v>500620</v>
          </cell>
          <cell r="C4322" t="str">
            <v>GESHIP</v>
          </cell>
        </row>
        <row r="4323">
          <cell r="A4323" t="str">
            <v>THE GROB TEA COMPANY LTD</v>
          </cell>
          <cell r="B4323" t="str">
            <v>Not Listed</v>
          </cell>
          <cell r="C4323" t="str">
            <v>GROBTEA</v>
          </cell>
        </row>
        <row r="4324">
          <cell r="A4324" t="str">
            <v>THE HI-TECH GEARS LTD</v>
          </cell>
          <cell r="B4324">
            <v>522073</v>
          </cell>
          <cell r="C4324" t="str">
            <v>HITECHGEAR</v>
          </cell>
        </row>
        <row r="4325">
          <cell r="A4325" t="str">
            <v>THE INDIA CEMENTS LTD</v>
          </cell>
          <cell r="B4325">
            <v>530005</v>
          </cell>
          <cell r="C4325" t="str">
            <v>INDIACEM</v>
          </cell>
        </row>
        <row r="4326">
          <cell r="A4326" t="str">
            <v>THE INDIAN HOTELS COMPANY LTD</v>
          </cell>
          <cell r="B4326">
            <v>500850</v>
          </cell>
          <cell r="C4326" t="str">
            <v>INDHOTEL</v>
          </cell>
        </row>
        <row r="4327">
          <cell r="A4327" t="str">
            <v>THE INDIAN WOOD PRODUCTS COMPANY LTD</v>
          </cell>
          <cell r="B4327">
            <v>540954</v>
          </cell>
          <cell r="C4327" t="str">
            <v>Not Listed</v>
          </cell>
        </row>
        <row r="4328">
          <cell r="A4328" t="str">
            <v>THE INVESTMENT TRUST OF (INDIA) LTD</v>
          </cell>
          <cell r="B4328">
            <v>530023</v>
          </cell>
          <cell r="C4328" t="str">
            <v>THEINVEST</v>
          </cell>
        </row>
        <row r="4329">
          <cell r="A4329" t="str">
            <v>THE INVESTMENT TRUST OF INDIA LTD</v>
          </cell>
          <cell r="B4329">
            <v>530023</v>
          </cell>
          <cell r="C4329" t="str">
            <v>THEINVEST</v>
          </cell>
        </row>
        <row r="4330">
          <cell r="A4330" t="str">
            <v>THE JAMMU &amp; KASHMIR BANK LTD</v>
          </cell>
          <cell r="B4330">
            <v>532209</v>
          </cell>
          <cell r="C4330" t="str">
            <v>J&amp;KBANK</v>
          </cell>
        </row>
        <row r="4331">
          <cell r="A4331" t="str">
            <v>THE KARNATAKA BANK LTD</v>
          </cell>
          <cell r="B4331">
            <v>532652</v>
          </cell>
          <cell r="C4331" t="str">
            <v>KTKBANK</v>
          </cell>
        </row>
        <row r="4332">
          <cell r="A4332" t="str">
            <v>THE MANDHANA RETAIL VENTURES LTD</v>
          </cell>
          <cell r="B4332">
            <v>540210</v>
          </cell>
          <cell r="C4332" t="str">
            <v>TMRVL</v>
          </cell>
        </row>
        <row r="4333">
          <cell r="A4333" t="str">
            <v>THE MOTOR &amp; GENERAL FINANCE LTD</v>
          </cell>
          <cell r="B4333">
            <v>501343</v>
          </cell>
          <cell r="C4333" t="str">
            <v>MOTOGENFIN</v>
          </cell>
        </row>
        <row r="4334">
          <cell r="A4334" t="str">
            <v>THE NEW INDIA ASSURANCE COMPANY LTD</v>
          </cell>
          <cell r="B4334">
            <v>540769</v>
          </cell>
          <cell r="C4334" t="str">
            <v>NIACL</v>
          </cell>
        </row>
        <row r="4335">
          <cell r="A4335" t="str">
            <v>THE ORISSA MINERALS DEVELOPMENT COMPANY LTD</v>
          </cell>
          <cell r="B4335">
            <v>590086</v>
          </cell>
          <cell r="C4335" t="str">
            <v>ORISSAMINE</v>
          </cell>
        </row>
        <row r="4336">
          <cell r="A4336" t="str">
            <v>THE PERIA KARAMALAI TEA &amp; PRODUCE COMPANY LTD</v>
          </cell>
          <cell r="B4336" t="str">
            <v>Not Listed</v>
          </cell>
          <cell r="C4336" t="str">
            <v>PKTEA</v>
          </cell>
        </row>
        <row r="4337">
          <cell r="A4337" t="str">
            <v>THE PHOENIX MILLS LTD</v>
          </cell>
          <cell r="B4337">
            <v>503100</v>
          </cell>
          <cell r="C4337" t="str">
            <v>PHOENIXLTD</v>
          </cell>
        </row>
        <row r="4338">
          <cell r="A4338" t="str">
            <v>THE PHOSPHATE COMPANY LTD</v>
          </cell>
          <cell r="B4338">
            <v>542123</v>
          </cell>
          <cell r="C4338" t="str">
            <v>Not Listed</v>
          </cell>
        </row>
        <row r="4339">
          <cell r="A4339" t="str">
            <v>THE RAMCO CEMENTS LTD</v>
          </cell>
          <cell r="B4339">
            <v>500260</v>
          </cell>
          <cell r="C4339" t="str">
            <v>RAMCOCEM</v>
          </cell>
        </row>
        <row r="4340">
          <cell r="A4340" t="str">
            <v>THE RUBY MILLS LTD</v>
          </cell>
          <cell r="B4340">
            <v>503169</v>
          </cell>
          <cell r="C4340" t="str">
            <v>RUBYMILLS</v>
          </cell>
        </row>
        <row r="4341">
          <cell r="A4341" t="str">
            <v>THE SANDESH LTD</v>
          </cell>
          <cell r="B4341">
            <v>526725</v>
          </cell>
          <cell r="C4341" t="str">
            <v>SANDESH</v>
          </cell>
        </row>
        <row r="4342">
          <cell r="A4342" t="str">
            <v>THE SOUTH INDIAN BANK LTD</v>
          </cell>
          <cell r="B4342">
            <v>532218</v>
          </cell>
          <cell r="C4342" t="str">
            <v>SOUTHBANK</v>
          </cell>
        </row>
        <row r="4343">
          <cell r="A4343" t="str">
            <v>THE STATE TRADING CORPORATION OF (INDIA) LTD</v>
          </cell>
          <cell r="B4343">
            <v>512531</v>
          </cell>
          <cell r="C4343" t="str">
            <v>STC(INDIA)</v>
          </cell>
        </row>
        <row r="4344">
          <cell r="A4344" t="str">
            <v>THE STATE TRADING CORPORATION OF INDIA LTD</v>
          </cell>
          <cell r="B4344">
            <v>512531</v>
          </cell>
          <cell r="C4344" t="str">
            <v>STCINDIA</v>
          </cell>
        </row>
        <row r="4345">
          <cell r="A4345" t="str">
            <v>THE TINPLATE COMPANY OF (INDIA) LTD</v>
          </cell>
          <cell r="B4345">
            <v>504966</v>
          </cell>
          <cell r="C4345" t="str">
            <v>TINPLATE</v>
          </cell>
        </row>
        <row r="4346">
          <cell r="A4346" t="str">
            <v>THE TINPLATE COMPANY OF INDIA LTD</v>
          </cell>
          <cell r="B4346">
            <v>504966</v>
          </cell>
          <cell r="C4346" t="str">
            <v>TINPLATE</v>
          </cell>
        </row>
        <row r="4347">
          <cell r="A4347" t="str">
            <v>THE UGAR SUGAR WORKS LTD</v>
          </cell>
          <cell r="B4347">
            <v>530363</v>
          </cell>
          <cell r="C4347" t="str">
            <v>UGARSUGAR</v>
          </cell>
        </row>
        <row r="4348">
          <cell r="A4348" t="str">
            <v>THE UNITED NILGIRI TEA ESTATES COMPANY LTD</v>
          </cell>
          <cell r="B4348" t="str">
            <v>Not Listed</v>
          </cell>
          <cell r="C4348" t="str">
            <v>UNITEDTEA</v>
          </cell>
        </row>
        <row r="4349">
          <cell r="A4349" t="str">
            <v>THE WESTERN INDIA PLYWOODS LTD</v>
          </cell>
          <cell r="B4349" t="str">
            <v>Not Listed</v>
          </cell>
          <cell r="C4349" t="str">
            <v>WIPL</v>
          </cell>
        </row>
        <row r="4350">
          <cell r="A4350" t="str">
            <v>THE YAMUNA SYNDICATE LTD</v>
          </cell>
          <cell r="B4350">
            <v>540980</v>
          </cell>
          <cell r="C4350" t="str">
            <v>Not Listed</v>
          </cell>
        </row>
        <row r="4351">
          <cell r="A4351" t="str">
            <v>THEJO ENGINEERING LTD</v>
          </cell>
          <cell r="B4351" t="str">
            <v>Not Listed</v>
          </cell>
          <cell r="C4351" t="str">
            <v>THEJO</v>
          </cell>
        </row>
        <row r="4352">
          <cell r="A4352" t="str">
            <v>THEMIS MEDICARE LTD</v>
          </cell>
          <cell r="B4352">
            <v>530199</v>
          </cell>
          <cell r="C4352" t="str">
            <v>THEMISMED</v>
          </cell>
        </row>
        <row r="4353">
          <cell r="A4353" t="str">
            <v>THERMAX LTD</v>
          </cell>
          <cell r="B4353">
            <v>500411</v>
          </cell>
          <cell r="C4353" t="str">
            <v>THERMAX</v>
          </cell>
        </row>
        <row r="4354">
          <cell r="A4354" t="str">
            <v>THINK INK STUDIO LTD</v>
          </cell>
          <cell r="B4354">
            <v>539310</v>
          </cell>
          <cell r="C4354" t="str">
            <v>Not Listed</v>
          </cell>
        </row>
        <row r="4355">
          <cell r="A4355" t="str">
            <v>THIRANI PROJECTS LTD</v>
          </cell>
          <cell r="B4355">
            <v>538464</v>
          </cell>
          <cell r="C4355" t="str">
            <v>Not Listed</v>
          </cell>
        </row>
        <row r="4356">
          <cell r="A4356" t="str">
            <v>THIRDWAVE FINANCIAL INTERMEDIARIES LTD</v>
          </cell>
          <cell r="B4356">
            <v>531652</v>
          </cell>
          <cell r="C4356" t="str">
            <v>Not Listed</v>
          </cell>
        </row>
        <row r="4357">
          <cell r="A4357" t="str">
            <v>THIRU AROORAN SUGARS LTD</v>
          </cell>
          <cell r="B4357">
            <v>507450</v>
          </cell>
          <cell r="C4357" t="str">
            <v>THIRUSUGAR</v>
          </cell>
        </row>
        <row r="4358">
          <cell r="A4358" t="str">
            <v>THIRUMALAI CHEMICALS LTD</v>
          </cell>
          <cell r="B4358">
            <v>500412</v>
          </cell>
          <cell r="C4358" t="str">
            <v>TIRUMALCHM</v>
          </cell>
        </row>
        <row r="4359">
          <cell r="A4359" t="str">
            <v>THOMAS COOK (INDIA) LTD</v>
          </cell>
          <cell r="B4359">
            <v>500413</v>
          </cell>
          <cell r="C4359" t="str">
            <v>THOMASCOOK</v>
          </cell>
        </row>
        <row r="4360">
          <cell r="A4360" t="str">
            <v>THOMAS COOK INDIA LTD</v>
          </cell>
          <cell r="B4360">
            <v>500413</v>
          </cell>
          <cell r="C4360" t="str">
            <v>THOMASCOOK</v>
          </cell>
        </row>
        <row r="4361">
          <cell r="A4361" t="str">
            <v>THOMAS SCOTT (INDIA) LTD</v>
          </cell>
          <cell r="B4361">
            <v>533941</v>
          </cell>
          <cell r="C4361" t="str">
            <v>THOMASCOTT</v>
          </cell>
        </row>
        <row r="4362">
          <cell r="A4362" t="str">
            <v>THOMAS SCOTT INDIA LTD</v>
          </cell>
          <cell r="B4362">
            <v>533941</v>
          </cell>
          <cell r="C4362" t="str">
            <v>THOMASCOTT</v>
          </cell>
        </row>
        <row r="4363">
          <cell r="A4363" t="str">
            <v>THYROCARE TECHNOLOGIES LTD</v>
          </cell>
          <cell r="B4363">
            <v>539871</v>
          </cell>
          <cell r="C4363" t="str">
            <v>THYROCARE</v>
          </cell>
        </row>
        <row r="4364">
          <cell r="A4364" t="str">
            <v>TI FINANCIAL HOLDINGS LTD</v>
          </cell>
          <cell r="B4364">
            <v>504973</v>
          </cell>
          <cell r="C4364" t="str">
            <v>TIFIN</v>
          </cell>
        </row>
        <row r="4365">
          <cell r="A4365" t="str">
            <v>TIAAN AYURVEDIC &amp; HERBS LTD</v>
          </cell>
          <cell r="B4365">
            <v>540108</v>
          </cell>
          <cell r="C4365" t="str">
            <v>Not Listed</v>
          </cell>
        </row>
        <row r="4366">
          <cell r="A4366" t="str">
            <v>TIDE WATER OIL COMPANY (INDIA) LTD</v>
          </cell>
          <cell r="B4366">
            <v>590005</v>
          </cell>
          <cell r="C4366" t="str">
            <v>TIDEWATER</v>
          </cell>
        </row>
        <row r="4367">
          <cell r="A4367" t="str">
            <v>TIDE WATER OIL COMPANY INDIA LTD</v>
          </cell>
          <cell r="B4367">
            <v>590005</v>
          </cell>
          <cell r="C4367" t="str">
            <v>TIDEWATER</v>
          </cell>
        </row>
        <row r="4368">
          <cell r="A4368" t="str">
            <v>TIGER LOGISTICS (INDIA) LTD</v>
          </cell>
          <cell r="B4368">
            <v>536264</v>
          </cell>
          <cell r="C4368" t="str">
            <v>Not Listed</v>
          </cell>
        </row>
        <row r="4369">
          <cell r="A4369" t="str">
            <v>TIGER LOGISTICS INDIA LTD</v>
          </cell>
          <cell r="B4369">
            <v>536264</v>
          </cell>
          <cell r="C4369" t="str">
            <v>Not Listed</v>
          </cell>
        </row>
        <row r="4370">
          <cell r="A4370" t="str">
            <v>TIJARIA POLYPIPES LTD</v>
          </cell>
          <cell r="B4370">
            <v>533629</v>
          </cell>
          <cell r="C4370" t="str">
            <v>TIJARIA</v>
          </cell>
        </row>
        <row r="4371">
          <cell r="A4371" t="str">
            <v>TIL LTD</v>
          </cell>
          <cell r="B4371">
            <v>505196</v>
          </cell>
          <cell r="C4371" t="str">
            <v>TIL</v>
          </cell>
        </row>
        <row r="4372">
          <cell r="A4372" t="str">
            <v>Tilak Ventures Ltd</v>
          </cell>
          <cell r="B4372">
            <v>503663</v>
          </cell>
          <cell r="C4372" t="str">
            <v>TILAK</v>
          </cell>
        </row>
        <row r="4373">
          <cell r="A4373" t="str">
            <v>TILAKNAGAR INDUSTRIES LTD</v>
          </cell>
          <cell r="B4373">
            <v>507205</v>
          </cell>
          <cell r="C4373" t="str">
            <v>TI</v>
          </cell>
        </row>
        <row r="4374">
          <cell r="A4374" t="str">
            <v>TIME TECHNOPLAST LTD</v>
          </cell>
          <cell r="B4374">
            <v>532856</v>
          </cell>
          <cell r="C4374" t="str">
            <v>TIMETECHNO</v>
          </cell>
        </row>
        <row r="4375">
          <cell r="A4375" t="str">
            <v>TIMES GUARANTY LTD</v>
          </cell>
          <cell r="B4375">
            <v>511559</v>
          </cell>
          <cell r="C4375" t="str">
            <v>TIMESGTY</v>
          </cell>
        </row>
        <row r="4376">
          <cell r="A4376" t="str">
            <v>TIMEX GROUP (INDIA) LTD</v>
          </cell>
          <cell r="B4376">
            <v>500414</v>
          </cell>
          <cell r="C4376" t="str">
            <v>Not Listed</v>
          </cell>
        </row>
        <row r="4377">
          <cell r="A4377" t="str">
            <v>TIMEX GROUP INDIA LTD</v>
          </cell>
          <cell r="B4377">
            <v>500414</v>
          </cell>
          <cell r="C4377" t="str">
            <v>Not Listed</v>
          </cell>
        </row>
        <row r="4378">
          <cell r="A4378" t="str">
            <v>TIMKEN (INDIA) LTD</v>
          </cell>
          <cell r="B4378">
            <v>522113</v>
          </cell>
          <cell r="C4378" t="str">
            <v>TIMKEN</v>
          </cell>
        </row>
        <row r="4379">
          <cell r="A4379" t="str">
            <v>TIMKEN INDIA LTD</v>
          </cell>
          <cell r="B4379">
            <v>522113</v>
          </cell>
          <cell r="C4379" t="str">
            <v>TIMKEN</v>
          </cell>
        </row>
        <row r="4380">
          <cell r="A4380" t="str">
            <v>TINNA RUBBER AND INFRASTRUCTURE LTD</v>
          </cell>
          <cell r="B4380">
            <v>530475</v>
          </cell>
          <cell r="C4380" t="str">
            <v>Not Listed</v>
          </cell>
        </row>
        <row r="4381">
          <cell r="A4381" t="str">
            <v>TINNA TRADE LTD</v>
          </cell>
          <cell r="B4381">
            <v>541741</v>
          </cell>
          <cell r="C4381" t="str">
            <v>Not Listed</v>
          </cell>
        </row>
        <row r="4382">
          <cell r="A4382" t="str">
            <v>TIPS INDUSTRIES LTD</v>
          </cell>
          <cell r="B4382">
            <v>532375</v>
          </cell>
          <cell r="C4382" t="str">
            <v>TIPSINDLTD</v>
          </cell>
        </row>
        <row r="4383">
          <cell r="A4383" t="str">
            <v>TIRUPATI FINLEASE LTD</v>
          </cell>
          <cell r="B4383">
            <v>539488</v>
          </cell>
          <cell r="C4383" t="str">
            <v>Not Listed</v>
          </cell>
        </row>
        <row r="4384">
          <cell r="A4384" t="str">
            <v>TIRUPATI FOAM LTD</v>
          </cell>
          <cell r="B4384">
            <v>540904</v>
          </cell>
          <cell r="C4384" t="str">
            <v>Not Listed</v>
          </cell>
        </row>
        <row r="4385">
          <cell r="A4385" t="str">
            <v>TIRUPATI FORGE LTD</v>
          </cell>
          <cell r="B4385" t="str">
            <v>Not Listed</v>
          </cell>
          <cell r="C4385" t="str">
            <v>TIRUPATIFL</v>
          </cell>
        </row>
        <row r="4386">
          <cell r="A4386" t="str">
            <v>TIRUPATI INDUSTRIES (INDIA) LTD</v>
          </cell>
          <cell r="B4386">
            <v>531547</v>
          </cell>
          <cell r="C4386" t="str">
            <v>Not Listed</v>
          </cell>
        </row>
        <row r="4387">
          <cell r="A4387" t="str">
            <v>TIRUPATI INDUSTRIES INDIA LTD</v>
          </cell>
          <cell r="B4387">
            <v>531547</v>
          </cell>
          <cell r="C4387" t="str">
            <v>Not Listed</v>
          </cell>
        </row>
        <row r="4388">
          <cell r="A4388" t="str">
            <v>TIRUPATI SARJAN LTD</v>
          </cell>
          <cell r="B4388">
            <v>531814</v>
          </cell>
          <cell r="C4388" t="str">
            <v>Not Listed</v>
          </cell>
        </row>
        <row r="4389">
          <cell r="A4389" t="str">
            <v>TIRUPATI STARCH &amp; CHEMICALS LTD</v>
          </cell>
          <cell r="B4389">
            <v>524582</v>
          </cell>
          <cell r="C4389" t="str">
            <v>Not Listed</v>
          </cell>
        </row>
        <row r="4390">
          <cell r="A4390" t="str">
            <v>TIRUPATI TYRES LTD</v>
          </cell>
          <cell r="B4390">
            <v>539040</v>
          </cell>
          <cell r="C4390" t="str">
            <v>Not Listed</v>
          </cell>
        </row>
        <row r="4391">
          <cell r="A4391" t="str">
            <v>TITAANIUM TEN ENTERPRISE LTD</v>
          </cell>
          <cell r="B4391">
            <v>539985</v>
          </cell>
          <cell r="C4391" t="str">
            <v>Not Listed</v>
          </cell>
        </row>
        <row r="4392">
          <cell r="A4392" t="str">
            <v>TITAGARH WAGONS LTD</v>
          </cell>
          <cell r="B4392">
            <v>532966</v>
          </cell>
          <cell r="C4392" t="str">
            <v>TWL</v>
          </cell>
        </row>
        <row r="4393">
          <cell r="A4393" t="str">
            <v>TITAN BIOTECH LTD</v>
          </cell>
          <cell r="B4393">
            <v>524717</v>
          </cell>
          <cell r="C4393" t="str">
            <v>Not Listed</v>
          </cell>
        </row>
        <row r="4394">
          <cell r="A4394" t="str">
            <v>TITAN COMPANY LTD</v>
          </cell>
          <cell r="B4394">
            <v>500114</v>
          </cell>
          <cell r="C4394" t="str">
            <v>TITAN</v>
          </cell>
        </row>
        <row r="4395">
          <cell r="A4395" t="str">
            <v>TITAN SECURITIES LTD</v>
          </cell>
          <cell r="B4395">
            <v>530045</v>
          </cell>
          <cell r="C4395" t="str">
            <v>Not Listed</v>
          </cell>
        </row>
        <row r="4396">
          <cell r="A4396" t="str">
            <v>TIVOLI CONSTRUCTION LTD</v>
          </cell>
          <cell r="B4396">
            <v>511096</v>
          </cell>
          <cell r="C4396" t="str">
            <v>Not Listed</v>
          </cell>
        </row>
        <row r="4397">
          <cell r="A4397" t="str">
            <v>TODAYS WRITING INSTRUMENTS LTD</v>
          </cell>
          <cell r="B4397">
            <v>531830</v>
          </cell>
          <cell r="C4397" t="str">
            <v>TODAYS</v>
          </cell>
        </row>
        <row r="4398">
          <cell r="A4398" t="str">
            <v>TOKYO FINANCE LTD</v>
          </cell>
          <cell r="B4398">
            <v>531644</v>
          </cell>
          <cell r="C4398" t="str">
            <v>Not Listed</v>
          </cell>
        </row>
        <row r="4399">
          <cell r="A4399" t="str">
            <v>TOKYO PLAST INTERNATIONAL LTD</v>
          </cell>
          <cell r="B4399">
            <v>500418</v>
          </cell>
          <cell r="C4399" t="str">
            <v>TOKYOPLAST</v>
          </cell>
        </row>
        <row r="4400">
          <cell r="A4400" t="str">
            <v>TORRENT PHARMACEUTICALS LTD</v>
          </cell>
          <cell r="B4400">
            <v>500420</v>
          </cell>
          <cell r="C4400" t="str">
            <v>TORNTPHARM</v>
          </cell>
        </row>
        <row r="4401">
          <cell r="A4401" t="str">
            <v>TORRENT POWER LTD</v>
          </cell>
          <cell r="B4401">
            <v>532779</v>
          </cell>
          <cell r="C4401" t="str">
            <v>TORNTPOWER</v>
          </cell>
        </row>
        <row r="4402">
          <cell r="A4402" t="str">
            <v>TOTAL EXPORTS LTD</v>
          </cell>
          <cell r="B4402">
            <v>523878</v>
          </cell>
          <cell r="C4402" t="str">
            <v>Not Listed</v>
          </cell>
        </row>
        <row r="4403">
          <cell r="A4403" t="str">
            <v>TOTAL TRANSPORT SYSTEMS LTD</v>
          </cell>
          <cell r="B4403" t="str">
            <v>Not Listed</v>
          </cell>
          <cell r="C4403" t="str">
            <v>TOTAL</v>
          </cell>
        </row>
        <row r="4404">
          <cell r="A4404" t="str">
            <v>TOUCHWOOD ENTERTAINMENT LTD</v>
          </cell>
          <cell r="B4404" t="str">
            <v>Not Listed</v>
          </cell>
          <cell r="C4404" t="str">
            <v>TOUCHWOOD</v>
          </cell>
        </row>
        <row r="4405">
          <cell r="A4405" t="str">
            <v>TOURISM FINANCE CORPORATION OF (INDIA) LTD</v>
          </cell>
          <cell r="B4405">
            <v>526650</v>
          </cell>
          <cell r="C4405" t="str">
            <v>TFCILTD</v>
          </cell>
        </row>
        <row r="4406">
          <cell r="A4406" t="str">
            <v>TOURISM FINANCE CORPORATION OF INDIA LTD</v>
          </cell>
          <cell r="B4406">
            <v>526650</v>
          </cell>
          <cell r="C4406" t="str">
            <v>TFCILTD</v>
          </cell>
        </row>
        <row r="4407">
          <cell r="A4407" t="str">
            <v>TOWA SOKKI LTD</v>
          </cell>
          <cell r="B4407">
            <v>531771</v>
          </cell>
          <cell r="C4407" t="str">
            <v>Not Listed</v>
          </cell>
        </row>
        <row r="4408">
          <cell r="A4408" t="str">
            <v>TOYAM INDUSTRIES LTD</v>
          </cell>
          <cell r="B4408">
            <v>538607</v>
          </cell>
          <cell r="C4408" t="str">
            <v>Not Listed</v>
          </cell>
        </row>
        <row r="4409">
          <cell r="A4409" t="str">
            <v>TPI (INDIA) LTD</v>
          </cell>
          <cell r="B4409">
            <v>500421</v>
          </cell>
          <cell r="C4409" t="str">
            <v>Not Listed</v>
          </cell>
        </row>
        <row r="4410">
          <cell r="A4410" t="str">
            <v>TPI INDIA LTD</v>
          </cell>
          <cell r="B4410">
            <v>500421</v>
          </cell>
          <cell r="C4410" t="str">
            <v>Not Listed</v>
          </cell>
        </row>
        <row r="4411">
          <cell r="A4411" t="str">
            <v>TPL PLASTECH LTD</v>
          </cell>
          <cell r="B4411">
            <v>526582</v>
          </cell>
          <cell r="C4411" t="str">
            <v>TPLPLASTEH</v>
          </cell>
        </row>
        <row r="4412">
          <cell r="A4412" t="str">
            <v>TRADE WINGS LTD</v>
          </cell>
          <cell r="B4412">
            <v>509953</v>
          </cell>
          <cell r="C4412" t="str">
            <v>Not Listed</v>
          </cell>
        </row>
        <row r="4413">
          <cell r="A4413" t="str">
            <v>TRANS ASIA CORPORATION LTD</v>
          </cell>
          <cell r="B4413">
            <v>530783</v>
          </cell>
          <cell r="C4413" t="str">
            <v>Not Listed</v>
          </cell>
        </row>
        <row r="4414">
          <cell r="A4414" t="str">
            <v>TRANS FINANCIAL RESOURCES LTD.</v>
          </cell>
          <cell r="B4414">
            <v>526961</v>
          </cell>
          <cell r="C4414" t="str">
            <v>TRANSFIN</v>
          </cell>
        </row>
        <row r="4415">
          <cell r="A4415" t="str">
            <v>TRANSCHEM LTD</v>
          </cell>
          <cell r="B4415">
            <v>500422</v>
          </cell>
          <cell r="C4415" t="str">
            <v>Not Listed</v>
          </cell>
        </row>
        <row r="4416">
          <cell r="A4416" t="str">
            <v>TRANSCORP INTERNATIONAL LTD</v>
          </cell>
          <cell r="B4416">
            <v>532410</v>
          </cell>
          <cell r="C4416" t="str">
            <v>Not Listed</v>
          </cell>
        </row>
        <row r="4417">
          <cell r="A4417" t="str">
            <v>TRANSFORMERS AND RECTIFIERS (INDIA) LTD</v>
          </cell>
          <cell r="B4417">
            <v>532928</v>
          </cell>
          <cell r="C4417" t="str">
            <v>TRIL</v>
          </cell>
        </row>
        <row r="4418">
          <cell r="A4418" t="str">
            <v>TRANSFORMERS AND RECTIFIERS INDIA LTD</v>
          </cell>
          <cell r="B4418">
            <v>532928</v>
          </cell>
          <cell r="C4418" t="str">
            <v>TRIL</v>
          </cell>
        </row>
        <row r="4419">
          <cell r="A4419" t="str">
            <v>TRANS-FREIGHT CONTAINERS LTD</v>
          </cell>
          <cell r="B4419">
            <v>513063</v>
          </cell>
          <cell r="C4419" t="str">
            <v>Not Listed</v>
          </cell>
        </row>
        <row r="4420">
          <cell r="A4420" t="str">
            <v>TRANSGENE BIOTEK LTD</v>
          </cell>
          <cell r="B4420">
            <v>526139</v>
          </cell>
          <cell r="C4420" t="str">
            <v>Not Listed</v>
          </cell>
        </row>
        <row r="4421">
          <cell r="A4421" t="str">
            <v>TRANSGLOBE FOODS LTD</v>
          </cell>
          <cell r="B4421">
            <v>519367</v>
          </cell>
          <cell r="C4421" t="str">
            <v>Not Listed</v>
          </cell>
        </row>
        <row r="4422">
          <cell r="A4422" t="str">
            <v>TRANSOCEANIC PROPERTIES LTD</v>
          </cell>
          <cell r="B4422">
            <v>509003</v>
          </cell>
          <cell r="C4422" t="str">
            <v>Not Listed</v>
          </cell>
        </row>
        <row r="4423">
          <cell r="A4423" t="str">
            <v>TRANSPEK INDUSTRY LTD</v>
          </cell>
          <cell r="B4423">
            <v>506687</v>
          </cell>
          <cell r="C4423" t="str">
            <v>Not Listed</v>
          </cell>
        </row>
        <row r="4424">
          <cell r="A4424" t="str">
            <v>TRANSPORT CORPORATION OF (INDIA) LTD</v>
          </cell>
          <cell r="B4424">
            <v>532349</v>
          </cell>
          <cell r="C4424" t="str">
            <v>TCI</v>
          </cell>
        </row>
        <row r="4425">
          <cell r="A4425" t="str">
            <v>TRANSPORT CORPORATION OF INDIA LTD</v>
          </cell>
          <cell r="B4425">
            <v>532349</v>
          </cell>
          <cell r="C4425" t="str">
            <v>TCI</v>
          </cell>
        </row>
        <row r="4426">
          <cell r="A4426" t="str">
            <v>TRANSWARRANTY FINANCE LTD</v>
          </cell>
          <cell r="B4426">
            <v>532812</v>
          </cell>
          <cell r="C4426" t="str">
            <v>TFL</v>
          </cell>
        </row>
        <row r="4427">
          <cell r="A4427" t="str">
            <v>TRANSWIND INFRASTRUCTURES LTD</v>
          </cell>
          <cell r="B4427" t="str">
            <v>Not Listed</v>
          </cell>
          <cell r="C4427" t="str">
            <v>TRANSWIND</v>
          </cell>
        </row>
        <row r="4428">
          <cell r="A4428" t="str">
            <v>TREE HOUSE EDUCATION &amp; ACCESSORIES LTD</v>
          </cell>
          <cell r="B4428">
            <v>533540</v>
          </cell>
          <cell r="C4428" t="str">
            <v>TREEHOUSE</v>
          </cell>
        </row>
        <row r="4429">
          <cell r="A4429" t="str">
            <v>Trejhara Solutions Ltd</v>
          </cell>
          <cell r="B4429">
            <v>542233</v>
          </cell>
          <cell r="C4429" t="str">
            <v>TREJHARA</v>
          </cell>
        </row>
        <row r="4430">
          <cell r="A4430" t="str">
            <v>TRENT LTD</v>
          </cell>
          <cell r="B4430">
            <v>500251</v>
          </cell>
          <cell r="C4430" t="str">
            <v>TRENT</v>
          </cell>
        </row>
        <row r="4431">
          <cell r="A4431" t="str">
            <v>TRESCON LTD</v>
          </cell>
          <cell r="B4431">
            <v>532159</v>
          </cell>
          <cell r="C4431" t="str">
            <v>Not Listed</v>
          </cell>
        </row>
        <row r="4432">
          <cell r="A4432" t="str">
            <v>TRF LTD</v>
          </cell>
          <cell r="B4432">
            <v>505854</v>
          </cell>
          <cell r="C4432" t="str">
            <v>TRF</v>
          </cell>
        </row>
        <row r="4433">
          <cell r="A4433" t="str">
            <v>TRIBHOVANDAS BHIMJI ZAVERI LTD</v>
          </cell>
          <cell r="B4433">
            <v>534369</v>
          </cell>
          <cell r="C4433" t="str">
            <v>TBZ</v>
          </cell>
        </row>
        <row r="4434">
          <cell r="A4434" t="str">
            <v>TRICOM FRUIT PRODUCTS LTD</v>
          </cell>
          <cell r="B4434">
            <v>531716</v>
          </cell>
          <cell r="C4434" t="str">
            <v>Not Listed</v>
          </cell>
        </row>
        <row r="4435">
          <cell r="A4435" t="str">
            <v>TRIDENT LTD</v>
          </cell>
          <cell r="B4435">
            <v>521064</v>
          </cell>
          <cell r="C4435" t="str">
            <v>TRIDENT</v>
          </cell>
        </row>
        <row r="4436">
          <cell r="A4436" t="str">
            <v>TRIDENT TEXOFAB LTD</v>
          </cell>
          <cell r="B4436">
            <v>540726</v>
          </cell>
          <cell r="C4436" t="str">
            <v>Not Listed</v>
          </cell>
        </row>
        <row r="4437">
          <cell r="A4437" t="str">
            <v>TRIDENT TOOLS LTD</v>
          </cell>
          <cell r="B4437">
            <v>531972</v>
          </cell>
          <cell r="C4437" t="str">
            <v>Not Listed</v>
          </cell>
        </row>
        <row r="4438">
          <cell r="A4438" t="str">
            <v>TRIGYN TECHNOLOGIES LTD</v>
          </cell>
          <cell r="B4438">
            <v>517562</v>
          </cell>
          <cell r="C4438" t="str">
            <v>TRIGYN</v>
          </cell>
        </row>
        <row r="4439">
          <cell r="A4439" t="str">
            <v>TRIJAL INDUSTRIES LTD</v>
          </cell>
          <cell r="B4439">
            <v>531658</v>
          </cell>
          <cell r="C4439" t="str">
            <v>Not Listed</v>
          </cell>
        </row>
        <row r="4440">
          <cell r="A4440" t="str">
            <v>TRIMURTHI LTD</v>
          </cell>
          <cell r="B4440">
            <v>536565</v>
          </cell>
          <cell r="C4440" t="str">
            <v>Not Listed</v>
          </cell>
        </row>
        <row r="4441">
          <cell r="A4441" t="str">
            <v>TRINITY LEAGUE (INDIA) LTD</v>
          </cell>
          <cell r="B4441">
            <v>531846</v>
          </cell>
          <cell r="C4441" t="str">
            <v>Not Listed</v>
          </cell>
        </row>
        <row r="4442">
          <cell r="A4442" t="str">
            <v>TRINITY LEAGUE INDIA LTD</v>
          </cell>
          <cell r="B4442">
            <v>531846</v>
          </cell>
          <cell r="C4442" t="str">
            <v>Not Listed</v>
          </cell>
        </row>
        <row r="4443">
          <cell r="A4443" t="str">
            <v>TRIO MERCANTILE &amp;amp; TRADING LTD.</v>
          </cell>
          <cell r="B4443">
            <v>534755</v>
          </cell>
          <cell r="C4443" t="str">
            <v>TRIOMERC</v>
          </cell>
        </row>
        <row r="4444">
          <cell r="A4444" t="str">
            <v>TRIOCHEM PRODUCTS LTD</v>
          </cell>
          <cell r="B4444">
            <v>512101</v>
          </cell>
          <cell r="C4444" t="str">
            <v>Not Listed</v>
          </cell>
        </row>
        <row r="4445">
          <cell r="A4445" t="str">
            <v>TRISHAKTI ELECTRONICS &amp; INDUSTRIES LTD</v>
          </cell>
          <cell r="B4445">
            <v>531279</v>
          </cell>
          <cell r="C4445" t="str">
            <v>Not Listed</v>
          </cell>
        </row>
        <row r="4446">
          <cell r="A4446" t="str">
            <v>TRITON CORP LTD</v>
          </cell>
          <cell r="B4446">
            <v>523387</v>
          </cell>
          <cell r="C4446" t="str">
            <v>Not Listed</v>
          </cell>
        </row>
        <row r="4447">
          <cell r="A4447" t="str">
            <v>TRITON VALVES LTD</v>
          </cell>
          <cell r="B4447">
            <v>505978</v>
          </cell>
          <cell r="C4447" t="str">
            <v>Not Listed</v>
          </cell>
        </row>
        <row r="4448">
          <cell r="A4448" t="str">
            <v>TRIVENI ENGINEERING &amp; INDUSTRIES LTD</v>
          </cell>
          <cell r="B4448">
            <v>532356</v>
          </cell>
          <cell r="C4448" t="str">
            <v>TRIVENI</v>
          </cell>
        </row>
        <row r="4449">
          <cell r="A4449" t="str">
            <v>Triveni Enterprises Ltd</v>
          </cell>
          <cell r="B4449">
            <v>538569</v>
          </cell>
          <cell r="C4449" t="str">
            <v>TRIVENIENT</v>
          </cell>
        </row>
        <row r="4450">
          <cell r="A4450" t="str">
            <v>TRIVENI GLASS LTD</v>
          </cell>
          <cell r="B4450">
            <v>502281</v>
          </cell>
          <cell r="C4450" t="str">
            <v>Not Listed</v>
          </cell>
        </row>
        <row r="4451">
          <cell r="A4451" t="str">
            <v>TRIVENI TURBINE LTD</v>
          </cell>
          <cell r="B4451">
            <v>533655</v>
          </cell>
          <cell r="C4451" t="str">
            <v>TRITURBINE</v>
          </cell>
        </row>
        <row r="4452">
          <cell r="A4452" t="str">
            <v>TRIVIKRAMA INDUSTRIES LTD</v>
          </cell>
          <cell r="B4452">
            <v>538579</v>
          </cell>
          <cell r="C4452" t="str">
            <v>Not Listed</v>
          </cell>
        </row>
        <row r="4453">
          <cell r="A4453" t="str">
            <v>TROMBO EXTRACTIONS LTD</v>
          </cell>
          <cell r="B4453">
            <v>519303</v>
          </cell>
          <cell r="C4453" t="str">
            <v>Not Listed</v>
          </cell>
        </row>
        <row r="4454">
          <cell r="A4454" t="str">
            <v>TTI ENTERPRISE LTD</v>
          </cell>
          <cell r="B4454">
            <v>538597</v>
          </cell>
          <cell r="C4454" t="str">
            <v>Not Listed</v>
          </cell>
        </row>
        <row r="4455">
          <cell r="A4455" t="str">
            <v>TTK HEALTHCARE LTD</v>
          </cell>
          <cell r="B4455">
            <v>507747</v>
          </cell>
          <cell r="C4455" t="str">
            <v>TTKHLTCARE</v>
          </cell>
        </row>
        <row r="4456">
          <cell r="A4456" t="str">
            <v>TTK PRESTIGE LTD</v>
          </cell>
          <cell r="B4456">
            <v>517506</v>
          </cell>
          <cell r="C4456" t="str">
            <v>TTKPRESTIG</v>
          </cell>
        </row>
        <row r="4457">
          <cell r="A4457" t="str">
            <v>TTL Enterprises Ltd</v>
          </cell>
          <cell r="B4457">
            <v>514236</v>
          </cell>
          <cell r="C4457" t="str">
            <v>TTLEL</v>
          </cell>
        </row>
        <row r="4458">
          <cell r="A4458" t="str">
            <v>TUBE INVESTMENTS OF (INDIA) LTD</v>
          </cell>
          <cell r="B4458">
            <v>540762</v>
          </cell>
          <cell r="C4458" t="str">
            <v>TI(INDIA)</v>
          </cell>
        </row>
        <row r="4459">
          <cell r="A4459" t="str">
            <v>TUBE INVESTMENTS OF INDIA LTD</v>
          </cell>
          <cell r="B4459">
            <v>540762</v>
          </cell>
          <cell r="C4459" t="str">
            <v>TIINDIA</v>
          </cell>
        </row>
        <row r="4460">
          <cell r="A4460" t="str">
            <v>TULASEE BIO-ETHANOL LTD</v>
          </cell>
          <cell r="B4460">
            <v>524514</v>
          </cell>
          <cell r="C4460" t="str">
            <v>Not Listed</v>
          </cell>
        </row>
        <row r="4461">
          <cell r="A4461" t="str">
            <v>TULIP STAR HOTELS LTD</v>
          </cell>
          <cell r="B4461">
            <v>531088</v>
          </cell>
          <cell r="C4461" t="str">
            <v>Not Listed</v>
          </cell>
        </row>
        <row r="4462">
          <cell r="A4462" t="str">
            <v>TULIVE DEVELOPERS LTD</v>
          </cell>
          <cell r="B4462">
            <v>505285</v>
          </cell>
          <cell r="C4462" t="str">
            <v>Not Listed</v>
          </cell>
        </row>
        <row r="4463">
          <cell r="A4463" t="str">
            <v>TULSI EXTRUSIONS LTD</v>
          </cell>
          <cell r="B4463">
            <v>532948</v>
          </cell>
          <cell r="C4463" t="str">
            <v>TULSI</v>
          </cell>
        </row>
        <row r="4464">
          <cell r="A4464" t="str">
            <v>TUMUS ELECTRIC CORPORATION LTD</v>
          </cell>
          <cell r="B4464">
            <v>504273</v>
          </cell>
          <cell r="C4464" t="str">
            <v>Not Listed</v>
          </cell>
        </row>
        <row r="4465">
          <cell r="A4465" t="str">
            <v>TUNI TEXTILE MILLS LTD</v>
          </cell>
          <cell r="B4465">
            <v>531411</v>
          </cell>
          <cell r="C4465" t="str">
            <v>Not Listed</v>
          </cell>
        </row>
        <row r="4466">
          <cell r="A4466" t="str">
            <v>TUTICORIN ALKALI CHEMICALS &amp; FERTILISERS LTD</v>
          </cell>
          <cell r="B4466">
            <v>506808</v>
          </cell>
          <cell r="C4466" t="str">
            <v>Not Listed</v>
          </cell>
        </row>
        <row r="4467">
          <cell r="A4467" t="str">
            <v>TV TODAY NETWORK LTD</v>
          </cell>
          <cell r="B4467">
            <v>532515</v>
          </cell>
          <cell r="C4467" t="str">
            <v>TVTODAY</v>
          </cell>
        </row>
        <row r="4468">
          <cell r="A4468" t="str">
            <v>TV VISION LTD</v>
          </cell>
          <cell r="B4468">
            <v>540083</v>
          </cell>
          <cell r="C4468" t="str">
            <v>TVVISION</v>
          </cell>
        </row>
        <row r="4469">
          <cell r="A4469" t="str">
            <v>TV18 BROADCAST LTD</v>
          </cell>
          <cell r="B4469">
            <v>532800</v>
          </cell>
          <cell r="C4469" t="str">
            <v>TV18BRDCST</v>
          </cell>
        </row>
        <row r="4470">
          <cell r="A4470" t="str">
            <v>TVS ELECTRONICS LTD</v>
          </cell>
          <cell r="B4470">
            <v>532513</v>
          </cell>
          <cell r="C4470" t="str">
            <v>TVSELECT</v>
          </cell>
        </row>
        <row r="4471">
          <cell r="A4471" t="str">
            <v>TVS MOTOR COMPANY LTD</v>
          </cell>
          <cell r="B4471">
            <v>532343</v>
          </cell>
          <cell r="C4471" t="str">
            <v>TVSMOTOR</v>
          </cell>
        </row>
        <row r="4472">
          <cell r="A4472" t="str">
            <v>TVS SRICHAKRA LTD</v>
          </cell>
          <cell r="B4472">
            <v>509243</v>
          </cell>
          <cell r="C4472" t="str">
            <v>TVSSRICHAK</v>
          </cell>
        </row>
        <row r="4473">
          <cell r="A4473" t="str">
            <v>TWIN ROSES TRADES &amp; AGENCIES LTD</v>
          </cell>
          <cell r="B4473">
            <v>512117</v>
          </cell>
          <cell r="C4473" t="str">
            <v>Not Listed</v>
          </cell>
        </row>
        <row r="4474">
          <cell r="A4474" t="str">
            <v>TWINSTAR INDUSTRIES LTD</v>
          </cell>
          <cell r="B4474">
            <v>531917</v>
          </cell>
          <cell r="C4474" t="str">
            <v>Not Listed</v>
          </cell>
        </row>
        <row r="4475">
          <cell r="A4475" t="str">
            <v>TYCHE INDUSTRIES LTD</v>
          </cell>
          <cell r="B4475">
            <v>532384</v>
          </cell>
          <cell r="C4475" t="str">
            <v>Not Listed</v>
          </cell>
        </row>
        <row r="4476">
          <cell r="A4476" t="str">
            <v>TYPHOON FINANCIAL SERVICES LTD</v>
          </cell>
          <cell r="B4476">
            <v>539468</v>
          </cell>
          <cell r="C4476" t="str">
            <v>Not Listed</v>
          </cell>
        </row>
        <row r="4477">
          <cell r="A4477" t="str">
            <v>TYPHOON HOLDINGS LTD</v>
          </cell>
          <cell r="B4477">
            <v>512307</v>
          </cell>
          <cell r="C4477" t="str">
            <v>Not Listed</v>
          </cell>
        </row>
        <row r="4478">
          <cell r="A4478" t="str">
            <v>TYROON TEA CO LTD</v>
          </cell>
          <cell r="B4478">
            <v>526945</v>
          </cell>
          <cell r="C4478" t="str">
            <v>Not Listed</v>
          </cell>
        </row>
        <row r="4479">
          <cell r="A4479" t="str">
            <v>U  H  ZAVERI LTD</v>
          </cell>
          <cell r="B4479">
            <v>541338</v>
          </cell>
          <cell r="C4479" t="str">
            <v>Not Listed</v>
          </cell>
        </row>
        <row r="4480">
          <cell r="A4480" t="str">
            <v>UCAL FUEL SYSTEMS LTD</v>
          </cell>
          <cell r="B4480">
            <v>500464</v>
          </cell>
          <cell r="C4480" t="str">
            <v>UCALFUEL</v>
          </cell>
        </row>
        <row r="4481">
          <cell r="A4481" t="str">
            <v>UCO BANK</v>
          </cell>
          <cell r="B4481">
            <v>532505</v>
          </cell>
          <cell r="C4481" t="str">
            <v>UCOBANK</v>
          </cell>
        </row>
        <row r="4482">
          <cell r="A4482" t="str">
            <v>UDAIPUR CEMENT WORKS LTD</v>
          </cell>
          <cell r="B4482">
            <v>530131</v>
          </cell>
          <cell r="C4482" t="str">
            <v>Not Listed</v>
          </cell>
        </row>
        <row r="4483">
          <cell r="A4483" t="str">
            <v>UDAY JEWELLERY INDUSTRIES LTD</v>
          </cell>
          <cell r="B4483">
            <v>539518</v>
          </cell>
          <cell r="C4483" t="str">
            <v>Not Listed</v>
          </cell>
        </row>
        <row r="4484">
          <cell r="A4484" t="str">
            <v>UFLEX LTD</v>
          </cell>
          <cell r="B4484">
            <v>500148</v>
          </cell>
          <cell r="C4484" t="str">
            <v>UFLEX</v>
          </cell>
        </row>
        <row r="4485">
          <cell r="A4485" t="str">
            <v>UFO MOVIEZ (INDIA) LTD</v>
          </cell>
          <cell r="B4485">
            <v>539141</v>
          </cell>
          <cell r="C4485" t="str">
            <v>UFO</v>
          </cell>
        </row>
        <row r="4486">
          <cell r="A4486" t="str">
            <v>UFO MOVIEZ INDIA LTD</v>
          </cell>
          <cell r="B4486">
            <v>539141</v>
          </cell>
          <cell r="C4486" t="str">
            <v>UFO</v>
          </cell>
        </row>
        <row r="4487">
          <cell r="A4487" t="str">
            <v>UGRO CAPITAL LTD</v>
          </cell>
          <cell r="B4487">
            <v>511742</v>
          </cell>
          <cell r="C4487" t="str">
            <v>Not Listed</v>
          </cell>
        </row>
        <row r="4488">
          <cell r="A4488" t="str">
            <v>UJAAS ENERGY LTD</v>
          </cell>
          <cell r="B4488">
            <v>533644</v>
          </cell>
          <cell r="C4488" t="str">
            <v>UJAAS</v>
          </cell>
        </row>
        <row r="4489">
          <cell r="A4489" t="str">
            <v>UJJIVAN FINANCIAL SERVICES LTD</v>
          </cell>
          <cell r="B4489">
            <v>539874</v>
          </cell>
          <cell r="C4489" t="str">
            <v>UJJIVAN</v>
          </cell>
        </row>
        <row r="4490">
          <cell r="A4490" t="str">
            <v>ULTRA WIRING CONNECTIVITY SYSTEM LTD</v>
          </cell>
          <cell r="B4490" t="str">
            <v>Not Listed</v>
          </cell>
          <cell r="C4490" t="str">
            <v>UWCSL</v>
          </cell>
        </row>
        <row r="4491">
          <cell r="A4491" t="str">
            <v>ULTRACAB (INDIA) LTD</v>
          </cell>
          <cell r="B4491">
            <v>538706</v>
          </cell>
          <cell r="C4491" t="str">
            <v>Not Listed</v>
          </cell>
        </row>
        <row r="4492">
          <cell r="A4492" t="str">
            <v>ULTRACAB INDIA LTD</v>
          </cell>
          <cell r="B4492">
            <v>538706</v>
          </cell>
          <cell r="C4492" t="str">
            <v>Not Listed</v>
          </cell>
        </row>
        <row r="4493">
          <cell r="A4493" t="str">
            <v>ULTRAMARINE &amp; PIGMENTS LTD</v>
          </cell>
          <cell r="B4493">
            <v>506685</v>
          </cell>
          <cell r="C4493" t="str">
            <v>Not Listed</v>
          </cell>
        </row>
        <row r="4494">
          <cell r="A4494" t="str">
            <v>ULTRATECH CEMENT LTD</v>
          </cell>
          <cell r="B4494">
            <v>532538</v>
          </cell>
          <cell r="C4494" t="str">
            <v>ULTRACEMCO</v>
          </cell>
        </row>
        <row r="4495">
          <cell r="A4495" t="str">
            <v>UMANG DAIRIES LTD</v>
          </cell>
          <cell r="B4495">
            <v>500231</v>
          </cell>
          <cell r="C4495" t="str">
            <v>UMANGDAIRY</v>
          </cell>
        </row>
        <row r="4496">
          <cell r="A4496" t="str">
            <v>UMIYA TUBES LTD</v>
          </cell>
          <cell r="B4496">
            <v>539798</v>
          </cell>
          <cell r="C4496" t="str">
            <v>Not Listed</v>
          </cell>
        </row>
        <row r="4497">
          <cell r="A4497" t="str">
            <v>UNI ABEX ALLOY PRODUCTS LTD</v>
          </cell>
          <cell r="B4497">
            <v>504605</v>
          </cell>
          <cell r="C4497" t="str">
            <v>Not Listed</v>
          </cell>
        </row>
        <row r="4498">
          <cell r="A4498" t="str">
            <v>UNICHEM LABORATORIES LTD</v>
          </cell>
          <cell r="B4498">
            <v>506690</v>
          </cell>
          <cell r="C4498" t="str">
            <v>UNICHEMLAB</v>
          </cell>
        </row>
        <row r="4499">
          <cell r="A4499" t="str">
            <v>UNICK FIX-A-FORM AND PRINTERS LTD</v>
          </cell>
          <cell r="B4499">
            <v>541503</v>
          </cell>
          <cell r="C4499" t="str">
            <v>Not Listed</v>
          </cell>
        </row>
        <row r="4500">
          <cell r="A4500" t="str">
            <v>UNIINFO TELECOM SERVICES LTD</v>
          </cell>
          <cell r="B4500" t="str">
            <v>Not Listed</v>
          </cell>
          <cell r="C4500" t="str">
            <v>UNIINFO</v>
          </cell>
        </row>
        <row r="4501">
          <cell r="A4501" t="str">
            <v>UNIJOLLY INVESTMENTS CO LTD</v>
          </cell>
          <cell r="B4501">
            <v>503671</v>
          </cell>
          <cell r="C4501" t="str">
            <v>Not Listed</v>
          </cell>
        </row>
        <row r="4502">
          <cell r="A4502" t="str">
            <v>UNIMODE OVERSEAS LTD.</v>
          </cell>
          <cell r="B4502">
            <v>512595</v>
          </cell>
          <cell r="C4502" t="str">
            <v>UNIMOVR</v>
          </cell>
        </row>
        <row r="4503">
          <cell r="A4503" t="str">
            <v>UNION BANK OF INDIA</v>
          </cell>
          <cell r="B4503">
            <v>532477</v>
          </cell>
          <cell r="C4503" t="str">
            <v>UNIONBANK</v>
          </cell>
        </row>
        <row r="4504">
          <cell r="A4504" t="str">
            <v>UNION QUALITY PLASTICS LTD</v>
          </cell>
          <cell r="B4504">
            <v>526799</v>
          </cell>
          <cell r="C4504" t="str">
            <v>Not Listed</v>
          </cell>
        </row>
        <row r="4505">
          <cell r="A4505" t="str">
            <v>UNIPHOS ENTERPRISES LTD</v>
          </cell>
          <cell r="B4505">
            <v>500429</v>
          </cell>
          <cell r="C4505" t="str">
            <v>UNIENTER</v>
          </cell>
        </row>
        <row r="4506">
          <cell r="A4506" t="str">
            <v>UNIPLY DECOR LTD</v>
          </cell>
          <cell r="B4506">
            <v>526957</v>
          </cell>
          <cell r="C4506" t="str">
            <v>Not Listed</v>
          </cell>
        </row>
        <row r="4507">
          <cell r="A4507" t="str">
            <v>UNIPLY INDUSTRIES LTD</v>
          </cell>
          <cell r="B4507">
            <v>532646</v>
          </cell>
          <cell r="C4507" t="str">
            <v>UNIPLY</v>
          </cell>
        </row>
        <row r="4508">
          <cell r="A4508" t="str">
            <v>UNIQUE ORGANICS LTD</v>
          </cell>
          <cell r="B4508">
            <v>530997</v>
          </cell>
          <cell r="C4508" t="str">
            <v>Not Listed</v>
          </cell>
        </row>
        <row r="4509">
          <cell r="A4509" t="str">
            <v>UNIROYAL INDUSTRIES LTD</v>
          </cell>
          <cell r="B4509">
            <v>521226</v>
          </cell>
          <cell r="C4509" t="str">
            <v>Not Listed</v>
          </cell>
        </row>
        <row r="4510">
          <cell r="A4510" t="str">
            <v>UNIROYAL MARINE EXPORTS LTD</v>
          </cell>
          <cell r="B4510">
            <v>526113</v>
          </cell>
          <cell r="C4510" t="str">
            <v>Not Listed</v>
          </cell>
        </row>
        <row r="4511">
          <cell r="A4511" t="str">
            <v>UNISHIRE URBAN INFRA LTD</v>
          </cell>
          <cell r="B4511">
            <v>537582</v>
          </cell>
          <cell r="C4511" t="str">
            <v>Not Listed</v>
          </cell>
        </row>
        <row r="4512">
          <cell r="A4512" t="str">
            <v>UNISON METALS LTD</v>
          </cell>
          <cell r="B4512">
            <v>538610</v>
          </cell>
          <cell r="C4512" t="str">
            <v>Not Listed</v>
          </cell>
        </row>
        <row r="4513">
          <cell r="A4513" t="str">
            <v>UNISTAR MULTIMEDIA LTD</v>
          </cell>
          <cell r="B4513">
            <v>532035</v>
          </cell>
          <cell r="C4513" t="str">
            <v>Not Listed</v>
          </cell>
        </row>
        <row r="4514">
          <cell r="A4514" t="str">
            <v>UNISYS SOFTWARES &amp; HOLDING INDUSTRIES LTD</v>
          </cell>
          <cell r="B4514">
            <v>531831</v>
          </cell>
          <cell r="C4514" t="str">
            <v>Not Listed</v>
          </cell>
        </row>
        <row r="4515">
          <cell r="A4515" t="str">
            <v>UNITECH INTERNATIONAL LTD</v>
          </cell>
          <cell r="B4515">
            <v>531867</v>
          </cell>
          <cell r="C4515" t="str">
            <v>Not Listed</v>
          </cell>
        </row>
        <row r="4516">
          <cell r="A4516" t="str">
            <v>UNITECH LTD</v>
          </cell>
          <cell r="B4516">
            <v>507878</v>
          </cell>
          <cell r="C4516" t="str">
            <v>UNITECH</v>
          </cell>
        </row>
        <row r="4517">
          <cell r="A4517" t="str">
            <v>UNITED BANK OF INDIA</v>
          </cell>
          <cell r="B4517">
            <v>533171</v>
          </cell>
          <cell r="C4517" t="str">
            <v>UNITEDBNK</v>
          </cell>
        </row>
        <row r="4518">
          <cell r="A4518" t="str">
            <v>UNITED BREWERIES LTD</v>
          </cell>
          <cell r="B4518">
            <v>532478</v>
          </cell>
          <cell r="C4518" t="str">
            <v>UBL</v>
          </cell>
        </row>
        <row r="4519">
          <cell r="A4519" t="str">
            <v>UNITED CREDIT LTD</v>
          </cell>
          <cell r="B4519">
            <v>531091</v>
          </cell>
          <cell r="C4519" t="str">
            <v>Not Listed</v>
          </cell>
        </row>
        <row r="4520">
          <cell r="A4520" t="str">
            <v>UNITED DRILLING TOOLS LTD</v>
          </cell>
          <cell r="B4520">
            <v>522014</v>
          </cell>
          <cell r="C4520" t="str">
            <v>Not Listed</v>
          </cell>
        </row>
        <row r="4521">
          <cell r="A4521" t="str">
            <v>UNITED INTERACTIVE LTD</v>
          </cell>
          <cell r="B4521">
            <v>502893</v>
          </cell>
          <cell r="C4521" t="str">
            <v>Not Listed</v>
          </cell>
        </row>
        <row r="4522">
          <cell r="A4522" t="str">
            <v>UNITED LEASING &amp; INDUSTRIES LTD</v>
          </cell>
          <cell r="B4522">
            <v>507808</v>
          </cell>
          <cell r="C4522" t="str">
            <v>Not Listed</v>
          </cell>
        </row>
        <row r="4523">
          <cell r="A4523" t="str">
            <v>UNITED POLYFAB GUJARAT LTD</v>
          </cell>
          <cell r="B4523" t="str">
            <v>Not Listed</v>
          </cell>
          <cell r="C4523" t="str">
            <v>UNITEDPOLY</v>
          </cell>
        </row>
        <row r="4524">
          <cell r="A4524" t="str">
            <v>UNITED SPIRITS LTD</v>
          </cell>
          <cell r="B4524">
            <v>532432</v>
          </cell>
          <cell r="C4524" t="str">
            <v>MCDOWELL-N</v>
          </cell>
        </row>
        <row r="4525">
          <cell r="A4525" t="str">
            <v>UNITED TEXTILES LTD</v>
          </cell>
          <cell r="B4525">
            <v>521188</v>
          </cell>
          <cell r="C4525" t="str">
            <v>Not Listed</v>
          </cell>
        </row>
        <row r="4526">
          <cell r="A4526" t="str">
            <v>UNITED VAN DER HORST LTD</v>
          </cell>
          <cell r="B4526">
            <v>522091</v>
          </cell>
          <cell r="C4526" t="str">
            <v>Not Listed</v>
          </cell>
        </row>
        <row r="4527">
          <cell r="A4527" t="str">
            <v>UNITY INFRAPROJECTS LTD</v>
          </cell>
          <cell r="B4527">
            <v>532746</v>
          </cell>
          <cell r="C4527" t="str">
            <v>UNITY</v>
          </cell>
        </row>
        <row r="4528">
          <cell r="A4528" t="str">
            <v>UNIVASTU (INDIA) LTD</v>
          </cell>
          <cell r="B4528" t="str">
            <v>Not Listed</v>
          </cell>
          <cell r="C4528" t="str">
            <v>UNIVASTU</v>
          </cell>
        </row>
        <row r="4529">
          <cell r="A4529" t="str">
            <v>UNIVASTU INDIA LTD</v>
          </cell>
          <cell r="B4529" t="str">
            <v>Not Listed</v>
          </cell>
          <cell r="C4529" t="str">
            <v>UNIVASTU</v>
          </cell>
        </row>
        <row r="4530">
          <cell r="A4530" t="str">
            <v>UNIVERSAL ARTS LTD</v>
          </cell>
          <cell r="B4530">
            <v>532378</v>
          </cell>
          <cell r="C4530" t="str">
            <v>Not Listed</v>
          </cell>
        </row>
        <row r="4531">
          <cell r="A4531" t="str">
            <v>UNIVERSAL AUTOFOUNDRY LTD</v>
          </cell>
          <cell r="B4531">
            <v>539314</v>
          </cell>
          <cell r="C4531" t="str">
            <v>Not Listed</v>
          </cell>
        </row>
        <row r="4532">
          <cell r="A4532" t="str">
            <v>UNIVERSAL CABLES LTD</v>
          </cell>
          <cell r="B4532">
            <v>504212</v>
          </cell>
          <cell r="C4532" t="str">
            <v>UNIVCABLES</v>
          </cell>
        </row>
        <row r="4533">
          <cell r="A4533" t="str">
            <v>UNIVERSAL CREDIT &amp; SECURITIES LTD</v>
          </cell>
          <cell r="B4533">
            <v>531963</v>
          </cell>
          <cell r="C4533" t="str">
            <v>Not Listed</v>
          </cell>
        </row>
        <row r="4534">
          <cell r="A4534" t="str">
            <v>UNIVERSAL OFFICE AUTOMATION LTD</v>
          </cell>
          <cell r="B4534">
            <v>523519</v>
          </cell>
          <cell r="C4534" t="str">
            <v>Not Listed</v>
          </cell>
        </row>
        <row r="4535">
          <cell r="A4535" t="str">
            <v>UNIVERSAL PRIME ALUMINIUM LTD</v>
          </cell>
          <cell r="B4535">
            <v>504673</v>
          </cell>
          <cell r="C4535" t="str">
            <v>Not Listed</v>
          </cell>
        </row>
        <row r="4536">
          <cell r="A4536" t="str">
            <v>UNIVERSAL STARCH-CHEM ALLIED LTD</v>
          </cell>
          <cell r="B4536">
            <v>524408</v>
          </cell>
          <cell r="C4536" t="str">
            <v>Not Listed</v>
          </cell>
        </row>
        <row r="4537">
          <cell r="A4537" t="str">
            <v>UNIWORTH LTD</v>
          </cell>
          <cell r="B4537">
            <v>514144</v>
          </cell>
          <cell r="C4537" t="str">
            <v>Not Listed</v>
          </cell>
        </row>
        <row r="4538">
          <cell r="A4538" t="str">
            <v>UNIWORTH SECURITIES LTD</v>
          </cell>
          <cell r="B4538">
            <v>512408</v>
          </cell>
          <cell r="C4538" t="str">
            <v>Not Listed</v>
          </cell>
        </row>
        <row r="4539">
          <cell r="A4539" t="str">
            <v>UNJHA FORMULATIONS LTD</v>
          </cell>
          <cell r="B4539">
            <v>531762</v>
          </cell>
          <cell r="C4539" t="str">
            <v>Not Listed</v>
          </cell>
        </row>
        <row r="4540">
          <cell r="A4540" t="str">
            <v>UPASANA FINANCE LTD</v>
          </cell>
          <cell r="B4540">
            <v>511764</v>
          </cell>
          <cell r="C4540" t="str">
            <v>Not Listed</v>
          </cell>
        </row>
        <row r="4541">
          <cell r="A4541" t="str">
            <v>UPL LTD</v>
          </cell>
          <cell r="B4541">
            <v>512070</v>
          </cell>
          <cell r="C4541" t="str">
            <v>UPL</v>
          </cell>
        </row>
        <row r="4542">
          <cell r="A4542" t="str">
            <v>UPSURGE INVESTMENT &amp; FINANCE LTD</v>
          </cell>
          <cell r="B4542">
            <v>531390</v>
          </cell>
          <cell r="C4542" t="str">
            <v>Not Listed</v>
          </cell>
        </row>
        <row r="4543">
          <cell r="A4543" t="str">
            <v>URAVI T AND WEDGE LAMPS LTD</v>
          </cell>
          <cell r="B4543" t="str">
            <v>Not Listed</v>
          </cell>
          <cell r="C4543" t="str">
            <v>URAVI</v>
          </cell>
        </row>
        <row r="4544">
          <cell r="A4544" t="str">
            <v>URJA GLOBAL LTD</v>
          </cell>
          <cell r="B4544">
            <v>526987</v>
          </cell>
          <cell r="C4544" t="str">
            <v>URJA</v>
          </cell>
        </row>
        <row r="4545">
          <cell r="A4545" t="str">
            <v>USG TECH SOLUTIONS LTD</v>
          </cell>
          <cell r="B4545">
            <v>532402</v>
          </cell>
          <cell r="C4545" t="str">
            <v>Not Listed</v>
          </cell>
        </row>
        <row r="4546">
          <cell r="A4546" t="str">
            <v>USHA MARTIN EDUCATION &amp; SOLUTIONS LTD</v>
          </cell>
          <cell r="B4546">
            <v>532398</v>
          </cell>
          <cell r="C4546" t="str">
            <v>UMESLTD</v>
          </cell>
        </row>
        <row r="4547">
          <cell r="A4547" t="str">
            <v>USHA MARTIN LTD</v>
          </cell>
          <cell r="B4547">
            <v>517146</v>
          </cell>
          <cell r="C4547" t="str">
            <v>USHAMART</v>
          </cell>
        </row>
        <row r="4548">
          <cell r="A4548" t="str">
            <v>USHAKIRAN FINANCE LTD</v>
          </cell>
          <cell r="B4548">
            <v>511507</v>
          </cell>
          <cell r="C4548" t="str">
            <v>Not Listed</v>
          </cell>
        </row>
        <row r="4549">
          <cell r="A4549" t="str">
            <v>USHANTI COLOUR CHEM LTD</v>
          </cell>
          <cell r="B4549" t="str">
            <v>Not Listed</v>
          </cell>
          <cell r="C4549" t="str">
            <v>UCL</v>
          </cell>
        </row>
        <row r="4550">
          <cell r="A4550" t="str">
            <v>USHDEV INTERNATIONAL LTD</v>
          </cell>
          <cell r="B4550">
            <v>511736</v>
          </cell>
          <cell r="C4550" t="str">
            <v>Not Listed</v>
          </cell>
        </row>
        <row r="4551">
          <cell r="A4551" t="str">
            <v>USHER AGRO LTD</v>
          </cell>
          <cell r="B4551">
            <v>532765</v>
          </cell>
          <cell r="C4551" t="str">
            <v>USHERAGRO</v>
          </cell>
        </row>
        <row r="4552">
          <cell r="A4552" t="str">
            <v>UTI MUTUAL FUND - UTI GOLD EXCHANGE TRADED FUND</v>
          </cell>
          <cell r="B4552">
            <v>590101</v>
          </cell>
          <cell r="C4552" t="str">
            <v>GOLDSHARE</v>
          </cell>
        </row>
        <row r="4553">
          <cell r="A4553" t="str">
            <v>UTL INDUSTRIES LTD</v>
          </cell>
          <cell r="B4553">
            <v>500426</v>
          </cell>
          <cell r="C4553" t="str">
            <v>Not Listed</v>
          </cell>
        </row>
        <row r="4554">
          <cell r="A4554" t="str">
            <v>UTTAM GALVA STEELS LTD</v>
          </cell>
          <cell r="B4554">
            <v>513216</v>
          </cell>
          <cell r="C4554" t="str">
            <v>UTTAMSTL</v>
          </cell>
        </row>
        <row r="4555">
          <cell r="A4555" t="str">
            <v>UTTAM SUGAR MILLS LTD</v>
          </cell>
          <cell r="B4555">
            <v>532729</v>
          </cell>
          <cell r="C4555" t="str">
            <v>UTTAMSUGAR</v>
          </cell>
        </row>
        <row r="4556">
          <cell r="A4556" t="str">
            <v>UTTAM VALUE STEELS LTD</v>
          </cell>
          <cell r="B4556">
            <v>500254</v>
          </cell>
          <cell r="C4556" t="str">
            <v>UVSL</v>
          </cell>
        </row>
        <row r="4557">
          <cell r="A4557" t="str">
            <v>V B DESAI FINANCIAL SERVICES LTD</v>
          </cell>
          <cell r="B4557">
            <v>511110</v>
          </cell>
          <cell r="C4557" t="str">
            <v>Not Listed</v>
          </cell>
        </row>
        <row r="4558">
          <cell r="A4558" t="str">
            <v>V B INDUSTRIES LTD</v>
          </cell>
          <cell r="B4558">
            <v>539123</v>
          </cell>
          <cell r="C4558" t="str">
            <v>Not Listed</v>
          </cell>
        </row>
        <row r="4559">
          <cell r="A4559" t="str">
            <v>V R Films &amp;amp; Studios Ltd</v>
          </cell>
          <cell r="B4559">
            <v>542654</v>
          </cell>
          <cell r="C4559" t="str">
            <v>VRFILMS</v>
          </cell>
        </row>
        <row r="4560">
          <cell r="A4560" t="str">
            <v>V R WOODART LTD</v>
          </cell>
          <cell r="B4560">
            <v>523888</v>
          </cell>
          <cell r="C4560" t="str">
            <v>Not Listed</v>
          </cell>
        </row>
        <row r="4561">
          <cell r="A4561" t="str">
            <v>V S T TILLERS TRACTORS LTD</v>
          </cell>
          <cell r="B4561">
            <v>531266</v>
          </cell>
          <cell r="C4561" t="str">
            <v>VSTTILLERS</v>
          </cell>
        </row>
        <row r="4562">
          <cell r="A4562" t="str">
            <v>V2 RETAIL LTD</v>
          </cell>
          <cell r="B4562">
            <v>532867</v>
          </cell>
          <cell r="C4562" t="str">
            <v>V2RETAIL</v>
          </cell>
        </row>
        <row r="4563">
          <cell r="A4563" t="str">
            <v>VA TECH WABAG LTD</v>
          </cell>
          <cell r="B4563">
            <v>533269</v>
          </cell>
          <cell r="C4563" t="str">
            <v>WABAG</v>
          </cell>
        </row>
        <row r="4564">
          <cell r="A4564" t="str">
            <v>VAARAD VENTURES LTD</v>
          </cell>
          <cell r="B4564">
            <v>532320</v>
          </cell>
          <cell r="C4564" t="str">
            <v>Not Listed</v>
          </cell>
        </row>
        <row r="4565">
          <cell r="A4565" t="str">
            <v>VADILAL ENTERPRISES LTD</v>
          </cell>
          <cell r="B4565">
            <v>519152</v>
          </cell>
          <cell r="C4565" t="str">
            <v>Not Listed</v>
          </cell>
        </row>
        <row r="4566">
          <cell r="A4566" t="str">
            <v>VADILAL INDUSTRIES LTD</v>
          </cell>
          <cell r="B4566">
            <v>519156</v>
          </cell>
          <cell r="C4566" t="str">
            <v>VADILALIND</v>
          </cell>
        </row>
        <row r="4567">
          <cell r="A4567" t="str">
            <v>VADIVARHE SPECIALITY CHEMICALS LTD</v>
          </cell>
          <cell r="B4567" t="str">
            <v>Not Listed</v>
          </cell>
          <cell r="C4567" t="str">
            <v>VSCL</v>
          </cell>
        </row>
        <row r="4568">
          <cell r="A4568" t="str">
            <v>VAGHANI TECHNO-BUILD LTD</v>
          </cell>
          <cell r="B4568">
            <v>531676</v>
          </cell>
          <cell r="C4568" t="str">
            <v>Not Listed</v>
          </cell>
        </row>
        <row r="4569">
          <cell r="A4569" t="str">
            <v>VAIBHAV GLOBAL LTD</v>
          </cell>
          <cell r="B4569">
            <v>532156</v>
          </cell>
          <cell r="C4569" t="str">
            <v>VAIBHAVGBL</v>
          </cell>
        </row>
        <row r="4570">
          <cell r="A4570" t="str">
            <v>VAISHALI PHARMA LTD</v>
          </cell>
          <cell r="B4570" t="str">
            <v>Not Listed</v>
          </cell>
          <cell r="C4570" t="str">
            <v>VAISHALI</v>
          </cell>
        </row>
        <row r="4571">
          <cell r="A4571" t="str">
            <v>VAKRANGEE LTD</v>
          </cell>
          <cell r="B4571">
            <v>511431</v>
          </cell>
          <cell r="C4571" t="str">
            <v>VAKRANGEE</v>
          </cell>
        </row>
        <row r="4572">
          <cell r="A4572" t="str">
            <v>VAKSONS AUTOMOBILES LTD</v>
          </cell>
          <cell r="B4572">
            <v>539402</v>
          </cell>
          <cell r="C4572" t="str">
            <v>Not Listed</v>
          </cell>
        </row>
        <row r="4573">
          <cell r="A4573" t="str">
            <v>VALIANT COMMUNICATIONS LTD</v>
          </cell>
          <cell r="B4573">
            <v>526775</v>
          </cell>
          <cell r="C4573" t="str">
            <v>Not Listed</v>
          </cell>
        </row>
        <row r="4574">
          <cell r="A4574" t="str">
            <v>VALIANT ORGANICS LTD</v>
          </cell>
          <cell r="B4574">
            <v>540145</v>
          </cell>
          <cell r="C4574" t="str">
            <v>Not Listed</v>
          </cell>
        </row>
        <row r="4575">
          <cell r="A4575" t="str">
            <v>VALLABH POLY-PLAST INTERNATIONAL LTD</v>
          </cell>
          <cell r="B4575">
            <v>530403</v>
          </cell>
          <cell r="C4575" t="str">
            <v>Not Listed</v>
          </cell>
        </row>
        <row r="4576">
          <cell r="A4576" t="str">
            <v>VALLABH STEELS LTD</v>
          </cell>
          <cell r="B4576">
            <v>513397</v>
          </cell>
          <cell r="C4576" t="str">
            <v>Not Listed</v>
          </cell>
        </row>
        <row r="4577">
          <cell r="A4577" t="str">
            <v>VALLEY MAGNESITE COMPANY LTD</v>
          </cell>
          <cell r="B4577">
            <v>539543</v>
          </cell>
          <cell r="C4577" t="str">
            <v>Not Listed</v>
          </cell>
        </row>
        <row r="4578">
          <cell r="A4578" t="str">
            <v>VALSON INDUSTRIES LTD</v>
          </cell>
          <cell r="B4578">
            <v>530459</v>
          </cell>
          <cell r="C4578" t="str">
            <v>Not Listed</v>
          </cell>
        </row>
        <row r="4579">
          <cell r="A4579" t="str">
            <v>VAMA INDUSTRIES LTD</v>
          </cell>
          <cell r="B4579">
            <v>512175</v>
          </cell>
          <cell r="C4579" t="str">
            <v>Not Listed</v>
          </cell>
        </row>
        <row r="4580">
          <cell r="A4580" t="str">
            <v>VAMSHI RUBBER LTD</v>
          </cell>
          <cell r="B4580">
            <v>530369</v>
          </cell>
          <cell r="C4580" t="str">
            <v>Not Listed</v>
          </cell>
        </row>
        <row r="4581">
          <cell r="A4581" t="str">
            <v>VANDANA KNITWEAR LTD</v>
          </cell>
          <cell r="B4581">
            <v>532090</v>
          </cell>
          <cell r="C4581" t="str">
            <v>Not Listed</v>
          </cell>
        </row>
        <row r="4582">
          <cell r="A4582" t="str">
            <v>VANI COMMERCIALS LTD</v>
          </cell>
          <cell r="B4582">
            <v>538918</v>
          </cell>
          <cell r="C4582" t="str">
            <v>Not Listed</v>
          </cell>
        </row>
        <row r="4583">
          <cell r="A4583" t="str">
            <v>VANTA BIOSCIENCE LTD</v>
          </cell>
          <cell r="B4583">
            <v>540729</v>
          </cell>
          <cell r="C4583" t="str">
            <v>Not Listed</v>
          </cell>
        </row>
        <row r="4584">
          <cell r="A4584" t="str">
            <v>VANTAGE KNOWLEDGE ACADEMY LTD</v>
          </cell>
          <cell r="B4584">
            <v>539761</v>
          </cell>
          <cell r="C4584" t="str">
            <v>Not Listed</v>
          </cell>
        </row>
        <row r="4585">
          <cell r="A4585" t="str">
            <v>VAPI PAPER MILLS LTD</v>
          </cell>
          <cell r="B4585">
            <v>502589</v>
          </cell>
          <cell r="C4585" t="str">
            <v>Not Listed</v>
          </cell>
        </row>
        <row r="4586">
          <cell r="A4586" t="str">
            <v>VARDHAMAN LABORATORIES LTD</v>
          </cell>
          <cell r="B4586">
            <v>524796</v>
          </cell>
          <cell r="C4586" t="str">
            <v>Not Listed</v>
          </cell>
        </row>
        <row r="4587">
          <cell r="A4587" t="str">
            <v>VARDHMAN ACRYLICS LTD</v>
          </cell>
          <cell r="B4587" t="str">
            <v>Not Listed</v>
          </cell>
          <cell r="C4587" t="str">
            <v>VARDHACRLC</v>
          </cell>
        </row>
        <row r="4588">
          <cell r="A4588" t="str">
            <v>VARDHMAN CONCRETE LTD</v>
          </cell>
          <cell r="B4588">
            <v>531444</v>
          </cell>
          <cell r="C4588" t="str">
            <v>Not Listed</v>
          </cell>
        </row>
        <row r="4589">
          <cell r="A4589" t="str">
            <v>VARDHMAN HOLDINGS LTD</v>
          </cell>
          <cell r="B4589">
            <v>500439</v>
          </cell>
          <cell r="C4589" t="str">
            <v>VHL</v>
          </cell>
        </row>
        <row r="4590">
          <cell r="A4590" t="str">
            <v>VARDHMAN INDUSTRIES LTD</v>
          </cell>
          <cell r="B4590">
            <v>513534</v>
          </cell>
          <cell r="C4590" t="str">
            <v>Not Listed</v>
          </cell>
        </row>
        <row r="4591">
          <cell r="A4591" t="str">
            <v>VARDHMAN POLYTEX LTD</v>
          </cell>
          <cell r="B4591">
            <v>514175</v>
          </cell>
          <cell r="C4591" t="str">
            <v>VARDMNPOLY</v>
          </cell>
        </row>
        <row r="4592">
          <cell r="A4592" t="str">
            <v>VARDHMAN SPECIAL STEELS LTD</v>
          </cell>
          <cell r="B4592">
            <v>534392</v>
          </cell>
          <cell r="C4592" t="str">
            <v>VSSL</v>
          </cell>
        </row>
        <row r="4593">
          <cell r="A4593" t="str">
            <v>VARDHMAN TEXTILES LTD</v>
          </cell>
          <cell r="B4593">
            <v>502986</v>
          </cell>
          <cell r="C4593" t="str">
            <v>VTL</v>
          </cell>
        </row>
        <row r="4594">
          <cell r="A4594" t="str">
            <v>VARROC ENGINEERING LTD</v>
          </cell>
          <cell r="B4594">
            <v>541578</v>
          </cell>
          <cell r="C4594" t="str">
            <v>VARROC</v>
          </cell>
        </row>
        <row r="4595">
          <cell r="A4595" t="str">
            <v>VARUN BEVERAGES LTD</v>
          </cell>
          <cell r="B4595">
            <v>540180</v>
          </cell>
          <cell r="C4595" t="str">
            <v>VBL</v>
          </cell>
        </row>
        <row r="4596">
          <cell r="A4596" t="str">
            <v>VARUN MERCANTILE LTD</v>
          </cell>
          <cell r="B4596">
            <v>512511</v>
          </cell>
          <cell r="C4596" t="str">
            <v>Not Listed</v>
          </cell>
        </row>
        <row r="4597">
          <cell r="A4597" t="str">
            <v>VAS INFRASTRUCTURE LTD</v>
          </cell>
          <cell r="B4597">
            <v>531574</v>
          </cell>
          <cell r="C4597" t="str">
            <v>Not Listed</v>
          </cell>
        </row>
        <row r="4598">
          <cell r="A4598" t="str">
            <v>VASA RETAIL AND OVERSEAS LTD</v>
          </cell>
          <cell r="B4598" t="str">
            <v>Not Listed</v>
          </cell>
          <cell r="C4598" t="str">
            <v>VASA</v>
          </cell>
        </row>
        <row r="4599">
          <cell r="A4599" t="str">
            <v>VASCON ENGINEERS LTD</v>
          </cell>
          <cell r="B4599">
            <v>533156</v>
          </cell>
          <cell r="C4599" t="str">
            <v>VASCONEQ</v>
          </cell>
        </row>
        <row r="4600">
          <cell r="A4600" t="str">
            <v>VASUNDHARA RASAYANS LTD</v>
          </cell>
          <cell r="B4600">
            <v>538634</v>
          </cell>
          <cell r="C4600" t="str">
            <v>Not Listed</v>
          </cell>
        </row>
        <row r="4601">
          <cell r="A4601" t="str">
            <v>VASWANI INDUSTRIES LTD</v>
          </cell>
          <cell r="B4601">
            <v>533576</v>
          </cell>
          <cell r="C4601" t="str">
            <v>VASWANI</v>
          </cell>
        </row>
        <row r="4602">
          <cell r="A4602" t="str">
            <v>VAX HOUSING FINANCE CORPORATION LTD</v>
          </cell>
          <cell r="B4602">
            <v>531650</v>
          </cell>
          <cell r="C4602" t="str">
            <v>Not Listed</v>
          </cell>
        </row>
        <row r="4603">
          <cell r="A4603" t="str">
            <v>VBC FERRO ALLOYS LTD</v>
          </cell>
          <cell r="B4603">
            <v>513005</v>
          </cell>
          <cell r="C4603" t="str">
            <v>Not Listed</v>
          </cell>
        </row>
        <row r="4604">
          <cell r="A4604" t="str">
            <v>VCK CAPITAL MARKET SERVICES LTD</v>
          </cell>
          <cell r="B4604">
            <v>511493</v>
          </cell>
          <cell r="C4604" t="str">
            <v>Not Listed</v>
          </cell>
        </row>
        <row r="4605">
          <cell r="A4605" t="str">
            <v>VCU DATA MANAGEMENT LTD</v>
          </cell>
          <cell r="B4605">
            <v>536672</v>
          </cell>
          <cell r="C4605" t="str">
            <v>Not Listed</v>
          </cell>
        </row>
        <row r="4606">
          <cell r="A4606" t="str">
            <v>VEDANTA LTD</v>
          </cell>
          <cell r="B4606">
            <v>500295</v>
          </cell>
          <cell r="C4606" t="str">
            <v>VEDL</v>
          </cell>
        </row>
        <row r="4607">
          <cell r="A4607" t="str">
            <v>VEDAVAAG SYSTEMS LTD</v>
          </cell>
          <cell r="B4607">
            <v>533056</v>
          </cell>
          <cell r="C4607" t="str">
            <v>Not Listed</v>
          </cell>
        </row>
        <row r="4608">
          <cell r="A4608" t="str">
            <v>VEEJAY LAKSHMI ENGINEERING WORKS LTD</v>
          </cell>
          <cell r="B4608">
            <v>522267</v>
          </cell>
          <cell r="C4608" t="str">
            <v>Not Listed</v>
          </cell>
        </row>
        <row r="4609">
          <cell r="A4609" t="str">
            <v>VEER ENERGY &amp; INFRASTRUCTURE LTD</v>
          </cell>
          <cell r="B4609">
            <v>503657</v>
          </cell>
          <cell r="C4609" t="str">
            <v>Not Listed</v>
          </cell>
        </row>
        <row r="4610">
          <cell r="A4610" t="str">
            <v>VEERAM INFRA ENGINEERING LTD</v>
          </cell>
          <cell r="B4610">
            <v>542046</v>
          </cell>
          <cell r="C4610" t="str">
            <v>Not Listed</v>
          </cell>
        </row>
        <row r="4611">
          <cell r="A4611" t="str">
            <v>VEERAM ORNAMENTS LTD</v>
          </cell>
          <cell r="B4611">
            <v>540252</v>
          </cell>
          <cell r="C4611" t="str">
            <v>Not Listed</v>
          </cell>
        </row>
        <row r="4612">
          <cell r="A4612" t="str">
            <v>VEERHEALTH CARE LTD</v>
          </cell>
          <cell r="B4612">
            <v>511523</v>
          </cell>
          <cell r="C4612" t="str">
            <v>Not Listed</v>
          </cell>
        </row>
        <row r="4613">
          <cell r="A4613" t="str">
            <v>VEGETABLE PRODUCTS LTD</v>
          </cell>
          <cell r="B4613">
            <v>539132</v>
          </cell>
          <cell r="C4613" t="str">
            <v>Not Listed</v>
          </cell>
        </row>
        <row r="4614">
          <cell r="A4614" t="str">
            <v>VELAN HOTELS LTD</v>
          </cell>
          <cell r="B4614">
            <v>526755</v>
          </cell>
          <cell r="C4614" t="str">
            <v>Not Listed</v>
          </cell>
        </row>
        <row r="4615">
          <cell r="A4615" t="str">
            <v>VELJAN DENISON LTD</v>
          </cell>
          <cell r="B4615">
            <v>505232</v>
          </cell>
          <cell r="C4615" t="str">
            <v>Not Listed</v>
          </cell>
        </row>
        <row r="4616">
          <cell r="A4616" t="str">
            <v>VENKY'S (INDIA) LTD</v>
          </cell>
          <cell r="B4616">
            <v>523261</v>
          </cell>
          <cell r="C4616" t="str">
            <v>VENKEYS</v>
          </cell>
        </row>
        <row r="4617">
          <cell r="A4617" t="str">
            <v>VENKY'S INDIA LTD</v>
          </cell>
          <cell r="B4617">
            <v>523261</v>
          </cell>
          <cell r="C4617" t="str">
            <v>VENKEYS</v>
          </cell>
        </row>
        <row r="4618">
          <cell r="A4618" t="str">
            <v>VENLON ENTERPRISES LTD</v>
          </cell>
          <cell r="B4618">
            <v>524038</v>
          </cell>
          <cell r="C4618" t="str">
            <v>Not Listed</v>
          </cell>
        </row>
        <row r="4619">
          <cell r="A4619" t="str">
            <v>VENTURA GUARANTY LTD.</v>
          </cell>
          <cell r="B4619">
            <v>512060</v>
          </cell>
          <cell r="C4619" t="str">
            <v>SHYAM</v>
          </cell>
        </row>
        <row r="4620">
          <cell r="A4620" t="str">
            <v>VENTURA TEXTILES LTD</v>
          </cell>
          <cell r="B4620">
            <v>516098</v>
          </cell>
          <cell r="C4620" t="str">
            <v>Not Listed</v>
          </cell>
        </row>
        <row r="4621">
          <cell r="A4621" t="str">
            <v>VENUS REMEDIES LTD</v>
          </cell>
          <cell r="B4621">
            <v>526953</v>
          </cell>
          <cell r="C4621" t="str">
            <v>VENUSREM</v>
          </cell>
        </row>
        <row r="4622">
          <cell r="A4622" t="str">
            <v>VERA SYNTHETIC LTD</v>
          </cell>
          <cell r="B4622" t="str">
            <v>Not Listed</v>
          </cell>
          <cell r="C4622" t="str">
            <v>VERA</v>
          </cell>
        </row>
        <row r="4623">
          <cell r="A4623" t="str">
            <v>VERITAS (INDIA) LTD</v>
          </cell>
          <cell r="B4623">
            <v>512229</v>
          </cell>
          <cell r="C4623" t="str">
            <v>Not Listed</v>
          </cell>
        </row>
        <row r="4624">
          <cell r="A4624" t="str">
            <v>VERITAS INDIA LTD</v>
          </cell>
          <cell r="B4624">
            <v>512229</v>
          </cell>
          <cell r="C4624" t="str">
            <v>Not Listed</v>
          </cell>
        </row>
        <row r="4625">
          <cell r="A4625" t="str">
            <v>VERONICA PRODUCTION LTD</v>
          </cell>
          <cell r="B4625">
            <v>531695</v>
          </cell>
          <cell r="C4625" t="str">
            <v>Not Listed</v>
          </cell>
        </row>
        <row r="4626">
          <cell r="A4626" t="str">
            <v>VERTEX SECURITIES LTD</v>
          </cell>
          <cell r="B4626">
            <v>531950</v>
          </cell>
          <cell r="C4626" t="str">
            <v>Not Listed</v>
          </cell>
        </row>
        <row r="4627">
          <cell r="A4627" t="str">
            <v>VERTICAL INDUSTRIES LTD</v>
          </cell>
          <cell r="B4627">
            <v>515099</v>
          </cell>
          <cell r="C4627" t="str">
            <v>Not Listed</v>
          </cell>
        </row>
        <row r="4628">
          <cell r="A4628" t="str">
            <v>VERTOZ ADVERTISING LTD</v>
          </cell>
          <cell r="B4628" t="str">
            <v>Not Listed</v>
          </cell>
          <cell r="C4628" t="str">
            <v>VERTOZ</v>
          </cell>
        </row>
        <row r="4629">
          <cell r="A4629" t="str">
            <v>VESUVIUS (INDIA) LTD</v>
          </cell>
          <cell r="B4629">
            <v>520113</v>
          </cell>
          <cell r="C4629" t="str">
            <v>VESUVIUS</v>
          </cell>
        </row>
        <row r="4630">
          <cell r="A4630" t="str">
            <v>VESUVIUS INDIA LTD</v>
          </cell>
          <cell r="B4630">
            <v>520113</v>
          </cell>
          <cell r="C4630" t="str">
            <v>VESUVIUS</v>
          </cell>
        </row>
        <row r="4631">
          <cell r="A4631" t="str">
            <v>VETO SWITCHGEARS AND CABLES LTD</v>
          </cell>
          <cell r="B4631">
            <v>539331</v>
          </cell>
          <cell r="C4631" t="str">
            <v>VETO</v>
          </cell>
        </row>
        <row r="4632">
          <cell r="A4632" t="str">
            <v>V-GUARD INDUSTRIES LTD</v>
          </cell>
          <cell r="B4632">
            <v>532953</v>
          </cell>
          <cell r="C4632" t="str">
            <v>VGUARD</v>
          </cell>
        </row>
        <row r="4633">
          <cell r="A4633" t="str">
            <v>VIAAN INDUSTRIES LTD</v>
          </cell>
          <cell r="B4633">
            <v>537524</v>
          </cell>
          <cell r="C4633" t="str">
            <v>Not Listed</v>
          </cell>
        </row>
        <row r="4634">
          <cell r="A4634" t="str">
            <v>VIBRANT GLOBAL CAPITAL LTD</v>
          </cell>
          <cell r="B4634">
            <v>538732</v>
          </cell>
          <cell r="C4634" t="str">
            <v>Not Listed</v>
          </cell>
        </row>
        <row r="4635">
          <cell r="A4635" t="str">
            <v>VICEROY HOTELS LTD</v>
          </cell>
          <cell r="B4635">
            <v>523796</v>
          </cell>
          <cell r="C4635" t="str">
            <v>VICEROY</v>
          </cell>
        </row>
        <row r="4636">
          <cell r="A4636" t="str">
            <v>VICTORIA MILLS LTD</v>
          </cell>
          <cell r="B4636">
            <v>503349</v>
          </cell>
          <cell r="C4636" t="str">
            <v>Not Listed</v>
          </cell>
        </row>
        <row r="4637">
          <cell r="A4637" t="str">
            <v>VICTORY PAPER &amp; BOARDS (INDIA) LTD</v>
          </cell>
          <cell r="B4637">
            <v>531234</v>
          </cell>
          <cell r="C4637" t="str">
            <v>Not Listed</v>
          </cell>
        </row>
        <row r="4638">
          <cell r="A4638" t="str">
            <v>VICTORY PAPER &amp; BOARDS INDIA LTD</v>
          </cell>
          <cell r="B4638">
            <v>531234</v>
          </cell>
          <cell r="C4638" t="str">
            <v>Not Listed</v>
          </cell>
        </row>
        <row r="4639">
          <cell r="A4639" t="str">
            <v>VIDEOCON INDUSTRIES LTD</v>
          </cell>
          <cell r="B4639">
            <v>511389</v>
          </cell>
          <cell r="C4639" t="str">
            <v>VIDEOIND</v>
          </cell>
        </row>
        <row r="4640">
          <cell r="A4640" t="str">
            <v>VIDHI SPECIALTY FOOD INGREDIENTS LTD</v>
          </cell>
          <cell r="B4640">
            <v>531717</v>
          </cell>
          <cell r="C4640" t="str">
            <v>VIDHIING</v>
          </cell>
        </row>
        <row r="4641">
          <cell r="A4641" t="str">
            <v>VIDLI RESTAURANTS LTD</v>
          </cell>
          <cell r="B4641">
            <v>539659</v>
          </cell>
          <cell r="C4641" t="str">
            <v>Not Listed</v>
          </cell>
        </row>
        <row r="4642">
          <cell r="A4642" t="str">
            <v>VIJAY SHANTHI BUILDERS LTD</v>
          </cell>
          <cell r="B4642">
            <v>523724</v>
          </cell>
          <cell r="C4642" t="str">
            <v>VIJSHAN</v>
          </cell>
        </row>
        <row r="4643">
          <cell r="A4643" t="str">
            <v>VIJAY SOLVEX LTD</v>
          </cell>
          <cell r="B4643">
            <v>531069</v>
          </cell>
          <cell r="C4643" t="str">
            <v>Not Listed</v>
          </cell>
        </row>
        <row r="4644">
          <cell r="A4644" t="str">
            <v>VIJAY TEXTILES LTD</v>
          </cell>
          <cell r="B4644">
            <v>530151</v>
          </cell>
          <cell r="C4644" t="str">
            <v>Not Listed</v>
          </cell>
        </row>
        <row r="4645">
          <cell r="A4645" t="str">
            <v>VIJAYA BANK</v>
          </cell>
          <cell r="B4645">
            <v>532401</v>
          </cell>
          <cell r="C4645" t="str">
            <v>VIJAYABANK</v>
          </cell>
        </row>
        <row r="4646">
          <cell r="A4646" t="str">
            <v>VIJI FINANCE LTD</v>
          </cell>
          <cell r="B4646">
            <v>537820</v>
          </cell>
          <cell r="C4646" t="str">
            <v>VIJIFIN</v>
          </cell>
        </row>
        <row r="4647">
          <cell r="A4647" t="str">
            <v>VIKALP SECURITIES LTD</v>
          </cell>
          <cell r="B4647">
            <v>531334</v>
          </cell>
          <cell r="C4647" t="str">
            <v>Not Listed</v>
          </cell>
        </row>
        <row r="4648">
          <cell r="A4648" t="str">
            <v>VIKAS ECOTECH LTD</v>
          </cell>
          <cell r="B4648">
            <v>530961</v>
          </cell>
          <cell r="C4648" t="str">
            <v>VIKASECO</v>
          </cell>
        </row>
        <row r="4649">
          <cell r="A4649" t="str">
            <v>Vikas Multicorp Ltd</v>
          </cell>
          <cell r="B4649">
            <v>542655</v>
          </cell>
          <cell r="C4649" t="str">
            <v>VIKASMCORP</v>
          </cell>
        </row>
        <row r="4650">
          <cell r="A4650" t="str">
            <v>VIKAS PROPPANT &amp; GRANITE LTD</v>
          </cell>
          <cell r="B4650">
            <v>531518</v>
          </cell>
          <cell r="C4650" t="str">
            <v>Not Listed</v>
          </cell>
        </row>
        <row r="4651">
          <cell r="A4651" t="str">
            <v>VIKAS WSP LTD</v>
          </cell>
          <cell r="B4651">
            <v>519307</v>
          </cell>
          <cell r="C4651" t="str">
            <v>Not Listed</v>
          </cell>
        </row>
        <row r="4652">
          <cell r="A4652" t="str">
            <v>VIKRAM THERMO (INDIA) LTD</v>
          </cell>
          <cell r="B4652">
            <v>530477</v>
          </cell>
          <cell r="C4652" t="str">
            <v>Not Listed</v>
          </cell>
        </row>
        <row r="4653">
          <cell r="A4653" t="str">
            <v>VIKRAM THERMO INDIA LTD</v>
          </cell>
          <cell r="B4653">
            <v>530477</v>
          </cell>
          <cell r="C4653" t="str">
            <v>Not Listed</v>
          </cell>
        </row>
        <row r="4654">
          <cell r="A4654" t="str">
            <v>VIKSIT ENGINEERING LTD</v>
          </cell>
          <cell r="B4654">
            <v>506196</v>
          </cell>
          <cell r="C4654" t="str">
            <v>Not Listed</v>
          </cell>
        </row>
        <row r="4655">
          <cell r="A4655" t="str">
            <v>VIMAL OIL &amp; FOODS LTD</v>
          </cell>
          <cell r="B4655">
            <v>519373</v>
          </cell>
          <cell r="C4655" t="str">
            <v>VIMALOIL</v>
          </cell>
        </row>
        <row r="4656">
          <cell r="A4656" t="str">
            <v>VIMTA LABS LTD</v>
          </cell>
          <cell r="B4656">
            <v>524394</v>
          </cell>
          <cell r="C4656" t="str">
            <v>VIMTALABS</v>
          </cell>
        </row>
        <row r="4657">
          <cell r="A4657" t="str">
            <v>VINADITYA TRADING CO LTD</v>
          </cell>
          <cell r="B4657">
            <v>504380</v>
          </cell>
          <cell r="C4657" t="str">
            <v>Not Listed</v>
          </cell>
        </row>
        <row r="4658">
          <cell r="A4658" t="str">
            <v>VINATI ORGANICS LTD</v>
          </cell>
          <cell r="B4658">
            <v>524200</v>
          </cell>
          <cell r="C4658" t="str">
            <v>VINATIORGA</v>
          </cell>
        </row>
        <row r="4659">
          <cell r="A4659" t="str">
            <v>VINAYAK POLYCON INTERNATIONAL LTD</v>
          </cell>
          <cell r="B4659">
            <v>534639</v>
          </cell>
          <cell r="C4659" t="str">
            <v>Not Listed</v>
          </cell>
        </row>
        <row r="4660">
          <cell r="A4660" t="str">
            <v>VINDHYA TELELINKS LTD</v>
          </cell>
          <cell r="B4660">
            <v>517015</v>
          </cell>
          <cell r="C4660" t="str">
            <v>VINDHYATEL</v>
          </cell>
        </row>
        <row r="4661">
          <cell r="A4661" t="str">
            <v>VINNY OVERSEAS LTD</v>
          </cell>
          <cell r="B4661" t="str">
            <v>Not Listed</v>
          </cell>
          <cell r="C4661" t="str">
            <v>VINNY</v>
          </cell>
        </row>
        <row r="4662">
          <cell r="A4662" t="str">
            <v>VINTAGE SECURITIES LTD</v>
          </cell>
          <cell r="B4662">
            <v>531051</v>
          </cell>
          <cell r="C4662" t="str">
            <v>Not Listed</v>
          </cell>
        </row>
        <row r="4663">
          <cell r="A4663" t="str">
            <v>VINYL CHEMICALS (INDIA) LTD</v>
          </cell>
          <cell r="B4663">
            <v>524129</v>
          </cell>
          <cell r="C4663" t="str">
            <v>VINYL(INDIA)</v>
          </cell>
        </row>
        <row r="4664">
          <cell r="A4664" t="str">
            <v>VINYL CHEMICALS INDIA LTD</v>
          </cell>
          <cell r="B4664">
            <v>524129</v>
          </cell>
          <cell r="C4664" t="str">
            <v>VINYLINDIA</v>
          </cell>
        </row>
        <row r="4665">
          <cell r="A4665" t="str">
            <v>VINYOFLEX LTD</v>
          </cell>
          <cell r="B4665">
            <v>530401</v>
          </cell>
          <cell r="C4665" t="str">
            <v>Not Listed</v>
          </cell>
        </row>
        <row r="4666">
          <cell r="A4666" t="str">
            <v>VIP CLOTHING LTD</v>
          </cell>
          <cell r="B4666">
            <v>532613</v>
          </cell>
          <cell r="C4666" t="str">
            <v>VIPCLOTHNG</v>
          </cell>
        </row>
        <row r="4667">
          <cell r="A4667" t="str">
            <v>VIP INDUSTRIES LTD</v>
          </cell>
          <cell r="B4667">
            <v>507880</v>
          </cell>
          <cell r="C4667" t="str">
            <v>VIPIND</v>
          </cell>
        </row>
        <row r="4668">
          <cell r="A4668" t="str">
            <v>VIPPY SPINPRO LTD</v>
          </cell>
          <cell r="B4668">
            <v>514302</v>
          </cell>
          <cell r="C4668" t="str">
            <v>Not Listed</v>
          </cell>
        </row>
        <row r="4669">
          <cell r="A4669" t="str">
            <v>VIPUL LTD</v>
          </cell>
          <cell r="B4669">
            <v>511726</v>
          </cell>
          <cell r="C4669" t="str">
            <v>VIPULLTD</v>
          </cell>
        </row>
        <row r="4670">
          <cell r="A4670" t="str">
            <v>VIPUL ORGANICS LTD</v>
          </cell>
          <cell r="B4670">
            <v>530627</v>
          </cell>
          <cell r="C4670" t="str">
            <v>Not Listed</v>
          </cell>
        </row>
        <row r="4671">
          <cell r="A4671" t="str">
            <v>VIRAT CRANE INDUSTRIES LTD</v>
          </cell>
          <cell r="B4671">
            <v>519457</v>
          </cell>
          <cell r="C4671" t="str">
            <v>Not Listed</v>
          </cell>
        </row>
        <row r="4672">
          <cell r="A4672" t="str">
            <v>VIRAT INDUSTRIES LTD</v>
          </cell>
          <cell r="B4672">
            <v>530521</v>
          </cell>
          <cell r="C4672" t="str">
            <v>Not Listed</v>
          </cell>
        </row>
        <row r="4673">
          <cell r="A4673" t="str">
            <v>VIRAT LEASING LTD</v>
          </cell>
          <cell r="B4673">
            <v>539167</v>
          </cell>
          <cell r="C4673" t="str">
            <v>Not Listed</v>
          </cell>
        </row>
        <row r="4674">
          <cell r="A4674" t="str">
            <v>VIRGO GLOBAL LTD</v>
          </cell>
          <cell r="B4674">
            <v>532354</v>
          </cell>
          <cell r="C4674" t="str">
            <v>Not Listed</v>
          </cell>
        </row>
        <row r="4675">
          <cell r="A4675" t="str">
            <v>VIRINCHI LTD</v>
          </cell>
          <cell r="B4675">
            <v>532372</v>
          </cell>
          <cell r="C4675" t="str">
            <v>Not Listed</v>
          </cell>
        </row>
        <row r="4676">
          <cell r="A4676" t="str">
            <v>VIRTUAL GLOBAL EDUCATION LTD</v>
          </cell>
          <cell r="B4676">
            <v>534741</v>
          </cell>
          <cell r="C4676" t="str">
            <v>Not Listed</v>
          </cell>
        </row>
        <row r="4677">
          <cell r="A4677" t="str">
            <v>VIRTUALSOFT SYSTEMS LTD</v>
          </cell>
          <cell r="B4677">
            <v>531126</v>
          </cell>
          <cell r="C4677" t="str">
            <v>Not Listed</v>
          </cell>
        </row>
        <row r="4678">
          <cell r="A4678" t="str">
            <v>VISA STEEL LTD</v>
          </cell>
          <cell r="B4678">
            <v>532721</v>
          </cell>
          <cell r="C4678" t="str">
            <v>VISASTEEL</v>
          </cell>
        </row>
        <row r="4679">
          <cell r="A4679" t="str">
            <v>VISAGAR FINANCIAL SERVICES LTD</v>
          </cell>
          <cell r="B4679">
            <v>531025</v>
          </cell>
          <cell r="C4679" t="str">
            <v>Not Listed</v>
          </cell>
        </row>
        <row r="4680">
          <cell r="A4680" t="str">
            <v>VISAGAR POLYTEX LTD</v>
          </cell>
          <cell r="B4680">
            <v>506146</v>
          </cell>
          <cell r="C4680" t="str">
            <v>VIVIDHA</v>
          </cell>
        </row>
        <row r="4681">
          <cell r="A4681" t="str">
            <v>VISAKA INDUSTRIES LTD</v>
          </cell>
          <cell r="B4681">
            <v>509055</v>
          </cell>
          <cell r="C4681" t="str">
            <v>VISAKAIND</v>
          </cell>
        </row>
        <row r="4682">
          <cell r="A4682" t="str">
            <v>VISCO TRADE ASSOCIATES LTD</v>
          </cell>
          <cell r="B4682">
            <v>540097</v>
          </cell>
          <cell r="C4682" t="str">
            <v>Not Listed</v>
          </cell>
        </row>
        <row r="4683">
          <cell r="A4683" t="str">
            <v>VISESH INFOTECNICS LTD</v>
          </cell>
          <cell r="B4683">
            <v>532411</v>
          </cell>
          <cell r="C4683" t="str">
            <v>VISESHINFO</v>
          </cell>
        </row>
        <row r="4684">
          <cell r="A4684" t="str">
            <v>VISHAL BEARINGS LTD</v>
          </cell>
          <cell r="B4684">
            <v>539398</v>
          </cell>
          <cell r="C4684" t="str">
            <v>Not Listed</v>
          </cell>
        </row>
        <row r="4685">
          <cell r="A4685" t="str">
            <v>VISHAL FABRICS LTD</v>
          </cell>
          <cell r="B4685">
            <v>538598</v>
          </cell>
          <cell r="C4685" t="str">
            <v>Not Listed</v>
          </cell>
        </row>
        <row r="4686">
          <cell r="A4686" t="str">
            <v>VISHNU CHEMICALS LTD</v>
          </cell>
          <cell r="B4686">
            <v>516072</v>
          </cell>
          <cell r="C4686" t="str">
            <v>VISHNU</v>
          </cell>
        </row>
        <row r="4687">
          <cell r="A4687" t="str">
            <v>Vishvprabha Ventures Ltd</v>
          </cell>
          <cell r="B4687">
            <v>512064</v>
          </cell>
          <cell r="C4687" t="str">
            <v>VISVEN</v>
          </cell>
        </row>
        <row r="4688">
          <cell r="A4688" t="str">
            <v>VISION CINEMAS LTD</v>
          </cell>
          <cell r="B4688">
            <v>526441</v>
          </cell>
          <cell r="C4688" t="str">
            <v>Not Listed</v>
          </cell>
        </row>
        <row r="4689">
          <cell r="A4689" t="str">
            <v>VISION CORPORATION LTD</v>
          </cell>
          <cell r="B4689">
            <v>531668</v>
          </cell>
          <cell r="C4689" t="str">
            <v>Not Listed</v>
          </cell>
        </row>
        <row r="4690">
          <cell r="A4690" t="str">
            <v>VISTA PHARMACEUTICALS LTD</v>
          </cell>
          <cell r="B4690">
            <v>524711</v>
          </cell>
          <cell r="C4690" t="str">
            <v>Not Listed</v>
          </cell>
        </row>
        <row r="4691">
          <cell r="A4691" t="str">
            <v>VISTAR AMAR LTD</v>
          </cell>
          <cell r="B4691">
            <v>538565</v>
          </cell>
          <cell r="C4691" t="str">
            <v>Not Listed</v>
          </cell>
        </row>
        <row r="4692">
          <cell r="A4692" t="str">
            <v>VITESSE AGRO LTD</v>
          </cell>
          <cell r="B4692">
            <v>540823</v>
          </cell>
          <cell r="C4692" t="str">
            <v>Not Listed</v>
          </cell>
        </row>
        <row r="4693">
          <cell r="A4693" t="str">
            <v>VIVANTA INDUSTRIES LTD</v>
          </cell>
          <cell r="B4693">
            <v>541735</v>
          </cell>
          <cell r="C4693" t="str">
            <v>Not Listed</v>
          </cell>
        </row>
        <row r="4694">
          <cell r="A4694" t="str">
            <v>VIVANZA BIOSCIENCES LTD</v>
          </cell>
          <cell r="B4694">
            <v>530057</v>
          </cell>
          <cell r="C4694" t="str">
            <v>Not Listed</v>
          </cell>
        </row>
        <row r="4695">
          <cell r="A4695" t="str">
            <v>VIVID GLOBAL INDUSTRIES LTD</v>
          </cell>
          <cell r="B4695">
            <v>524576</v>
          </cell>
          <cell r="C4695" t="str">
            <v>Not Listed</v>
          </cell>
        </row>
        <row r="4696">
          <cell r="A4696" t="str">
            <v>VIVIMED LABS LTD</v>
          </cell>
          <cell r="B4696">
            <v>532660</v>
          </cell>
          <cell r="C4696" t="str">
            <v>VIVIMEDLAB</v>
          </cell>
        </row>
        <row r="4697">
          <cell r="A4697" t="str">
            <v>VIVO BIO TECH LTD</v>
          </cell>
          <cell r="B4697">
            <v>511509</v>
          </cell>
          <cell r="C4697" t="str">
            <v>Not Listed</v>
          </cell>
        </row>
        <row r="4698">
          <cell r="A4698" t="str">
            <v>VJTF EDUSERVICES LTD</v>
          </cell>
          <cell r="B4698">
            <v>509026</v>
          </cell>
          <cell r="C4698" t="str">
            <v>Not Listed</v>
          </cell>
        </row>
        <row r="4699">
          <cell r="A4699" t="str">
            <v>VKJ INFRADEVELOPERS LTD</v>
          </cell>
          <cell r="B4699">
            <v>536128</v>
          </cell>
          <cell r="C4699" t="str">
            <v>Not Listed</v>
          </cell>
        </row>
        <row r="4700">
          <cell r="A4700" t="str">
            <v>VLS FINANCE LTD</v>
          </cell>
          <cell r="B4700">
            <v>511333</v>
          </cell>
          <cell r="C4700" t="str">
            <v>VLSFINANCE</v>
          </cell>
        </row>
        <row r="4701">
          <cell r="A4701" t="str">
            <v>V-MART RETAIL LTD</v>
          </cell>
          <cell r="B4701">
            <v>534976</v>
          </cell>
          <cell r="C4701" t="str">
            <v>VMART</v>
          </cell>
        </row>
        <row r="4702">
          <cell r="A4702" t="str">
            <v>VMS INDUSTRIES LTD</v>
          </cell>
          <cell r="B4702">
            <v>533427</v>
          </cell>
          <cell r="C4702" t="str">
            <v>Not Listed</v>
          </cell>
        </row>
        <row r="4703">
          <cell r="A4703" t="str">
            <v>VMV HOLIDAYS LTD</v>
          </cell>
          <cell r="B4703">
            <v>539222</v>
          </cell>
          <cell r="C4703" t="str">
            <v>Not Listed</v>
          </cell>
        </row>
        <row r="4704">
          <cell r="A4704" t="str">
            <v>VODAFONE IDEA LTD</v>
          </cell>
          <cell r="B4704">
            <v>532822</v>
          </cell>
          <cell r="C4704" t="str">
            <v>IDEA</v>
          </cell>
        </row>
        <row r="4705">
          <cell r="A4705" t="str">
            <v>VOITH PAPER FABRICS (INDIA) LTD</v>
          </cell>
          <cell r="B4705">
            <v>522122</v>
          </cell>
          <cell r="C4705" t="str">
            <v>Not Listed</v>
          </cell>
        </row>
        <row r="4706">
          <cell r="A4706" t="str">
            <v>VOITH PAPER FABRICS INDIA LTD</v>
          </cell>
          <cell r="B4706">
            <v>522122</v>
          </cell>
          <cell r="C4706" t="str">
            <v>Not Listed</v>
          </cell>
        </row>
        <row r="4707">
          <cell r="A4707" t="str">
            <v>VOLTAIRE LEASING &amp; FINANCE LTD</v>
          </cell>
          <cell r="B4707">
            <v>509038</v>
          </cell>
          <cell r="C4707" t="str">
            <v>Not Listed</v>
          </cell>
        </row>
        <row r="4708">
          <cell r="A4708" t="str">
            <v>VOLTAMP TRANSFORMERS LTD</v>
          </cell>
          <cell r="B4708">
            <v>532757</v>
          </cell>
          <cell r="C4708" t="str">
            <v>VOLTAMP</v>
          </cell>
        </row>
        <row r="4709">
          <cell r="A4709" t="str">
            <v>VOLTAS LTD</v>
          </cell>
          <cell r="B4709">
            <v>500575</v>
          </cell>
          <cell r="C4709" t="str">
            <v>VOLTAS</v>
          </cell>
        </row>
        <row r="4710">
          <cell r="A4710" t="str">
            <v>VORA CONSTRUCTIONS LTD</v>
          </cell>
          <cell r="B4710">
            <v>512215</v>
          </cell>
          <cell r="C4710" t="str">
            <v>Not Listed</v>
          </cell>
        </row>
        <row r="4711">
          <cell r="A4711" t="str">
            <v>VRL LOGISTICS LTD</v>
          </cell>
          <cell r="B4711">
            <v>539118</v>
          </cell>
          <cell r="C4711" t="str">
            <v>VRLLOG</v>
          </cell>
        </row>
        <row r="4712">
          <cell r="A4712" t="str">
            <v>VSF PROJECTS LTD</v>
          </cell>
          <cell r="B4712">
            <v>519331</v>
          </cell>
          <cell r="C4712" t="str">
            <v>Not Listed</v>
          </cell>
        </row>
        <row r="4713">
          <cell r="A4713" t="str">
            <v>VST INDUSTRIES LTD</v>
          </cell>
          <cell r="B4713">
            <v>509966</v>
          </cell>
          <cell r="C4713" t="str">
            <v>VSTIND</v>
          </cell>
        </row>
        <row r="4714">
          <cell r="A4714" t="str">
            <v>VTM LTD</v>
          </cell>
          <cell r="B4714">
            <v>532893</v>
          </cell>
          <cell r="C4714" t="str">
            <v>Not Listed</v>
          </cell>
        </row>
        <row r="4715">
          <cell r="A4715" t="str">
            <v>VXL INSTRUMENTS LTD.</v>
          </cell>
          <cell r="B4715">
            <v>517399</v>
          </cell>
          <cell r="C4715" t="str">
            <v>VXLINSTR</v>
          </cell>
        </row>
        <row r="4716">
          <cell r="A4716" t="str">
            <v>VYAPAR INDUSTRIES LTD</v>
          </cell>
          <cell r="B4716">
            <v>506142</v>
          </cell>
          <cell r="C4716" t="str">
            <v>Not Listed</v>
          </cell>
        </row>
        <row r="4717">
          <cell r="A4717" t="str">
            <v>W H BRADY &amp; CO LTD</v>
          </cell>
          <cell r="B4717">
            <v>501391</v>
          </cell>
          <cell r="C4717" t="str">
            <v>Not Listed</v>
          </cell>
        </row>
        <row r="4718">
          <cell r="A4718" t="str">
            <v>W S INDUSTRIES (INDIA) LTD</v>
          </cell>
          <cell r="B4718">
            <v>504220</v>
          </cell>
          <cell r="C4718" t="str">
            <v>Not Listed</v>
          </cell>
        </row>
        <row r="4719">
          <cell r="A4719" t="str">
            <v>W S INDUSTRIES I LTD</v>
          </cell>
          <cell r="B4719" t="str">
            <v>Not Listed</v>
          </cell>
          <cell r="C4719" t="str">
            <v>WSI</v>
          </cell>
        </row>
        <row r="4720">
          <cell r="A4720" t="str">
            <v>W S INDUSTRIES INDIA LTD</v>
          </cell>
          <cell r="B4720">
            <v>504220</v>
          </cell>
          <cell r="C4720" t="str">
            <v>Not Listed</v>
          </cell>
        </row>
        <row r="4721">
          <cell r="A4721" t="str">
            <v>W W TECHNOLOGY HOLDINGS LTD</v>
          </cell>
          <cell r="B4721">
            <v>505583</v>
          </cell>
          <cell r="C4721" t="str">
            <v>Not Listed</v>
          </cell>
        </row>
        <row r="4722">
          <cell r="A4722" t="str">
            <v>WAA SOLAR LTD</v>
          </cell>
          <cell r="B4722">
            <v>541445</v>
          </cell>
          <cell r="C4722" t="str">
            <v>Not Listed</v>
          </cell>
        </row>
        <row r="4723">
          <cell r="A4723" t="str">
            <v>WABCO (INDIA) LTD</v>
          </cell>
          <cell r="B4723">
            <v>533023</v>
          </cell>
          <cell r="C4723" t="str">
            <v>WABCO(INDIA)</v>
          </cell>
        </row>
        <row r="4724">
          <cell r="A4724" t="str">
            <v>WABCO INDIA LTD</v>
          </cell>
          <cell r="B4724">
            <v>533023</v>
          </cell>
          <cell r="C4724" t="str">
            <v>WABCOINDIA</v>
          </cell>
        </row>
        <row r="4725">
          <cell r="A4725" t="str">
            <v>WAGEND INFRA VENTURE LTD</v>
          </cell>
          <cell r="B4725">
            <v>503675</v>
          </cell>
          <cell r="C4725" t="str">
            <v>Not Listed</v>
          </cell>
        </row>
        <row r="4726">
          <cell r="A4726" t="str">
            <v>WALCHAND PEOPLEFIRST LTD</v>
          </cell>
          <cell r="B4726">
            <v>501370</v>
          </cell>
          <cell r="C4726" t="str">
            <v>Not Listed</v>
          </cell>
        </row>
        <row r="4727">
          <cell r="A4727" t="str">
            <v>WALCHANDNAGAR INDUSTRIES LTD</v>
          </cell>
          <cell r="B4727">
            <v>507410</v>
          </cell>
          <cell r="C4727" t="str">
            <v>WALCHANNAG</v>
          </cell>
        </row>
        <row r="4728">
          <cell r="A4728" t="str">
            <v>WALL STREET FINANCE LTD</v>
          </cell>
          <cell r="B4728">
            <v>511147</v>
          </cell>
          <cell r="C4728" t="str">
            <v>Not Listed</v>
          </cell>
        </row>
        <row r="4729">
          <cell r="A4729" t="str">
            <v>WALLFORT FINANCIAL SERVICES LTD</v>
          </cell>
          <cell r="B4729">
            <v>532053</v>
          </cell>
          <cell r="C4729" t="str">
            <v>Not Listed</v>
          </cell>
        </row>
        <row r="4730">
          <cell r="A4730" t="str">
            <v>WANBURY LTD</v>
          </cell>
          <cell r="B4730">
            <v>524212</v>
          </cell>
          <cell r="C4730" t="str">
            <v>WANBURY</v>
          </cell>
        </row>
        <row r="4731">
          <cell r="A4731" t="str">
            <v>WARNER MULTIMEDIA LTD</v>
          </cell>
          <cell r="B4731">
            <v>511690</v>
          </cell>
          <cell r="C4731" t="str">
            <v>Not Listed</v>
          </cell>
        </row>
        <row r="4732">
          <cell r="A4732" t="str">
            <v>WARREN TEA LTD</v>
          </cell>
          <cell r="B4732">
            <v>508494</v>
          </cell>
          <cell r="C4732" t="str">
            <v>Not Listed</v>
          </cell>
        </row>
        <row r="4733">
          <cell r="A4733" t="str">
            <v>WATERBASE LTD</v>
          </cell>
          <cell r="B4733">
            <v>523660</v>
          </cell>
          <cell r="C4733" t="str">
            <v>Not Listed</v>
          </cell>
        </row>
        <row r="4734">
          <cell r="A4734" t="str">
            <v>WEALTH FIRST PORTFOLIO MANAGERS LTD</v>
          </cell>
          <cell r="B4734" t="str">
            <v>Not Listed</v>
          </cell>
          <cell r="C4734" t="str">
            <v>WEALTH</v>
          </cell>
        </row>
        <row r="4735">
          <cell r="A4735" t="str">
            <v>WEB ELEMENT SOLUTIONS LTD</v>
          </cell>
          <cell r="B4735">
            <v>780016</v>
          </cell>
          <cell r="C4735" t="str">
            <v>Not Listed</v>
          </cell>
        </row>
        <row r="4736">
          <cell r="A4736" t="str">
            <v>WEBSOL ENERGY SYSTEM LTD</v>
          </cell>
          <cell r="B4736">
            <v>517498</v>
          </cell>
          <cell r="C4736" t="str">
            <v>WEBELSOLAR</v>
          </cell>
        </row>
        <row r="4737">
          <cell r="A4737" t="str">
            <v>WEIZMANN FINCORP LTD</v>
          </cell>
          <cell r="B4737">
            <v>511074</v>
          </cell>
          <cell r="C4737" t="str">
            <v>Not Listed</v>
          </cell>
        </row>
        <row r="4738">
          <cell r="A4738" t="str">
            <v>WEIZMANN FOREX LTD</v>
          </cell>
          <cell r="B4738">
            <v>533452</v>
          </cell>
          <cell r="C4738" t="str">
            <v>WEIZFOREX</v>
          </cell>
        </row>
        <row r="4739">
          <cell r="A4739" t="str">
            <v>WEIZMANN LTD</v>
          </cell>
          <cell r="B4739">
            <v>523011</v>
          </cell>
          <cell r="C4739" t="str">
            <v>WEIZMANIND</v>
          </cell>
        </row>
        <row r="4740">
          <cell r="A4740" t="str">
            <v>WELCAST STEELS LTD</v>
          </cell>
          <cell r="B4740">
            <v>504988</v>
          </cell>
          <cell r="C4740" t="str">
            <v>Not Listed</v>
          </cell>
        </row>
        <row r="4741">
          <cell r="A4741" t="str">
            <v>WELCURE DRUGS &amp; PHARMACEUTICALS LTD</v>
          </cell>
          <cell r="B4741">
            <v>524661</v>
          </cell>
          <cell r="C4741" t="str">
            <v>Not Listed</v>
          </cell>
        </row>
        <row r="4742">
          <cell r="A4742" t="str">
            <v>WELLESLEY CORPORATION LTD</v>
          </cell>
          <cell r="B4742">
            <v>532016</v>
          </cell>
          <cell r="C4742" t="str">
            <v>Not Listed</v>
          </cell>
        </row>
        <row r="4743">
          <cell r="A4743" t="str">
            <v>WELLNESS NONI LTD</v>
          </cell>
          <cell r="B4743">
            <v>531211</v>
          </cell>
          <cell r="C4743" t="str">
            <v>Not Listed</v>
          </cell>
        </row>
        <row r="4744">
          <cell r="A4744" t="str">
            <v>WELSPUN (INDIA) LTD</v>
          </cell>
          <cell r="B4744">
            <v>514162</v>
          </cell>
          <cell r="C4744" t="str">
            <v>WELSPUNIND</v>
          </cell>
        </row>
        <row r="4745">
          <cell r="A4745" t="str">
            <v>WELSPUN CORP LTD</v>
          </cell>
          <cell r="B4745">
            <v>532144</v>
          </cell>
          <cell r="C4745" t="str">
            <v>WELCORP</v>
          </cell>
        </row>
        <row r="4746">
          <cell r="A4746" t="str">
            <v>WELSPUN ENTERPRISES LTD</v>
          </cell>
          <cell r="B4746">
            <v>532553</v>
          </cell>
          <cell r="C4746" t="str">
            <v>WELENT</v>
          </cell>
        </row>
        <row r="4747">
          <cell r="A4747" t="str">
            <v>WELSPUN INDIA LTD</v>
          </cell>
          <cell r="B4747">
            <v>514162</v>
          </cell>
          <cell r="C4747" t="str">
            <v>WELSPUNIND</v>
          </cell>
        </row>
        <row r="4748">
          <cell r="A4748" t="str">
            <v>WELSPUN INVESTMENTS AND COMMERCIALS LTD</v>
          </cell>
          <cell r="B4748">
            <v>533252</v>
          </cell>
          <cell r="C4748" t="str">
            <v>WELINV</v>
          </cell>
        </row>
        <row r="4749">
          <cell r="A4749" t="str">
            <v>WELTERMAN INTERNATIONAL LTD</v>
          </cell>
          <cell r="B4749">
            <v>526431</v>
          </cell>
          <cell r="C4749" t="str">
            <v>Not Listed</v>
          </cell>
        </row>
        <row r="4750">
          <cell r="A4750" t="str">
            <v>WENDT (INDIA) LTD</v>
          </cell>
          <cell r="B4750">
            <v>505412</v>
          </cell>
          <cell r="C4750" t="str">
            <v>WENDT</v>
          </cell>
        </row>
        <row r="4751">
          <cell r="A4751" t="str">
            <v>WENDT INDIA LTD</v>
          </cell>
          <cell r="B4751">
            <v>505412</v>
          </cell>
          <cell r="C4751" t="str">
            <v>WENDT</v>
          </cell>
        </row>
        <row r="4752">
          <cell r="A4752" t="str">
            <v>WEP SOLUTIONS LTD</v>
          </cell>
          <cell r="B4752">
            <v>532373</v>
          </cell>
          <cell r="C4752" t="str">
            <v>Not Listed</v>
          </cell>
        </row>
        <row r="4753">
          <cell r="A4753" t="str">
            <v>WEST COAST PAPER MILLS LTD</v>
          </cell>
          <cell r="B4753">
            <v>500444</v>
          </cell>
          <cell r="C4753" t="str">
            <v>WSTCSTPAPR</v>
          </cell>
        </row>
        <row r="4754">
          <cell r="A4754" t="str">
            <v>WEST LEISURE RESORTS LTD</v>
          </cell>
          <cell r="B4754">
            <v>538382</v>
          </cell>
          <cell r="C4754" t="str">
            <v>Not Listed</v>
          </cell>
        </row>
        <row r="4755">
          <cell r="A4755" t="str">
            <v>WESTERN MINISTIL LTD</v>
          </cell>
          <cell r="B4755">
            <v>504998</v>
          </cell>
          <cell r="C4755" t="str">
            <v>Not Listed</v>
          </cell>
        </row>
        <row r="4756">
          <cell r="A4756" t="str">
            <v>WESTLIFE DEVELOPMENT LTD</v>
          </cell>
          <cell r="B4756">
            <v>505533</v>
          </cell>
          <cell r="C4756" t="str">
            <v>Not Listed</v>
          </cell>
        </row>
        <row r="4757">
          <cell r="A4757" t="str">
            <v>WHEELS (INDIA) LTD</v>
          </cell>
          <cell r="B4757">
            <v>590073</v>
          </cell>
          <cell r="C4757" t="str">
            <v>WHEELS</v>
          </cell>
        </row>
        <row r="4758">
          <cell r="A4758" t="str">
            <v>WHEELS INDIA LTD</v>
          </cell>
          <cell r="B4758">
            <v>590073</v>
          </cell>
          <cell r="C4758" t="str">
            <v>WHEELS</v>
          </cell>
        </row>
        <row r="4759">
          <cell r="A4759" t="str">
            <v>WHIRLPOOL OF (INDIA) LTD</v>
          </cell>
          <cell r="B4759">
            <v>500238</v>
          </cell>
          <cell r="C4759" t="str">
            <v>WHIRLPOOL</v>
          </cell>
        </row>
        <row r="4760">
          <cell r="A4760" t="str">
            <v>WHIRLPOOL OF INDIA LTD</v>
          </cell>
          <cell r="B4760">
            <v>500238</v>
          </cell>
          <cell r="C4760" t="str">
            <v>WHIRLPOOL</v>
          </cell>
        </row>
        <row r="4761">
          <cell r="A4761" t="str">
            <v>WHITE ORGANIC AGRO LTD</v>
          </cell>
          <cell r="B4761">
            <v>513713</v>
          </cell>
          <cell r="C4761" t="str">
            <v>Not Listed</v>
          </cell>
        </row>
        <row r="4762">
          <cell r="A4762" t="str">
            <v>White Organic Retail Ltd</v>
          </cell>
          <cell r="B4762">
            <v>542667</v>
          </cell>
          <cell r="C4762" t="str">
            <v>WORL</v>
          </cell>
        </row>
        <row r="4763">
          <cell r="A4763" t="str">
            <v>WILLIAMSON FINANCIAL SERVICES LTD</v>
          </cell>
          <cell r="B4763">
            <v>519214</v>
          </cell>
          <cell r="C4763" t="str">
            <v>Not Listed</v>
          </cell>
        </row>
        <row r="4764">
          <cell r="A4764" t="str">
            <v>WILLIAMSON MAGOR &amp; COMPANY LTD</v>
          </cell>
          <cell r="B4764">
            <v>519224</v>
          </cell>
          <cell r="C4764" t="str">
            <v>WILLAMAGOR</v>
          </cell>
        </row>
        <row r="4765">
          <cell r="A4765" t="str">
            <v>WIM PLAST LTD</v>
          </cell>
          <cell r="B4765">
            <v>526586</v>
          </cell>
          <cell r="C4765" t="str">
            <v>Not Listed</v>
          </cell>
        </row>
        <row r="4766">
          <cell r="A4766" t="str">
            <v>WINDSOR MACHINES LTD</v>
          </cell>
          <cell r="B4766">
            <v>522029</v>
          </cell>
          <cell r="C4766" t="str">
            <v>WINDMACHIN</v>
          </cell>
        </row>
        <row r="4767">
          <cell r="A4767" t="str">
            <v>WINRO COMMERCIAL (INDIA) LTD</v>
          </cell>
          <cell r="B4767">
            <v>512022</v>
          </cell>
          <cell r="C4767" t="str">
            <v>Not Listed</v>
          </cell>
        </row>
        <row r="4768">
          <cell r="A4768" t="str">
            <v>WINRO COMMERCIAL INDIA LTD</v>
          </cell>
          <cell r="B4768">
            <v>512022</v>
          </cell>
          <cell r="C4768" t="str">
            <v>Not Listed</v>
          </cell>
        </row>
        <row r="4769">
          <cell r="A4769" t="str">
            <v>WINSOME BREWERIES LTD</v>
          </cell>
          <cell r="B4769">
            <v>526471</v>
          </cell>
          <cell r="C4769" t="str">
            <v>Not Listed</v>
          </cell>
        </row>
        <row r="4770">
          <cell r="A4770" t="str">
            <v>WINSOME TEXTILE INDUSTRIES LTD</v>
          </cell>
          <cell r="B4770">
            <v>514470</v>
          </cell>
          <cell r="C4770" t="str">
            <v>Not Listed</v>
          </cell>
        </row>
        <row r="4771">
          <cell r="A4771" t="str">
            <v>WINSOME YARNS LTD</v>
          </cell>
          <cell r="B4771">
            <v>514348</v>
          </cell>
          <cell r="C4771" t="str">
            <v>WINSOME</v>
          </cell>
        </row>
        <row r="4772">
          <cell r="A4772" t="str">
            <v>WINTAC LTD</v>
          </cell>
          <cell r="B4772">
            <v>524758</v>
          </cell>
          <cell r="C4772" t="str">
            <v>Not Listed</v>
          </cell>
        </row>
        <row r="4773">
          <cell r="A4773" t="str">
            <v>WINY COMMERCIAL &amp; FISCAL SERVICES LTD</v>
          </cell>
          <cell r="B4773">
            <v>538873</v>
          </cell>
          <cell r="C4773" t="str">
            <v>Not Listed</v>
          </cell>
        </row>
        <row r="4774">
          <cell r="A4774" t="str">
            <v>WIPRO LTD</v>
          </cell>
          <cell r="B4774">
            <v>507685</v>
          </cell>
          <cell r="C4774" t="str">
            <v>WIPRO</v>
          </cell>
        </row>
        <row r="4775">
          <cell r="A4775" t="str">
            <v>WIRES &amp; FABRIKS SA LTD</v>
          </cell>
          <cell r="B4775">
            <v>507817</v>
          </cell>
          <cell r="C4775" t="str">
            <v>Not Listed</v>
          </cell>
        </row>
        <row r="4776">
          <cell r="A4776" t="str">
            <v>WISEC GLOBAL LTD</v>
          </cell>
          <cell r="B4776">
            <v>511642</v>
          </cell>
          <cell r="C4776" t="str">
            <v>Not Listed</v>
          </cell>
        </row>
        <row r="4777">
          <cell r="A4777" t="str">
            <v>WOCKHARDT LTD</v>
          </cell>
          <cell r="B4777">
            <v>532300</v>
          </cell>
          <cell r="C4777" t="str">
            <v>WOCKPHARMA</v>
          </cell>
        </row>
        <row r="4778">
          <cell r="A4778" t="str">
            <v>WOMEN NETWORKS LTD</v>
          </cell>
          <cell r="B4778">
            <v>531396</v>
          </cell>
          <cell r="C4778" t="str">
            <v>Not Listed</v>
          </cell>
        </row>
        <row r="4779">
          <cell r="A4779" t="str">
            <v>WOMENS NEXT LOUNGERIES LTD</v>
          </cell>
          <cell r="B4779">
            <v>538128</v>
          </cell>
          <cell r="C4779" t="str">
            <v>Not Listed</v>
          </cell>
        </row>
        <row r="4780">
          <cell r="A4780" t="str">
            <v>WONDERLA HOLIDAYS LTD</v>
          </cell>
          <cell r="B4780">
            <v>538268</v>
          </cell>
          <cell r="C4780" t="str">
            <v>WONDERLA</v>
          </cell>
        </row>
        <row r="4781">
          <cell r="A4781" t="str">
            <v>WOODSVILLA LTD</v>
          </cell>
          <cell r="B4781">
            <v>526959</v>
          </cell>
          <cell r="C4781" t="str">
            <v>Not Listed</v>
          </cell>
        </row>
        <row r="4782">
          <cell r="A4782" t="str">
            <v>WORLDWIDE LEATHER EXPORTS LTD</v>
          </cell>
          <cell r="B4782">
            <v>526525</v>
          </cell>
          <cell r="C4782" t="str">
            <v>Not Listed</v>
          </cell>
        </row>
        <row r="4783">
          <cell r="A4783" t="str">
            <v>WORTH INVESTMENT &amp; TRADING CO LTD</v>
          </cell>
          <cell r="B4783">
            <v>538451</v>
          </cell>
          <cell r="C4783" t="str">
            <v>Not Listed</v>
          </cell>
        </row>
        <row r="4784">
          <cell r="A4784" t="str">
            <v>WORTH PERIPHERALS LTD</v>
          </cell>
          <cell r="B4784" t="str">
            <v>Not Listed</v>
          </cell>
          <cell r="C4784" t="str">
            <v>WORTH</v>
          </cell>
        </row>
        <row r="4785">
          <cell r="A4785" t="str">
            <v>WPIL LTD</v>
          </cell>
          <cell r="B4785">
            <v>505872</v>
          </cell>
          <cell r="C4785" t="str">
            <v>Not Listed</v>
          </cell>
        </row>
        <row r="4786">
          <cell r="A4786" t="str">
            <v>XCHANGING SOLUTIONS LTD</v>
          </cell>
          <cell r="B4786">
            <v>532616</v>
          </cell>
          <cell r="C4786" t="str">
            <v>XCHANGING</v>
          </cell>
        </row>
        <row r="4787">
          <cell r="A4787" t="str">
            <v>Xelpmoc Design and Tech Ltd</v>
          </cell>
          <cell r="B4787">
            <v>542367</v>
          </cell>
          <cell r="C4787" t="str">
            <v>XELPMOC</v>
          </cell>
        </row>
        <row r="4788">
          <cell r="A4788" t="str">
            <v>XL ENERGY LTD</v>
          </cell>
          <cell r="B4788">
            <v>532788</v>
          </cell>
          <cell r="C4788" t="str">
            <v>XLENERGY</v>
          </cell>
        </row>
        <row r="4789">
          <cell r="A4789" t="str">
            <v>XPRO (INDIA) LTD</v>
          </cell>
          <cell r="B4789">
            <v>590013</v>
          </cell>
          <cell r="C4789" t="str">
            <v>XPRO(INDIA)</v>
          </cell>
        </row>
        <row r="4790">
          <cell r="A4790" t="str">
            <v>XPRO INDIA LTD</v>
          </cell>
          <cell r="B4790">
            <v>590013</v>
          </cell>
          <cell r="C4790" t="str">
            <v>XPROINDIA</v>
          </cell>
        </row>
        <row r="4791">
          <cell r="A4791" t="str">
            <v>YAMINI INVESTMENTS COMPANY LTD</v>
          </cell>
          <cell r="B4791">
            <v>511012</v>
          </cell>
          <cell r="C4791" t="str">
            <v>Not Listed</v>
          </cell>
        </row>
        <row r="4792">
          <cell r="A4792" t="str">
            <v>YARN SYNDICATE LTD</v>
          </cell>
          <cell r="B4792">
            <v>514378</v>
          </cell>
          <cell r="C4792" t="str">
            <v>Not Listed</v>
          </cell>
        </row>
        <row r="4793">
          <cell r="A4793" t="str">
            <v>YASH CHEMEX LTD</v>
          </cell>
          <cell r="B4793">
            <v>539939</v>
          </cell>
          <cell r="C4793" t="str">
            <v>Not Listed</v>
          </cell>
        </row>
        <row r="4794">
          <cell r="A4794" t="str">
            <v>YASH MANAGEMENT &amp; SATELLITE LTD</v>
          </cell>
          <cell r="B4794">
            <v>511601</v>
          </cell>
          <cell r="C4794" t="str">
            <v>Not Listed</v>
          </cell>
        </row>
        <row r="4795">
          <cell r="A4795" t="str">
            <v>YASH PAPERS LTD</v>
          </cell>
          <cell r="B4795">
            <v>516030</v>
          </cell>
          <cell r="C4795" t="str">
            <v>Not Listed</v>
          </cell>
        </row>
        <row r="4796">
          <cell r="A4796" t="str">
            <v>YASHO INDUSTRIES LTD</v>
          </cell>
          <cell r="B4796">
            <v>541167</v>
          </cell>
          <cell r="C4796" t="str">
            <v>Not Listed</v>
          </cell>
        </row>
        <row r="4797">
          <cell r="A4797" t="str">
            <v>YASHRAJ CONTAINEURS LTD</v>
          </cell>
          <cell r="B4797">
            <v>530063</v>
          </cell>
          <cell r="C4797" t="str">
            <v>Not Listed</v>
          </cell>
        </row>
        <row r="4798">
          <cell r="A4798" t="str">
            <v>YES BANK LTD</v>
          </cell>
          <cell r="B4798">
            <v>532648</v>
          </cell>
          <cell r="C4798" t="str">
            <v>YESBANK</v>
          </cell>
        </row>
        <row r="4799">
          <cell r="A4799" t="str">
            <v>YKM INDUSTRIES LTD</v>
          </cell>
          <cell r="B4799">
            <v>531260</v>
          </cell>
          <cell r="C4799" t="str">
            <v>Not Listed</v>
          </cell>
        </row>
        <row r="4800">
          <cell r="A4800" t="str">
            <v>YOGI SUNG-WON (INDIA) LTD</v>
          </cell>
          <cell r="B4800">
            <v>522209</v>
          </cell>
          <cell r="C4800" t="str">
            <v>Not Listed</v>
          </cell>
        </row>
        <row r="4801">
          <cell r="A4801" t="str">
            <v>YOGI SUNG-WON INDIA LTD</v>
          </cell>
          <cell r="B4801">
            <v>522209</v>
          </cell>
          <cell r="C4801" t="str">
            <v>Not Listed</v>
          </cell>
        </row>
        <row r="4802">
          <cell r="A4802" t="str">
            <v>YOGYA ENTERPRISES LTD</v>
          </cell>
          <cell r="B4802">
            <v>539097</v>
          </cell>
          <cell r="C4802" t="str">
            <v>Not Listed</v>
          </cell>
        </row>
        <row r="4803">
          <cell r="A4803" t="str">
            <v>YORK EXPORTS LTD</v>
          </cell>
          <cell r="B4803">
            <v>530675</v>
          </cell>
          <cell r="C4803" t="str">
            <v>Not Listed</v>
          </cell>
        </row>
        <row r="4804">
          <cell r="A4804" t="str">
            <v>YUG DECOR LTD</v>
          </cell>
          <cell r="B4804">
            <v>540550</v>
          </cell>
          <cell r="C4804" t="str">
            <v>Not Listed</v>
          </cell>
        </row>
        <row r="4805">
          <cell r="A4805" t="str">
            <v>YUKEN (INDIA) LTD</v>
          </cell>
          <cell r="B4805">
            <v>522108</v>
          </cell>
          <cell r="C4805" t="str">
            <v>Not Listed</v>
          </cell>
        </row>
        <row r="4806">
          <cell r="A4806" t="str">
            <v>YUKEN INDIA LTD</v>
          </cell>
          <cell r="B4806">
            <v>522108</v>
          </cell>
          <cell r="C4806" t="str">
            <v>Not Listed</v>
          </cell>
        </row>
        <row r="4807">
          <cell r="A4807" t="str">
            <v>YURANUS INFRASTRUCTURE LTD</v>
          </cell>
          <cell r="B4807">
            <v>536846</v>
          </cell>
          <cell r="C4807" t="str">
            <v>Not Listed</v>
          </cell>
        </row>
        <row r="4808">
          <cell r="A4808" t="str">
            <v>YUVRAAJ HYGIENE PRODUCTS LTD.</v>
          </cell>
          <cell r="B4808">
            <v>531663</v>
          </cell>
          <cell r="C4808" t="str">
            <v>YUVRAAJHPL</v>
          </cell>
        </row>
        <row r="4809">
          <cell r="A4809" t="str">
            <v>Z F STEERING GEAR (INDIA) LTD</v>
          </cell>
          <cell r="B4809">
            <v>505163</v>
          </cell>
          <cell r="C4809" t="str">
            <v>Not Listed</v>
          </cell>
        </row>
        <row r="4810">
          <cell r="A4810" t="str">
            <v>Z F STEERING GEAR INDIA LTD</v>
          </cell>
          <cell r="B4810">
            <v>505163</v>
          </cell>
          <cell r="C4810" t="str">
            <v>Not Listed</v>
          </cell>
        </row>
        <row r="4811">
          <cell r="A4811" t="str">
            <v>ZEAL AQUA LTD</v>
          </cell>
          <cell r="B4811">
            <v>539963</v>
          </cell>
          <cell r="C4811" t="str">
            <v>Not Listed</v>
          </cell>
        </row>
        <row r="4812">
          <cell r="A4812" t="str">
            <v>ZEE ENTERTAINMENT ENTERPRISES LTD</v>
          </cell>
          <cell r="B4812">
            <v>505537</v>
          </cell>
          <cell r="C4812" t="str">
            <v>ZEEL</v>
          </cell>
        </row>
        <row r="4813">
          <cell r="A4813" t="str">
            <v>ZEE LEARN LTD</v>
          </cell>
          <cell r="B4813">
            <v>533287</v>
          </cell>
          <cell r="C4813" t="str">
            <v>ZEELEARN</v>
          </cell>
        </row>
        <row r="4814">
          <cell r="A4814" t="str">
            <v>ZEE MEDIA CORPORATION LTD</v>
          </cell>
          <cell r="B4814">
            <v>532794</v>
          </cell>
          <cell r="C4814" t="str">
            <v>ZEEMEDIA</v>
          </cell>
        </row>
        <row r="4815">
          <cell r="A4815" t="str">
            <v>ZEN TECHNOLOGIES LTD</v>
          </cell>
          <cell r="B4815">
            <v>533339</v>
          </cell>
          <cell r="C4815" t="str">
            <v>ZENTEC</v>
          </cell>
        </row>
        <row r="4816">
          <cell r="A4816" t="str">
            <v>ZENITH BIRLA (INDIA) LTD</v>
          </cell>
          <cell r="B4816">
            <v>531845</v>
          </cell>
          <cell r="C4816" t="str">
            <v>ZENITHBIR</v>
          </cell>
        </row>
        <row r="4817">
          <cell r="A4817" t="str">
            <v>ZENITH BIRLA INDIA LTD</v>
          </cell>
          <cell r="B4817">
            <v>531845</v>
          </cell>
          <cell r="C4817" t="str">
            <v>ZENITHBIR</v>
          </cell>
        </row>
        <row r="4818">
          <cell r="A4818" t="str">
            <v>ZENITH EXPORTS LTD</v>
          </cell>
          <cell r="B4818">
            <v>512553</v>
          </cell>
          <cell r="C4818" t="str">
            <v>ZENITHEXPO</v>
          </cell>
        </row>
        <row r="4819">
          <cell r="A4819" t="str">
            <v>ZENITH FIBRES LTD</v>
          </cell>
          <cell r="B4819">
            <v>514266</v>
          </cell>
          <cell r="C4819" t="str">
            <v>Not Listed</v>
          </cell>
        </row>
        <row r="4820">
          <cell r="A4820" t="str">
            <v>ZENITH HEALTH CARE LTD</v>
          </cell>
          <cell r="B4820">
            <v>530665</v>
          </cell>
          <cell r="C4820" t="str">
            <v>Not Listed</v>
          </cell>
        </row>
        <row r="4821">
          <cell r="A4821" t="str">
            <v>ZENLABS ETHICA LTD</v>
          </cell>
          <cell r="B4821">
            <v>530697</v>
          </cell>
          <cell r="C4821" t="str">
            <v>Not Listed</v>
          </cell>
        </row>
        <row r="4822">
          <cell r="A4822" t="str">
            <v>ZENOTECH LABORATORIES LTD</v>
          </cell>
          <cell r="B4822">
            <v>532039</v>
          </cell>
          <cell r="C4822" t="str">
            <v>Not Listed</v>
          </cell>
        </row>
        <row r="4823">
          <cell r="A4823" t="str">
            <v>ZENSAR TECHNOLOGIES LTD</v>
          </cell>
          <cell r="B4823">
            <v>504067</v>
          </cell>
          <cell r="C4823" t="str">
            <v>ZENSARTECH</v>
          </cell>
        </row>
        <row r="4824">
          <cell r="A4824" t="str">
            <v>ZICOM ELECTRONIC SECURITY SYSTEMS LTD</v>
          </cell>
          <cell r="B4824">
            <v>531404</v>
          </cell>
          <cell r="C4824" t="str">
            <v>ZICOM</v>
          </cell>
        </row>
        <row r="4825">
          <cell r="A4825" t="str">
            <v>ZIM LABORATORIES LTD</v>
          </cell>
          <cell r="B4825">
            <v>541400</v>
          </cell>
          <cell r="C4825" t="str">
            <v>Not Listed</v>
          </cell>
        </row>
        <row r="4826">
          <cell r="A4826" t="str">
            <v>ZODIAC CLOTHING COMPANY LTD</v>
          </cell>
          <cell r="B4826">
            <v>521163</v>
          </cell>
          <cell r="C4826" t="str">
            <v>ZODIACLOTH</v>
          </cell>
        </row>
        <row r="4827">
          <cell r="A4827" t="str">
            <v>ZODIAC ENERGY LTD</v>
          </cell>
          <cell r="B4827" t="str">
            <v>Not Listed</v>
          </cell>
          <cell r="C4827" t="str">
            <v>ZODIAC</v>
          </cell>
        </row>
        <row r="4828">
          <cell r="A4828" t="str">
            <v>ZODIAC JRD- MKJ LTD</v>
          </cell>
          <cell r="B4828">
            <v>512587</v>
          </cell>
          <cell r="C4828" t="str">
            <v>ZODJRDMKJ</v>
          </cell>
        </row>
        <row r="4829">
          <cell r="A4829" t="str">
            <v>Zodiac Ventures LTD</v>
          </cell>
          <cell r="B4829">
            <v>503641</v>
          </cell>
          <cell r="C4829" t="str">
            <v>ZODIACVEN</v>
          </cell>
        </row>
        <row r="4830">
          <cell r="A4830" t="str">
            <v>ZOTA HEALTH CARE LTD</v>
          </cell>
          <cell r="B4830" t="str">
            <v>Not Listed</v>
          </cell>
          <cell r="C4830" t="str">
            <v>ZOTA</v>
          </cell>
        </row>
        <row r="4831">
          <cell r="A4831" t="str">
            <v>ZUARI AGRO CHEMICALS LTD</v>
          </cell>
          <cell r="B4831">
            <v>534742</v>
          </cell>
          <cell r="C4831" t="str">
            <v>ZUARI</v>
          </cell>
        </row>
        <row r="4832">
          <cell r="A4832" t="str">
            <v>ZUARI GLOBAL LTD</v>
          </cell>
          <cell r="B4832">
            <v>500780</v>
          </cell>
          <cell r="C4832" t="str">
            <v>ZUARIGLOB</v>
          </cell>
        </row>
        <row r="4833">
          <cell r="A4833" t="str">
            <v>ZYDUS WELLNESS LTD</v>
          </cell>
          <cell r="B4833">
            <v>531335</v>
          </cell>
          <cell r="C4833" t="str">
            <v>ZYDUSWELL</v>
          </cell>
        </row>
        <row r="4834">
          <cell r="A4834" t="str">
            <v>ZYLOG SYSTEMS LTD</v>
          </cell>
          <cell r="B4834">
            <v>532883</v>
          </cell>
          <cell r="C4834" t="str">
            <v>ZYLOG</v>
          </cell>
        </row>
        <row r="4835">
          <cell r="A4835" t="str">
            <v>INDIA LEASE DEVELOPMENT Ltd</v>
          </cell>
          <cell r="B4835">
            <v>500202</v>
          </cell>
          <cell r="C4835" t="str">
            <v>INDLEASE</v>
          </cell>
        </row>
        <row r="4836">
          <cell r="A4836" t="str">
            <v>Kore Foods Ltd</v>
          </cell>
          <cell r="B4836">
            <v>500458</v>
          </cell>
          <cell r="C4836" t="str">
            <v>KORE</v>
          </cell>
        </row>
        <row r="4837">
          <cell r="A4837" t="str">
            <v>GOLD ROCK INVESTMENTS Ltd</v>
          </cell>
          <cell r="B4837">
            <v>501111</v>
          </cell>
          <cell r="C4837" t="str">
            <v>ZGOLDINV</v>
          </cell>
        </row>
        <row r="4838">
          <cell r="A4838" t="str">
            <v>KARTIK INVESTMENTS TRUST Ltd</v>
          </cell>
          <cell r="B4838">
            <v>501151</v>
          </cell>
          <cell r="C4838" t="str">
            <v>KARTKIN</v>
          </cell>
        </row>
        <row r="4839">
          <cell r="A4839" t="str">
            <v>JAYABHARAT CREDIT Ltd</v>
          </cell>
          <cell r="B4839">
            <v>501311</v>
          </cell>
          <cell r="C4839" t="str">
            <v>JAYBHCR</v>
          </cell>
        </row>
        <row r="4840">
          <cell r="A4840" t="str">
            <v>AMALGAMATED ELECTRICITY CO.Ltd</v>
          </cell>
          <cell r="B4840">
            <v>501622</v>
          </cell>
          <cell r="C4840" t="str">
            <v>AMALGAM</v>
          </cell>
        </row>
        <row r="4841">
          <cell r="A4841" t="str">
            <v>GAEKWAR MILLS Ltd</v>
          </cell>
          <cell r="B4841">
            <v>502850</v>
          </cell>
          <cell r="C4841" t="str">
            <v>ZGAEKWAR</v>
          </cell>
        </row>
        <row r="4842">
          <cell r="A4842" t="str">
            <v>K K Fincorp Limited</v>
          </cell>
          <cell r="B4842">
            <v>503669</v>
          </cell>
          <cell r="C4842" t="str">
            <v>KKFIN</v>
          </cell>
        </row>
        <row r="4843">
          <cell r="A4843" t="str">
            <v>RAJASTHAN PETRO SYNTHETICS Ltd</v>
          </cell>
          <cell r="B4843">
            <v>506975</v>
          </cell>
          <cell r="C4843" t="str">
            <v>RAJSPTR</v>
          </cell>
        </row>
        <row r="4844">
          <cell r="A4844" t="str">
            <v>NORTHERN PROJECTS Ltd</v>
          </cell>
          <cell r="B4844">
            <v>508924</v>
          </cell>
          <cell r="C4844" t="str">
            <v>NORTHPR</v>
          </cell>
        </row>
        <row r="4845">
          <cell r="A4845" t="str">
            <v>ID Info Business Services Ltd</v>
          </cell>
          <cell r="B4845">
            <v>511260</v>
          </cell>
          <cell r="C4845" t="str">
            <v>IDINFO</v>
          </cell>
        </row>
        <row r="4846">
          <cell r="A4846" t="str">
            <v>TRC FINANCIAL SERVICES Ltd</v>
          </cell>
          <cell r="B4846">
            <v>511730</v>
          </cell>
          <cell r="C4846" t="str">
            <v>TRCFIN</v>
          </cell>
        </row>
        <row r="4847">
          <cell r="A4847" t="str">
            <v>SPV Global Trading Ltd</v>
          </cell>
          <cell r="B4847">
            <v>512221</v>
          </cell>
          <cell r="C4847" t="str">
            <v>SPVGLOBAL</v>
          </cell>
        </row>
        <row r="4848">
          <cell r="A4848" t="str">
            <v>ARAVALI SECURITIES &amp; FINANCE Ltd</v>
          </cell>
          <cell r="B4848">
            <v>512344</v>
          </cell>
          <cell r="C4848" t="str">
            <v>ARAVALIS</v>
          </cell>
        </row>
        <row r="4849">
          <cell r="A4849" t="str">
            <v>YASH TRADING &amp; FINANCE Ltd</v>
          </cell>
          <cell r="B4849">
            <v>512345</v>
          </cell>
          <cell r="C4849" t="str">
            <v>YASTF</v>
          </cell>
        </row>
        <row r="4850">
          <cell r="A4850" t="str">
            <v>GAYATRI TISSUE &amp; PAPERS Ltd</v>
          </cell>
          <cell r="B4850">
            <v>512479</v>
          </cell>
          <cell r="C4850" t="str">
            <v>GYTRIPA</v>
          </cell>
        </row>
        <row r="4851">
          <cell r="A4851" t="str">
            <v>GRAND FOUNDRY Ltd</v>
          </cell>
          <cell r="B4851">
            <v>513343</v>
          </cell>
          <cell r="C4851" t="str">
            <v>GRANDFONRY</v>
          </cell>
        </row>
        <row r="4852">
          <cell r="A4852" t="str">
            <v>Smiths &amp; Founders (India) Limited</v>
          </cell>
          <cell r="B4852">
            <v>513418</v>
          </cell>
          <cell r="C4852" t="str">
            <v>SMFIL</v>
          </cell>
        </row>
        <row r="4853">
          <cell r="A4853" t="str">
            <v>MODERN INSULATORS Ltd</v>
          </cell>
          <cell r="B4853">
            <v>515008</v>
          </cell>
          <cell r="C4853" t="str">
            <v>MODINSU</v>
          </cell>
        </row>
        <row r="4854">
          <cell r="A4854" t="str">
            <v>S&amp;S POWER SWITCHGEAR Ltd</v>
          </cell>
          <cell r="B4854">
            <v>517273</v>
          </cell>
          <cell r="C4854" t="str">
            <v>S&amp;SPOWER</v>
          </cell>
        </row>
        <row r="4855">
          <cell r="A4855" t="str">
            <v>SBEC SYSTEMS (INDIA) Ltd</v>
          </cell>
          <cell r="B4855">
            <v>517360</v>
          </cell>
          <cell r="C4855" t="str">
            <v>SBECSYS</v>
          </cell>
        </row>
        <row r="4856">
          <cell r="A4856" t="str">
            <v>VINTRON INFORMATICS Ltd</v>
          </cell>
          <cell r="B4856">
            <v>517393</v>
          </cell>
          <cell r="C4856" t="str">
            <v>VINTRON</v>
          </cell>
        </row>
        <row r="4857">
          <cell r="A4857" t="str">
            <v>SHARAT INDUSTRIES Ltd</v>
          </cell>
          <cell r="B4857">
            <v>519397</v>
          </cell>
          <cell r="C4857" t="str">
            <v>SHINDL</v>
          </cell>
        </row>
        <row r="4858">
          <cell r="A4858" t="str">
            <v>BKV INDUSTRIES Ltd</v>
          </cell>
          <cell r="B4858">
            <v>519500</v>
          </cell>
          <cell r="C4858" t="str">
            <v>BKV</v>
          </cell>
        </row>
        <row r="4859">
          <cell r="A4859" t="str">
            <v>TMT (INDIA) Ltd</v>
          </cell>
          <cell r="B4859">
            <v>522171</v>
          </cell>
          <cell r="C4859" t="str">
            <v>TMTIND-B1</v>
          </cell>
        </row>
        <row r="4860">
          <cell r="A4860" t="str">
            <v>PHARMAIDS PHARMACEUTICALS Ltd</v>
          </cell>
          <cell r="B4860">
            <v>524572</v>
          </cell>
          <cell r="C4860" t="str">
            <v>PHARMAID</v>
          </cell>
        </row>
        <row r="4861">
          <cell r="A4861" t="str">
            <v>SURAJ INDUSTRIES Ltd</v>
          </cell>
          <cell r="B4861">
            <v>526211</v>
          </cell>
          <cell r="C4861" t="str">
            <v>SURJIND</v>
          </cell>
        </row>
        <row r="4862">
          <cell r="A4862" t="str">
            <v>TEXEL INDUSTRIES Ltd</v>
          </cell>
          <cell r="B4862">
            <v>526638</v>
          </cell>
          <cell r="C4862" t="str">
            <v>TEXELIN</v>
          </cell>
        </row>
        <row r="4863">
          <cell r="A4863" t="str">
            <v>Paos Industries Ltd</v>
          </cell>
          <cell r="B4863">
            <v>530291</v>
          </cell>
          <cell r="C4863" t="str">
            <v>PAOS</v>
          </cell>
        </row>
        <row r="4864">
          <cell r="A4864" t="str">
            <v>SIDDHA VENTURES Ltd</v>
          </cell>
          <cell r="B4864">
            <v>530439</v>
          </cell>
          <cell r="C4864" t="str">
            <v>SIDDHA</v>
          </cell>
        </row>
        <row r="4865">
          <cell r="A4865" t="str">
            <v>KIRAN SYNTEX Ltd</v>
          </cell>
          <cell r="B4865">
            <v>530443</v>
          </cell>
          <cell r="C4865" t="str">
            <v>KIRANSY-B</v>
          </cell>
        </row>
        <row r="4866">
          <cell r="A4866" t="str">
            <v>KANSAL FIBRES Ltd</v>
          </cell>
          <cell r="B4866">
            <v>531205</v>
          </cell>
          <cell r="C4866" t="str">
            <v>KANSAFB</v>
          </cell>
        </row>
        <row r="4867">
          <cell r="A4867" t="str">
            <v>Xtglobal Infotech Ltd</v>
          </cell>
          <cell r="B4867">
            <v>531225</v>
          </cell>
          <cell r="C4867" t="str">
            <v>XTGLOBAL</v>
          </cell>
        </row>
        <row r="4868">
          <cell r="A4868" t="str">
            <v>Saffron Industries Limited</v>
          </cell>
          <cell r="B4868">
            <v>531436</v>
          </cell>
          <cell r="C4868" t="str">
            <v>SAFFRON</v>
          </cell>
        </row>
        <row r="4869">
          <cell r="A4869" t="str">
            <v>CENTERAC TECHNOLOGIES Ltd</v>
          </cell>
          <cell r="B4869">
            <v>531621</v>
          </cell>
          <cell r="C4869" t="str">
            <v>CENTERAC</v>
          </cell>
        </row>
        <row r="4870">
          <cell r="A4870" t="str">
            <v>Servoteach Industries Ltd</v>
          </cell>
          <cell r="B4870">
            <v>531944</v>
          </cell>
          <cell r="C4870" t="str">
            <v>SERVOTEACH</v>
          </cell>
        </row>
        <row r="4871">
          <cell r="A4871" t="str">
            <v>SMC CREDITS Ltd</v>
          </cell>
          <cell r="B4871">
            <v>532138</v>
          </cell>
          <cell r="C4871" t="str">
            <v>SMCREDT</v>
          </cell>
        </row>
        <row r="4872">
          <cell r="A4872" t="str">
            <v>RAJ OIL MILLS Ltd</v>
          </cell>
          <cell r="B4872">
            <v>533093</v>
          </cell>
          <cell r="C4872" t="str">
            <v>RAJOIL</v>
          </cell>
        </row>
        <row r="4873">
          <cell r="A4873" t="str">
            <v>Axis Mutual Fund - Axis Gold Exchange Traded Fund</v>
          </cell>
          <cell r="B4873">
            <v>533570</v>
          </cell>
          <cell r="C4873" t="str">
            <v>AXISGOLD</v>
          </cell>
        </row>
        <row r="4874">
          <cell r="A4874" t="str">
            <v>IDBI Mutual Fund - IDBI Gold ETF</v>
          </cell>
          <cell r="B4874">
            <v>533719</v>
          </cell>
          <cell r="C4874" t="str">
            <v>IDBIGOLD</v>
          </cell>
        </row>
        <row r="4875">
          <cell r="A4875" t="str">
            <v>SBI Mutual Fund - SBI Sensex ETF</v>
          </cell>
          <cell r="B4875">
            <v>535276</v>
          </cell>
          <cell r="C4875" t="str">
            <v>SBISENSEX</v>
          </cell>
        </row>
        <row r="4876">
          <cell r="A4876" t="str">
            <v>Motilal Oswal Mutual Fund - Motilal Oswal MOSt Shares Midcap 100 ETF- Growth option</v>
          </cell>
          <cell r="B4876">
            <v>536960</v>
          </cell>
          <cell r="C4876" t="str">
            <v>M100</v>
          </cell>
        </row>
        <row r="4877">
          <cell r="A4877" t="str">
            <v>ICICI Prudential Nifty ETF</v>
          </cell>
          <cell r="B4877">
            <v>537007</v>
          </cell>
          <cell r="C4877" t="str">
            <v>ICICINIFTY</v>
          </cell>
        </row>
        <row r="4878">
          <cell r="A4878" t="str">
            <v>ICICI Prudential Nifty 100 ETF</v>
          </cell>
          <cell r="B4878">
            <v>537008</v>
          </cell>
          <cell r="C4878" t="str">
            <v>ICICINF100</v>
          </cell>
        </row>
        <row r="4879">
          <cell r="A4879" t="str">
            <v>NIPPON INDIA ETF NIFTY 100</v>
          </cell>
          <cell r="B4879">
            <v>537483</v>
          </cell>
          <cell r="C4879" t="str">
            <v>NETFNIF100</v>
          </cell>
        </row>
        <row r="4880">
          <cell r="A4880" t="str">
            <v>Kotak Mahindra Mutual Fund - Kotak Nifty ETF</v>
          </cell>
          <cell r="B4880">
            <v>537708</v>
          </cell>
          <cell r="C4880" t="str">
            <v>KOTAKNIFTY</v>
          </cell>
        </row>
        <row r="4881">
          <cell r="A4881" t="str">
            <v>CPSE ETF</v>
          </cell>
          <cell r="B4881">
            <v>538057</v>
          </cell>
          <cell r="C4881" t="str">
            <v>CPSEETF</v>
          </cell>
        </row>
        <row r="4882">
          <cell r="A4882" t="str">
            <v>Response Informatics Ltd</v>
          </cell>
          <cell r="B4882">
            <v>538273</v>
          </cell>
          <cell r="C4882" t="str">
            <v>RESPONSINF</v>
          </cell>
        </row>
        <row r="4883">
          <cell r="A4883" t="str">
            <v>Quasar India Ltd</v>
          </cell>
          <cell r="B4883">
            <v>538452</v>
          </cell>
          <cell r="C4883" t="str">
            <v>QUASAR</v>
          </cell>
        </row>
        <row r="4884">
          <cell r="A4884" t="str">
            <v>ICICI Prudential Growth Fund Series 1 (Regular Dividend Payout)</v>
          </cell>
          <cell r="B4884">
            <v>538501</v>
          </cell>
          <cell r="C4884" t="str">
            <v>IPRU2401</v>
          </cell>
        </row>
        <row r="4885">
          <cell r="A4885" t="str">
            <v>ICICI Prudential Growth Fund Series 1 (Direct Dividend Option)</v>
          </cell>
          <cell r="B4885">
            <v>538502</v>
          </cell>
          <cell r="C4885" t="str">
            <v>IPRU8601</v>
          </cell>
        </row>
        <row r="4886">
          <cell r="A4886" t="str">
            <v>ICICI Prudential Growth Fund Series 2 (Regular Plan - Dividend Payout Option)</v>
          </cell>
          <cell r="B4886">
            <v>538577</v>
          </cell>
          <cell r="C4886" t="str">
            <v>IPRU2428</v>
          </cell>
        </row>
        <row r="4887">
          <cell r="A4887" t="str">
            <v>ICICI Prudential Growth Fund Series 2 (Direct Plan - Dividend Payout Option)</v>
          </cell>
          <cell r="B4887">
            <v>538578</v>
          </cell>
          <cell r="C4887" t="str">
            <v>IPRU8628</v>
          </cell>
        </row>
        <row r="4888">
          <cell r="A4888" t="str">
            <v>QGO Finance Ltd</v>
          </cell>
          <cell r="B4888">
            <v>538646</v>
          </cell>
          <cell r="C4888" t="str">
            <v>QGO</v>
          </cell>
        </row>
        <row r="4889">
          <cell r="A4889" t="str">
            <v>NIPPON INDIA ETF SENSEX</v>
          </cell>
          <cell r="B4889">
            <v>538683</v>
          </cell>
          <cell r="C4889" t="str">
            <v>NETFSENSEX</v>
          </cell>
        </row>
        <row r="4890">
          <cell r="A4890" t="str">
            <v>ICICI Prudential Growth Fund Series 3 (Regular Plan - Dividend Payout Option)</v>
          </cell>
          <cell r="B4890">
            <v>538728</v>
          </cell>
          <cell r="C4890" t="str">
            <v>IPRU2511</v>
          </cell>
        </row>
        <row r="4891">
          <cell r="A4891" t="str">
            <v>ICICI Prudential Growth Fund Series 3 (Direct Plan - Dividend Payout Option)</v>
          </cell>
          <cell r="B4891">
            <v>538729</v>
          </cell>
          <cell r="C4891" t="str">
            <v>IPRU8711</v>
          </cell>
        </row>
        <row r="4892">
          <cell r="A4892" t="str">
            <v>DSP BlackRock 3 Years Close Ended Equity Fund-Regular- Growth</v>
          </cell>
          <cell r="B4892">
            <v>538808</v>
          </cell>
          <cell r="C4892" t="str">
            <v>D3YRCEERG</v>
          </cell>
        </row>
        <row r="4893">
          <cell r="A4893" t="str">
            <v>DSP BlackRock 3 Years Close Ended Equity Fund-Regular- Dividend Payout</v>
          </cell>
          <cell r="B4893">
            <v>538809</v>
          </cell>
          <cell r="C4893" t="str">
            <v>D3YRCEERDP</v>
          </cell>
        </row>
        <row r="4894">
          <cell r="A4894" t="str">
            <v>DSP BlackRock 3 Years Close Ended Equity Fund- Direct Plan - Growth</v>
          </cell>
          <cell r="B4894">
            <v>538810</v>
          </cell>
          <cell r="C4894" t="str">
            <v>D3YRCEEDG</v>
          </cell>
        </row>
        <row r="4895">
          <cell r="A4895" t="str">
            <v>DSP BlackRock 3 Years Close Ended Equity Fund-Direct Plan - Dividend Payout</v>
          </cell>
          <cell r="B4895">
            <v>538811</v>
          </cell>
          <cell r="C4895" t="str">
            <v>D3YRCEEDDP</v>
          </cell>
        </row>
        <row r="4896">
          <cell r="A4896" t="str">
            <v>SBI Mutual Fund - SBI - ETF BSE 100</v>
          </cell>
          <cell r="B4896">
            <v>539031</v>
          </cell>
          <cell r="C4896" t="str">
            <v>SETFBSE100</v>
          </cell>
        </row>
        <row r="4897">
          <cell r="A4897" t="str">
            <v>Rajputana Investment and Finance Ltd</v>
          </cell>
          <cell r="B4897">
            <v>539090</v>
          </cell>
          <cell r="C4897" t="str">
            <v>RAJPUTANA</v>
          </cell>
        </row>
        <row r="4898">
          <cell r="A4898" t="str">
            <v>Edelweiss Mutual Fund - Edelweiss Exchange Traded Scheme - Nifty ( Nifty EES )</v>
          </cell>
          <cell r="B4898">
            <v>539142</v>
          </cell>
          <cell r="C4898" t="str">
            <v>NIFTYEES</v>
          </cell>
        </row>
        <row r="4899">
          <cell r="A4899" t="str">
            <v>Boston Leasing and Finance Ltd</v>
          </cell>
          <cell r="B4899">
            <v>539274</v>
          </cell>
          <cell r="C4899" t="str">
            <v>BLFL</v>
          </cell>
        </row>
        <row r="4900">
          <cell r="A4900" t="str">
            <v>UTI- SENSEX ETF</v>
          </cell>
          <cell r="B4900">
            <v>539312</v>
          </cell>
          <cell r="C4900" t="str">
            <v>UTISENSETF</v>
          </cell>
        </row>
        <row r="4901">
          <cell r="A4901" t="str">
            <v>UTI NIFTY ETF</v>
          </cell>
          <cell r="B4901">
            <v>539313</v>
          </cell>
          <cell r="C4901" t="str">
            <v>UTINIFTETF</v>
          </cell>
        </row>
        <row r="4902">
          <cell r="A4902" t="str">
            <v>LIC MF EXCHANGE TRADED FUND- NIFTY 50</v>
          </cell>
          <cell r="B4902">
            <v>539480</v>
          </cell>
          <cell r="C4902" t="str">
            <v>LICNETFN50</v>
          </cell>
        </row>
        <row r="4903">
          <cell r="A4903" t="str">
            <v>LIC MF EXCHANGE TRADED FUND- SENSEX</v>
          </cell>
          <cell r="B4903">
            <v>539487</v>
          </cell>
          <cell r="C4903" t="str">
            <v>LICNETFSEN</v>
          </cell>
        </row>
        <row r="4904">
          <cell r="A4904" t="str">
            <v>HDFC Nifty ETF</v>
          </cell>
          <cell r="B4904">
            <v>539516</v>
          </cell>
          <cell r="C4904" t="str">
            <v>HDFCNIFETF</v>
          </cell>
        </row>
        <row r="4905">
          <cell r="A4905" t="str">
            <v>HDFC Sensex ETF - Open Ended Traded Fund</v>
          </cell>
          <cell r="B4905">
            <v>539517</v>
          </cell>
          <cell r="C4905" t="str">
            <v>SXETF</v>
          </cell>
        </row>
        <row r="4906">
          <cell r="A4906" t="str">
            <v>Roxy Exports Ltd</v>
          </cell>
          <cell r="B4906">
            <v>539561</v>
          </cell>
          <cell r="C4906" t="str">
            <v>ROXY</v>
          </cell>
        </row>
        <row r="4907">
          <cell r="A4907" t="str">
            <v>LIC MF Exchange Traded Fund- NIFTY 100</v>
          </cell>
          <cell r="B4907">
            <v>539784</v>
          </cell>
          <cell r="C4907" t="str">
            <v>LICNFNHGP</v>
          </cell>
        </row>
        <row r="4908">
          <cell r="A4908" t="str">
            <v>ICICI Prudential NV20 ETF</v>
          </cell>
          <cell r="B4908">
            <v>539945</v>
          </cell>
          <cell r="C4908" t="str">
            <v>ICICINV20</v>
          </cell>
        </row>
        <row r="4909">
          <cell r="A4909" t="str">
            <v>ICICI Prudential Midcap Select ETF</v>
          </cell>
          <cell r="B4909">
            <v>539980</v>
          </cell>
          <cell r="C4909" t="str">
            <v>ICICIMCAP</v>
          </cell>
        </row>
        <row r="4910">
          <cell r="A4910" t="str">
            <v>BIRLA SUN LIFE SENSEX ETF</v>
          </cell>
          <cell r="B4910">
            <v>540008</v>
          </cell>
          <cell r="C4910" t="str">
            <v>BSLSENETFG</v>
          </cell>
        </row>
        <row r="4911">
          <cell r="A4911" t="str">
            <v>IDFC SENSEX ETF</v>
          </cell>
          <cell r="B4911">
            <v>540154</v>
          </cell>
          <cell r="C4911" t="str">
            <v>IDFSENSEXE</v>
          </cell>
        </row>
        <row r="4912">
          <cell r="A4912" t="str">
            <v>Axis Emerging Opportunities Fund-SR 2 (1400 D)-Direct Plan-Dividend Payout</v>
          </cell>
          <cell r="B4912">
            <v>540333</v>
          </cell>
          <cell r="C4912" t="str">
            <v>AXISE2D1D</v>
          </cell>
        </row>
        <row r="4913">
          <cell r="A4913" t="str">
            <v>Axis Emerging Opportunities Fund-SR 2 (1400 D)-Direct Plan-Growth</v>
          </cell>
          <cell r="B4913">
            <v>540334</v>
          </cell>
          <cell r="C4913" t="str">
            <v>AXISE2DGG</v>
          </cell>
        </row>
        <row r="4914">
          <cell r="A4914" t="str">
            <v>Axis Emerging Opportunities Fund-SR 2 (1400 D)-Regular Plan-Dividend Payout</v>
          </cell>
          <cell r="B4914">
            <v>540335</v>
          </cell>
          <cell r="C4914" t="str">
            <v>AXISE2DPD</v>
          </cell>
        </row>
        <row r="4915">
          <cell r="A4915" t="str">
            <v>Axis Emerging Opportunities Fund-SR 2 (1400 D)-Regular Plan-Growth</v>
          </cell>
          <cell r="B4915">
            <v>540336</v>
          </cell>
          <cell r="C4915" t="str">
            <v>AXISE2GPG</v>
          </cell>
        </row>
        <row r="4916">
          <cell r="A4916" t="str">
            <v>ICICI Prudential Value Fund Series 12 - Dividend Payout Option</v>
          </cell>
          <cell r="B4916">
            <v>540469</v>
          </cell>
          <cell r="C4916" t="str">
            <v>IPRU2933</v>
          </cell>
        </row>
        <row r="4917">
          <cell r="A4917" t="str">
            <v>ICICI Prudential Value Fund Series 12 - Direct Plan Dividend Payout Option</v>
          </cell>
          <cell r="B4917">
            <v>540470</v>
          </cell>
          <cell r="C4917" t="str">
            <v>IPRU9135</v>
          </cell>
        </row>
        <row r="4918">
          <cell r="A4918" t="str">
            <v>ICICI Prudential Value Fund- Series 13- Dividend Payout Option</v>
          </cell>
          <cell r="B4918">
            <v>540538</v>
          </cell>
          <cell r="C4918" t="str">
            <v>IPRU2955</v>
          </cell>
        </row>
        <row r="4919">
          <cell r="A4919" t="str">
            <v>ICICI Prudential Value Fund Series- 13- Direct Plan Dividend Payout Option</v>
          </cell>
          <cell r="B4919">
            <v>540539</v>
          </cell>
          <cell r="C4919" t="str">
            <v>IPRU9157</v>
          </cell>
        </row>
        <row r="4920">
          <cell r="A4920" t="str">
            <v>Axis Equity Advantage Fund- Series 1 Direct Plan- Growth</v>
          </cell>
          <cell r="B4920">
            <v>540551</v>
          </cell>
          <cell r="C4920" t="str">
            <v>AXISAEDGG</v>
          </cell>
        </row>
        <row r="4921">
          <cell r="A4921" t="str">
            <v>Axis Equity Advantage Fund- Series 1 Regular Plan- Growth</v>
          </cell>
          <cell r="B4921">
            <v>540552</v>
          </cell>
          <cell r="C4921" t="str">
            <v>AXISAEGPG</v>
          </cell>
        </row>
        <row r="4922">
          <cell r="A4922" t="str">
            <v>ICICI Prudential Value Fund Series 14 - Cumulative</v>
          </cell>
          <cell r="B4922">
            <v>540586</v>
          </cell>
          <cell r="C4922" t="str">
            <v>IPRU2969</v>
          </cell>
        </row>
        <row r="4923">
          <cell r="A4923" t="str">
            <v>ICICI Prudential Value Fund Series 14 - Dividend Payout</v>
          </cell>
          <cell r="B4923">
            <v>540587</v>
          </cell>
          <cell r="C4923" t="str">
            <v>IPRU2970</v>
          </cell>
        </row>
        <row r="4924">
          <cell r="A4924" t="str">
            <v>ICICI Prudential Value Fund Series 14 - Direct Plan Cumulative</v>
          </cell>
          <cell r="B4924">
            <v>540588</v>
          </cell>
          <cell r="C4924" t="str">
            <v>IPRU9171</v>
          </cell>
        </row>
        <row r="4925">
          <cell r="A4925" t="str">
            <v>ICICI Prudential Value Fund Series 14 - Direct Plan Dividend Payout</v>
          </cell>
          <cell r="B4925">
            <v>540589</v>
          </cell>
          <cell r="C4925" t="str">
            <v>IPRU9172</v>
          </cell>
        </row>
        <row r="4926">
          <cell r="A4926" t="str">
            <v>HDFC EOF- II- 1126D May 2017(1)  plan under HDFC Equity Opportunities Fund- Series 2- Direct</v>
          </cell>
          <cell r="B4926">
            <v>540591</v>
          </cell>
          <cell r="C4926" t="str">
            <v>HEOFDG1126</v>
          </cell>
        </row>
        <row r="4927">
          <cell r="A4927" t="str">
            <v>HDFC EOF - II - 1126D May 2017(1)  plan under HDFC Equity Opportunities Fund - Series 2 - Direct</v>
          </cell>
          <cell r="B4927">
            <v>540592</v>
          </cell>
          <cell r="C4927" t="str">
            <v>HEOFDD1126</v>
          </cell>
        </row>
        <row r="4928">
          <cell r="A4928" t="str">
            <v>HDFC EOF- II - 1126D May 2017(1) plan under HDFC Equity Opportunities Fund - Series2 - Regular</v>
          </cell>
          <cell r="B4928">
            <v>540593</v>
          </cell>
          <cell r="C4928" t="str">
            <v>HEOFRG1126</v>
          </cell>
        </row>
        <row r="4929">
          <cell r="A4929" t="str">
            <v>HDFC EOF - II - 1126D May 2017(1)  plan under HDFC Equity Opportunities Fund - Series 2 - Regular</v>
          </cell>
          <cell r="B4929">
            <v>540594</v>
          </cell>
          <cell r="C4929" t="str">
            <v>HEOFRD1126</v>
          </cell>
        </row>
        <row r="4930">
          <cell r="A4930" t="str">
            <v>ICICI Prudential Nifty Low Vol 30 ETF</v>
          </cell>
          <cell r="B4930">
            <v>540612</v>
          </cell>
          <cell r="C4930" t="str">
            <v>ICICILOVOL</v>
          </cell>
        </row>
        <row r="4931">
          <cell r="A4931" t="str">
            <v>Aditya Birla Sun Life RESURGENT INDIA FUND â€“ SERIES 4 REGULAR GROWTH</v>
          </cell>
          <cell r="B4931">
            <v>540617</v>
          </cell>
          <cell r="C4931" t="str">
            <v>BSLRIFS4RG</v>
          </cell>
        </row>
        <row r="4932">
          <cell r="A4932" t="str">
            <v>Aditya Birla Sun Life RESURGENT INDIA FUND â€“ SERIES 4 REGULAR DIVIDEND</v>
          </cell>
          <cell r="B4932">
            <v>540618</v>
          </cell>
          <cell r="C4932" t="str">
            <v>BSLRIFS4RD</v>
          </cell>
        </row>
        <row r="4933">
          <cell r="A4933" t="str">
            <v>Aditya Birla Sun Life RESURGENT INDIA FUND â€“ SERIES 4 DIRECT GROWTH</v>
          </cell>
          <cell r="B4933">
            <v>540619</v>
          </cell>
          <cell r="C4933" t="str">
            <v>BSLRIFS4DG</v>
          </cell>
        </row>
        <row r="4934">
          <cell r="A4934" t="str">
            <v>Aditya Birla Sun Life RESURGENT INDIA FUND â€“ SERIES 4 DIRECT DIVIDEND</v>
          </cell>
          <cell r="B4934">
            <v>540620</v>
          </cell>
          <cell r="C4934" t="str">
            <v>BSLRIFS4DD</v>
          </cell>
        </row>
        <row r="4935">
          <cell r="A4935" t="str">
            <v>ICICI PRUDENTIAL VALUE FUND-SERIES 15-CUMULATIVE</v>
          </cell>
          <cell r="B4935">
            <v>540626</v>
          </cell>
          <cell r="C4935" t="str">
            <v>IPRU2987</v>
          </cell>
        </row>
        <row r="4936">
          <cell r="A4936" t="str">
            <v>ICICI PRUDENTIAL VALUE FUND-SERIES 15-DIVIDEND PAYOUT</v>
          </cell>
          <cell r="B4936">
            <v>540627</v>
          </cell>
          <cell r="C4936" t="str">
            <v>IPRU2988</v>
          </cell>
        </row>
        <row r="4937">
          <cell r="A4937" t="str">
            <v>ICICI PRUDENTIAL VALUE FUND-SERIES 15-DIRECT PLAN CUMULATIVE</v>
          </cell>
          <cell r="B4937">
            <v>540629</v>
          </cell>
          <cell r="C4937" t="str">
            <v>IPRU9189</v>
          </cell>
        </row>
        <row r="4938">
          <cell r="A4938" t="str">
            <v>ICICI PRUDENTIAL VALUE FUND-SERIES 15-DIRECT PLAN DIVIDEND PAYOUT</v>
          </cell>
          <cell r="B4938">
            <v>540631</v>
          </cell>
          <cell r="C4938" t="str">
            <v>IPRU9190</v>
          </cell>
        </row>
        <row r="4939">
          <cell r="A4939" t="str">
            <v>HDFC EQUITY OPPORTUNITIES FUND-II-1100D JUNE 2017(1) SERIES 2-DIRECT OPTION-GROWTH OPTION</v>
          </cell>
          <cell r="B4939">
            <v>540634</v>
          </cell>
          <cell r="C4939" t="str">
            <v>HEOFDG1100</v>
          </cell>
        </row>
        <row r="4940">
          <cell r="A4940" t="str">
            <v>HDFC EQUITY OPPORTUNITIES FUND-II-1100D JUNE 2017(1) SERIES 2-DIRECT OPTION-DIVIDEND PAYOUT OPTION</v>
          </cell>
          <cell r="B4940">
            <v>540635</v>
          </cell>
          <cell r="C4940" t="str">
            <v>HEOFDD1100</v>
          </cell>
        </row>
        <row r="4941">
          <cell r="A4941" t="str">
            <v>HDFC EQUITY OPPORTUNITIES FUND-II-1100D JUNE 2017(1) SERIES 2-REGULAR OPTION-GROWTH OPTION</v>
          </cell>
          <cell r="B4941">
            <v>540636</v>
          </cell>
          <cell r="C4941" t="str">
            <v>HEOFRG1100</v>
          </cell>
        </row>
        <row r="4942">
          <cell r="A4942" t="str">
            <v>HDFC EQUITY OPPORTUNITIES FUND-II-1100D JUNE 2017(1) SERIES 2-REGULAR OPTION-DIVIDEND PAYOUT OPTION</v>
          </cell>
          <cell r="B4942">
            <v>540637</v>
          </cell>
          <cell r="C4942" t="str">
            <v>HEOFRD1100</v>
          </cell>
        </row>
        <row r="4943">
          <cell r="A4943" t="str">
            <v>UTI Nifty Next 50 ETF</v>
          </cell>
          <cell r="B4943">
            <v>540669</v>
          </cell>
          <cell r="C4943" t="str">
            <v>UTINEXT50</v>
          </cell>
        </row>
        <row r="4944">
          <cell r="A4944" t="str">
            <v>Axis Equity Advantage Fund - Series 2 Direct Plan - Growth</v>
          </cell>
          <cell r="B4944">
            <v>540671</v>
          </cell>
          <cell r="C4944" t="str">
            <v>AXISAHDGG</v>
          </cell>
        </row>
        <row r="4945">
          <cell r="A4945" t="str">
            <v>Axis Equity Advantage Fund - Series 2 Regular Plan - Growth</v>
          </cell>
          <cell r="B4945">
            <v>540672</v>
          </cell>
          <cell r="C4945" t="str">
            <v>AXISAHGPG</v>
          </cell>
        </row>
        <row r="4946">
          <cell r="A4946" t="str">
            <v>ICICI Prudential Value Fund - Series 16 - Cumulative Option</v>
          </cell>
          <cell r="B4946">
            <v>540682</v>
          </cell>
          <cell r="C4946" t="str">
            <v>IPRU2991</v>
          </cell>
        </row>
        <row r="4947">
          <cell r="A4947" t="str">
            <v>ICICI Prudential Value Fund - Series 16 - Dividend Payout Option</v>
          </cell>
          <cell r="B4947">
            <v>540683</v>
          </cell>
          <cell r="C4947" t="str">
            <v>IPRU2992</v>
          </cell>
        </row>
        <row r="4948">
          <cell r="A4948" t="str">
            <v>ICICI Prudential Value Fund - Series 16 - Direct Plan Cumulative Option</v>
          </cell>
          <cell r="B4948">
            <v>540684</v>
          </cell>
          <cell r="C4948" t="str">
            <v>IPRU9193</v>
          </cell>
        </row>
        <row r="4949">
          <cell r="A4949" t="str">
            <v>ICICI Prudential Value Fund - Series 16 - Direct Plan Dividend Payout Option</v>
          </cell>
          <cell r="B4949">
            <v>540685</v>
          </cell>
          <cell r="C4949" t="str">
            <v>IPRU9194</v>
          </cell>
        </row>
        <row r="4950">
          <cell r="A4950" t="str">
            <v>ICICI PRUDENTIAL VALUE FUND SERIES 17 - CUMULATIVE OPTION</v>
          </cell>
          <cell r="B4950">
            <v>540711</v>
          </cell>
          <cell r="C4950" t="str">
            <v>IPRU3003</v>
          </cell>
        </row>
        <row r="4951">
          <cell r="A4951" t="str">
            <v>ICICI PRUDENTIAL VALUE FUND SERIES 17 - DIVIDEND OPTION</v>
          </cell>
          <cell r="B4951">
            <v>540712</v>
          </cell>
          <cell r="C4951" t="str">
            <v>IPRU3004</v>
          </cell>
        </row>
        <row r="4952">
          <cell r="A4952" t="str">
            <v>ICICI PRUDENTIAL VALUE FUND SERIES 17 - DIRECT PLAN CUMULATIVE OPTION</v>
          </cell>
          <cell r="B4952">
            <v>540713</v>
          </cell>
          <cell r="C4952" t="str">
            <v>IPRU9205</v>
          </cell>
        </row>
        <row r="4953">
          <cell r="A4953" t="str">
            <v>ICICI PRUDENTIAL VALUE FUND SERIES 17 - DIRECT PLAN DIVIDEND OPTION</v>
          </cell>
          <cell r="B4953">
            <v>540714</v>
          </cell>
          <cell r="C4953" t="str">
            <v>IPRU9206</v>
          </cell>
        </row>
        <row r="4954">
          <cell r="A4954" t="str">
            <v>Aditya Birla Sun Life Resurgent India Fund - Series 5 - Regular Plan Growth</v>
          </cell>
          <cell r="B4954">
            <v>540739</v>
          </cell>
          <cell r="C4954" t="str">
            <v>ABSLRIF5RG</v>
          </cell>
        </row>
        <row r="4955">
          <cell r="A4955" t="str">
            <v>Aditya Birla Sun Life Resurgent India Fund - Series 5 - Regular Plan Dividend Payout</v>
          </cell>
          <cell r="B4955">
            <v>540740</v>
          </cell>
          <cell r="C4955" t="str">
            <v>ABSLRIF5RD</v>
          </cell>
        </row>
        <row r="4956">
          <cell r="A4956" t="str">
            <v>Aditya Birla Sun Life Resurgent India Fund - Series 5 - Direct Plan Growth</v>
          </cell>
          <cell r="B4956">
            <v>540741</v>
          </cell>
          <cell r="C4956" t="str">
            <v>ABSLRIF5DG</v>
          </cell>
        </row>
        <row r="4957">
          <cell r="A4957" t="str">
            <v>Aditya Birla Sun Life Resurgent India Fund - Series 5 - Direct Plan Dividend Payout</v>
          </cell>
          <cell r="B4957">
            <v>540742</v>
          </cell>
          <cell r="C4957" t="str">
            <v>ABSLRIF5DD</v>
          </cell>
        </row>
        <row r="4958">
          <cell r="A4958" t="str">
            <v>ICICI Prudential Value Fund Series 18 - Cumulative Option</v>
          </cell>
          <cell r="B4958">
            <v>540763</v>
          </cell>
          <cell r="C4958" t="str">
            <v>IPRU3013</v>
          </cell>
        </row>
        <row r="4959">
          <cell r="A4959" t="str">
            <v>ICICI Prudential Value Fund Series 18 - Dividend Payout Option</v>
          </cell>
          <cell r="B4959">
            <v>540764</v>
          </cell>
          <cell r="C4959" t="str">
            <v>IPRU3014</v>
          </cell>
        </row>
        <row r="4960">
          <cell r="A4960" t="str">
            <v>ICICI Prudential Value Fund Series 18 - Direct Plan Cumulative Option</v>
          </cell>
          <cell r="B4960">
            <v>540765</v>
          </cell>
          <cell r="C4960" t="str">
            <v>IPRU9215</v>
          </cell>
        </row>
        <row r="4961">
          <cell r="A4961" t="str">
            <v>ICICI Prudential Value Fund Series 18 - Direct Plan Dividend Payout Option</v>
          </cell>
          <cell r="B4961">
            <v>540766</v>
          </cell>
          <cell r="C4961" t="str">
            <v>IPRU9216</v>
          </cell>
        </row>
        <row r="4962">
          <cell r="A4962" t="str">
            <v>NIPPON INDIA MUTUAL FUND  CAPITAL BUILDER FD SR B DR DVP 06JN21</v>
          </cell>
          <cell r="B4962">
            <v>540778</v>
          </cell>
          <cell r="C4962" t="str">
            <v>NCBFIVBDD</v>
          </cell>
        </row>
        <row r="4963">
          <cell r="A4963" t="str">
            <v>NIPPON INDIA MUTUAL FUND  CAPITAL BUILDER FD SR B DR GWTH 06JN21</v>
          </cell>
          <cell r="B4963">
            <v>540779</v>
          </cell>
          <cell r="C4963" t="str">
            <v>NCBFIVBDG</v>
          </cell>
        </row>
        <row r="4964">
          <cell r="A4964" t="str">
            <v>NIPPON INDIA MUTUAL FUND  CAPITAL BUILDER FD SR B RG DVP 06JN21</v>
          </cell>
          <cell r="B4964">
            <v>540780</v>
          </cell>
          <cell r="C4964" t="str">
            <v>NCBFIVBD</v>
          </cell>
        </row>
        <row r="4965">
          <cell r="A4965" t="str">
            <v>NIPPON INDIA MUTUAL FUND  CAPITAL BUILDER FD SR B RG GWTH 06JN21</v>
          </cell>
          <cell r="B4965">
            <v>540781</v>
          </cell>
          <cell r="C4965" t="str">
            <v>NCBFIVBG</v>
          </cell>
        </row>
        <row r="4966">
          <cell r="A4966" t="str">
            <v>BHARAT 22 ETF - ICICI Prudential AMC</v>
          </cell>
          <cell r="B4966">
            <v>540787</v>
          </cell>
          <cell r="C4966" t="str">
            <v>ICICIB22</v>
          </cell>
        </row>
        <row r="4967">
          <cell r="A4967" t="str">
            <v>HDFC HOF-I-1140D November 2017(1) - Direct Option - Growth Option</v>
          </cell>
          <cell r="B4967">
            <v>540791</v>
          </cell>
          <cell r="C4967" t="str">
            <v>HHOF1140DG</v>
          </cell>
        </row>
        <row r="4968">
          <cell r="A4968" t="str">
            <v>HDFC HOF-I-1140D November 2017(1) - Direct Option - Dividend Payout Option</v>
          </cell>
          <cell r="B4968">
            <v>540792</v>
          </cell>
          <cell r="C4968" t="str">
            <v>HHOF1140DD</v>
          </cell>
        </row>
        <row r="4969">
          <cell r="A4969" t="str">
            <v>HDFC HOF-I-1140D November 2017(1) - Regular Option - Growth Option</v>
          </cell>
          <cell r="B4969">
            <v>540793</v>
          </cell>
          <cell r="C4969" t="str">
            <v>HHOF1140RG</v>
          </cell>
        </row>
        <row r="4970">
          <cell r="A4970" t="str">
            <v>HDFC HOF-I-1140D November 2017(1) - Regular  Option - Dividend Payout Option</v>
          </cell>
          <cell r="B4970">
            <v>540794</v>
          </cell>
          <cell r="C4970" t="str">
            <v>HHOF1140RD</v>
          </cell>
        </row>
        <row r="4971">
          <cell r="A4971" t="str">
            <v>DSP BLACKROCK A.C.E. Fund Series 1 - Regular Growth</v>
          </cell>
          <cell r="B4971">
            <v>540799</v>
          </cell>
          <cell r="C4971" t="str">
            <v>DACEFRG</v>
          </cell>
        </row>
        <row r="4972">
          <cell r="A4972" t="str">
            <v>DSP BLACKROCK A.C.E. Fund Series 1 - Regular-Dividend Payout</v>
          </cell>
          <cell r="B4972">
            <v>540800</v>
          </cell>
          <cell r="C4972" t="str">
            <v>DACEFRDP</v>
          </cell>
        </row>
        <row r="4973">
          <cell r="A4973" t="str">
            <v>DSP BLACKROCK A.C.E. Fund Series 1 - Direct Growth</v>
          </cell>
          <cell r="B4973">
            <v>540801</v>
          </cell>
          <cell r="C4973" t="str">
            <v>DACEFDG</v>
          </cell>
        </row>
        <row r="4974">
          <cell r="A4974" t="str">
            <v>DSP BLACKROCK A.C.E. Fund Series 1 - Direct - Dividend Payout</v>
          </cell>
          <cell r="B4974">
            <v>540802</v>
          </cell>
          <cell r="C4974" t="str">
            <v>DACEFDDP</v>
          </cell>
        </row>
        <row r="4975">
          <cell r="A4975" t="str">
            <v>NIPPON INDIA MUTUAL FUND  CAPITAL BUILDER FD IV SR C DR DVP 20MR21</v>
          </cell>
          <cell r="B4975">
            <v>540825</v>
          </cell>
          <cell r="C4975" t="str">
            <v>NCBFIVBCD</v>
          </cell>
        </row>
        <row r="4976">
          <cell r="A4976" t="str">
            <v>NIPPON INDIA MUTUAL FUND  CAPITAL BUILDER FD IV SR C RG GWTH 20MR21</v>
          </cell>
          <cell r="B4976">
            <v>540826</v>
          </cell>
          <cell r="C4976" t="str">
            <v>NCBFIVCG</v>
          </cell>
        </row>
        <row r="4977">
          <cell r="A4977" t="str">
            <v>NIPPON INDIA MUTUAL FUND  CAPITAL BUILDER FD IV SR C DR GWTH 20MR21</v>
          </cell>
          <cell r="B4977">
            <v>540827</v>
          </cell>
          <cell r="C4977" t="str">
            <v>NCBFIVBCG</v>
          </cell>
        </row>
        <row r="4978">
          <cell r="A4978" t="str">
            <v>NIPPON INDIA MUTUAL FUND  CAPITAL BUILDER FD IV SR C RG DVP 20MR21</v>
          </cell>
          <cell r="B4978">
            <v>540828</v>
          </cell>
          <cell r="C4978" t="str">
            <v>NCBFIVCD</v>
          </cell>
        </row>
        <row r="4979">
          <cell r="A4979" t="str">
            <v>ICICI PRUDENTIAL VALUE FUND - SERIES 19 - CUMULATIVE OPTION</v>
          </cell>
          <cell r="B4979">
            <v>540861</v>
          </cell>
          <cell r="C4979" t="str">
            <v>IPRU3018</v>
          </cell>
        </row>
        <row r="4980">
          <cell r="A4980" t="str">
            <v>ICICI PRUDENTIAL VALUE FUND - SERIES 19  - DIVIDEND PAYOUT OPTION</v>
          </cell>
          <cell r="B4980">
            <v>540862</v>
          </cell>
          <cell r="C4980" t="str">
            <v>IPRU3019</v>
          </cell>
        </row>
        <row r="4981">
          <cell r="A4981" t="str">
            <v>ICICI PRUDENTIAL VALUE FUND - SERIES 19  - DIRECT PLAN CUMULATIVE OPTION</v>
          </cell>
          <cell r="B4981">
            <v>540863</v>
          </cell>
          <cell r="C4981" t="str">
            <v>IPRU9220</v>
          </cell>
        </row>
        <row r="4982">
          <cell r="A4982" t="str">
            <v>ICICI PRUDENTIAL VALUE FUND - SERIES 19  -DIRECT PLAN DIVIDEND PAYOUT OPTION</v>
          </cell>
          <cell r="B4982">
            <v>540864</v>
          </cell>
          <cell r="C4982" t="str">
            <v>IPRU9221</v>
          </cell>
        </row>
        <row r="4983">
          <cell r="A4983" t="str">
            <v>NIPPON INDIA MUTUAL FUND  CAPITAL BUILDER FD IV SRD DR DVP 18JN21</v>
          </cell>
          <cell r="B4983">
            <v>540896</v>
          </cell>
          <cell r="C4983" t="str">
            <v>NCBFIVDDD</v>
          </cell>
        </row>
        <row r="4984">
          <cell r="A4984" t="str">
            <v>NIPPON INDIA MUTUAL FUND  CAPITAL BUILDER FD IV SRD RG GWTH 18JN21</v>
          </cell>
          <cell r="B4984">
            <v>540897</v>
          </cell>
          <cell r="C4984" t="str">
            <v>NCBFIVDG</v>
          </cell>
        </row>
        <row r="4985">
          <cell r="A4985" t="str">
            <v>NIPPON INDIA MUTUAL FUND  CAPITAL BUILDER FD IV SRD DR GWTH 18JN21</v>
          </cell>
          <cell r="B4985">
            <v>540898</v>
          </cell>
          <cell r="C4985" t="str">
            <v>NCBFIVDDG</v>
          </cell>
        </row>
        <row r="4986">
          <cell r="A4986" t="str">
            <v>NIPPON INDIA MUTUAL FUND  CAPITAL BUILDER FD IV SRD RG DVP 18JN21</v>
          </cell>
          <cell r="B4986">
            <v>540899</v>
          </cell>
          <cell r="C4986" t="str">
            <v>NCBFIVDD</v>
          </cell>
        </row>
        <row r="4987">
          <cell r="A4987" t="str">
            <v>ICICI Prudential Value Fund - Series 20 - Cumulative Option</v>
          </cell>
          <cell r="B4987">
            <v>540947</v>
          </cell>
          <cell r="C4987" t="str">
            <v>IPRU3034</v>
          </cell>
        </row>
        <row r="4988">
          <cell r="A4988" t="str">
            <v>ICICI Prudential Value Fund - Series 20 - Dividend Option</v>
          </cell>
          <cell r="B4988">
            <v>540949</v>
          </cell>
          <cell r="C4988" t="str">
            <v>IPRU3035</v>
          </cell>
        </row>
        <row r="4989">
          <cell r="A4989" t="str">
            <v>ICICI Prudential Value Fund - Series 20 - Direct Plan Cumulative Option</v>
          </cell>
          <cell r="B4989">
            <v>540950</v>
          </cell>
          <cell r="C4989" t="str">
            <v>IPRU9236</v>
          </cell>
        </row>
        <row r="4990">
          <cell r="A4990" t="str">
            <v>ICICI Prudential Value Fund - Series 20 - Direct Plan Dividend Option</v>
          </cell>
          <cell r="B4990">
            <v>540951</v>
          </cell>
          <cell r="C4990" t="str">
            <v>IPRU9237</v>
          </cell>
        </row>
        <row r="4991">
          <cell r="A4991" t="str">
            <v>Kotak India Growth Fund   Series 4 - Regular Plan Growth Option</v>
          </cell>
          <cell r="B4991">
            <v>540981</v>
          </cell>
          <cell r="C4991" t="str">
            <v>KTKIND4RG</v>
          </cell>
        </row>
        <row r="4992">
          <cell r="A4992" t="str">
            <v>Kotak India Growth Fund   Series 4 - Regular Plan Dividend Option</v>
          </cell>
          <cell r="B4992">
            <v>540982</v>
          </cell>
          <cell r="C4992" t="str">
            <v>KTKIND4RD</v>
          </cell>
        </row>
        <row r="4993">
          <cell r="A4993" t="str">
            <v>KOTAK INDIA GROWTH FUND SERIES 4 DIRECT PLAN DIVIDEND OPTION</v>
          </cell>
          <cell r="B4993">
            <v>540983</v>
          </cell>
          <cell r="C4993" t="str">
            <v>KTKIND4DD</v>
          </cell>
        </row>
        <row r="4994">
          <cell r="A4994" t="str">
            <v>Kotak India Growth Fund   Series 4 - Direct Plan Growth Option</v>
          </cell>
          <cell r="B4994">
            <v>540984</v>
          </cell>
          <cell r="C4994" t="str">
            <v>KTKIND4DG</v>
          </cell>
        </row>
        <row r="4995">
          <cell r="A4995" t="str">
            <v>Axis Capital Builder Fund - Series 1 (1540 Days) - Direct Plan  - Dividend Payout</v>
          </cell>
          <cell r="B4995">
            <v>541068</v>
          </cell>
          <cell r="C4995" t="str">
            <v>AXISCBD1D</v>
          </cell>
        </row>
        <row r="4996">
          <cell r="A4996" t="str">
            <v>Axis Capital Builder Fund - Series 1 (1540 Days) - Direct Plan  - Growth</v>
          </cell>
          <cell r="B4996">
            <v>541069</v>
          </cell>
          <cell r="C4996" t="str">
            <v>AXISCBDGG</v>
          </cell>
        </row>
        <row r="4997">
          <cell r="A4997" t="str">
            <v>Axis Capital Builder Fund - Series 1 (1540 Days) - Regular Plan  - Dividend Payout</v>
          </cell>
          <cell r="B4997">
            <v>541070</v>
          </cell>
          <cell r="C4997" t="str">
            <v>AXISCBDPD</v>
          </cell>
        </row>
        <row r="4998">
          <cell r="A4998" t="str">
            <v>Axis Capital Builder Fund - Series 1 (1540 Days) - Regular Plan  - Growth</v>
          </cell>
          <cell r="B4998">
            <v>541071</v>
          </cell>
          <cell r="C4998" t="str">
            <v>AXISCBGPG</v>
          </cell>
        </row>
        <row r="4999">
          <cell r="A4999" t="str">
            <v>DSP BlackRock A C E Fund - Series 2 - Regular Plan - Growth Option</v>
          </cell>
          <cell r="B4999">
            <v>541084</v>
          </cell>
          <cell r="C4999" t="str">
            <v>DACE2RG</v>
          </cell>
        </row>
        <row r="5000">
          <cell r="A5000" t="str">
            <v>DSP BlackRock A C E Fund - Series 2 - Regular Plan - Dividend Payout Option</v>
          </cell>
          <cell r="B5000">
            <v>541085</v>
          </cell>
          <cell r="C5000" t="str">
            <v>DACE2RDP</v>
          </cell>
        </row>
        <row r="5001">
          <cell r="A5001" t="str">
            <v>DSP BlackRock A C E Fund - Series 2 - Direct Plan - Growth Option</v>
          </cell>
          <cell r="B5001">
            <v>541086</v>
          </cell>
          <cell r="C5001" t="str">
            <v>DACE2DG</v>
          </cell>
        </row>
        <row r="5002">
          <cell r="A5002" t="str">
            <v>DSP BlackRock A C E Fund - Series 2 - Direct Plan - Dividend Payout  Option</v>
          </cell>
          <cell r="B5002">
            <v>541087</v>
          </cell>
          <cell r="C5002" t="str">
            <v>DACE2DDP</v>
          </cell>
        </row>
        <row r="5003">
          <cell r="A5003" t="str">
            <v>ADITYA BIRLA SUN LIFE RESURGENT INDIA FUND - SERIES 6- REGULAR PLAN- GROWTH</v>
          </cell>
          <cell r="B5003">
            <v>541092</v>
          </cell>
          <cell r="C5003" t="str">
            <v>ABSLRIF6RG</v>
          </cell>
        </row>
        <row r="5004">
          <cell r="A5004" t="str">
            <v>ADITYA BIRLA SUN LIFE RESURGENT INDIA FUND - SERIES 6- REGULAR PLAN- DIVIDEND PAYOUT</v>
          </cell>
          <cell r="B5004">
            <v>541093</v>
          </cell>
          <cell r="C5004" t="str">
            <v>ABSLRIF6RD</v>
          </cell>
        </row>
        <row r="5005">
          <cell r="A5005" t="str">
            <v>ADITYA BIRLA SUN LIFE RESURGENT INDIA FUND - SERIES 6- DIRECT PLAN- GROWTH</v>
          </cell>
          <cell r="B5005">
            <v>541094</v>
          </cell>
          <cell r="C5005" t="str">
            <v>ABSLRIF6DG</v>
          </cell>
        </row>
        <row r="5006">
          <cell r="A5006" t="str">
            <v>ADITYA BIRLA SUN LIFE RESURGENT INDIA FUND - SERIES 6- DIRECT PLAN- DIVIDEND PAYOUT</v>
          </cell>
          <cell r="B5006">
            <v>541095</v>
          </cell>
          <cell r="C5006" t="str">
            <v>ABSLRIF6DD</v>
          </cell>
        </row>
        <row r="5007">
          <cell r="A5007" t="str">
            <v>Aditya Birla Sun Life Resurgent India Fund - Series 7 - Regular Plan - Growth Option</v>
          </cell>
          <cell r="B5007">
            <v>541252</v>
          </cell>
          <cell r="C5007" t="str">
            <v>ABSLRIF7RG</v>
          </cell>
        </row>
        <row r="5008">
          <cell r="A5008" t="str">
            <v>Aditya Birla Sun Life Resurgent India Fund - Series 7 - Regular Plan - Dividend Payout</v>
          </cell>
          <cell r="B5008">
            <v>541253</v>
          </cell>
          <cell r="C5008" t="str">
            <v>ABSLRIF7RD</v>
          </cell>
        </row>
        <row r="5009">
          <cell r="A5009" t="str">
            <v>Aditya Birla Sun Life Resurgent India Fund - Series 7 - Direct Plan - Growth Option</v>
          </cell>
          <cell r="B5009">
            <v>541254</v>
          </cell>
          <cell r="C5009" t="str">
            <v>ABSLRIF7DG</v>
          </cell>
        </row>
        <row r="5010">
          <cell r="A5010" t="str">
            <v>Aditya Birla Sun Life Resurgent India Fund - Series 7 - Direct Plan - Dividend Payout</v>
          </cell>
          <cell r="B5010">
            <v>541255</v>
          </cell>
          <cell r="C5010" t="str">
            <v>ABSLRIF7DD</v>
          </cell>
        </row>
        <row r="5011">
          <cell r="A5011" t="str">
            <v>IndInfravit Trust</v>
          </cell>
          <cell r="B5011">
            <v>541300</v>
          </cell>
          <cell r="C5011" t="str">
            <v>INDINFR</v>
          </cell>
        </row>
        <row r="5012">
          <cell r="A5012" t="str">
            <v>ICICI Prudential Bharat Consumption Fund - Series 2 - Cumulative Option</v>
          </cell>
          <cell r="B5012">
            <v>541309</v>
          </cell>
          <cell r="C5012" t="str">
            <v>IPRU3095</v>
          </cell>
        </row>
        <row r="5013">
          <cell r="A5013" t="str">
            <v>ICICI Prudential Bharat Consumption Fund - Series 2 - Dividend Option</v>
          </cell>
          <cell r="B5013">
            <v>541310</v>
          </cell>
          <cell r="C5013" t="str">
            <v>IPRU3096</v>
          </cell>
        </row>
        <row r="5014">
          <cell r="A5014" t="str">
            <v>ICICI Prudential Bharat Consumption Fund - Series 2 - Direct Plan Cumulative Option</v>
          </cell>
          <cell r="B5014">
            <v>541311</v>
          </cell>
          <cell r="C5014" t="str">
            <v>IPRU9297</v>
          </cell>
        </row>
        <row r="5015">
          <cell r="A5015" t="str">
            <v>ICICI Prudential Bharat Consumption Fund - Series 2 - Direct Plan Dividend Option</v>
          </cell>
          <cell r="B5015">
            <v>541312</v>
          </cell>
          <cell r="C5015" t="str">
            <v>IPRU9298</v>
          </cell>
        </row>
        <row r="5016">
          <cell r="A5016" t="str">
            <v>ICICI Prudential S&amp;P BSE 500 ETF</v>
          </cell>
          <cell r="B5016">
            <v>541313</v>
          </cell>
          <cell r="C5016" t="str">
            <v>ICICI500</v>
          </cell>
        </row>
        <row r="5017">
          <cell r="A5017" t="str">
            <v>Kotak India Growth Fund Series 5 - Regular Plan - Growth Option</v>
          </cell>
          <cell r="B5017">
            <v>541341</v>
          </cell>
          <cell r="C5017" t="str">
            <v>KTKIND5RG</v>
          </cell>
        </row>
        <row r="5018">
          <cell r="A5018" t="str">
            <v>Kotak India Growth Fund Series 5 - Regular Plan - Dividend Option</v>
          </cell>
          <cell r="B5018">
            <v>541343</v>
          </cell>
          <cell r="C5018" t="str">
            <v>KTKIND5RD</v>
          </cell>
        </row>
        <row r="5019">
          <cell r="A5019" t="str">
            <v>Kotak India Growth Fund Series 5 - Direct Plan - Growth Option</v>
          </cell>
          <cell r="B5019">
            <v>541345</v>
          </cell>
          <cell r="C5019" t="str">
            <v>KTKIND5DG</v>
          </cell>
        </row>
        <row r="5020">
          <cell r="A5020" t="str">
            <v>Kotak India Growth Fund Series 5 - Direct Plan - Dividend Option</v>
          </cell>
          <cell r="B5020">
            <v>541346</v>
          </cell>
          <cell r="C5020" t="str">
            <v>KTKIND5DD</v>
          </cell>
        </row>
        <row r="5021">
          <cell r="A5021" t="str">
            <v>ICICI Prudential Bharat Consumption Fund  - Series 3 - Cumulative Option</v>
          </cell>
          <cell r="B5021">
            <v>541672</v>
          </cell>
          <cell r="C5021" t="str">
            <v>IPRU3143</v>
          </cell>
        </row>
        <row r="5022">
          <cell r="A5022" t="str">
            <v>ICICI Prudential Bharat Consumption Fund  - Series 3 - Dividend Payout Option</v>
          </cell>
          <cell r="B5022">
            <v>541673</v>
          </cell>
          <cell r="C5022" t="str">
            <v>IPRU3144</v>
          </cell>
        </row>
        <row r="5023">
          <cell r="A5023" t="str">
            <v>ICICI Prudential Bharat Consumption Fund  - Series 3 -  Direct Plan - Cumulative Option</v>
          </cell>
          <cell r="B5023">
            <v>541674</v>
          </cell>
          <cell r="C5023" t="str">
            <v>IPRU9345</v>
          </cell>
        </row>
        <row r="5024">
          <cell r="A5024" t="str">
            <v>ICICI Prudential Bharat Consumption Fund  - Series 3 - Direct Plan - Dividend Payout Option</v>
          </cell>
          <cell r="B5024">
            <v>541675</v>
          </cell>
          <cell r="C5024" t="str">
            <v>IPRU9346</v>
          </cell>
        </row>
        <row r="5025">
          <cell r="A5025" t="str">
            <v>Tata Vaue Fund Series 1 - Regular Plan - Dividend Payout Option</v>
          </cell>
          <cell r="B5025">
            <v>541676</v>
          </cell>
          <cell r="C5025" t="str">
            <v>TVF1D</v>
          </cell>
        </row>
        <row r="5026">
          <cell r="A5026" t="str">
            <v>Tata Vaue Fund Series 1 - Direct Plan - Dividend Payout Option</v>
          </cell>
          <cell r="B5026">
            <v>541677</v>
          </cell>
          <cell r="C5026" t="str">
            <v>TVF1DZ</v>
          </cell>
        </row>
        <row r="5027">
          <cell r="A5027" t="str">
            <v>Tata Vaue Fund Series 1 - Regular Plan - Growth Option</v>
          </cell>
          <cell r="B5027">
            <v>541678</v>
          </cell>
          <cell r="C5027" t="str">
            <v>TVF1G</v>
          </cell>
        </row>
        <row r="5028">
          <cell r="A5028" t="str">
            <v>Tata Vaue Fund Series 1 - Direct Plan - Growth Option</v>
          </cell>
          <cell r="B5028">
            <v>541679</v>
          </cell>
          <cell r="C5028" t="str">
            <v>TVF1GZ</v>
          </cell>
        </row>
        <row r="5029">
          <cell r="A5029" t="str">
            <v>IDFC Equity Opportunity - Series 6 - Regular Plan - Growth Option</v>
          </cell>
          <cell r="B5029">
            <v>541725</v>
          </cell>
          <cell r="C5029" t="str">
            <v>IDFCEOS6RG</v>
          </cell>
        </row>
        <row r="5030">
          <cell r="A5030" t="str">
            <v>IDFC Equity Opportunity - Series 6 - Regular Plan - Dividend Payout  Option</v>
          </cell>
          <cell r="B5030">
            <v>541726</v>
          </cell>
          <cell r="C5030" t="str">
            <v>IDFCEOS6RD</v>
          </cell>
        </row>
        <row r="5031">
          <cell r="A5031" t="str">
            <v>IDFC Equity Opportunity - Series 6 - Direct Plan - Growth Option</v>
          </cell>
          <cell r="B5031">
            <v>541727</v>
          </cell>
          <cell r="C5031" t="str">
            <v>IDFCEOS6DG</v>
          </cell>
        </row>
        <row r="5032">
          <cell r="A5032" t="str">
            <v>IDFC Equity Opportunity - Series 6 - Direct Plan - Dividend Payout Option</v>
          </cell>
          <cell r="B5032">
            <v>541728</v>
          </cell>
          <cell r="C5032" t="str">
            <v>IDFCEOS6DD</v>
          </cell>
        </row>
        <row r="5033">
          <cell r="A5033" t="str">
            <v>TATA Value Fund Series  2 - Regular Plan  - Dividend Payout Option</v>
          </cell>
          <cell r="B5033">
            <v>541742</v>
          </cell>
          <cell r="C5033" t="str">
            <v>TVF2D</v>
          </cell>
        </row>
        <row r="5034">
          <cell r="A5034" t="str">
            <v>TATA Value Fund Series  2 - Direct Plan  - Dividend Payout Option</v>
          </cell>
          <cell r="B5034">
            <v>541743</v>
          </cell>
          <cell r="C5034" t="str">
            <v>TVF2DZ</v>
          </cell>
        </row>
        <row r="5035">
          <cell r="A5035" t="str">
            <v>TATA Value Fund Series  2 - Regular  Plan  - Growth Option</v>
          </cell>
          <cell r="B5035">
            <v>541744</v>
          </cell>
          <cell r="C5035" t="str">
            <v>TVF2G</v>
          </cell>
        </row>
        <row r="5036">
          <cell r="A5036" t="str">
            <v>TATA Value Fund Series  2 - Direct Plan  - Growth Option</v>
          </cell>
          <cell r="B5036">
            <v>541745</v>
          </cell>
          <cell r="C5036" t="str">
            <v>TVF2GZ</v>
          </cell>
        </row>
        <row r="5037">
          <cell r="A5037" t="str">
            <v>ICICI PRU Bharat Consumption Fund - Sr 4 - Cumulative</v>
          </cell>
          <cell r="B5037">
            <v>541804</v>
          </cell>
          <cell r="C5037" t="str">
            <v>IPRU3168</v>
          </cell>
        </row>
        <row r="5038">
          <cell r="A5038" t="str">
            <v>ICICI PRU Bharat Consumption Fund - Sr 4 - Dividend Payout Option</v>
          </cell>
          <cell r="B5038">
            <v>541805</v>
          </cell>
          <cell r="C5038" t="str">
            <v>IPRU3169</v>
          </cell>
        </row>
        <row r="5039">
          <cell r="A5039" t="str">
            <v>ICICI PRU Bharat Consumption Fund - Sr 4 - Direct Plan Cumulative</v>
          </cell>
          <cell r="B5039">
            <v>541806</v>
          </cell>
          <cell r="C5039" t="str">
            <v>IPRU9370</v>
          </cell>
        </row>
        <row r="5040">
          <cell r="A5040" t="str">
            <v>ICICI PRU Bharat Consumption Fund - Sr 4 - Direct Plan Dividend Payout</v>
          </cell>
          <cell r="B5040">
            <v>541807</v>
          </cell>
          <cell r="C5040" t="str">
            <v>IPRU9371</v>
          </cell>
        </row>
        <row r="5041">
          <cell r="A5041" t="str">
            <v>ICICI Prudential Nifty Next 50 ETF</v>
          </cell>
          <cell r="B5041">
            <v>541809</v>
          </cell>
          <cell r="C5041" t="str">
            <v>ICICINXT50</v>
          </cell>
        </row>
        <row r="5042">
          <cell r="A5042" t="str">
            <v>Kotak India Growth Fund Series 7 - Regular Plan - Growth Option</v>
          </cell>
          <cell r="B5042">
            <v>541879</v>
          </cell>
          <cell r="C5042" t="str">
            <v>KTKIND7RG</v>
          </cell>
        </row>
        <row r="5043">
          <cell r="A5043" t="str">
            <v>Kotak India Growth Fund Series 7 - Regular Plan - Dividend Option</v>
          </cell>
          <cell r="B5043">
            <v>541881</v>
          </cell>
          <cell r="C5043" t="str">
            <v>KTKIND7RD</v>
          </cell>
        </row>
        <row r="5044">
          <cell r="A5044" t="str">
            <v>Kotak India Growth Fund Series 7 - Direct Plan - Growth Option</v>
          </cell>
          <cell r="B5044">
            <v>541882</v>
          </cell>
          <cell r="C5044" t="str">
            <v>KTKIND7DG</v>
          </cell>
        </row>
        <row r="5045">
          <cell r="A5045" t="str">
            <v>Kotak India Growth Fund Series 7 - Direct Plan - Dividend Option</v>
          </cell>
          <cell r="B5045">
            <v>541884</v>
          </cell>
          <cell r="C5045" t="str">
            <v>KTKIND7DD</v>
          </cell>
        </row>
        <row r="5046">
          <cell r="A5046" t="str">
            <v>SBI - ETF - SENSEX NEXT 50</v>
          </cell>
          <cell r="B5046">
            <v>541972</v>
          </cell>
          <cell r="C5046" t="str">
            <v>SETFSN50</v>
          </cell>
        </row>
        <row r="5047">
          <cell r="A5047" t="str">
            <v>NIPPON INDIA MUTUAL FUND  INDIA OPPT FD  SR A RG GWTH31JN22</v>
          </cell>
          <cell r="B5047">
            <v>541984</v>
          </cell>
          <cell r="C5047" t="str">
            <v>NIOSAG</v>
          </cell>
        </row>
        <row r="5048">
          <cell r="A5048" t="str">
            <v>NIPPON INDIA MUTUAL FUND  INDIA OPPT FD  SR A RG DVP31JN22</v>
          </cell>
          <cell r="B5048">
            <v>541985</v>
          </cell>
          <cell r="C5048" t="str">
            <v>NIOSAD</v>
          </cell>
        </row>
        <row r="5049">
          <cell r="A5049" t="str">
            <v>NIPPON INDIA MUTUAL FUND  INDIA OPPT FD  SR A DR GWTH31JN22</v>
          </cell>
          <cell r="B5049">
            <v>541986</v>
          </cell>
          <cell r="C5049" t="str">
            <v>NIOSADG</v>
          </cell>
        </row>
        <row r="5050">
          <cell r="A5050" t="str">
            <v>NIPPON INDIA MUTUAL FUND  INDIA OPPT FD  SR A DR DVP31JN22</v>
          </cell>
          <cell r="B5050">
            <v>541987</v>
          </cell>
          <cell r="C5050" t="str">
            <v>NIOSADD</v>
          </cell>
        </row>
        <row r="5051">
          <cell r="A5051" t="str">
            <v>MIRAE ASSET NIFTY 50 ETF (MAN50ETF)</v>
          </cell>
          <cell r="B5051">
            <v>542131</v>
          </cell>
          <cell r="C5051" t="str">
            <v>MAN50ETF</v>
          </cell>
        </row>
        <row r="5052">
          <cell r="A5052" t="str">
            <v>ICICI Prudential Bharat Consumption Fund - Series 5 - Cumulative Option</v>
          </cell>
          <cell r="B5052">
            <v>542156</v>
          </cell>
          <cell r="C5052" t="str">
            <v>IPRU3218</v>
          </cell>
        </row>
        <row r="5053">
          <cell r="A5053" t="str">
            <v>ICICI Prudential Bharat Consumption Fund - Series 5 - Dividend Payout Option</v>
          </cell>
          <cell r="B5053">
            <v>542158</v>
          </cell>
          <cell r="C5053" t="str">
            <v>IPRU3219</v>
          </cell>
        </row>
        <row r="5054">
          <cell r="A5054" t="str">
            <v>ICICI Prudential Bharat Consumption Fund - Series 5 -  Direct Plan - Cumulative Option</v>
          </cell>
          <cell r="B5054">
            <v>542160</v>
          </cell>
          <cell r="C5054" t="str">
            <v>IPRU9420</v>
          </cell>
        </row>
        <row r="5055">
          <cell r="A5055" t="str">
            <v>ICICI Prudential Bharat Consumption Fund - Series 5 -  Direct Plan - Dividend Payout  Option</v>
          </cell>
          <cell r="B5055">
            <v>542163</v>
          </cell>
          <cell r="C5055" t="str">
            <v>IPRU9421</v>
          </cell>
        </row>
        <row r="5056">
          <cell r="A5056" t="str">
            <v>Aditya Birla Sun Life Nifty Next 50 ETF</v>
          </cell>
          <cell r="B5056">
            <v>542230</v>
          </cell>
          <cell r="C5056" t="str">
            <v>ABSLNN50ET</v>
          </cell>
        </row>
        <row r="5057">
          <cell r="A5057" t="str">
            <v>Axis&amp;#160;Capital&amp;#160;Builder&amp;#160;Fund&amp;#160;-&amp;#160;Series&amp;#160;4&amp;#160;(1582&amp;#160;days)&amp;#160;-</v>
          </cell>
          <cell r="B5057">
            <v>542244</v>
          </cell>
          <cell r="C5057" t="str">
            <v>AXISCCDID</v>
          </cell>
        </row>
        <row r="5058">
          <cell r="A5058" t="str">
            <v>Axis&amp;#160;Capital&amp;#160;Builder&amp;#160;Fund&amp;#160;-&amp;#160;Series&amp;#160;4&amp;#160;(1582&amp;#160;days)&amp;#160;-Direct&amp;#160;Plan&amp;#160;-&amp;#160;Growth&amp;#160;Option</v>
          </cell>
          <cell r="B5058">
            <v>542245</v>
          </cell>
          <cell r="C5058" t="str">
            <v>AXISCCDGG</v>
          </cell>
        </row>
        <row r="5059">
          <cell r="A5059" t="str">
            <v>Axis&amp;#160;Capital&amp;#160;Builder&amp;#160;Fund&amp;#160;-&amp;#160;Series&amp;#160;4&amp;#160;(1582&amp;#160;days)&amp;#160;-Regular&amp;#160;Plan&amp;#160;-&amp;#160;Dividend&amp;#160;Payout&amp;#160;Option</v>
          </cell>
          <cell r="B5059">
            <v>542246</v>
          </cell>
          <cell r="C5059" t="str">
            <v>AXISCCDPD</v>
          </cell>
        </row>
        <row r="5060">
          <cell r="A5060" t="str">
            <v>Axis&amp;#160;Capital&amp;#160;Builder&amp;#160;Fund&amp;#160;-&amp;#160;Series&amp;#160;4&amp;#160;(1582&amp;#160;days)&amp;#160;- Regular&amp;#160;Plan&amp;#160;-&amp;#160;Growth&amp;#160;Option</v>
          </cell>
          <cell r="B5060">
            <v>542247</v>
          </cell>
          <cell r="C5060" t="str">
            <v>AXISCCGPG</v>
          </cell>
        </row>
        <row r="5061">
          <cell r="A5061" t="str">
            <v>UTI S&amp;P BSE Sensex Next 50 ETF</v>
          </cell>
          <cell r="B5061">
            <v>542513</v>
          </cell>
          <cell r="C5061" t="str">
            <v>UTISXN50</v>
          </cell>
        </row>
        <row r="5062">
          <cell r="A5062" t="str">
            <v>India Infrastructure Trust</v>
          </cell>
          <cell r="B5062">
            <v>542543</v>
          </cell>
          <cell r="C5062" t="str">
            <v>INFRATRUST</v>
          </cell>
        </row>
        <row r="5063">
          <cell r="A5063" t="str">
            <v>Parshva Enterprises Ltd</v>
          </cell>
          <cell r="B5063">
            <v>542694</v>
          </cell>
          <cell r="C5063" t="str">
            <v>PARSHVA</v>
          </cell>
        </row>
        <row r="5064">
          <cell r="A5064" t="str">
            <v>Anand Rayons Ltd</v>
          </cell>
          <cell r="B5064">
            <v>542721</v>
          </cell>
          <cell r="C5064" t="str">
            <v>ARL</v>
          </cell>
        </row>
        <row r="5065">
          <cell r="A5065" t="str">
            <v>Earum Pharmaceuticals Ltd</v>
          </cell>
          <cell r="B5065">
            <v>542724</v>
          </cell>
          <cell r="C5065" t="str">
            <v>EARUM</v>
          </cell>
        </row>
        <row r="5066">
          <cell r="A5066" t="str">
            <v>SBC Exports Ltd</v>
          </cell>
          <cell r="B5066">
            <v>542725</v>
          </cell>
          <cell r="C5066" t="str">
            <v>SBC</v>
          </cell>
        </row>
        <row r="5067">
          <cell r="A5067" t="str">
            <v>IndiaMART InterMESH Ltd</v>
          </cell>
          <cell r="B5067">
            <v>542726</v>
          </cell>
          <cell r="C5067" t="str">
            <v>INDIAMART</v>
          </cell>
        </row>
        <row r="5068">
          <cell r="A5068" t="str">
            <v>City Pulse Multiplex Ltd</v>
          </cell>
          <cell r="B5068">
            <v>542727</v>
          </cell>
          <cell r="C5068" t="str">
            <v>CPML</v>
          </cell>
        </row>
        <row r="5069">
          <cell r="A5069" t="str">
            <v>SK International Export Ltd</v>
          </cell>
          <cell r="B5069">
            <v>542728</v>
          </cell>
          <cell r="C5069" t="str">
            <v>SKIEL</v>
          </cell>
        </row>
        <row r="5070">
          <cell r="A5070" t="str">
            <v>DCM Nouvelle Ltd</v>
          </cell>
          <cell r="B5070">
            <v>542729</v>
          </cell>
          <cell r="C5070" t="str">
            <v>DCMNVL</v>
          </cell>
        </row>
        <row r="5071">
          <cell r="A5071" t="str">
            <v>ICICI Prudential Bank ETF</v>
          </cell>
          <cell r="B5071">
            <v>542730</v>
          </cell>
          <cell r="C5071" t="str">
            <v>ICICIBANKN</v>
          </cell>
        </row>
        <row r="5072">
          <cell r="A5072" t="str">
            <v>NIPPON INDIA ETF SENSEX NEXT 50</v>
          </cell>
          <cell r="B5072">
            <v>542747</v>
          </cell>
          <cell r="C5072" t="str">
            <v>NETFSNX150</v>
          </cell>
        </row>
        <row r="5073">
          <cell r="A5073" t="str">
            <v>Affle (India) Ltd</v>
          </cell>
          <cell r="B5073">
            <v>542752</v>
          </cell>
          <cell r="C5073" t="str">
            <v>AFFLE</v>
          </cell>
        </row>
        <row r="5074">
          <cell r="A5074" t="str">
            <v>Seacoast Shipping Services Ltd</v>
          </cell>
          <cell r="B5074">
            <v>542753</v>
          </cell>
          <cell r="C5074" t="str">
            <v>SEACOAST</v>
          </cell>
        </row>
        <row r="5075">
          <cell r="A5075" t="str">
            <v>ICICI Prudential Private Banks ETF</v>
          </cell>
          <cell r="B5075">
            <v>542758</v>
          </cell>
          <cell r="C5075" t="str">
            <v>ICICIBANKP</v>
          </cell>
        </row>
        <row r="5076">
          <cell r="A5076" t="str">
            <v>Spandana Sphoorty Financial Ltd</v>
          </cell>
          <cell r="B5076">
            <v>542759</v>
          </cell>
          <cell r="C5076" t="str">
            <v>SPANDANA</v>
          </cell>
        </row>
        <row r="5077">
          <cell r="A5077" t="str">
            <v>Sterling and Wilson Solar Ltd</v>
          </cell>
          <cell r="B5077">
            <v>542760</v>
          </cell>
          <cell r="C5077" t="str">
            <v>SWSOLAR</v>
          </cell>
        </row>
        <row r="5078">
          <cell r="A5078" t="str">
            <v>Transpact Enterprises Ltd</v>
          </cell>
          <cell r="B5078">
            <v>542765</v>
          </cell>
          <cell r="C5078" t="str">
            <v>TRANSPACT</v>
          </cell>
        </row>
        <row r="5079">
          <cell r="A5079" t="str">
            <v>Alphalogic Techsys Ltd</v>
          </cell>
          <cell r="B5079">
            <v>542770</v>
          </cell>
          <cell r="C5079" t="str">
            <v>ALPHALOGIC</v>
          </cell>
        </row>
        <row r="5080">
          <cell r="A5080" t="str">
            <v>Novateor Research Laboratories Ltd</v>
          </cell>
          <cell r="B5080">
            <v>542771</v>
          </cell>
          <cell r="C5080" t="str">
            <v>NOVATEOR</v>
          </cell>
        </row>
        <row r="5081">
          <cell r="A5081" t="str">
            <v>IIFL Wealth Management Ltd</v>
          </cell>
          <cell r="B5081">
            <v>542772</v>
          </cell>
          <cell r="C5081" t="str">
            <v>IIFLWAM</v>
          </cell>
        </row>
        <row r="5082">
          <cell r="A5082" t="str">
            <v>IIFL Securities Ltd</v>
          </cell>
          <cell r="B5082">
            <v>542773</v>
          </cell>
          <cell r="C5082" t="str">
            <v>IIFLSEC</v>
          </cell>
        </row>
        <row r="5083">
          <cell r="A5083" t="str">
            <v>APM Finvest Ltd</v>
          </cell>
          <cell r="B5083">
            <v>542774</v>
          </cell>
          <cell r="C5083" t="str">
            <v>APMFINVEST</v>
          </cell>
        </row>
        <row r="5084">
          <cell r="A5084" t="str">
            <v>Misquita Engineering Ltd</v>
          </cell>
          <cell r="B5084">
            <v>542801</v>
          </cell>
          <cell r="C5084" t="str">
            <v>MISQUITA</v>
          </cell>
        </row>
        <row r="5085">
          <cell r="A5085" t="str">
            <v>Galactico Corporate Services Ltd</v>
          </cell>
          <cell r="B5085">
            <v>542802</v>
          </cell>
          <cell r="C5085" t="str">
            <v>GALACTICO</v>
          </cell>
        </row>
        <row r="5086">
          <cell r="A5086" t="str">
            <v>Ellora Trading Ltd</v>
          </cell>
          <cell r="B5086">
            <v>542803</v>
          </cell>
          <cell r="C5086" t="str">
            <v>ELLORATRAD</v>
          </cell>
        </row>
        <row r="5087">
          <cell r="A5087" t="str">
            <v>NIPPON INDIA EQUITY SAVINGS FUND - SEGREGATED PORTFOLIO 1 - DIVIDEND PLANDIVIDEND PAYOUT</v>
          </cell>
          <cell r="B5087">
            <v>542804</v>
          </cell>
          <cell r="C5087" t="str">
            <v>NIESSPJ</v>
          </cell>
        </row>
        <row r="5088">
          <cell r="A5088" t="str">
            <v>NIPPON INDIA EQUITY SAVINGS FUND - SEGREGATED PORTFOLIO 1 - DIRECT QUARTERLY DIVIDEND PLAN REINVESTMENT</v>
          </cell>
          <cell r="B5088">
            <v>542805</v>
          </cell>
          <cell r="C5088" t="str">
            <v>NIESSPI</v>
          </cell>
        </row>
        <row r="5089">
          <cell r="A5089" t="str">
            <v>NIPPON INDIA EQUITY SAVINGS FUND - SEGREGATED PORTFOLIO 1 - DIRECT BONUS PLAN BONUS</v>
          </cell>
          <cell r="B5089">
            <v>542806</v>
          </cell>
          <cell r="C5089" t="str">
            <v>NIESSPB</v>
          </cell>
        </row>
        <row r="5090">
          <cell r="A5090" t="str">
            <v>NIPPON INDIA EQUITY SAVINGS FUND - SEGREGATED PORTFOLIO 1 - QUARTERLY DIVIDEND PLANDIVIDEND PAYOUT</v>
          </cell>
          <cell r="B5090">
            <v>542807</v>
          </cell>
          <cell r="C5090" t="str">
            <v>NIESSPO</v>
          </cell>
        </row>
        <row r="5091">
          <cell r="A5091" t="str">
            <v>NIPPON INDIA EQUITY SAVINGS FUND - SEGREGATED PORTFOLIO 1 - DIRECT DIVIDEND PLAN DIVIDEND PAYOUT</v>
          </cell>
          <cell r="B5091">
            <v>542808</v>
          </cell>
          <cell r="C5091" t="str">
            <v>NIESSPC</v>
          </cell>
        </row>
        <row r="5092">
          <cell r="A5092" t="str">
            <v>NIPPON INDIA EQUITY SAVINGS FUND - SEGREGATED PORTFOLIO 1 - QUARTERLY DIVIDEND PLAN REINVESTMENT</v>
          </cell>
          <cell r="B5092">
            <v>542809</v>
          </cell>
          <cell r="C5092" t="str">
            <v>NIESSPP</v>
          </cell>
        </row>
        <row r="5093">
          <cell r="A5093" t="str">
            <v>NIPPON INDIA EQUITY SAVINGS FUND - SEGREGATED PORTFOLIO 1 - BONUS PLANBONUS</v>
          </cell>
          <cell r="B5093">
            <v>542810</v>
          </cell>
          <cell r="C5093" t="str">
            <v>NIESSPA</v>
          </cell>
        </row>
        <row r="5094">
          <cell r="A5094" t="str">
            <v>NIPPON INDIA EQUITY SAVINGS FUND - SEGREGATED PORTFOLIO 1 - DIRECT MONTHLY DIVIDEND PLAN REINVESTMENT</v>
          </cell>
          <cell r="B5094">
            <v>542811</v>
          </cell>
          <cell r="C5094" t="str">
            <v>NIESSPG</v>
          </cell>
        </row>
        <row r="5095">
          <cell r="A5095" t="str">
            <v>Gujarat Fluorochemicals Ltd</v>
          </cell>
          <cell r="B5095">
            <v>542812</v>
          </cell>
          <cell r="C5095" t="str">
            <v>FLUOROCHEM</v>
          </cell>
        </row>
        <row r="5096">
          <cell r="A5096" t="str">
            <v>NIPPON INDIA EQUITY HYBRID FUND -&amp;#160;SEGREGATED PORTFOLIO 1- DIRECT DIVIDEND PLAN REINVESTMENT</v>
          </cell>
          <cell r="B5096">
            <v>542813</v>
          </cell>
          <cell r="C5096" t="str">
            <v>NIEHSPA</v>
          </cell>
        </row>
        <row r="5097">
          <cell r="A5097" t="str">
            <v>NIPPON INDIA EQUITY HYBRID FUND -&amp;#160;SEGREGATED PORTFOLIO 1 - DIRECT MONTHLY DIVIDEND PLAN DIVIDEND PAYOUT</v>
          </cell>
          <cell r="B5097">
            <v>542814</v>
          </cell>
          <cell r="C5097" t="str">
            <v>NIEHSPB</v>
          </cell>
        </row>
        <row r="5098">
          <cell r="A5098" t="str">
            <v>NIPPON INDIA EQUITY HYBRID FUND -&amp;#160;SEGREGATED PORTFOLIO 1 - DIRECT MONTHLY DIVIDEND PLAN REINVESTMENT</v>
          </cell>
          <cell r="B5098">
            <v>542815</v>
          </cell>
          <cell r="C5098" t="str">
            <v>NIEHSPC</v>
          </cell>
        </row>
        <row r="5099">
          <cell r="A5099" t="str">
            <v>NIPPON INDIA EQUITY HYBRID FUND -&amp;#160;SEGREGATED PORTFOLIO 1 - QUARTERLY DIVIDEND PLAN REINVESTMENT</v>
          </cell>
          <cell r="B5099">
            <v>542816</v>
          </cell>
          <cell r="C5099" t="str">
            <v>NIEHSPF</v>
          </cell>
        </row>
        <row r="5100">
          <cell r="A5100" t="str">
            <v>NIPPON INDIA EQUITY HYBRID FUND -&amp;#160;SEGREGATED PORTFOLIO 1 - DIRECT QUARTERLY DIVIDEND PLAN DIVIDEND PAYOUT</v>
          </cell>
          <cell r="B5100">
            <v>542817</v>
          </cell>
          <cell r="C5100" t="str">
            <v>NIEHSPI</v>
          </cell>
        </row>
        <row r="5101">
          <cell r="A5101" t="str">
            <v>NIPPON INDIA EQUITY HYBRID FUND -&amp;#160;SEGREGATED PORTFOLIO 1 - DIRECT QUARTERLY DIVIDEND PLAN REINVESTMENT</v>
          </cell>
          <cell r="B5101">
            <v>542818</v>
          </cell>
          <cell r="C5101" t="str">
            <v>NIEHSPK</v>
          </cell>
        </row>
        <row r="5102">
          <cell r="A5102" t="str">
            <v>NIPPON INDIA EQUITY HYBRID FUND -&amp;#160;SEGREGATED PORTFOLIO 1 - DIRECT DIVIDEND PLAN DIVIDEND PAYOUT</v>
          </cell>
          <cell r="B5102">
            <v>542819</v>
          </cell>
          <cell r="C5102" t="str">
            <v>NIEHSPM</v>
          </cell>
        </row>
        <row r="5103">
          <cell r="A5103" t="str">
            <v>NIPPON INDIA EQUITY HYBRID FUND -&amp;#160;SEGREGATED PORTFOLIO 1 - MONTHLY DIVIDEND PLAN REINVESTMENT</v>
          </cell>
          <cell r="B5103">
            <v>542820</v>
          </cell>
          <cell r="C5103" t="str">
            <v>NIEHSPN</v>
          </cell>
        </row>
        <row r="5104">
          <cell r="A5104" t="str">
            <v>Indian Railway Catering and Tourism Corporation Ltd</v>
          </cell>
          <cell r="B5104">
            <v>542830</v>
          </cell>
          <cell r="C5104" t="str">
            <v>IRCTC</v>
          </cell>
        </row>
        <row r="5105">
          <cell r="A5105" t="str">
            <v>NIPPON INDIA EQUITY SAVINGS FUND - SEGREGATED PORTFOLIO 1 - DIRECT DIVIDEND PLAN REINVESTMENT</v>
          </cell>
          <cell r="B5105">
            <v>542836</v>
          </cell>
          <cell r="C5105" t="str">
            <v>NIESSPD</v>
          </cell>
        </row>
        <row r="5106">
          <cell r="A5106" t="str">
            <v>NIPPON INDIA EQUITY SAVINGS FUND - SEGREGATED PORTFOLIO 1 - DIRECT GROWTH PLAN GROWTH</v>
          </cell>
          <cell r="B5106">
            <v>542837</v>
          </cell>
          <cell r="C5106" t="str">
            <v>NIESSPE</v>
          </cell>
        </row>
        <row r="5107">
          <cell r="A5107" t="str">
            <v>NIPPON INDIA EQUITY SAVINGS FUND - SEGREGATED PORTFOLIO 1 - DIRECT MONTHLY DIVIDEND PLAN DIVIDEND PAYOUT</v>
          </cell>
          <cell r="B5107">
            <v>542838</v>
          </cell>
          <cell r="C5107" t="str">
            <v>NIESSPF</v>
          </cell>
        </row>
        <row r="5108">
          <cell r="A5108" t="str">
            <v>NIPPON INDIA EQUITY HYBRID FUND -&amp;#160;SEGREGATED PORTFOLIO 1 - GROWTH PLAN GROWTH</v>
          </cell>
          <cell r="B5108">
            <v>542839</v>
          </cell>
          <cell r="C5108" t="str">
            <v>NIEHSPD</v>
          </cell>
        </row>
        <row r="5109">
          <cell r="A5109" t="str">
            <v>NIPPON INDIA EQUITY SAVINGS FUND - SEGREGATED PORTFOLIO 1 - DIRECT QUARTERLY DIVIDEND PLAN DIVIDEND PAYOUT</v>
          </cell>
          <cell r="B5109">
            <v>542840</v>
          </cell>
          <cell r="C5109" t="str">
            <v>NIESSPH</v>
          </cell>
        </row>
        <row r="5110">
          <cell r="A5110" t="str">
            <v>NIPPON INDIA EQUITY HYBRID FUND -&amp;#160;SEGREGATED PORTFOLIO 1 - QUARTERLY DIVIDEND PLAN DIVIDEND PAYOUT</v>
          </cell>
          <cell r="B5110">
            <v>542841</v>
          </cell>
          <cell r="C5110" t="str">
            <v>NIEHSPE</v>
          </cell>
        </row>
        <row r="5111">
          <cell r="A5111" t="str">
            <v>NIPPON INDIA EQUITY SAVINGS FUND - SEGREGATED PORTFOLIO 1 - DIVIDEND PLAN REINVESTMENT</v>
          </cell>
          <cell r="B5111">
            <v>542842</v>
          </cell>
          <cell r="C5111" t="str">
            <v>NIESSPK</v>
          </cell>
        </row>
        <row r="5112">
          <cell r="A5112" t="str">
            <v>NIPPON INDIA EQUITY HYBRID FUND -&amp;#160;SEGREGATED PORTFOLIO 1 - DIRECT GROWTH PLAN GROWTH</v>
          </cell>
          <cell r="B5112">
            <v>542843</v>
          </cell>
          <cell r="C5112" t="str">
            <v>NIEHSPG</v>
          </cell>
        </row>
        <row r="5113">
          <cell r="A5113" t="str">
            <v>NIPPON INDIA EQUITY HYBRID FUND -&amp;#160;SEGREGATED PORTFOLIO 1 - DIVIDEND PLAN DIVIDEND PAYOUT</v>
          </cell>
          <cell r="B5113">
            <v>542844</v>
          </cell>
          <cell r="C5113" t="str">
            <v>NIEHSPH</v>
          </cell>
        </row>
        <row r="5114">
          <cell r="A5114" t="str">
            <v>NIPPON INDIA EQUITY HYBRID FUND -&amp;#160;SEGREGATED PORTFOLIO 1 - DIVIDEND PLAN REINVESTMENT</v>
          </cell>
          <cell r="B5114">
            <v>542845</v>
          </cell>
          <cell r="C5114" t="str">
            <v>NIEHSPJ</v>
          </cell>
        </row>
        <row r="5115">
          <cell r="A5115" t="str">
            <v>NIPPON INDIA EQUITY HYBRID FUND -&amp;#160;SEGREGATED PORTFOLIO 1 - MONTHLY DIVIDEND PLAN DIVIDEND PAYOUT</v>
          </cell>
          <cell r="B5115">
            <v>542846</v>
          </cell>
          <cell r="C5115" t="str">
            <v>NIEHSPL</v>
          </cell>
        </row>
        <row r="5116">
          <cell r="A5116" t="str">
            <v>NIPPON INDIA EQUITY SAVINGS FUND - SEGREGATED PORTFOLIO 1 - GROWTH PLAN GROWTH</v>
          </cell>
          <cell r="B5116">
            <v>542847</v>
          </cell>
          <cell r="C5116" t="str">
            <v>NIESSPL</v>
          </cell>
        </row>
        <row r="5117">
          <cell r="A5117" t="str">
            <v>NIPPON INDIA EQUITY SAVINGS FUND - SEGREGATED PORTFOLIO 1 - MONTHLY DIVIDEND PLANDIVIDEND PAYOUT</v>
          </cell>
          <cell r="B5117">
            <v>542848</v>
          </cell>
          <cell r="C5117" t="str">
            <v>NIESSPM</v>
          </cell>
        </row>
        <row r="5118">
          <cell r="A5118" t="str">
            <v>NIPPON INDIA EQUITY SAVINGS FUND - SEGREGATED PORTFOLIO 1 - MONTHLY DIVIDEND PLAN REINVESTMENT</v>
          </cell>
          <cell r="B5118">
            <v>542849</v>
          </cell>
          <cell r="C5118" t="str">
            <v>NIESSPN</v>
          </cell>
        </row>
        <row r="5119">
          <cell r="A5119" t="str">
            <v>Goblin India Ltd</v>
          </cell>
          <cell r="B5119">
            <v>542850</v>
          </cell>
          <cell r="C5119" t="str">
            <v>GOBLIN</v>
          </cell>
        </row>
        <row r="5120">
          <cell r="A5120" t="str">
            <v>Gensol Engineering Ltd</v>
          </cell>
          <cell r="B5120">
            <v>542851</v>
          </cell>
          <cell r="C5120" t="str">
            <v>GENSOL</v>
          </cell>
        </row>
        <row r="5121">
          <cell r="A5121" t="str">
            <v>Vishwaraj Sugar Industries Ltd</v>
          </cell>
          <cell r="B5121">
            <v>542852</v>
          </cell>
          <cell r="C5121" t="str">
            <v>VISHWARAJ</v>
          </cell>
        </row>
        <row r="5122">
          <cell r="A5122" t="str">
            <v>Greenpanel Industries Ltd</v>
          </cell>
          <cell r="B5122">
            <v>542857</v>
          </cell>
          <cell r="C5122" t="str">
            <v>GREENPANEL</v>
          </cell>
        </row>
        <row r="5123">
          <cell r="A5123" t="str">
            <v>Shahlon Silk Industries Ltd</v>
          </cell>
          <cell r="B5123">
            <v>542862</v>
          </cell>
          <cell r="C5123" t="str">
            <v>SHAHLON</v>
          </cell>
        </row>
        <row r="5124">
          <cell r="A5124" t="str">
            <v>ADITYA BIRLA SUN LIFE BANKING ETF</v>
          </cell>
          <cell r="B5124">
            <v>542863</v>
          </cell>
          <cell r="C5124" t="str">
            <v>ABSLBANETF</v>
          </cell>
        </row>
        <row r="5125">
          <cell r="A5125" t="str">
            <v>Mount Housing and Infrastructure Ltd</v>
          </cell>
          <cell r="B5125">
            <v>542864</v>
          </cell>
          <cell r="C5125" t="str">
            <v>MOUNT</v>
          </cell>
        </row>
        <row r="5126">
          <cell r="A5126" t="str">
            <v>Anuroop Packaging Ltd</v>
          </cell>
          <cell r="B5126">
            <v>542865</v>
          </cell>
          <cell r="C5126" t="str">
            <v>ANUROOP</v>
          </cell>
        </row>
        <row r="5127">
          <cell r="A5127" t="str">
            <v>JSG Leasing Ltd</v>
          </cell>
          <cell r="B5127">
            <v>542866</v>
          </cell>
          <cell r="C5127" t="str">
            <v>JSGLEASING</v>
          </cell>
        </row>
        <row r="5128">
          <cell r="A5128" t="str">
            <v>CSB Bank Ltd</v>
          </cell>
          <cell r="B5128">
            <v>542867</v>
          </cell>
          <cell r="C5128" t="str">
            <v>CSBBANK</v>
          </cell>
        </row>
        <row r="5129">
          <cell r="A5129" t="str">
            <v>Ujjivan Small Finance Bank Ltd</v>
          </cell>
          <cell r="B5129">
            <v>542904</v>
          </cell>
          <cell r="C5129" t="str">
            <v>UJJIVANSFB</v>
          </cell>
        </row>
        <row r="5130">
          <cell r="A5130" t="str">
            <v>Somany Home Innovation Ltd</v>
          </cell>
          <cell r="B5130">
            <v>542905</v>
          </cell>
          <cell r="C5130" t="str">
            <v>SHIL</v>
          </cell>
        </row>
        <row r="5131">
          <cell r="A5131" t="str">
            <v>Easun Capital Markets Ltd</v>
          </cell>
          <cell r="B5131">
            <v>542906</v>
          </cell>
          <cell r="C5131" t="str">
            <v>EASUN</v>
          </cell>
        </row>
        <row r="5132">
          <cell r="A5132" t="str">
            <v>Prince Pipes and Fittings Ltd</v>
          </cell>
          <cell r="B5132">
            <v>542907</v>
          </cell>
          <cell r="C5132" t="str">
            <v>PRINCEPIPE</v>
          </cell>
        </row>
        <row r="5133">
          <cell r="A5133" t="str">
            <v>Valencia Nutrition Ltd</v>
          </cell>
          <cell r="B5133">
            <v>542910</v>
          </cell>
          <cell r="C5133" t="str">
            <v>VALENCIA</v>
          </cell>
        </row>
        <row r="5134">
          <cell r="A5134" t="str">
            <v>Assam Entrade Ltd</v>
          </cell>
          <cell r="B5134">
            <v>542911</v>
          </cell>
          <cell r="C5134" t="str">
            <v>ASSAMENT</v>
          </cell>
        </row>
        <row r="5135">
          <cell r="A5135" t="str">
            <v>Gian Life Care Ltd</v>
          </cell>
          <cell r="B5135">
            <v>542918</v>
          </cell>
          <cell r="C5135" t="str">
            <v>GIANLIFE</v>
          </cell>
        </row>
        <row r="5136">
          <cell r="A5136" t="str">
            <v>Artemis Medicare Services Ltd</v>
          </cell>
          <cell r="B5136">
            <v>542919</v>
          </cell>
          <cell r="C5136" t="str">
            <v>ARTEMISMED</v>
          </cell>
        </row>
        <row r="5137">
          <cell r="A5137" t="str">
            <v>Sumitomo Chemical India Ltd</v>
          </cell>
          <cell r="B5137">
            <v>542920</v>
          </cell>
          <cell r="C5137" t="str">
            <v>SUMICHEM</v>
          </cell>
        </row>
        <row r="5138">
          <cell r="A5138" t="str">
            <v>ICICI Prudential Midcap 150 ETF</v>
          </cell>
          <cell r="B5138">
            <v>542921</v>
          </cell>
          <cell r="C5138" t="str">
            <v>ICICIM150</v>
          </cell>
        </row>
        <row r="5139">
          <cell r="A5139" t="str">
            <v>Mirae Asset Nifty Next 50 ETF (MANXT50ETF)</v>
          </cell>
          <cell r="B5139">
            <v>542922</v>
          </cell>
          <cell r="C5139" t="str">
            <v>MANXT50ETF</v>
          </cell>
        </row>
        <row r="5140">
          <cell r="A5140" t="str">
            <v>Tranway Technologies Ltd</v>
          </cell>
          <cell r="B5140">
            <v>542923</v>
          </cell>
          <cell r="C5140" t="str">
            <v>TRANWAY</v>
          </cell>
        </row>
        <row r="5141">
          <cell r="A5141" t="str">
            <v>Janus Corporation Ltd</v>
          </cell>
          <cell r="B5141">
            <v>542924</v>
          </cell>
          <cell r="C5141" t="str">
            <v>JANUSCORP</v>
          </cell>
        </row>
        <row r="5142">
          <cell r="A5142" t="str">
            <v>Vardhan Capital &amp; Finance Ltd</v>
          </cell>
          <cell r="B5142">
            <v>542931</v>
          </cell>
          <cell r="C5142" t="str">
            <v>VARDHANCFL</v>
          </cell>
        </row>
        <row r="5143">
          <cell r="A5143" t="str">
            <v>Birla Tyres Ltd</v>
          </cell>
          <cell r="B5143">
            <v>542932</v>
          </cell>
          <cell r="C5143" t="str">
            <v>BIRLATYRES</v>
          </cell>
        </row>
        <row r="5144">
          <cell r="A5144" t="str">
            <v>Universus Photo Imagings Ltd</v>
          </cell>
          <cell r="B5144">
            <v>542933</v>
          </cell>
          <cell r="C5144" t="str">
            <v>UNIVPHOTO</v>
          </cell>
        </row>
        <row r="5145">
          <cell r="A5145" t="str">
            <v>Chandra Bhagat Pharma Ltd</v>
          </cell>
          <cell r="B5145">
            <v>542934</v>
          </cell>
          <cell r="C5145" t="str">
            <v>CBPL</v>
          </cell>
        </row>
        <row r="5146">
          <cell r="A5146" t="str">
            <v>ICL Organic Dairy Products Ltd</v>
          </cell>
          <cell r="B5146">
            <v>542935</v>
          </cell>
          <cell r="C5146" t="str">
            <v>ICLORGANIC</v>
          </cell>
        </row>
        <row r="5147">
          <cell r="A5147" t="str">
            <v>Octavius Plantations Ltd</v>
          </cell>
          <cell r="B5147">
            <v>542938</v>
          </cell>
          <cell r="C5147" t="str">
            <v>OCTAVIUSPL</v>
          </cell>
        </row>
        <row r="5148">
          <cell r="A5148" t="str">
            <v>Suven Pharmaceuticals Ltd</v>
          </cell>
          <cell r="B5148">
            <v>543064</v>
          </cell>
          <cell r="C5148" t="str">
            <v>SUVENPHAR</v>
          </cell>
        </row>
        <row r="5149">
          <cell r="A5149" t="str">
            <v>SM Auto Stamping Ltd</v>
          </cell>
          <cell r="B5149">
            <v>543065</v>
          </cell>
          <cell r="C5149" t="str">
            <v>SMAUTO</v>
          </cell>
        </row>
        <row r="5150">
          <cell r="A5150" t="str">
            <v>SBI Cards and Payment Services Ltd</v>
          </cell>
          <cell r="B5150">
            <v>543066</v>
          </cell>
          <cell r="C5150" t="str">
            <v>SBICARD</v>
          </cell>
        </row>
        <row r="5151">
          <cell r="A5151" t="str">
            <v>NIPPON INDIA EQUITY SAVINGS FUND -  SEGREGATED PORTFOLIO 2 - MONTHLY DIVIDEND PLAN(Issue Price: 0.01)</v>
          </cell>
          <cell r="B5151">
            <v>543144</v>
          </cell>
          <cell r="C5151" t="str">
            <v>08MPD</v>
          </cell>
        </row>
        <row r="5152">
          <cell r="A5152" t="str">
            <v>NIPPON INDIA EQUITY SAVINGS FUND -  SEGREGATED PORTFOLIO 2 - DIRECT DIVIDEND PLAN(Issue Price: 0.01)</v>
          </cell>
          <cell r="B5152">
            <v>543145</v>
          </cell>
          <cell r="C5152" t="str">
            <v>08ADR</v>
          </cell>
        </row>
        <row r="5153">
          <cell r="A5153" t="str">
            <v>NIPPON INDIA EQUITY SAVINGS FUND -  SEGREGATED PORTFOLIO 2 - MONTHLY DIVIDEND PLAN(Issue Price: 0.01)</v>
          </cell>
          <cell r="B5153">
            <v>543146</v>
          </cell>
          <cell r="C5153" t="str">
            <v>08MPR</v>
          </cell>
        </row>
        <row r="5154">
          <cell r="A5154" t="str">
            <v>NIPPON INDIA EQUITY SAVINGS FUND -  SEGREGATED PORTFOLIO 2 - DIRECT MONTHLY DIVIDEND PLAN(Issue Price: 0.01)</v>
          </cell>
          <cell r="B5154">
            <v>543147</v>
          </cell>
          <cell r="C5154" t="str">
            <v>08AMD</v>
          </cell>
        </row>
        <row r="5155">
          <cell r="A5155" t="str">
            <v>NIPPON INDIA EQUITY SAVINGS FUND -  SEGREGATED PORTFOLIO 2 - DIRECT MONTHLY DIVIDEND PLAN(Issue Price: 0.01)</v>
          </cell>
          <cell r="B5155">
            <v>543148</v>
          </cell>
          <cell r="C5155" t="str">
            <v>08AMR</v>
          </cell>
        </row>
        <row r="5156">
          <cell r="A5156" t="str">
            <v>NIPPON INDIA EQUITY SAVINGS FUND -  SEGREGATED PORTFOLIO 2 - BONUS PLAN(Issue Price: 0.01)</v>
          </cell>
          <cell r="B5156">
            <v>543149</v>
          </cell>
          <cell r="C5156" t="str">
            <v>08BPB</v>
          </cell>
        </row>
        <row r="5157">
          <cell r="A5157" t="str">
            <v>NIPPON INDIA EQUITY SAVINGS FUND -  SEGREGATED PORTFOLIO 2 - GROWTH PLAN(Issue Price: 0.01)</v>
          </cell>
          <cell r="B5157">
            <v>543150</v>
          </cell>
          <cell r="C5157" t="str">
            <v>08GPG</v>
          </cell>
        </row>
        <row r="5158">
          <cell r="A5158" t="str">
            <v>NIPPON INDIA EQUITY SAVINGS FUND -  SEGREGATED PORTFOLIO 2 - DIRECT BONUS PLAN(Issue Price: 0.01)</v>
          </cell>
          <cell r="B5158">
            <v>543151</v>
          </cell>
          <cell r="C5158" t="str">
            <v>08ABB</v>
          </cell>
        </row>
        <row r="5159">
          <cell r="A5159" t="str">
            <v>NIPPON INDIA EQUITY SAVINGS FUND -  SEGREGATED PORTFOLIO 2 - QUARTERLY DIVIDEND PLAN(Issue Price: 0.01)</v>
          </cell>
          <cell r="B5159">
            <v>543152</v>
          </cell>
          <cell r="C5159" t="str">
            <v>08QPD</v>
          </cell>
        </row>
        <row r="5160">
          <cell r="A5160" t="str">
            <v>NIPPON INDIA EQUITY SAVINGS FUND -  SEGREGATED PORTFOLIO 2 - DIRECT GROWTH PLAN(Issue Price: 0.01)</v>
          </cell>
          <cell r="B5160">
            <v>543153</v>
          </cell>
          <cell r="C5160" t="str">
            <v>08AGG</v>
          </cell>
        </row>
        <row r="5161">
          <cell r="A5161" t="str">
            <v>NIPPON INDIA EQUITY SAVINGS FUND -  SEGREGATED PORTFOLIO 2 - QUARTERLY DIVIDEND PLAN(Issue Price: 0.01)</v>
          </cell>
          <cell r="B5161">
            <v>543154</v>
          </cell>
          <cell r="C5161" t="str">
            <v>08QPR</v>
          </cell>
        </row>
        <row r="5162">
          <cell r="A5162" t="str">
            <v>NIPPON INDIA EQUITY SAVINGS FUND -  SEGREGATED PORTFOLIO 2 - DIRECT QUARTERLY DIVIDEND PLAN(Issue Price: 0.01)</v>
          </cell>
          <cell r="B5162">
            <v>543155</v>
          </cell>
          <cell r="C5162" t="str">
            <v>08AQD</v>
          </cell>
        </row>
        <row r="5163">
          <cell r="A5163" t="str">
            <v>NIPPON INDIA EQUITY SAVINGS FUND -  SEGREGATED PORTFOLIO 2 - DIVIDEND PLAN(Issue Price: 0.01)</v>
          </cell>
          <cell r="B5163">
            <v>543156</v>
          </cell>
          <cell r="C5163" t="str">
            <v>08DPD</v>
          </cell>
        </row>
        <row r="5164">
          <cell r="A5164" t="str">
            <v>NIPPON INDIA EQUITY SAVINGS FUND -  SEGREGATED PORTFOLIO 2 - DIRECT QUARTERLY DIVIDEND PLAN(Issue Price: 0.01)</v>
          </cell>
          <cell r="B5164">
            <v>543168</v>
          </cell>
          <cell r="C5164" t="str">
            <v>08AQR</v>
          </cell>
        </row>
        <row r="5165">
          <cell r="A5165" t="str">
            <v>NIPPON INDIA EQUITY SAVINGS FUND -  SEGREGATED PORTFOLIO 2 - DIVIDEND PLAN(Issue Price: 0.01)</v>
          </cell>
          <cell r="B5165">
            <v>543169</v>
          </cell>
          <cell r="C5165" t="str">
            <v>08DPR</v>
          </cell>
        </row>
        <row r="5166">
          <cell r="A5166" t="str">
            <v>NIPPON INDIA EQUITY SAVINGS FUND -  SEGREGATED PORTFOLIO 2 - DIRECT DIVIDEND PLAN(Issue Price: 0.01)</v>
          </cell>
          <cell r="B5166">
            <v>543170</v>
          </cell>
          <cell r="C5166" t="str">
            <v>08ADD</v>
          </cell>
        </row>
        <row r="5167">
          <cell r="A5167" t="str">
            <v>RO Jewels Ltd</v>
          </cell>
          <cell r="B5167">
            <v>543171</v>
          </cell>
          <cell r="C5167" t="str">
            <v>ROJL</v>
          </cell>
        </row>
        <row r="5168">
          <cell r="A5168" t="str">
            <v>Cospower Engineering Ltd</v>
          </cell>
          <cell r="B5168">
            <v>543172</v>
          </cell>
          <cell r="C5168" t="str">
            <v>COSPOWER</v>
          </cell>
        </row>
        <row r="5169">
          <cell r="A5169" t="str">
            <v>NIPPON INDIA EQUITY HYBRID FUND -  SEGREGATED PORTFOLIO 2DIVIDEND PLANDIVIDEND REINVESTMENT</v>
          </cell>
          <cell r="B5169">
            <v>543173</v>
          </cell>
          <cell r="C5169" t="str">
            <v>11DPR</v>
          </cell>
        </row>
        <row r="5170">
          <cell r="A5170" t="str">
            <v>NIPPON INDIA EQUITY HYBRID FUND -  SEGREGATED PORTFOLIO 2GROWTH PLAN GROWTH OPTIONGROWTH</v>
          </cell>
          <cell r="B5170">
            <v>543174</v>
          </cell>
          <cell r="C5170" t="str">
            <v>11GPG</v>
          </cell>
        </row>
        <row r="5171">
          <cell r="A5171" t="str">
            <v>NIPPON INDIA EQUITY HYBRID FUND -  SEGREGATED PORTFOLIO 2MONTHLY DIVIDEND PLANDIVIDEND PAYOUT</v>
          </cell>
          <cell r="B5171">
            <v>543175</v>
          </cell>
          <cell r="C5171" t="str">
            <v>11MPD</v>
          </cell>
        </row>
        <row r="5172">
          <cell r="A5172" t="str">
            <v>NIPPON INDIA EQUITY HYBRID FUND -  SEGREGATED PORTFOLIO 2MONTHLY DIVIDEND PLANREINVESTMENT</v>
          </cell>
          <cell r="B5172">
            <v>543176</v>
          </cell>
          <cell r="C5172" t="str">
            <v>11MPR</v>
          </cell>
        </row>
        <row r="5173">
          <cell r="A5173" t="str">
            <v>NIPPON INDIA EQUITY HYBRID FUND -  SEGREGATED PORTFOLIO 2QUARTERLY DIVIDEND PLANDIVIDEND PAYOUT</v>
          </cell>
          <cell r="B5173">
            <v>543177</v>
          </cell>
          <cell r="C5173" t="str">
            <v>11QPD</v>
          </cell>
        </row>
        <row r="5174">
          <cell r="A5174" t="str">
            <v>NIPPON INDIA EQUITY HYBRID FUND -  SEGREGATED PORTFOLIO 2QUARTERLY DIVIDEND PLANREINVESTMENT</v>
          </cell>
          <cell r="B5174">
            <v>543178</v>
          </cell>
          <cell r="C5174" t="str">
            <v>11QPR</v>
          </cell>
        </row>
        <row r="5175">
          <cell r="A5175" t="str">
            <v>NIPPON INDIA EQUITY HYBRID FUND -  SEGREGATED PORTFOLIO 2DIRECT PLAN DIVIDEND PLANDIVIDEND PAYOUT</v>
          </cell>
          <cell r="B5175">
            <v>543179</v>
          </cell>
          <cell r="C5175" t="str">
            <v>11ADD</v>
          </cell>
        </row>
        <row r="5176">
          <cell r="A5176" t="str">
            <v>NIPPON INDIA EQUITY HYBRID FUND -  SEGREGATED PORTFOLIO 2DIRECT PLAN DIVIDEND PLANDIVIDEND REINVESTMENT</v>
          </cell>
          <cell r="B5176">
            <v>543180</v>
          </cell>
          <cell r="C5176" t="str">
            <v>11ADR</v>
          </cell>
        </row>
        <row r="5177">
          <cell r="A5177" t="str">
            <v>NIPPON INDIA EQUITY HYBRID FUND -  SEGREGATED PORTFOLIO 2DIRECT GROWTH PLAN GROWTH OPTIONGROWTH</v>
          </cell>
          <cell r="B5177">
            <v>543181</v>
          </cell>
          <cell r="C5177" t="str">
            <v>11AGG</v>
          </cell>
        </row>
        <row r="5178">
          <cell r="A5178" t="str">
            <v>NIPPON INDIA EQUITY HYBRID FUND -  SEGREGATED PORTFOLIO 2DIRECT MONTHLY DIVIDEND PLANDIVIDEND PAYOUT</v>
          </cell>
          <cell r="B5178">
            <v>543182</v>
          </cell>
          <cell r="C5178" t="str">
            <v>11AMD</v>
          </cell>
        </row>
        <row r="5179">
          <cell r="A5179" t="str">
            <v>NIPPON INDIA EQUITY HYBRID FUND -  SEGREGATED PORTFOLIO 2DIRECT MONTHLY DIVIDEND PLANREINVESTMENT</v>
          </cell>
          <cell r="B5179">
            <v>543183</v>
          </cell>
          <cell r="C5179" t="str">
            <v>11AMR</v>
          </cell>
        </row>
        <row r="5180">
          <cell r="A5180" t="str">
            <v>NIPPON INDIA EQUITY HYBRID FUND -  SEGREGATED PORTFOLIO 2DIRECT QUARTERLY DIVIDEND PLANDIVIDEND PAYOUT</v>
          </cell>
          <cell r="B5180">
            <v>543184</v>
          </cell>
          <cell r="C5180" t="str">
            <v>11AQD</v>
          </cell>
        </row>
        <row r="5181">
          <cell r="A5181" t="str">
            <v>NIPPON INDIA EQUITY HYBRID FUND -  SEGREGATED PORTFOLIO 2DIRECT QUARTERLY DIVIDEND PLANREINVESTMENT</v>
          </cell>
          <cell r="B5181">
            <v>543185</v>
          </cell>
          <cell r="C5181" t="str">
            <v>11AQR</v>
          </cell>
        </row>
        <row r="5182">
          <cell r="A5182" t="str">
            <v>NIPPON INDIA EQUITY HYBRID FUND -  SEGREGATED PORTFOLIO 2DIVIDEND PLANDIVIDEND PAYOUT</v>
          </cell>
          <cell r="B5182">
            <v>543186</v>
          </cell>
          <cell r="C5182" t="str">
            <v>11DPD</v>
          </cell>
        </row>
        <row r="5183">
          <cell r="A5183" t="str">
            <v>ABB Power Products and Systems India Ltd</v>
          </cell>
          <cell r="B5183">
            <v>543187</v>
          </cell>
          <cell r="C5183" t="str">
            <v>POWERINDIA</v>
          </cell>
        </row>
        <row r="5184">
          <cell r="A5184" t="str">
            <v>DJ Mediaprint &amp; Logistics Ltd</v>
          </cell>
          <cell r="B5184">
            <v>543193</v>
          </cell>
          <cell r="C5184" t="str">
            <v>DJML</v>
          </cell>
        </row>
        <row r="5185">
          <cell r="A5185" t="str">
            <v>Nirmitee Robotics India Ltd</v>
          </cell>
          <cell r="B5185">
            <v>543194</v>
          </cell>
          <cell r="C5185" t="str">
            <v>NIRMITEE</v>
          </cell>
        </row>
        <row r="5186">
          <cell r="A5186" t="str">
            <v>Natural Biocon (India) Ltd</v>
          </cell>
          <cell r="B5186">
            <v>543207</v>
          </cell>
          <cell r="C5186" t="str">
            <v>NATURAL</v>
          </cell>
        </row>
        <row r="5187">
          <cell r="A5187" t="str">
            <v>Bhartia Bachat Ltd</v>
          </cell>
          <cell r="B5187">
            <v>543208</v>
          </cell>
          <cell r="C5187" t="str">
            <v>BHARTIA</v>
          </cell>
        </row>
        <row r="5188">
          <cell r="A5188" t="str">
            <v>Billwin Industries Ltd</v>
          </cell>
          <cell r="B5188">
            <v>543209</v>
          </cell>
          <cell r="C5188" t="str">
            <v>BILLWIN</v>
          </cell>
        </row>
        <row r="5189">
          <cell r="A5189" t="str">
            <v>Aarti Surfactants Ltd</v>
          </cell>
          <cell r="B5189">
            <v>543210</v>
          </cell>
          <cell r="C5189" t="str">
            <v>AARTISURF</v>
          </cell>
        </row>
        <row r="5190">
          <cell r="A5190" t="str">
            <v>Bonlon Industries Ltd</v>
          </cell>
          <cell r="B5190">
            <v>543211</v>
          </cell>
          <cell r="C5190" t="str">
            <v>BONLON</v>
          </cell>
        </row>
        <row r="5191">
          <cell r="A5191" t="str">
            <v>Borosil Ltd</v>
          </cell>
          <cell r="B5191">
            <v>543212</v>
          </cell>
          <cell r="C5191" t="str">
            <v>BOROLTD</v>
          </cell>
        </row>
        <row r="5192">
          <cell r="A5192" t="str">
            <v>Rossari Biotech Ltd</v>
          </cell>
          <cell r="B5192">
            <v>543213</v>
          </cell>
          <cell r="C5192" t="str">
            <v>ROSSARI</v>
          </cell>
        </row>
        <row r="5193">
          <cell r="A5193" t="str">
            <v>NDR Auto Components Ltd</v>
          </cell>
          <cell r="B5193">
            <v>543214</v>
          </cell>
          <cell r="C5193" t="str">
            <v>NDRAUTO</v>
          </cell>
        </row>
        <row r="5194">
          <cell r="A5194" t="str">
            <v>Mindspace Business Parks REIT</v>
          </cell>
          <cell r="B5194">
            <v>543217</v>
          </cell>
          <cell r="C5194" t="str">
            <v>MINDSPACE</v>
          </cell>
        </row>
        <row r="5195">
          <cell r="A5195" t="str">
            <v>Suratwwala Business Group Ltd</v>
          </cell>
          <cell r="B5195">
            <v>543218</v>
          </cell>
          <cell r="C5195" t="str">
            <v>SBGLP</v>
          </cell>
        </row>
        <row r="5196">
          <cell r="A5196" t="str">
            <v>&amp;#160;ICICI Prudential Alpha Low Vol 30 ETF&amp;#160;</v>
          </cell>
          <cell r="B5196">
            <v>543219</v>
          </cell>
          <cell r="C5196" t="str">
            <v>ICICIALPLV</v>
          </cell>
        </row>
        <row r="5197">
          <cell r="A5197" t="str">
            <v>Max Healthcare Institute Ltd</v>
          </cell>
          <cell r="B5197">
            <v>543220</v>
          </cell>
          <cell r="C5197" t="str">
            <v>MAXHEALTH</v>
          </cell>
        </row>
        <row r="5198">
          <cell r="A5198" t="str">
            <v>ICICI Prudential IT ETF</v>
          </cell>
          <cell r="B5198">
            <v>543221</v>
          </cell>
          <cell r="C5198" t="str">
            <v>ICICITECH</v>
          </cell>
        </row>
        <row r="5199">
          <cell r="A5199" t="str">
            <v>Trekkingtoes.com Ltd</v>
          </cell>
          <cell r="B5199">
            <v>543222</v>
          </cell>
          <cell r="C5199" t="str">
            <v>HIPPOCABS</v>
          </cell>
        </row>
        <row r="5200">
          <cell r="A5200" t="str">
            <v>Max India Ltd</v>
          </cell>
          <cell r="B5200">
            <v>543223</v>
          </cell>
          <cell r="C5200" t="str">
            <v>MAXINDIA</v>
          </cell>
        </row>
        <row r="5201">
          <cell r="A5201" t="str">
            <v>HDFC Banking ETF</v>
          </cell>
          <cell r="B5201">
            <v>543224</v>
          </cell>
          <cell r="C5201" t="str">
            <v>HBANKETF</v>
          </cell>
        </row>
        <row r="5202">
          <cell r="A5202" t="str">
            <v>Tower Infrastructure Trust</v>
          </cell>
          <cell r="B5202">
            <v>543225</v>
          </cell>
          <cell r="C5202" t="str">
            <v>TOWERINFRA</v>
          </cell>
        </row>
        <row r="5203">
          <cell r="A5203" t="str">
            <v>UTI Bank Exchange Traded Fund (UTI Bank ETF)</v>
          </cell>
          <cell r="B5203">
            <v>543226</v>
          </cell>
          <cell r="C5203" t="str">
            <v>UTIBANKETF</v>
          </cell>
        </row>
        <row r="5204">
          <cell r="A5204" t="str">
            <v>Happiest Minds Technologies Ltd</v>
          </cell>
          <cell r="B5204">
            <v>543227</v>
          </cell>
          <cell r="C5204" t="str">
            <v>HAPPSTMNDS</v>
          </cell>
        </row>
        <row r="5205">
          <cell r="A5205" t="str">
            <v>Route Mobile Ltd</v>
          </cell>
          <cell r="B5205">
            <v>543228</v>
          </cell>
          <cell r="C5205" t="str">
            <v>ROUTE</v>
          </cell>
        </row>
        <row r="5206">
          <cell r="A5206" t="str">
            <v>Advait Infratech Ltd</v>
          </cell>
          <cell r="B5206">
            <v>543230</v>
          </cell>
          <cell r="C5206" t="str">
            <v>ADVAIT</v>
          </cell>
        </row>
        <row r="5207">
          <cell r="A5207" t="str">
            <v>Archidply Decor Ltd</v>
          </cell>
          <cell r="B5207">
            <v>543231</v>
          </cell>
          <cell r="C5207" t="str">
            <v>ADL</v>
          </cell>
        </row>
        <row r="5208">
          <cell r="A5208" t="str">
            <v>Computer Age Management Services Ltd</v>
          </cell>
          <cell r="B5208">
            <v>543232</v>
          </cell>
          <cell r="C5208" t="str">
            <v>CAMS</v>
          </cell>
        </row>
        <row r="5209">
          <cell r="A5209" t="str">
            <v>Chemcon Speciality Chemicals Ltd</v>
          </cell>
          <cell r="B5209">
            <v>543233</v>
          </cell>
          <cell r="C5209" t="str">
            <v>CHEMCON</v>
          </cell>
        </row>
        <row r="5210">
          <cell r="A5210" t="str">
            <v>SecMark Consultancy Ltd</v>
          </cell>
          <cell r="B5210">
            <v>543234</v>
          </cell>
          <cell r="C5210" t="str">
            <v>SECMARK</v>
          </cell>
        </row>
        <row r="5211">
          <cell r="A5211" t="str">
            <v>Angel Broking Ltd</v>
          </cell>
          <cell r="B5211">
            <v>543235</v>
          </cell>
          <cell r="C5211" t="str">
            <v>ANGELBRKG</v>
          </cell>
        </row>
        <row r="5212">
          <cell r="A5212" t="str">
            <v>Atam Valves Ltd</v>
          </cell>
          <cell r="B5212">
            <v>543236</v>
          </cell>
          <cell r="C5212" t="str">
            <v>ATAM</v>
          </cell>
        </row>
        <row r="5213">
          <cell r="A5213" t="str">
            <v>Mazagon Dock Shipbuilders Ltd</v>
          </cell>
          <cell r="B5213">
            <v>543237</v>
          </cell>
          <cell r="C5213" t="str">
            <v>MAZDOCK</v>
          </cell>
        </row>
        <row r="5214">
          <cell r="A5214" t="str">
            <v>UTI Asset Management Company Ltd</v>
          </cell>
          <cell r="B5214">
            <v>543238</v>
          </cell>
          <cell r="C5214" t="str">
            <v>UTIAMC</v>
          </cell>
        </row>
        <row r="5215">
          <cell r="A5215" t="str">
            <v>G M Polyplast Ltd</v>
          </cell>
          <cell r="B5215">
            <v>543239</v>
          </cell>
          <cell r="C5215" t="str">
            <v>GMPL</v>
          </cell>
        </row>
        <row r="5216">
          <cell r="A5216" t="str">
            <v>Likhitha Infrastructure Ltd</v>
          </cell>
          <cell r="B5216">
            <v>543240</v>
          </cell>
          <cell r="C5216" t="str">
            <v>LIKHITHA</v>
          </cell>
        </row>
        <row r="5217">
          <cell r="A5217" t="str">
            <v>Veer Global Infraconstruction Ltd</v>
          </cell>
          <cell r="B5217">
            <v>543241</v>
          </cell>
          <cell r="C5217" t="str">
            <v>VGIL</v>
          </cell>
        </row>
        <row r="5218">
          <cell r="A5218" t="str">
            <v>Hemisphere Properties India Ltd</v>
          </cell>
          <cell r="B5218">
            <v>543242</v>
          </cell>
          <cell r="C5218" t="str">
            <v>HEMIPROP</v>
          </cell>
        </row>
        <row r="5219">
          <cell r="A5219" t="str">
            <v>Equitas Small Finance Bank Ltd</v>
          </cell>
          <cell r="B5219">
            <v>543243</v>
          </cell>
          <cell r="C5219" t="str">
            <v>EQUITASBNK</v>
          </cell>
        </row>
        <row r="5220">
          <cell r="A5220" t="str">
            <v>Shine Fashions (India) Ltd</v>
          </cell>
          <cell r="B5220">
            <v>543244</v>
          </cell>
          <cell r="C5220" t="str">
            <v>SHINEFASH</v>
          </cell>
        </row>
        <row r="5221">
          <cell r="A5221" t="str">
            <v>BARODA RAYON CORPORATION LTD</v>
          </cell>
          <cell r="B5221">
            <v>500270</v>
          </cell>
          <cell r="C5221" t="str">
            <v>BARODARY</v>
          </cell>
        </row>
        <row r="5222">
          <cell r="A5222" t="str">
            <v>MEDIAONE GLOBAL ENTERTAINMENT LTD</v>
          </cell>
          <cell r="B5222">
            <v>503685</v>
          </cell>
          <cell r="C5222" t="str">
            <v>MEDIAONE</v>
          </cell>
        </row>
        <row r="5223">
          <cell r="A5223" t="str">
            <v>INDIA RADIATORS LTD</v>
          </cell>
          <cell r="B5223">
            <v>505100</v>
          </cell>
          <cell r="C5223" t="str">
            <v>INRADIA</v>
          </cell>
        </row>
        <row r="5224">
          <cell r="A5224" t="str">
            <v>PB Global Ltd</v>
          </cell>
          <cell r="B5224">
            <v>506580</v>
          </cell>
          <cell r="C5224" t="str">
            <v>PBGLOBAL</v>
          </cell>
        </row>
        <row r="5225">
          <cell r="A5225" t="str">
            <v>INFOMEDIA PRESS LTD</v>
          </cell>
          <cell r="B5225">
            <v>509069</v>
          </cell>
          <cell r="C5225" t="str">
            <v>INFOMEDIA</v>
          </cell>
        </row>
        <row r="5226">
          <cell r="A5226" t="str">
            <v>U.P.HOTELS LTD</v>
          </cell>
          <cell r="B5226">
            <v>509960</v>
          </cell>
          <cell r="C5226" t="str">
            <v>UPHOT</v>
          </cell>
        </row>
        <row r="5227">
          <cell r="A5227" t="str">
            <v>PREMIER CAPITAL SERVICES LTD</v>
          </cell>
          <cell r="B5227">
            <v>511016</v>
          </cell>
          <cell r="C5227" t="str">
            <v>PREMCAP</v>
          </cell>
        </row>
        <row r="5228">
          <cell r="A5228" t="str">
            <v>ICDS LTD</v>
          </cell>
          <cell r="B5228">
            <v>511194</v>
          </cell>
          <cell r="C5228" t="str">
            <v>ICDSLTD</v>
          </cell>
        </row>
        <row r="5229">
          <cell r="A5229" t="str">
            <v>Saianand Commercial Limited</v>
          </cell>
          <cell r="B5229">
            <v>512097</v>
          </cell>
          <cell r="C5229" t="str">
            <v>SAICOM</v>
          </cell>
        </row>
        <row r="5230">
          <cell r="A5230" t="str">
            <v>ROSE MERC.LTD</v>
          </cell>
          <cell r="B5230">
            <v>512115</v>
          </cell>
          <cell r="C5230" t="str">
            <v>ROSEMER</v>
          </cell>
        </row>
        <row r="5231">
          <cell r="A5231" t="str">
            <v>SURBHI INDUSTRIES LTD</v>
          </cell>
          <cell r="B5231">
            <v>514260</v>
          </cell>
          <cell r="C5231" t="str">
            <v>SURBHIN</v>
          </cell>
        </row>
        <row r="5232">
          <cell r="A5232" t="str">
            <v>SHRI GANG INDUSTRIES AND ALLIED PRODUCTS LTD</v>
          </cell>
          <cell r="B5232">
            <v>523309</v>
          </cell>
          <cell r="C5232" t="str">
            <v>SHRIGANG</v>
          </cell>
        </row>
        <row r="5233">
          <cell r="A5233" t="str">
            <v>UBE INDUSTRIES LTD</v>
          </cell>
          <cell r="B5233">
            <v>523868</v>
          </cell>
          <cell r="C5233" t="str">
            <v>UBEINDL</v>
          </cell>
        </row>
        <row r="5234">
          <cell r="A5234" t="str">
            <v>PET PLASTICS LTD</v>
          </cell>
          <cell r="B5234">
            <v>524046</v>
          </cell>
          <cell r="C5234" t="str">
            <v>PETPLST</v>
          </cell>
        </row>
        <row r="5235">
          <cell r="A5235" t="str">
            <v>PANJON LTD</v>
          </cell>
          <cell r="B5235">
            <v>526345</v>
          </cell>
          <cell r="C5235" t="str">
            <v>PANJON</v>
          </cell>
        </row>
        <row r="5236">
          <cell r="A5236" t="str">
            <v>EURO LEDER FASHION LTD</v>
          </cell>
          <cell r="B5236">
            <v>526468</v>
          </cell>
          <cell r="C5236" t="str">
            <v>EUROLED</v>
          </cell>
        </row>
        <row r="5237">
          <cell r="A5237" t="str">
            <v>DSJ keep Learning Ltd</v>
          </cell>
          <cell r="B5237">
            <v>526677</v>
          </cell>
          <cell r="C5237" t="str">
            <v>KEEPLEARN</v>
          </cell>
        </row>
        <row r="5238">
          <cell r="A5238" t="str">
            <v>SIDDHESWARI GARMENTS LTD</v>
          </cell>
          <cell r="B5238">
            <v>526877</v>
          </cell>
          <cell r="C5238" t="str">
            <v>SIDDHEGA</v>
          </cell>
        </row>
        <row r="5239">
          <cell r="A5239" t="str">
            <v>AADI INDUSTRIES LTD</v>
          </cell>
          <cell r="B5239">
            <v>530027</v>
          </cell>
          <cell r="C5239" t="str">
            <v>AADIIND</v>
          </cell>
        </row>
        <row r="5240">
          <cell r="A5240" t="str">
            <v>SHAMROCK INDUSTRIAL CO.LTD</v>
          </cell>
          <cell r="B5240">
            <v>531240</v>
          </cell>
          <cell r="C5240" t="str">
            <v>SHAMROIN</v>
          </cell>
        </row>
        <row r="5241">
          <cell r="A5241" t="str">
            <v>G.G.AUTOMOTIVE GEARS LTD</v>
          </cell>
          <cell r="B5241">
            <v>531399</v>
          </cell>
          <cell r="C5241" t="str">
            <v>GGAUTO</v>
          </cell>
        </row>
        <row r="5242">
          <cell r="A5242" t="str">
            <v>SGN TELECOMS LTD</v>
          </cell>
          <cell r="B5242">
            <v>531812</v>
          </cell>
          <cell r="C5242" t="str">
            <v>SGNTE</v>
          </cell>
        </row>
        <row r="5243">
          <cell r="A5243" t="str">
            <v>LCC INFOTECH LTD</v>
          </cell>
          <cell r="B5243">
            <v>532019</v>
          </cell>
          <cell r="C5243" t="str">
            <v>LCCINFOTEC</v>
          </cell>
        </row>
        <row r="5244">
          <cell r="A5244" t="str">
            <v>AMBICA AGARBATHIES &amp; AROMA INDUSTRIES LTD</v>
          </cell>
          <cell r="B5244">
            <v>532335</v>
          </cell>
          <cell r="C5244" t="str">
            <v>AMBICAAGAR</v>
          </cell>
        </row>
        <row r="5245">
          <cell r="A5245" t="str">
            <v>Shree Hanuman Sugar &amp; Industries Ltd</v>
          </cell>
          <cell r="B5245">
            <v>537709</v>
          </cell>
          <cell r="C5245" t="str">
            <v>HANSUGAR</v>
          </cell>
        </row>
        <row r="5246">
          <cell r="A5246" t="str">
            <v>Samrat Forgings Ltd</v>
          </cell>
          <cell r="B5246">
            <v>543229</v>
          </cell>
          <cell r="C5246" t="str">
            <v>SAMRATFORG</v>
          </cell>
        </row>
        <row r="5247">
          <cell r="A5247" t="str">
            <v>Gland Pharma Ltd</v>
          </cell>
          <cell r="B5247">
            <v>543245</v>
          </cell>
          <cell r="C5247" t="str">
            <v>GLAND</v>
          </cell>
        </row>
        <row r="5248">
          <cell r="A5248" t="str">
            <v>Mirae Asset ESG Sector Leaders ETF</v>
          </cell>
          <cell r="B5248">
            <v>543246</v>
          </cell>
          <cell r="C5248" t="str">
            <v>MAESGETF</v>
          </cell>
        </row>
        <row r="5249">
          <cell r="A5249" t="str">
            <v>Net Pix Shorts Digital Media Ltd</v>
          </cell>
          <cell r="B5249">
            <v>543247</v>
          </cell>
          <cell r="C5249" t="str">
            <v>NETPIX</v>
          </cell>
        </row>
        <row r="5250">
          <cell r="A5250" t="str">
            <v>Restaurant Brands Asia Ltd</v>
          </cell>
          <cell r="B5250">
            <v>543248</v>
          </cell>
          <cell r="C5250" t="str">
            <v>RBA</v>
          </cell>
        </row>
        <row r="5251">
          <cell r="A5251" t="str">
            <v>Tarc Ltd</v>
          </cell>
          <cell r="B5251">
            <v>543249</v>
          </cell>
          <cell r="C5251" t="str">
            <v>TARC</v>
          </cell>
        </row>
        <row r="5252">
          <cell r="A5252" t="str">
            <v>Ravinder Heights Ltd</v>
          </cell>
          <cell r="B5252">
            <v>543251</v>
          </cell>
          <cell r="C5252" t="str">
            <v>RVHL</v>
          </cell>
        </row>
        <row r="5253">
          <cell r="A5253" t="str">
            <v>Fairchem Organics Ltd</v>
          </cell>
          <cell r="B5253">
            <v>543252</v>
          </cell>
          <cell r="C5253" t="str">
            <v>FAIRCHEMOR</v>
          </cell>
        </row>
        <row r="5254">
          <cell r="A5254" t="str">
            <v>Mrs. Bectors Food Specialities Ltd</v>
          </cell>
          <cell r="B5254">
            <v>543253</v>
          </cell>
          <cell r="C5254" t="str">
            <v>BECTORFOOD</v>
          </cell>
        </row>
        <row r="5255">
          <cell r="A5255" t="str">
            <v>Antony Waste Handling Cell Ltd</v>
          </cell>
          <cell r="B5255">
            <v>543254</v>
          </cell>
          <cell r="C5255" t="str">
            <v>AWHCL</v>
          </cell>
        </row>
        <row r="5256">
          <cell r="A5256" t="str">
            <v>NIPPON INDIA ETF INFRA BeES</v>
          </cell>
          <cell r="B5256">
            <v>543255</v>
          </cell>
          <cell r="C5256" t="str">
            <v>INFRABEES</v>
          </cell>
        </row>
        <row r="5257">
          <cell r="A5257" t="str">
            <v>Rita Finance and Leasing Ltd</v>
          </cell>
          <cell r="B5257">
            <v>543256</v>
          </cell>
          <cell r="C5257" t="str">
            <v>RFLL</v>
          </cell>
        </row>
        <row r="5258">
          <cell r="A5258" t="str">
            <v>Indian Railway Finance Corporation Ltd</v>
          </cell>
          <cell r="B5258">
            <v>543257</v>
          </cell>
          <cell r="C5258" t="str">
            <v>IRFC</v>
          </cell>
        </row>
        <row r="5259">
          <cell r="A5259" t="str">
            <v>Indigo Paints Ltd</v>
          </cell>
          <cell r="B5259">
            <v>543258</v>
          </cell>
          <cell r="C5259" t="str">
            <v>INDIGOPNTS</v>
          </cell>
        </row>
        <row r="5260">
          <cell r="A5260" t="str">
            <v>Home First Finance Company India Ltd</v>
          </cell>
          <cell r="B5260">
            <v>543259</v>
          </cell>
          <cell r="C5260" t="str">
            <v>HOMEFIRST</v>
          </cell>
        </row>
        <row r="5261">
          <cell r="A5261" t="str">
            <v>Stove Kraft Ltd</v>
          </cell>
          <cell r="B5261">
            <v>543260</v>
          </cell>
          <cell r="C5261" t="str">
            <v>STOVEKRAFT</v>
          </cell>
        </row>
        <row r="5262">
          <cell r="A5262" t="str">
            <v>Brookfield India Real Estate Trust REIT</v>
          </cell>
          <cell r="B5262">
            <v>543261</v>
          </cell>
          <cell r="C5262" t="str">
            <v>BIRET</v>
          </cell>
        </row>
        <row r="5263">
          <cell r="A5263" t="str">
            <v>MRP Agro Ltd</v>
          </cell>
          <cell r="B5263">
            <v>543262</v>
          </cell>
          <cell r="C5263" t="str">
            <v>MRP</v>
          </cell>
        </row>
        <row r="5264">
          <cell r="A5264" t="str">
            <v>SMC Global Securities Ltd</v>
          </cell>
          <cell r="B5264">
            <v>543263</v>
          </cell>
          <cell r="C5264" t="str">
            <v>SMCGLOBAL*</v>
          </cell>
        </row>
        <row r="5265">
          <cell r="A5265" t="str">
            <v>Nureca Ltd</v>
          </cell>
          <cell r="B5265">
            <v>543264</v>
          </cell>
          <cell r="C5265" t="str">
            <v>NURECA</v>
          </cell>
        </row>
        <row r="5266">
          <cell r="A5266" t="str">
            <v>RailTel Corporation of India Ltd</v>
          </cell>
          <cell r="B5266">
            <v>543265</v>
          </cell>
          <cell r="C5266" t="str">
            <v>RAILTEL</v>
          </cell>
        </row>
        <row r="5267">
          <cell r="A5267" t="str">
            <v>Heranba Industries Ltd</v>
          </cell>
          <cell r="B5267">
            <v>543266</v>
          </cell>
          <cell r="C5267" t="str">
            <v>HERANBA</v>
          </cell>
        </row>
        <row r="5268">
          <cell r="A5268" t="str">
            <v>Davangere Sugar Company Ltd</v>
          </cell>
          <cell r="B5268">
            <v>543267</v>
          </cell>
          <cell r="C5268" t="str">
            <v>DAVANGERE</v>
          </cell>
        </row>
        <row r="5269">
          <cell r="A5269" t="str">
            <v>Adjia Technologies Ltd</v>
          </cell>
          <cell r="B5269">
            <v>543269</v>
          </cell>
          <cell r="C5269" t="str">
            <v>ADJIA</v>
          </cell>
        </row>
        <row r="5270">
          <cell r="A5270" t="str">
            <v>MTAR Technologies Ltd</v>
          </cell>
          <cell r="B5270">
            <v>543270</v>
          </cell>
          <cell r="C5270" t="str">
            <v>MTARTECH</v>
          </cell>
        </row>
        <row r="5271">
          <cell r="A5271" t="str">
            <v>Jubilant Ingrevia Ltd</v>
          </cell>
          <cell r="B5271">
            <v>543271</v>
          </cell>
          <cell r="C5271" t="str">
            <v>JUBLINGREA</v>
          </cell>
        </row>
        <row r="5272">
          <cell r="A5272" t="str">
            <v>Easy Trip Planners Ltd</v>
          </cell>
          <cell r="B5272">
            <v>543272</v>
          </cell>
          <cell r="C5272" t="str">
            <v>EASEMYTRIP</v>
          </cell>
        </row>
        <row r="5273">
          <cell r="A5273" t="str">
            <v>Knowledge Marine &amp; Engineering Works Ltd</v>
          </cell>
          <cell r="B5273">
            <v>543273</v>
          </cell>
          <cell r="C5273" t="str">
            <v>KMEW</v>
          </cell>
        </row>
        <row r="5274">
          <cell r="A5274" t="str">
            <v>Suumaya Corporation Ltd</v>
          </cell>
          <cell r="B5274">
            <v>543274</v>
          </cell>
          <cell r="C5274" t="str">
            <v>SUUMAYA</v>
          </cell>
        </row>
        <row r="5275">
          <cell r="A5275" t="str">
            <v>Anupam Rasayan India Ltd</v>
          </cell>
          <cell r="B5275">
            <v>543275</v>
          </cell>
          <cell r="C5275" t="str">
            <v>ANURAS</v>
          </cell>
        </row>
        <row r="5276">
          <cell r="A5276" t="str">
            <v>Craftsman Automation Ltd</v>
          </cell>
          <cell r="B5276">
            <v>543276</v>
          </cell>
          <cell r="C5276" t="str">
            <v>CRAFTSMAN</v>
          </cell>
        </row>
        <row r="5277">
          <cell r="A5277" t="str">
            <v>Laxmi Organic Industries Ltd</v>
          </cell>
          <cell r="B5277">
            <v>543277</v>
          </cell>
          <cell r="C5277" t="str">
            <v>LXCHEM</v>
          </cell>
        </row>
        <row r="5278">
          <cell r="A5278" t="str">
            <v>Kalyan Jewellers India Ltd</v>
          </cell>
          <cell r="B5278">
            <v>543278</v>
          </cell>
          <cell r="C5278" t="str">
            <v>KALYANKJIL</v>
          </cell>
        </row>
        <row r="5279">
          <cell r="A5279" t="str">
            <v>Suryoday Small Finance Bank Ltd</v>
          </cell>
          <cell r="B5279">
            <v>543279</v>
          </cell>
          <cell r="C5279" t="str">
            <v>SURYODAY</v>
          </cell>
        </row>
        <row r="5280">
          <cell r="A5280" t="str">
            <v>Nazara Technologies Ltd</v>
          </cell>
          <cell r="B5280">
            <v>543280</v>
          </cell>
          <cell r="C5280" t="str">
            <v>NAZARA</v>
          </cell>
        </row>
        <row r="5281">
          <cell r="A5281" t="str">
            <v>Suvidhaa Infoserve Ltd</v>
          </cell>
          <cell r="B5281">
            <v>543281</v>
          </cell>
          <cell r="C5281" t="str">
            <v>SUVIDHAA</v>
          </cell>
        </row>
        <row r="5282">
          <cell r="A5282" t="str">
            <v>Niks Technology Ltd</v>
          </cell>
          <cell r="B5282">
            <v>543282</v>
          </cell>
          <cell r="C5282" t="str">
            <v>NIKSTECH</v>
          </cell>
        </row>
        <row r="5283">
          <cell r="A5283" t="str">
            <v>Barbeque-Nation Hospitality Ltd</v>
          </cell>
          <cell r="B5283">
            <v>543283</v>
          </cell>
          <cell r="C5283" t="str">
            <v>BARBEQUE</v>
          </cell>
        </row>
        <row r="5284">
          <cell r="A5284" t="str">
            <v>EKI Energy Services Ltd</v>
          </cell>
          <cell r="B5284">
            <v>543284</v>
          </cell>
          <cell r="C5284" t="str">
            <v>EKI</v>
          </cell>
        </row>
        <row r="5285">
          <cell r="A5285" t="str">
            <v>Rajeshwari Cans Ltd</v>
          </cell>
          <cell r="B5285">
            <v>543285</v>
          </cell>
          <cell r="C5285" t="str">
            <v>RCAN</v>
          </cell>
        </row>
        <row r="5286">
          <cell r="A5286" t="str">
            <v>Jetmall Spices and Masala Ltd</v>
          </cell>
          <cell r="B5286">
            <v>543286</v>
          </cell>
          <cell r="C5286" t="str">
            <v>JETMALL</v>
          </cell>
        </row>
        <row r="5287">
          <cell r="A5287" t="str">
            <v>Macrotech Developers Ltd</v>
          </cell>
          <cell r="B5287">
            <v>543287</v>
          </cell>
          <cell r="C5287" t="str">
            <v>LODHA</v>
          </cell>
        </row>
        <row r="5288">
          <cell r="A5288" t="str">
            <v>Deep Industries Ltd</v>
          </cell>
          <cell r="B5288">
            <v>543288</v>
          </cell>
          <cell r="C5288" t="str">
            <v>DEEPIND</v>
          </cell>
        </row>
        <row r="5289">
          <cell r="A5289" t="str">
            <v>Kuberan Global Edu Solutions Ltd</v>
          </cell>
          <cell r="B5289">
            <v>543289</v>
          </cell>
          <cell r="C5289" t="str">
            <v>KGES</v>
          </cell>
        </row>
        <row r="5290">
          <cell r="A5290" t="str">
            <v>POWERGRID Infrastructure Investment Trust</v>
          </cell>
          <cell r="B5290">
            <v>543290</v>
          </cell>
          <cell r="C5290" t="str">
            <v>PGINVIT</v>
          </cell>
        </row>
        <row r="5291">
          <cell r="A5291" t="str">
            <v>Mirae Asset NYSE FANG+ ETF</v>
          </cell>
          <cell r="B5291">
            <v>543291</v>
          </cell>
          <cell r="C5291" t="str">
            <v>MAFANG</v>
          </cell>
        </row>
        <row r="5292">
          <cell r="A5292" t="str">
            <v>ICICI Prudential Healthcare ETF</v>
          </cell>
          <cell r="B5292">
            <v>543292</v>
          </cell>
          <cell r="C5292" t="str">
            <v>ICICIPHARM</v>
          </cell>
        </row>
        <row r="5293">
          <cell r="A5293" t="str">
            <v>Inox Wind Energy Ltd</v>
          </cell>
          <cell r="B5293">
            <v>543297</v>
          </cell>
          <cell r="C5293" t="str">
            <v>IWEL</v>
          </cell>
        </row>
        <row r="5294">
          <cell r="A5294" t="str">
            <v>Vineet Laboratories Ltd</v>
          </cell>
          <cell r="B5294">
            <v>543298</v>
          </cell>
          <cell r="C5294" t="str">
            <v>VINEETLAB</v>
          </cell>
        </row>
        <row r="5295">
          <cell r="A5295" t="str">
            <v>Shyam Metalics and Energy Ltd</v>
          </cell>
          <cell r="B5295">
            <v>543299</v>
          </cell>
          <cell r="C5295" t="str">
            <v>SHYAMMETL</v>
          </cell>
        </row>
        <row r="5296">
          <cell r="A5296" t="str">
            <v>Sona BLW Precision Forgings Ltd</v>
          </cell>
          <cell r="B5296">
            <v>543300</v>
          </cell>
          <cell r="C5296" t="str">
            <v>SONACOMS</v>
          </cell>
        </row>
        <row r="5297">
          <cell r="A5297" t="str">
            <v>Navoday Enterprises Ltd</v>
          </cell>
          <cell r="B5297">
            <v>543305</v>
          </cell>
          <cell r="C5297" t="str">
            <v>NAVODAYENT</v>
          </cell>
        </row>
        <row r="5298">
          <cell r="A5298" t="str">
            <v>Dodla Dairy Ltd</v>
          </cell>
          <cell r="B5298">
            <v>543306</v>
          </cell>
          <cell r="C5298" t="str">
            <v>DODLA</v>
          </cell>
        </row>
        <row r="5299">
          <cell r="A5299" t="str">
            <v>Krishna Institute of Medical Sciences Ltd</v>
          </cell>
          <cell r="B5299">
            <v>543308</v>
          </cell>
          <cell r="C5299" t="str">
            <v>KIMS</v>
          </cell>
        </row>
        <row r="5300">
          <cell r="A5300" t="str">
            <v>Adeshwar Meditex Ltd</v>
          </cell>
          <cell r="B5300">
            <v>543309</v>
          </cell>
          <cell r="C5300" t="str">
            <v>ADESHWAR</v>
          </cell>
        </row>
        <row r="5301">
          <cell r="A5301" t="str">
            <v>Times Green Energy (India) Ltd</v>
          </cell>
          <cell r="B5301">
            <v>543310</v>
          </cell>
          <cell r="C5301" t="str">
            <v>TIMESGREEN</v>
          </cell>
        </row>
        <row r="5302">
          <cell r="A5302" t="str">
            <v>India Pesticides Ltd</v>
          </cell>
          <cell r="B5302">
            <v>543311</v>
          </cell>
          <cell r="C5302" t="str">
            <v>IPL</v>
          </cell>
        </row>
        <row r="5303">
          <cell r="A5303" t="str">
            <v>Focus Business Solution Ltd</v>
          </cell>
          <cell r="B5303">
            <v>543312</v>
          </cell>
          <cell r="C5303" t="str">
            <v>FOCUS</v>
          </cell>
        </row>
        <row r="5304">
          <cell r="A5304" t="str">
            <v>G R Infraprojects Ltd</v>
          </cell>
          <cell r="B5304">
            <v>543317</v>
          </cell>
          <cell r="C5304" t="str">
            <v>GRINFRA</v>
          </cell>
        </row>
        <row r="5305">
          <cell r="A5305" t="str">
            <v>Clean Science and Technology Ltd</v>
          </cell>
          <cell r="B5305">
            <v>543318</v>
          </cell>
          <cell r="C5305" t="str">
            <v>CLEAN</v>
          </cell>
        </row>
        <row r="5306">
          <cell r="A5306" t="str">
            <v>AA Plus Tradelink Ltd</v>
          </cell>
          <cell r="B5306">
            <v>543319</v>
          </cell>
          <cell r="C5306" t="str">
            <v>AAPLUSTRAD</v>
          </cell>
        </row>
        <row r="5307">
          <cell r="A5307" t="str">
            <v>Zomato Ltd</v>
          </cell>
          <cell r="B5307">
            <v>543320</v>
          </cell>
          <cell r="C5307" t="str">
            <v>ZOMATO</v>
          </cell>
        </row>
        <row r="5308">
          <cell r="A5308" t="str">
            <v>Tatva Chintan Pharma Chem Ltd</v>
          </cell>
          <cell r="B5308">
            <v>543321</v>
          </cell>
          <cell r="C5308" t="str">
            <v>TATVA</v>
          </cell>
        </row>
        <row r="5309">
          <cell r="A5309" t="str">
            <v>Glenmark Life Sciences Ltd</v>
          </cell>
          <cell r="B5309">
            <v>543322</v>
          </cell>
          <cell r="C5309" t="str">
            <v>GLS</v>
          </cell>
        </row>
        <row r="5310">
          <cell r="A5310" t="str">
            <v>Mirae Asset Nifty Financial Services ETF</v>
          </cell>
          <cell r="B5310">
            <v>543323</v>
          </cell>
          <cell r="C5310" t="str">
            <v>MAFSETF</v>
          </cell>
        </row>
        <row r="5311">
          <cell r="A5311" t="str">
            <v>Gretex Corporate Services Ltd</v>
          </cell>
          <cell r="B5311">
            <v>543324</v>
          </cell>
          <cell r="C5311" t="str">
            <v>GCSL</v>
          </cell>
        </row>
        <row r="5312">
          <cell r="A5312" t="str">
            <v>Rolex Rings Ltd</v>
          </cell>
          <cell r="B5312">
            <v>543325</v>
          </cell>
          <cell r="C5312" t="str">
            <v>ROLEXRINGS</v>
          </cell>
        </row>
        <row r="5313">
          <cell r="A5313" t="str">
            <v>ICICI Prudential FMCG ETF</v>
          </cell>
          <cell r="B5313">
            <v>543326</v>
          </cell>
          <cell r="C5313" t="str">
            <v>ICICIFMCG</v>
          </cell>
        </row>
        <row r="5314">
          <cell r="A5314" t="str">
            <v>Exxaro Tiles Ltd</v>
          </cell>
          <cell r="B5314">
            <v>543327</v>
          </cell>
          <cell r="C5314" t="str">
            <v>EXXARO</v>
          </cell>
        </row>
        <row r="5315">
          <cell r="A5315" t="str">
            <v>Krsnaa Diagnostics Ltd</v>
          </cell>
          <cell r="B5315">
            <v>543328</v>
          </cell>
          <cell r="C5315" t="str">
            <v>KRSNAA</v>
          </cell>
        </row>
        <row r="5316">
          <cell r="A5316" t="str">
            <v>Windlas Biotech Ltd</v>
          </cell>
          <cell r="B5316">
            <v>543329</v>
          </cell>
          <cell r="C5316" t="str">
            <v>WINDLAS</v>
          </cell>
        </row>
        <row r="5317">
          <cell r="A5317" t="str">
            <v>Devyani International Ltd</v>
          </cell>
          <cell r="B5317">
            <v>543330</v>
          </cell>
          <cell r="C5317" t="str">
            <v>DEVYANI</v>
          </cell>
        </row>
        <row r="5318">
          <cell r="A5318" t="str">
            <v>Meghmani Organics Ltd</v>
          </cell>
          <cell r="B5318">
            <v>543331</v>
          </cell>
          <cell r="C5318" t="str">
            <v>MOL</v>
          </cell>
        </row>
        <row r="5319">
          <cell r="A5319" t="str">
            <v>Meghmani Finechem Ltd</v>
          </cell>
          <cell r="B5319">
            <v>543332</v>
          </cell>
          <cell r="C5319" t="str">
            <v>MFL</v>
          </cell>
        </row>
        <row r="5320">
          <cell r="A5320" t="str">
            <v>CarTrade Tech Ltd</v>
          </cell>
          <cell r="B5320">
            <v>543333</v>
          </cell>
          <cell r="C5320" t="str">
            <v>CARTRADE</v>
          </cell>
        </row>
        <row r="5321">
          <cell r="A5321" t="str">
            <v>Nuvoco Vistas Corporation Ltd</v>
          </cell>
          <cell r="B5321">
            <v>543334</v>
          </cell>
          <cell r="C5321" t="str">
            <v>NUVOCO</v>
          </cell>
        </row>
        <row r="5322">
          <cell r="A5322" t="str">
            <v>Aptus Value Housing Finance India Ltd</v>
          </cell>
          <cell r="B5322">
            <v>543335</v>
          </cell>
          <cell r="C5322" t="str">
            <v>APTUS</v>
          </cell>
        </row>
        <row r="5323">
          <cell r="A5323" t="str">
            <v>Chemplast Sanmar Ltd</v>
          </cell>
          <cell r="B5323">
            <v>543336</v>
          </cell>
          <cell r="C5323" t="str">
            <v>CHEMPLASTS</v>
          </cell>
        </row>
        <row r="5324">
          <cell r="A5324" t="str">
            <v>Sharpline Broadcast Ltd</v>
          </cell>
          <cell r="B5324">
            <v>543341</v>
          </cell>
          <cell r="C5324" t="str">
            <v>SHARPLINE</v>
          </cell>
        </row>
        <row r="5325">
          <cell r="A5325" t="str">
            <v>Aashka Hospitals Ltd</v>
          </cell>
          <cell r="B5325">
            <v>543346</v>
          </cell>
          <cell r="C5325" t="str">
            <v>AASHKA</v>
          </cell>
        </row>
        <row r="5326">
          <cell r="A5326" t="str">
            <v>AXIS TECHNOLOGY ETF</v>
          </cell>
          <cell r="B5326">
            <v>543347</v>
          </cell>
          <cell r="C5326" t="str">
            <v>AXISTECETF</v>
          </cell>
        </row>
        <row r="5327">
          <cell r="A5327" t="str">
            <v>AXIS HEALTHCARE ETF</v>
          </cell>
          <cell r="B5327">
            <v>543348</v>
          </cell>
          <cell r="C5327" t="str">
            <v>AXISHETF</v>
          </cell>
        </row>
        <row r="5328">
          <cell r="A5328" t="str">
            <v>Ami Organics Ltd</v>
          </cell>
          <cell r="B5328">
            <v>543349</v>
          </cell>
          <cell r="C5328" t="str">
            <v>AMIORG</v>
          </cell>
        </row>
        <row r="5329">
          <cell r="A5329" t="str">
            <v>Vijaya Diagnostic Centre Ltd</v>
          </cell>
          <cell r="B5329">
            <v>543350</v>
          </cell>
          <cell r="C5329" t="str">
            <v>VIJAYA</v>
          </cell>
        </row>
        <row r="5330">
          <cell r="A5330" t="str">
            <v>Naapbooks Ltd</v>
          </cell>
          <cell r="B5330">
            <v>543351</v>
          </cell>
          <cell r="C5330" t="str">
            <v>NBL</v>
          </cell>
        </row>
        <row r="5331">
          <cell r="A5331" t="str">
            <v>PlatinumOne Business Services Ltd</v>
          </cell>
          <cell r="B5331">
            <v>543352</v>
          </cell>
          <cell r="C5331" t="str">
            <v>POBS</v>
          </cell>
        </row>
        <row r="5332">
          <cell r="A5332" t="str">
            <v>AXIS CONSUMPTION ETF</v>
          </cell>
          <cell r="B5332">
            <v>543357</v>
          </cell>
          <cell r="C5332" t="str">
            <v>AXISCETF</v>
          </cell>
        </row>
        <row r="5333">
          <cell r="A5333" t="str">
            <v>Sansera Engineering Ltd</v>
          </cell>
          <cell r="B5333">
            <v>543358</v>
          </cell>
          <cell r="C5333" t="str">
            <v>SANSERA</v>
          </cell>
        </row>
        <row r="5334">
          <cell r="A5334" t="str">
            <v>Prevest Denpro Ltd</v>
          </cell>
          <cell r="B5334">
            <v>543363</v>
          </cell>
          <cell r="C5334" t="str">
            <v>PREVEST</v>
          </cell>
        </row>
        <row r="5335">
          <cell r="A5335" t="str">
            <v>Markolines Traffic Controls Ltd</v>
          </cell>
          <cell r="B5335">
            <v>543364</v>
          </cell>
          <cell r="C5335" t="str">
            <v>MTCL</v>
          </cell>
        </row>
        <row r="5336">
          <cell r="A5336" t="str">
            <v>Mirae Asset S&amp;P 500 Top 50 ETF</v>
          </cell>
          <cell r="B5336">
            <v>543365</v>
          </cell>
          <cell r="C5336" t="str">
            <v>MASPTOP50</v>
          </cell>
        </row>
        <row r="5337">
          <cell r="A5337" t="str">
            <v>SBL Infratech Ltd</v>
          </cell>
          <cell r="B5337">
            <v>543366</v>
          </cell>
          <cell r="C5337" t="str">
            <v>SBLI</v>
          </cell>
        </row>
        <row r="5338">
          <cell r="A5338" t="str">
            <v>Paras Defence and Space Technologies Ltd</v>
          </cell>
          <cell r="B5338">
            <v>543367</v>
          </cell>
          <cell r="C5338" t="str">
            <v>PARAS</v>
          </cell>
        </row>
        <row r="5339">
          <cell r="A5339" t="str">
            <v>Getalong Enterprise Ltd</v>
          </cell>
          <cell r="B5339">
            <v>543372</v>
          </cell>
          <cell r="C5339" t="str">
            <v>GETALONG</v>
          </cell>
        </row>
        <row r="5340">
          <cell r="A5340" t="str">
            <v>Shri Venkatesh Refineries Ltd</v>
          </cell>
          <cell r="B5340">
            <v>543373</v>
          </cell>
          <cell r="C5340" t="str">
            <v>SVRL</v>
          </cell>
        </row>
        <row r="5341">
          <cell r="A5341" t="str">
            <v>Aditya Birla Sun Life AMC Ltd</v>
          </cell>
          <cell r="B5341">
            <v>543374</v>
          </cell>
          <cell r="C5341" t="str">
            <v>ABSLAMC</v>
          </cell>
        </row>
        <row r="5342">
          <cell r="A5342" t="str">
            <v>Promax Power Ltd</v>
          </cell>
          <cell r="B5342">
            <v>543375</v>
          </cell>
          <cell r="C5342" t="str">
            <v>PROMAX</v>
          </cell>
        </row>
        <row r="5343">
          <cell r="A5343" t="str">
            <v>Samor Reality Ltd</v>
          </cell>
          <cell r="B5343">
            <v>543376</v>
          </cell>
          <cell r="C5343" t="str">
            <v>SAMOR</v>
          </cell>
        </row>
        <row r="5344">
          <cell r="A5344" t="str">
            <v>Adishakti Loha and Ispat Ltd</v>
          </cell>
          <cell r="B5344">
            <v>543377</v>
          </cell>
          <cell r="C5344" t="str">
            <v>ADISHAKTI</v>
          </cell>
        </row>
        <row r="5345">
          <cell r="A5345" t="str">
            <v>CWD Ltd</v>
          </cell>
          <cell r="B5345">
            <v>543378</v>
          </cell>
          <cell r="C5345" t="str">
            <v>CWD</v>
          </cell>
        </row>
        <row r="5346">
          <cell r="A5346" t="str">
            <v>ICICI Prudential Consumption ETF</v>
          </cell>
          <cell r="B5346">
            <v>543383</v>
          </cell>
          <cell r="C5346" t="str">
            <v>ICICICONSU</v>
          </cell>
        </row>
        <row r="5347">
          <cell r="A5347" t="str">
            <v>FSN E-Commerce Ventures Ltd</v>
          </cell>
          <cell r="B5347">
            <v>543384</v>
          </cell>
          <cell r="C5347" t="str">
            <v>NYKAA</v>
          </cell>
        </row>
        <row r="5348">
          <cell r="A5348" t="str">
            <v>National Highways Infra Trust</v>
          </cell>
          <cell r="B5348">
            <v>543385</v>
          </cell>
          <cell r="C5348" t="str">
            <v>NHIT</v>
          </cell>
        </row>
        <row r="5349">
          <cell r="A5349" t="str">
            <v>Fino Payments Bank Ltd</v>
          </cell>
          <cell r="B5349">
            <v>543386</v>
          </cell>
          <cell r="C5349" t="str">
            <v>FINOPB</v>
          </cell>
        </row>
        <row r="5350">
          <cell r="A5350" t="str">
            <v>S.J.S. Enterprises Ltd</v>
          </cell>
          <cell r="B5350">
            <v>543387</v>
          </cell>
          <cell r="C5350" t="str">
            <v>SJS</v>
          </cell>
        </row>
        <row r="5351">
          <cell r="A5351" t="str">
            <v>DSP Nifty 50 Equal Weight ETF</v>
          </cell>
          <cell r="B5351">
            <v>543388</v>
          </cell>
          <cell r="C5351" t="str">
            <v>DSPNEWETF</v>
          </cell>
        </row>
        <row r="5352">
          <cell r="A5352" t="str">
            <v>Sigachi Industries Ltd</v>
          </cell>
          <cell r="B5352">
            <v>543389</v>
          </cell>
          <cell r="C5352" t="str">
            <v>SIGACHI</v>
          </cell>
        </row>
        <row r="5353">
          <cell r="A5353" t="str">
            <v>PB Fintech Ltd</v>
          </cell>
          <cell r="B5353">
            <v>543390</v>
          </cell>
          <cell r="C5353" t="str">
            <v>POLICYBZR</v>
          </cell>
        </row>
        <row r="5354">
          <cell r="A5354" t="str">
            <v>Suyog Gurbaxani Funicular Ropeways Ltd</v>
          </cell>
          <cell r="B5354">
            <v>543391</v>
          </cell>
          <cell r="C5354" t="str">
            <v>SGFRL</v>
          </cell>
        </row>
        <row r="5355">
          <cell r="A5355" t="str">
            <v>One 97 Communications Ltd</v>
          </cell>
          <cell r="B5355">
            <v>543396</v>
          </cell>
          <cell r="C5355" t="str">
            <v>PAYTM</v>
          </cell>
        </row>
        <row r="5356">
          <cell r="A5356" t="str">
            <v>Sapphire Foods India Ltd</v>
          </cell>
          <cell r="B5356">
            <v>543397</v>
          </cell>
          <cell r="C5356" t="str">
            <v>SAPPHIRE</v>
          </cell>
        </row>
        <row r="5357">
          <cell r="A5357" t="str">
            <v>Latent View Analytics Ltd</v>
          </cell>
          <cell r="B5357">
            <v>543398</v>
          </cell>
          <cell r="C5357" t="str">
            <v>LATENTVIEW</v>
          </cell>
        </row>
        <row r="5358">
          <cell r="A5358" t="str">
            <v>Tarsons Products Ltd</v>
          </cell>
          <cell r="B5358">
            <v>543399</v>
          </cell>
          <cell r="C5358" t="str">
            <v>TARSONS</v>
          </cell>
        </row>
        <row r="5359">
          <cell r="A5359" t="str">
            <v>Omnipotent Industries Ltd</v>
          </cell>
          <cell r="B5359">
            <v>543400</v>
          </cell>
          <cell r="C5359" t="str">
            <v>OMNIPOTENT</v>
          </cell>
        </row>
        <row r="5360">
          <cell r="A5360" t="str">
            <v>Go Fashion (India) Ltd</v>
          </cell>
          <cell r="B5360">
            <v>543401</v>
          </cell>
          <cell r="C5360" t="str">
            <v>GOCOLORS</v>
          </cell>
        </row>
        <row r="5361">
          <cell r="A5361" t="str">
            <v>DMR Hydroengineering &amp; Infrastructures Ltd</v>
          </cell>
          <cell r="B5361">
            <v>543410</v>
          </cell>
          <cell r="C5361" t="str">
            <v>DMR</v>
          </cell>
        </row>
        <row r="5362">
          <cell r="A5362" t="str">
            <v>Hi-Tech Pipes Ltd</v>
          </cell>
          <cell r="B5362">
            <v>543411</v>
          </cell>
          <cell r="C5362" t="str">
            <v>HITECH</v>
          </cell>
        </row>
        <row r="5363">
          <cell r="A5363" t="str">
            <v>Star Health and Allied Insurance Company Ltd</v>
          </cell>
          <cell r="B5363">
            <v>543412</v>
          </cell>
          <cell r="C5363" t="str">
            <v>STARHEALTH</v>
          </cell>
        </row>
        <row r="5364">
          <cell r="A5364" t="str">
            <v>Tega Industries Ltd</v>
          </cell>
          <cell r="B5364">
            <v>543413</v>
          </cell>
          <cell r="C5364" t="str">
            <v>TEGA</v>
          </cell>
        </row>
        <row r="5365">
          <cell r="A5365" t="str">
            <v>Mirae Asset Hang Seng TECH ETF</v>
          </cell>
          <cell r="B5365">
            <v>543414</v>
          </cell>
          <cell r="C5365" t="str">
            <v>MAHKTECH</v>
          </cell>
        </row>
        <row r="5366">
          <cell r="A5366" t="str">
            <v>Anand Rathi Wealth Ltd</v>
          </cell>
          <cell r="B5366">
            <v>543415</v>
          </cell>
          <cell r="C5366" t="str">
            <v>ANANDRATHI</v>
          </cell>
        </row>
        <row r="5367">
          <cell r="A5367" t="str">
            <v>Zodiac Energy Ltd</v>
          </cell>
          <cell r="B5367">
            <v>543416</v>
          </cell>
          <cell r="C5367" t="str">
            <v>ZODIAC</v>
          </cell>
        </row>
        <row r="5368">
          <cell r="A5368" t="str">
            <v>RateGain Travel Technologies Ltd</v>
          </cell>
          <cell r="B5368">
            <v>543417</v>
          </cell>
          <cell r="C5368" t="str">
            <v>RATEGAIN</v>
          </cell>
        </row>
        <row r="5369">
          <cell r="A5369" t="str">
            <v>Shriram Properties Ltd</v>
          </cell>
          <cell r="B5369">
            <v>543419</v>
          </cell>
          <cell r="C5369" t="str">
            <v>SHRIRAMPPS</v>
          </cell>
        </row>
        <row r="5370">
          <cell r="A5370" t="str">
            <v>Jet Freight Logistics Ltd</v>
          </cell>
          <cell r="B5370">
            <v>543420</v>
          </cell>
          <cell r="C5370" t="str">
            <v>JETFREIGHT</v>
          </cell>
        </row>
        <row r="5371">
          <cell r="A5371" t="str">
            <v>C.E. Info Systems Ltd</v>
          </cell>
          <cell r="B5371">
            <v>543425</v>
          </cell>
          <cell r="C5371" t="str">
            <v>MAPMYINDIA</v>
          </cell>
        </row>
        <row r="5372">
          <cell r="A5372" t="str">
            <v>Metro Brands Ltd</v>
          </cell>
          <cell r="B5372">
            <v>543426</v>
          </cell>
          <cell r="C5372" t="str">
            <v>METROBRAND</v>
          </cell>
        </row>
        <row r="5373">
          <cell r="A5373" t="str">
            <v>Medplus Health Services Ltd</v>
          </cell>
          <cell r="B5373">
            <v>543427</v>
          </cell>
          <cell r="C5373" t="str">
            <v>MEDPLUS</v>
          </cell>
        </row>
        <row r="5374">
          <cell r="A5374" t="str">
            <v>Data Patterns (India) Ltd</v>
          </cell>
          <cell r="B5374">
            <v>543428</v>
          </cell>
          <cell r="C5374" t="str">
            <v>DATAPATTNS</v>
          </cell>
        </row>
        <row r="5375">
          <cell r="A5375" t="str">
            <v>HP Adhesives Ltd</v>
          </cell>
          <cell r="B5375">
            <v>543433</v>
          </cell>
          <cell r="C5375" t="str">
            <v>HPAL</v>
          </cell>
        </row>
        <row r="5376">
          <cell r="A5376" t="str">
            <v>Supriya Lifescience Ltd</v>
          </cell>
          <cell r="B5376">
            <v>543434</v>
          </cell>
          <cell r="C5376" t="str">
            <v>SUPRIYA</v>
          </cell>
        </row>
        <row r="5377">
          <cell r="A5377" t="str">
            <v>Clara Industries Ltd</v>
          </cell>
          <cell r="B5377">
            <v>543435</v>
          </cell>
          <cell r="C5377" t="str">
            <v>CLARA</v>
          </cell>
        </row>
        <row r="5378">
          <cell r="A5378" t="str">
            <v>Wherrelz IT Solutions Ltd</v>
          </cell>
          <cell r="B5378">
            <v>543436</v>
          </cell>
          <cell r="C5378" t="str">
            <v>WITS</v>
          </cell>
        </row>
        <row r="5379">
          <cell r="A5379" t="str">
            <v>Motilal Oswal Nasdaq Q 50 ETF</v>
          </cell>
          <cell r="B5379">
            <v>543437</v>
          </cell>
          <cell r="C5379" t="str">
            <v>MONQ50</v>
          </cell>
        </row>
        <row r="5380">
          <cell r="A5380" t="str">
            <v>DSP Nifty Midcap 150 Quality 50 ETF</v>
          </cell>
          <cell r="B5380">
            <v>543438</v>
          </cell>
          <cell r="C5380" t="str">
            <v>DSPQ50ETF</v>
          </cell>
        </row>
        <row r="5381">
          <cell r="A5381" t="str">
            <v>Brandbucket Media &amp; Technology Ltd</v>
          </cell>
          <cell r="B5381">
            <v>543439</v>
          </cell>
          <cell r="C5381" t="str">
            <v>BRANDBUCKT</v>
          </cell>
        </row>
        <row r="5382">
          <cell r="A5382" t="str">
            <v>DSP Nifty 50 ETF</v>
          </cell>
          <cell r="B5382">
            <v>543440</v>
          </cell>
          <cell r="C5382" t="str">
            <v>DSPN50ETF</v>
          </cell>
        </row>
        <row r="5383">
          <cell r="A5383" t="str">
            <v>CMS Info Systems Ltd</v>
          </cell>
          <cell r="B5383">
            <v>543441</v>
          </cell>
          <cell r="C5383" t="str">
            <v>CMSINFO</v>
          </cell>
        </row>
        <row r="5384">
          <cell r="A5384" t="str">
            <v>Brand Concepts Ltd</v>
          </cell>
          <cell r="B5384">
            <v>543442</v>
          </cell>
          <cell r="C5384" t="str">
            <v>BCONCEPTS</v>
          </cell>
        </row>
        <row r="5385">
          <cell r="A5385" t="str">
            <v>Ascensive Educare Ltd</v>
          </cell>
          <cell r="B5385">
            <v>543443</v>
          </cell>
          <cell r="C5385" t="str">
            <v>ASCENSIVE</v>
          </cell>
        </row>
        <row r="5386">
          <cell r="A5386" t="str">
            <v>Fabino Life Sciences Ltd</v>
          </cell>
          <cell r="B5386">
            <v>543444</v>
          </cell>
          <cell r="C5386" t="str">
            <v>FABINO</v>
          </cell>
        </row>
        <row r="5387">
          <cell r="A5387" t="str">
            <v>Wonder Fibromats Ltd</v>
          </cell>
          <cell r="B5387">
            <v>543449</v>
          </cell>
          <cell r="C5387" t="str">
            <v>WFL</v>
          </cell>
        </row>
        <row r="5388">
          <cell r="A5388" t="str">
            <v>ICICI Prudential Nifty Auto ETF</v>
          </cell>
          <cell r="B5388">
            <v>543450</v>
          </cell>
          <cell r="C5388" t="str">
            <v>ICICIAUTO</v>
          </cell>
        </row>
        <row r="5389">
          <cell r="A5389" t="str">
            <v>AGS Transact Technologies Ltd</v>
          </cell>
          <cell r="B5389">
            <v>543451</v>
          </cell>
          <cell r="C5389" t="str">
            <v>AGSTRA</v>
          </cell>
        </row>
        <row r="5390">
          <cell r="A5390" t="str">
            <v>ICICI Prudential Silver ETF</v>
          </cell>
          <cell r="B5390">
            <v>543452</v>
          </cell>
          <cell r="C5390" t="str">
            <v>ICICISILVE</v>
          </cell>
        </row>
        <row r="5391">
          <cell r="A5391" t="str">
            <v>Alkosign Ltd</v>
          </cell>
          <cell r="B5391">
            <v>543453</v>
          </cell>
          <cell r="C5391" t="str">
            <v>ALKOSIGN</v>
          </cell>
        </row>
        <row r="5392">
          <cell r="A5392" t="str">
            <v>Mirae Asset Nifty India Manufacturing ETF</v>
          </cell>
          <cell r="B5392">
            <v>543454</v>
          </cell>
          <cell r="C5392" t="str">
            <v>MAMFGETF</v>
          </cell>
        </row>
        <row r="5393">
          <cell r="A5393" t="str">
            <v>Adani Wilmar Ltd</v>
          </cell>
          <cell r="B5393">
            <v>543458</v>
          </cell>
          <cell r="C5393" t="str">
            <v>AWL</v>
          </cell>
        </row>
        <row r="5394">
          <cell r="A5394" t="str">
            <v>Quality RO Industries Ltd</v>
          </cell>
          <cell r="B5394">
            <v>543460</v>
          </cell>
          <cell r="C5394" t="str">
            <v>QRIL</v>
          </cell>
        </row>
        <row r="5395">
          <cell r="A5395" t="str">
            <v>Safa Systems &amp; Technologies Ltd</v>
          </cell>
          <cell r="B5395">
            <v>543461</v>
          </cell>
          <cell r="C5395" t="str">
            <v>SSTL</v>
          </cell>
        </row>
        <row r="5396">
          <cell r="A5396" t="str">
            <v>Dev Information Technology Ltd</v>
          </cell>
          <cell r="B5396">
            <v>543462</v>
          </cell>
          <cell r="C5396" t="str">
            <v>DEVIT</v>
          </cell>
        </row>
        <row r="5397">
          <cell r="A5397" t="str">
            <v>Vedant Fashions Ltd</v>
          </cell>
          <cell r="B5397">
            <v>543463</v>
          </cell>
          <cell r="C5397" t="str">
            <v>MANYAVAR</v>
          </cell>
        </row>
        <row r="5398">
          <cell r="A5398" t="str">
            <v>Maruti Interior Products Ltd</v>
          </cell>
          <cell r="B5398">
            <v>543464</v>
          </cell>
          <cell r="C5398" t="str">
            <v>MARUTIIPL</v>
          </cell>
        </row>
        <row r="5399">
          <cell r="A5399" t="str">
            <v>Motilal Oswal Nifty 200 Momentum 30 ETF</v>
          </cell>
          <cell r="B5399">
            <v>543465</v>
          </cell>
          <cell r="C5399" t="str">
            <v>MOMOMENTUM</v>
          </cell>
        </row>
        <row r="5400">
          <cell r="A5400" t="str">
            <v>Softtech Engineers Ltd</v>
          </cell>
          <cell r="B5400">
            <v>543470</v>
          </cell>
          <cell r="C5400" t="str">
            <v>SOFTTECH</v>
          </cell>
        </row>
        <row r="5401">
          <cell r="A5401" t="str">
            <v>Aditya Birla Sun Life Silver ETF</v>
          </cell>
          <cell r="B5401">
            <v>543471</v>
          </cell>
          <cell r="C5401" t="str">
            <v>SILVER</v>
          </cell>
        </row>
        <row r="5402">
          <cell r="A5402" t="str">
            <v>Aditya Birla Sunlife Nifty IT ETF</v>
          </cell>
          <cell r="B5402">
            <v>543472</v>
          </cell>
          <cell r="C5402" t="str">
            <v>TECH</v>
          </cell>
        </row>
        <row r="5403">
          <cell r="A5403" t="str">
            <v>Aditya Birla Sun Life Nifty Healthcare ETF</v>
          </cell>
          <cell r="B5403">
            <v>543473</v>
          </cell>
          <cell r="C5403" t="str">
            <v>HEALTHY</v>
          </cell>
        </row>
        <row r="5404">
          <cell r="A5404" t="str">
            <v>Aditya Birla Sun Life Nifty ETF</v>
          </cell>
          <cell r="B5404">
            <v>543474</v>
          </cell>
          <cell r="C5404" t="str">
            <v>BSLNIFTY</v>
          </cell>
        </row>
        <row r="5405">
          <cell r="A5405" t="str">
            <v>Ekennis Software Service Ltd</v>
          </cell>
          <cell r="B5405">
            <v>543475</v>
          </cell>
          <cell r="C5405" t="str">
            <v>EKENNIS</v>
          </cell>
        </row>
        <row r="5406">
          <cell r="A5406" t="str">
            <v>Mirae Asset Nifty Midcap 150 ETF</v>
          </cell>
          <cell r="B5406">
            <v>543481</v>
          </cell>
          <cell r="C5406" t="str">
            <v>MAM150ETF</v>
          </cell>
        </row>
        <row r="5407">
          <cell r="A5407" t="str">
            <v>Eureka Forbes Ltd</v>
          </cell>
          <cell r="B5407">
            <v>543482</v>
          </cell>
          <cell r="C5407" t="str">
            <v>EUREKAFORBE</v>
          </cell>
        </row>
        <row r="5408">
          <cell r="A5408" t="str">
            <v>Gateway Distriparks Ltd</v>
          </cell>
          <cell r="B5408">
            <v>543489</v>
          </cell>
          <cell r="C5408" t="str">
            <v>GATEWAY</v>
          </cell>
        </row>
        <row r="5409">
          <cell r="A5409" t="str">
            <v>GMR Power and Urban Infra Ltd</v>
          </cell>
          <cell r="B5409">
            <v>543490</v>
          </cell>
          <cell r="C5409" t="str">
            <v>GMRP&amp;UI</v>
          </cell>
        </row>
        <row r="5410">
          <cell r="A5410" t="str">
            <v>Bhatia Colour Chem Ltd</v>
          </cell>
          <cell r="B5410">
            <v>543497</v>
          </cell>
          <cell r="C5410" t="str">
            <v>BCCL</v>
          </cell>
        </row>
        <row r="5411">
          <cell r="A5411" t="str">
            <v>Motherson Sumi Wiring India Ltd</v>
          </cell>
          <cell r="B5411">
            <v>543498</v>
          </cell>
          <cell r="C5411" t="str">
            <v>MSUMI</v>
          </cell>
        </row>
        <row r="5412">
          <cell r="A5412" t="str">
            <v>Achyut Healthcare Ltd</v>
          </cell>
          <cell r="B5412">
            <v>543499</v>
          </cell>
          <cell r="C5412" t="str">
            <v>ACHYUT</v>
          </cell>
        </row>
        <row r="5413">
          <cell r="A5413" t="str">
            <v>Evoq Remedies Ltd</v>
          </cell>
          <cell r="B5413">
            <v>543500</v>
          </cell>
          <cell r="C5413" t="str">
            <v>EVOQ</v>
          </cell>
        </row>
        <row r="5414">
          <cell r="A5414" t="str">
            <v>Motilal Oswal S&amp;P BSE Low Volatility ETF</v>
          </cell>
          <cell r="B5414">
            <v>543501</v>
          </cell>
          <cell r="C5414" t="str">
            <v>MOLOWVOL</v>
          </cell>
        </row>
        <row r="5415">
          <cell r="A5415" t="str">
            <v>Avro India Ltd</v>
          </cell>
          <cell r="B5415">
            <v>543512</v>
          </cell>
          <cell r="C5415" t="str">
            <v>AVROIND</v>
          </cell>
        </row>
        <row r="5416">
          <cell r="A5416" t="str">
            <v>Uma Exports Ltd</v>
          </cell>
          <cell r="B5416">
            <v>543513</v>
          </cell>
          <cell r="C5416" t="str">
            <v>UMAEXPORTS</v>
          </cell>
        </row>
        <row r="5417">
          <cell r="A5417" t="str">
            <v>Veranda Learning Solutions Ltd</v>
          </cell>
          <cell r="B5417">
            <v>543514</v>
          </cell>
          <cell r="C5417" t="str">
            <v>VERANDA</v>
          </cell>
        </row>
        <row r="5418">
          <cell r="A5418" t="str">
            <v>Sunrise Efficient Marketing Ltd</v>
          </cell>
          <cell r="B5418">
            <v>543515</v>
          </cell>
          <cell r="C5418" t="str">
            <v>SEML</v>
          </cell>
        </row>
        <row r="5419">
          <cell r="A5419" t="str">
            <v>Dhyaani Tile and Marblez Ltd</v>
          </cell>
          <cell r="B5419">
            <v>543516</v>
          </cell>
          <cell r="C5419" t="str">
            <v>DHYAANI</v>
          </cell>
        </row>
        <row r="5420">
          <cell r="A5420" t="str">
            <v>Hariom Pipe Industries Ltd</v>
          </cell>
          <cell r="B5420">
            <v>543517</v>
          </cell>
          <cell r="C5420" t="str">
            <v>HARIOMPIPE</v>
          </cell>
        </row>
        <row r="5421">
          <cell r="A5421" t="str">
            <v>Eighty Jewellers Ltd</v>
          </cell>
          <cell r="B5421">
            <v>543518</v>
          </cell>
          <cell r="C5421" t="str">
            <v>EIGHTY</v>
          </cell>
        </row>
        <row r="5422">
          <cell r="A5422" t="str">
            <v>Shashwat Furnishing Solutions Ltd</v>
          </cell>
          <cell r="B5422">
            <v>543519</v>
          </cell>
          <cell r="C5422" t="str">
            <v>SFSL</v>
          </cell>
        </row>
        <row r="5423">
          <cell r="A5423" t="str">
            <v>Global Longlife Hospital and Research Ltd</v>
          </cell>
          <cell r="B5423">
            <v>543520</v>
          </cell>
          <cell r="C5423" t="str">
            <v>GLHRL</v>
          </cell>
        </row>
        <row r="5424">
          <cell r="A5424" t="str">
            <v>Fone4 Communications (India) Ltd</v>
          </cell>
          <cell r="B5424">
            <v>543521</v>
          </cell>
          <cell r="C5424" t="str">
            <v>FONE4</v>
          </cell>
        </row>
        <row r="5425">
          <cell r="A5425" t="str">
            <v>Nanavati Ventures Ltd</v>
          </cell>
          <cell r="B5425">
            <v>543522</v>
          </cell>
          <cell r="C5425" t="str">
            <v>NVENTURES</v>
          </cell>
        </row>
        <row r="5426">
          <cell r="A5426" t="str">
            <v>Campus Activewear Ltd</v>
          </cell>
          <cell r="B5426">
            <v>543523</v>
          </cell>
          <cell r="C5426" t="str">
            <v>CAMPUS</v>
          </cell>
        </row>
        <row r="5427">
          <cell r="A5427" t="str">
            <v>Rainbow Children's Medicare Ltd</v>
          </cell>
          <cell r="B5427">
            <v>543524</v>
          </cell>
          <cell r="C5427" t="str">
            <v>RAINBOW</v>
          </cell>
        </row>
        <row r="5428">
          <cell r="A5428" t="str">
            <v>Silver Touch Technologies Ltd</v>
          </cell>
          <cell r="B5428">
            <v>543525</v>
          </cell>
          <cell r="C5428" t="str">
            <v>SILVERTUC</v>
          </cell>
        </row>
        <row r="5429">
          <cell r="A5429" t="str">
            <v>Life Insurance Corporation of India</v>
          </cell>
          <cell r="B5429">
            <v>543526</v>
          </cell>
          <cell r="C5429" t="str">
            <v>LICI</v>
          </cell>
        </row>
        <row r="5430">
          <cell r="A5430" t="str">
            <v>Prudent Corporate Advisory Services Ltd</v>
          </cell>
          <cell r="B5430">
            <v>543527</v>
          </cell>
          <cell r="C5430" t="str">
            <v>PRUDENT</v>
          </cell>
        </row>
        <row r="5431">
          <cell r="A5431" t="str">
            <v>Venus Pipes &amp; Tubes Ltd</v>
          </cell>
          <cell r="B5431">
            <v>543528</v>
          </cell>
          <cell r="C5431" t="str">
            <v>VENUSPIPES</v>
          </cell>
        </row>
        <row r="5432">
          <cell r="A5432" t="str">
            <v>Delhivery Ltd</v>
          </cell>
          <cell r="B5432">
            <v>543529</v>
          </cell>
          <cell r="C5432" t="str">
            <v>DELHIVERY</v>
          </cell>
        </row>
        <row r="5433">
          <cell r="A5433" t="str">
            <v>Paradeep Phosphates Ltd</v>
          </cell>
          <cell r="B5433">
            <v>543530</v>
          </cell>
          <cell r="C5433" t="str">
            <v>PARADEEP</v>
          </cell>
        </row>
        <row r="5434">
          <cell r="A5434" t="str">
            <v>Tierra Agrotech Ltd</v>
          </cell>
          <cell r="B5434">
            <v>543531</v>
          </cell>
          <cell r="C5434" t="str">
            <v>TIERRA</v>
          </cell>
        </row>
        <row r="5435">
          <cell r="A5435" t="str">
            <v>Ethos Ltd</v>
          </cell>
          <cell r="B5435">
            <v>543532</v>
          </cell>
          <cell r="C5435" t="str">
            <v>ETHOSLTD</v>
          </cell>
        </row>
        <row r="5436">
          <cell r="A5436" t="str">
            <v>eMudhra Ltd</v>
          </cell>
          <cell r="B5436">
            <v>543533</v>
          </cell>
          <cell r="C5436" t="str">
            <v>EMUDHRA</v>
          </cell>
        </row>
        <row r="5437">
          <cell r="A5437" t="str">
            <v>Aether Industries Ltd</v>
          </cell>
          <cell r="B5437">
            <v>543534</v>
          </cell>
          <cell r="C5437" t="str">
            <v>AETHER</v>
          </cell>
        </row>
        <row r="5438">
          <cell r="A5438" t="str">
            <v>We Win Ltd</v>
          </cell>
          <cell r="B5438">
            <v>543535</v>
          </cell>
          <cell r="C5438" t="str">
            <v>WEWIN</v>
          </cell>
        </row>
        <row r="5439">
          <cell r="A5439" t="str">
            <v>Silver Pearl Hospitality &amp; Luxury Spaces Ltd</v>
          </cell>
          <cell r="B5439">
            <v>543536</v>
          </cell>
          <cell r="C5439" t="str">
            <v>SILVERPRL</v>
          </cell>
        </row>
        <row r="5440">
          <cell r="A5440" t="str">
            <v>Kotak Banking ETF - Dividend Payout Option</v>
          </cell>
          <cell r="B5440">
            <v>590136</v>
          </cell>
          <cell r="C5440" t="str">
            <v>KOTAKBKETF</v>
          </cell>
        </row>
        <row r="5441">
          <cell r="A5441" t="str">
            <v>SBI-ETF NIFTY BANK</v>
          </cell>
          <cell r="B5441">
            <v>590137</v>
          </cell>
          <cell r="C5441" t="str">
            <v>SETFNIFBK</v>
          </cell>
        </row>
        <row r="5442">
          <cell r="A5442" t="str">
            <v>SBI-ETF NIFTY 50</v>
          </cell>
          <cell r="B5442">
            <v>590138</v>
          </cell>
          <cell r="C5442" t="str">
            <v>SETFNIF50</v>
          </cell>
        </row>
      </sheetData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&gt;"/>
      <sheetName val="HistoricalFS"/>
      <sheetName val="Ratio Analysis"/>
      <sheetName val="ROIC"/>
      <sheetName val="Forcasting"/>
      <sheetName val="Beta Regression"/>
      <sheetName val="WACC"/>
      <sheetName val="DCF"/>
      <sheetName val="CCF"/>
      <sheetName val="ECF"/>
      <sheetName val="Dupont Analysis"/>
      <sheetName val="Data&gt;&gt;"/>
      <sheetName val="Data Sheet"/>
      <sheetName val="Raw FS"/>
    </sheetNames>
    <sheetDataSet>
      <sheetData sheetId="0"/>
      <sheetData sheetId="1">
        <row r="9">
          <cell r="C9">
            <v>8273.15</v>
          </cell>
          <cell r="D9">
            <v>8423.8799999999992</v>
          </cell>
          <cell r="E9">
            <v>9267.91</v>
          </cell>
          <cell r="F9">
            <v>9847.43</v>
          </cell>
          <cell r="G9">
            <v>10314.34</v>
          </cell>
          <cell r="H9">
            <v>9910.7999999999993</v>
          </cell>
          <cell r="I9">
            <v>11028.62</v>
          </cell>
          <cell r="J9">
            <v>12276.5</v>
          </cell>
          <cell r="K9">
            <v>13315.97</v>
          </cell>
          <cell r="L9">
            <v>14096.11</v>
          </cell>
        </row>
        <row r="57">
          <cell r="C57">
            <v>2097.1799999999998</v>
          </cell>
          <cell r="D57">
            <v>2520.66</v>
          </cell>
          <cell r="E57">
            <v>3637.37</v>
          </cell>
          <cell r="F57">
            <v>4097.8900000000003</v>
          </cell>
          <cell r="G57">
            <v>3444.58</v>
          </cell>
          <cell r="H57">
            <v>3406.95</v>
          </cell>
          <cell r="I57">
            <v>2940.92</v>
          </cell>
          <cell r="J57">
            <v>2821.85</v>
          </cell>
          <cell r="K57">
            <v>2513.4499999999998</v>
          </cell>
          <cell r="L57">
            <v>2571.31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D29" sqref="D2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sheetPr>
    <pageSetUpPr fitToPage="1"/>
  </sheetPr>
  <dimension ref="A1:P73"/>
  <sheetViews>
    <sheetView showGridLines="0" topLeftCell="A4" zoomScale="111" zoomScaleNormal="110" workbookViewId="0">
      <selection activeCell="S30" sqref="S30"/>
    </sheetView>
  </sheetViews>
  <sheetFormatPr defaultRowHeight="14.4" x14ac:dyDescent="0.3"/>
  <cols>
    <col min="1" max="1" width="1.88671875" customWidth="1"/>
    <col min="2" max="2" width="28.44140625" bestFit="1" customWidth="1"/>
    <col min="3" max="12" width="13" customWidth="1"/>
    <col min="13" max="13" width="3.44140625" customWidth="1"/>
    <col min="16" max="16" width="8.88671875" customWidth="1"/>
  </cols>
  <sheetData>
    <row r="1" spans="1:12" ht="15" thickBot="1" x14ac:dyDescent="0.35"/>
    <row r="2" spans="1:12" ht="29.4" customHeight="1" thickTop="1" x14ac:dyDescent="0.55000000000000004">
      <c r="B2" s="188" t="str">
        <f>'Data Sheet'!B1</f>
        <v>GODREJ CONSUMER PRODUCTS LTD</v>
      </c>
      <c r="C2" s="188"/>
      <c r="D2" s="188"/>
      <c r="E2" s="188"/>
      <c r="F2" s="188"/>
      <c r="G2" s="188"/>
      <c r="H2" s="81"/>
      <c r="I2" s="81"/>
      <c r="J2" s="81"/>
      <c r="K2" s="81"/>
      <c r="L2" s="81"/>
    </row>
    <row r="3" spans="1:12" ht="18.600000000000001" thickBot="1" x14ac:dyDescent="0.4">
      <c r="B3" s="189" t="s">
        <v>176</v>
      </c>
      <c r="C3" s="189"/>
      <c r="D3" s="189"/>
      <c r="E3" s="189"/>
      <c r="F3" s="82"/>
      <c r="G3" s="82"/>
      <c r="H3" s="82"/>
      <c r="I3" s="82"/>
      <c r="J3" s="82"/>
      <c r="K3" s="82"/>
      <c r="L3" s="82"/>
    </row>
    <row r="4" spans="1:12" ht="15" thickTop="1" x14ac:dyDescent="0.3"/>
    <row r="5" spans="1:12" ht="21" x14ac:dyDescent="0.4">
      <c r="B5" s="192" t="str">
        <f>"Historical Financial Statement - "&amp;'Data Sheet'!B1</f>
        <v>Historical Financial Statement - GODREJ CONSUMER PRODUCTS LTD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</row>
    <row r="6" spans="1:12" ht="15.6" x14ac:dyDescent="0.3">
      <c r="B6" s="22" t="s">
        <v>56</v>
      </c>
      <c r="C6" s="23">
        <f>'Data Sheet'!B16</f>
        <v>42094</v>
      </c>
      <c r="D6" s="23">
        <f>'Data Sheet'!C16</f>
        <v>42460</v>
      </c>
      <c r="E6" s="23">
        <f>'Data Sheet'!D16</f>
        <v>42825</v>
      </c>
      <c r="F6" s="23">
        <f>'Data Sheet'!E16</f>
        <v>43190</v>
      </c>
      <c r="G6" s="23">
        <f>'Data Sheet'!F16</f>
        <v>43555</v>
      </c>
      <c r="H6" s="23">
        <f>'Data Sheet'!G16</f>
        <v>43921</v>
      </c>
      <c r="I6" s="23">
        <f>'Data Sheet'!H16</f>
        <v>44286</v>
      </c>
      <c r="J6" s="23">
        <f>'Data Sheet'!I16</f>
        <v>44651</v>
      </c>
      <c r="K6" s="23">
        <f>'Data Sheet'!J16</f>
        <v>45016</v>
      </c>
      <c r="L6" s="23">
        <f>'Data Sheet'!K16</f>
        <v>45382</v>
      </c>
    </row>
    <row r="7" spans="1:12" x14ac:dyDescent="0.3">
      <c r="B7" s="19"/>
      <c r="C7" s="165">
        <v>1</v>
      </c>
      <c r="D7" s="165">
        <v>2</v>
      </c>
      <c r="E7" s="165">
        <v>3</v>
      </c>
      <c r="F7" s="165">
        <v>4</v>
      </c>
      <c r="G7" s="165">
        <v>5</v>
      </c>
      <c r="H7" s="165">
        <v>6</v>
      </c>
      <c r="I7" s="165">
        <v>7</v>
      </c>
      <c r="J7" s="165">
        <v>8</v>
      </c>
      <c r="K7" s="165">
        <v>9</v>
      </c>
      <c r="L7" s="165">
        <v>10</v>
      </c>
    </row>
    <row r="8" spans="1:12" ht="18" x14ac:dyDescent="0.35">
      <c r="A8" t="s">
        <v>58</v>
      </c>
      <c r="B8" s="187" t="s">
        <v>57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</row>
    <row r="9" spans="1:12" x14ac:dyDescent="0.3">
      <c r="B9" t="s">
        <v>12</v>
      </c>
      <c r="C9" s="13">
        <f>IFERROR('Data Sheet'!B17,0)</f>
        <v>8273.15</v>
      </c>
      <c r="D9" s="13">
        <f>IFERROR('Data Sheet'!C17,0)</f>
        <v>8423.8799999999992</v>
      </c>
      <c r="E9" s="13">
        <f>IFERROR('Data Sheet'!D17,0)</f>
        <v>9267.91</v>
      </c>
      <c r="F9" s="13">
        <f>IFERROR('Data Sheet'!E17,0)</f>
        <v>9847.43</v>
      </c>
      <c r="G9" s="13">
        <f>IFERROR('Data Sheet'!F17,0)</f>
        <v>10314.34</v>
      </c>
      <c r="H9" s="13">
        <f>IFERROR('Data Sheet'!G17,0)</f>
        <v>9910.7999999999993</v>
      </c>
      <c r="I9" s="13">
        <f>IFERROR('Data Sheet'!H17,0)</f>
        <v>11028.62</v>
      </c>
      <c r="J9" s="13">
        <f>IFERROR('Data Sheet'!I17,0)</f>
        <v>12276.5</v>
      </c>
      <c r="K9" s="13">
        <f>IFERROR('Data Sheet'!J17,0)</f>
        <v>13315.97</v>
      </c>
      <c r="L9" s="13">
        <f>IFERROR('Data Sheet'!K17,0)</f>
        <v>14096.11</v>
      </c>
    </row>
    <row r="10" spans="1:12" x14ac:dyDescent="0.3">
      <c r="B10" s="15" t="s">
        <v>59</v>
      </c>
      <c r="C10" s="16" t="s">
        <v>60</v>
      </c>
      <c r="D10" s="17">
        <f>D9/C9-1</f>
        <v>1.8219178910088507E-2</v>
      </c>
      <c r="E10" s="17">
        <f t="shared" ref="E10:L10" si="0">E9/D9-1</f>
        <v>0.10019492205492009</v>
      </c>
      <c r="F10" s="17">
        <f t="shared" si="0"/>
        <v>6.2529739714779264E-2</v>
      </c>
      <c r="G10" s="17">
        <f t="shared" si="0"/>
        <v>4.7414401524052519E-2</v>
      </c>
      <c r="H10" s="17">
        <f t="shared" si="0"/>
        <v>-3.9124170814613501E-2</v>
      </c>
      <c r="I10" s="17">
        <f t="shared" si="0"/>
        <v>0.11278806958065957</v>
      </c>
      <c r="J10" s="17">
        <f t="shared" si="0"/>
        <v>0.11314924260696246</v>
      </c>
      <c r="K10" s="17">
        <f t="shared" si="0"/>
        <v>8.4671526900989669E-2</v>
      </c>
      <c r="L10" s="17">
        <f t="shared" si="0"/>
        <v>5.8586794653337382E-2</v>
      </c>
    </row>
    <row r="12" spans="1:12" x14ac:dyDescent="0.3">
      <c r="B12" t="s">
        <v>61</v>
      </c>
      <c r="C12" s="13">
        <f>IFERROR(SUM('Data Sheet'!B18,'Data Sheet'!B20:B22)-1*'Data Sheet'!B19,0)</f>
        <v>4952.3599999999997</v>
      </c>
      <c r="D12" s="13">
        <f>IFERROR(SUM('Data Sheet'!C18,'Data Sheet'!C20:C22)-1*'Data Sheet'!C19,0)</f>
        <v>5157.59</v>
      </c>
      <c r="E12" s="13">
        <f>IFERROR(SUM('Data Sheet'!D18,'Data Sheet'!D20:D22)-1*'Data Sheet'!D19,0)</f>
        <v>5512.8500000000013</v>
      </c>
      <c r="F12" s="13">
        <f>IFERROR(SUM('Data Sheet'!E18,'Data Sheet'!E20:E22)-1*'Data Sheet'!E19,0)</f>
        <v>5751.6299999999992</v>
      </c>
      <c r="G12" s="13">
        <f>IFERROR(SUM('Data Sheet'!F18,'Data Sheet'!F20:F22)-1*'Data Sheet'!F19,0)</f>
        <v>6071.83</v>
      </c>
      <c r="H12" s="13">
        <f>IFERROR(SUM('Data Sheet'!G18,'Data Sheet'!G20:G22)-1*'Data Sheet'!G19,0)</f>
        <v>5777.48</v>
      </c>
      <c r="I12" s="13">
        <f>IFERROR(SUM('Data Sheet'!H18,'Data Sheet'!H20:H22)-1*'Data Sheet'!H19,0)</f>
        <v>6556.24</v>
      </c>
      <c r="J12" s="13">
        <f>IFERROR(SUM('Data Sheet'!I18,'Data Sheet'!I20:I22)-1*'Data Sheet'!I19,0)</f>
        <v>7743.02</v>
      </c>
      <c r="K12" s="13">
        <f>IFERROR(SUM('Data Sheet'!J18,'Data Sheet'!J20:J22)-1*'Data Sheet'!J19,0)</f>
        <v>8407.8100000000013</v>
      </c>
      <c r="L12" s="13">
        <f>IFERROR(SUM('Data Sheet'!K18,'Data Sheet'!K20:K22)-1*'Data Sheet'!K19,0)</f>
        <v>8140.920000000001</v>
      </c>
    </row>
    <row r="13" spans="1:12" x14ac:dyDescent="0.3">
      <c r="B13" s="15" t="s">
        <v>62</v>
      </c>
      <c r="C13" s="17">
        <f>C12/C9</f>
        <v>0.59860633495101623</v>
      </c>
      <c r="D13" s="17">
        <f t="shared" ref="D13:L13" si="1">D12/D9</f>
        <v>0.61225824679363916</v>
      </c>
      <c r="E13" s="17">
        <f t="shared" si="1"/>
        <v>0.59483206030270053</v>
      </c>
      <c r="F13" s="17">
        <f t="shared" si="1"/>
        <v>0.58407422038034285</v>
      </c>
      <c r="G13" s="17">
        <f t="shared" si="1"/>
        <v>0.58867848063957562</v>
      </c>
      <c r="H13" s="17">
        <f t="shared" si="1"/>
        <v>0.58294789522541068</v>
      </c>
      <c r="I13" s="17">
        <f t="shared" si="1"/>
        <v>0.5944751020526593</v>
      </c>
      <c r="J13" s="17">
        <f t="shared" si="1"/>
        <v>0.63071885309330844</v>
      </c>
      <c r="K13" s="17">
        <f t="shared" si="1"/>
        <v>0.63140800106939277</v>
      </c>
      <c r="L13" s="17">
        <f t="shared" si="1"/>
        <v>0.57752954538521628</v>
      </c>
    </row>
    <row r="15" spans="1:12" x14ac:dyDescent="0.3">
      <c r="B15" s="24" t="s">
        <v>63</v>
      </c>
      <c r="C15" s="25">
        <f>C9-C12</f>
        <v>3320.79</v>
      </c>
      <c r="D15" s="25">
        <f t="shared" ref="D15:L15" si="2">D9-D12</f>
        <v>3266.2899999999991</v>
      </c>
      <c r="E15" s="25">
        <f t="shared" si="2"/>
        <v>3755.0599999999986</v>
      </c>
      <c r="F15" s="25">
        <f t="shared" si="2"/>
        <v>4095.8000000000011</v>
      </c>
      <c r="G15" s="25">
        <f t="shared" si="2"/>
        <v>4242.51</v>
      </c>
      <c r="H15" s="25">
        <f t="shared" si="2"/>
        <v>4133.32</v>
      </c>
      <c r="I15" s="25">
        <f t="shared" si="2"/>
        <v>4472.380000000001</v>
      </c>
      <c r="J15" s="25">
        <f t="shared" si="2"/>
        <v>4533.4799999999996</v>
      </c>
      <c r="K15" s="25">
        <f t="shared" si="2"/>
        <v>4908.159999999998</v>
      </c>
      <c r="L15" s="25">
        <f t="shared" si="2"/>
        <v>5955.19</v>
      </c>
    </row>
    <row r="16" spans="1:12" x14ac:dyDescent="0.3">
      <c r="B16" s="15" t="s">
        <v>69</v>
      </c>
      <c r="C16" s="17">
        <f>C15/C9</f>
        <v>0.40139366504898377</v>
      </c>
      <c r="D16" s="17">
        <f t="shared" ref="D16:L16" si="3">D15/D9</f>
        <v>0.3877417532063609</v>
      </c>
      <c r="E16" s="17">
        <f t="shared" si="3"/>
        <v>0.40516793969729947</v>
      </c>
      <c r="F16" s="17">
        <f t="shared" si="3"/>
        <v>0.41592577961965721</v>
      </c>
      <c r="G16" s="17">
        <f t="shared" si="3"/>
        <v>0.41132151936042444</v>
      </c>
      <c r="H16" s="17">
        <f t="shared" si="3"/>
        <v>0.41705210477458932</v>
      </c>
      <c r="I16" s="17">
        <f t="shared" si="3"/>
        <v>0.4055248979473407</v>
      </c>
      <c r="J16" s="17">
        <f t="shared" si="3"/>
        <v>0.36928114690669162</v>
      </c>
      <c r="K16" s="17">
        <f t="shared" si="3"/>
        <v>0.36859199893060723</v>
      </c>
      <c r="L16" s="17">
        <f t="shared" si="3"/>
        <v>0.42247045461478377</v>
      </c>
    </row>
    <row r="18" spans="2:16" x14ac:dyDescent="0.3">
      <c r="B18" t="s">
        <v>64</v>
      </c>
      <c r="C18" s="18">
        <f>IFERROR(SUM('Data Sheet'!B23:B24),0)</f>
        <v>1941.84</v>
      </c>
      <c r="D18" s="18">
        <f>IFERROR(SUM('Data Sheet'!C23:C24),0)</f>
        <v>1608.91</v>
      </c>
      <c r="E18" s="18">
        <f>IFERROR(SUM('Data Sheet'!D23:D24),0)</f>
        <v>1848.3500000000001</v>
      </c>
      <c r="F18" s="18">
        <f>IFERROR(SUM('Data Sheet'!E23:E24),0)</f>
        <v>2011.4</v>
      </c>
      <c r="G18" s="18">
        <f>IFERROR(SUM('Data Sheet'!F23:F24),0)</f>
        <v>2110.94</v>
      </c>
      <c r="H18" s="18">
        <f>IFERROR(SUM('Data Sheet'!G23:G24),0)</f>
        <v>1979.5700000000002</v>
      </c>
      <c r="I18" s="18">
        <f>IFERROR(SUM('Data Sheet'!H23:H24),0)</f>
        <v>2073.12</v>
      </c>
      <c r="J18" s="18">
        <f>IFERROR(SUM('Data Sheet'!I23:I24),0)</f>
        <v>2124.3000000000002</v>
      </c>
      <c r="K18" s="18">
        <f>IFERROR(SUM('Data Sheet'!J23:J24),0)</f>
        <v>2464.96</v>
      </c>
      <c r="L18" s="18">
        <f>IFERROR(SUM('Data Sheet'!K23:K24),0)</f>
        <v>2997.87</v>
      </c>
    </row>
    <row r="19" spans="2:16" x14ac:dyDescent="0.3">
      <c r="B19" s="15" t="s">
        <v>65</v>
      </c>
      <c r="C19" s="17">
        <f>C18/C9</f>
        <v>0.23471591836241334</v>
      </c>
      <c r="D19" s="17">
        <f t="shared" ref="D19:L19" si="4">D18/D9</f>
        <v>0.19099393628589204</v>
      </c>
      <c r="E19" s="17">
        <f t="shared" si="4"/>
        <v>0.1994354714277545</v>
      </c>
      <c r="F19" s="17">
        <f t="shared" si="4"/>
        <v>0.20425633896356715</v>
      </c>
      <c r="G19" s="17">
        <f t="shared" si="4"/>
        <v>0.20466069569162931</v>
      </c>
      <c r="H19" s="17">
        <f t="shared" si="4"/>
        <v>0.19973866892682732</v>
      </c>
      <c r="I19" s="17">
        <f t="shared" si="4"/>
        <v>0.18797637419731569</v>
      </c>
      <c r="J19" s="17">
        <f t="shared" si="4"/>
        <v>0.17303791797336376</v>
      </c>
      <c r="K19" s="17">
        <f t="shared" si="4"/>
        <v>0.18511306348692586</v>
      </c>
      <c r="L19" s="17">
        <f t="shared" si="4"/>
        <v>0.2126735673884497</v>
      </c>
    </row>
    <row r="21" spans="2:16" x14ac:dyDescent="0.3">
      <c r="B21" s="24" t="s">
        <v>28</v>
      </c>
      <c r="C21" s="25">
        <f t="shared" ref="C21:L21" si="5">C15-C18</f>
        <v>1378.95</v>
      </c>
      <c r="D21" s="25">
        <f t="shared" si="5"/>
        <v>1657.379999999999</v>
      </c>
      <c r="E21" s="25">
        <f t="shared" si="5"/>
        <v>1906.7099999999984</v>
      </c>
      <c r="F21" s="25">
        <f t="shared" si="5"/>
        <v>2084.400000000001</v>
      </c>
      <c r="G21" s="25">
        <f t="shared" si="5"/>
        <v>2131.5700000000002</v>
      </c>
      <c r="H21" s="25">
        <f t="shared" si="5"/>
        <v>2153.7499999999995</v>
      </c>
      <c r="I21" s="25">
        <f t="shared" si="5"/>
        <v>2399.2600000000011</v>
      </c>
      <c r="J21" s="25">
        <f t="shared" si="5"/>
        <v>2409.1799999999994</v>
      </c>
      <c r="K21" s="25">
        <f t="shared" si="5"/>
        <v>2443.199999999998</v>
      </c>
      <c r="L21" s="25">
        <f t="shared" si="5"/>
        <v>2957.3199999999997</v>
      </c>
    </row>
    <row r="22" spans="2:16" x14ac:dyDescent="0.3">
      <c r="B22" s="15" t="s">
        <v>66</v>
      </c>
      <c r="C22" s="17">
        <f>C21/C9</f>
        <v>0.16667774668657043</v>
      </c>
      <c r="D22" s="17">
        <f t="shared" ref="D22:L22" si="6">D21/D9</f>
        <v>0.19674781692046886</v>
      </c>
      <c r="E22" s="17">
        <f t="shared" si="6"/>
        <v>0.20573246826954497</v>
      </c>
      <c r="F22" s="17">
        <f t="shared" si="6"/>
        <v>0.21166944065609006</v>
      </c>
      <c r="G22" s="17">
        <f t="shared" si="6"/>
        <v>0.2066608236687951</v>
      </c>
      <c r="H22" s="17">
        <f t="shared" si="6"/>
        <v>0.217313435847762</v>
      </c>
      <c r="I22" s="17">
        <f t="shared" si="6"/>
        <v>0.21754852375002501</v>
      </c>
      <c r="J22" s="17">
        <f t="shared" si="6"/>
        <v>0.19624322893332785</v>
      </c>
      <c r="K22" s="17">
        <f t="shared" si="6"/>
        <v>0.18347893544368141</v>
      </c>
      <c r="L22" s="17">
        <f t="shared" si="6"/>
        <v>0.20979688722633405</v>
      </c>
    </row>
    <row r="23" spans="2:16" x14ac:dyDescent="0.3">
      <c r="B23" s="15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2:16" x14ac:dyDescent="0.3">
      <c r="B24" t="s">
        <v>21</v>
      </c>
      <c r="C24" s="18">
        <f>IFERROR('Data Sheet'!B26,0)</f>
        <v>90.78</v>
      </c>
      <c r="D24" s="18">
        <f>IFERROR('Data Sheet'!C26,0)</f>
        <v>100.63</v>
      </c>
      <c r="E24" s="18">
        <f>IFERROR('Data Sheet'!D26,0)</f>
        <v>141.57</v>
      </c>
      <c r="F24" s="18">
        <f>IFERROR('Data Sheet'!E26,0)</f>
        <v>155.68</v>
      </c>
      <c r="G24" s="18">
        <f>IFERROR('Data Sheet'!F26,0)</f>
        <v>169.98</v>
      </c>
      <c r="H24" s="18">
        <f>IFERROR('Data Sheet'!G26,0)</f>
        <v>197.28</v>
      </c>
      <c r="I24" s="18">
        <f>IFERROR('Data Sheet'!H26,0)</f>
        <v>203.85</v>
      </c>
      <c r="J24" s="18">
        <f>IFERROR('Data Sheet'!I26,0)</f>
        <v>209.93</v>
      </c>
      <c r="K24" s="18">
        <f>IFERROR('Data Sheet'!J26,0)</f>
        <v>236.29</v>
      </c>
      <c r="L24" s="18">
        <f>IFERROR('Data Sheet'!K26,0)</f>
        <v>240.96</v>
      </c>
      <c r="N24" s="190"/>
      <c r="O24" s="190"/>
      <c r="P24" s="190"/>
    </row>
    <row r="25" spans="2:16" x14ac:dyDescent="0.3">
      <c r="B25" s="15" t="s">
        <v>68</v>
      </c>
      <c r="C25" s="17">
        <f t="shared" ref="C25:L25" si="7">C24/C9</f>
        <v>1.0972845893039531E-2</v>
      </c>
      <c r="D25" s="17">
        <f t="shared" si="7"/>
        <v>1.1945801697080207E-2</v>
      </c>
      <c r="E25" s="17">
        <f t="shared" si="7"/>
        <v>1.5275288603363649E-2</v>
      </c>
      <c r="F25" s="17">
        <f t="shared" si="7"/>
        <v>1.5809200979341818E-2</v>
      </c>
      <c r="G25" s="17">
        <f t="shared" si="7"/>
        <v>1.6479968664984863E-2</v>
      </c>
      <c r="H25" s="17">
        <f t="shared" si="7"/>
        <v>1.9905557573556124E-2</v>
      </c>
      <c r="I25" s="17">
        <f t="shared" si="7"/>
        <v>1.8483726885140661E-2</v>
      </c>
      <c r="J25" s="17">
        <f t="shared" si="7"/>
        <v>1.7100150694416161E-2</v>
      </c>
      <c r="K25" s="17">
        <f t="shared" si="7"/>
        <v>1.7744858241645182E-2</v>
      </c>
      <c r="L25" s="17">
        <f t="shared" si="7"/>
        <v>1.7094077727827037E-2</v>
      </c>
      <c r="N25" s="191"/>
      <c r="O25" s="191"/>
      <c r="P25" s="191"/>
    </row>
    <row r="26" spans="2:16" x14ac:dyDescent="0.3">
      <c r="B26" s="15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2:16" x14ac:dyDescent="0.3">
      <c r="B27" s="24" t="s">
        <v>291</v>
      </c>
      <c r="C27" s="25">
        <f>C21-C24</f>
        <v>1288.17</v>
      </c>
      <c r="D27" s="25">
        <f t="shared" ref="D27:L27" si="8">D21-D24</f>
        <v>1556.7499999999991</v>
      </c>
      <c r="E27" s="25">
        <f t="shared" si="8"/>
        <v>1765.1399999999985</v>
      </c>
      <c r="F27" s="25">
        <f t="shared" si="8"/>
        <v>1928.7200000000009</v>
      </c>
      <c r="G27" s="25">
        <f t="shared" si="8"/>
        <v>1961.5900000000001</v>
      </c>
      <c r="H27" s="25">
        <f t="shared" si="8"/>
        <v>1956.4699999999996</v>
      </c>
      <c r="I27" s="25">
        <f t="shared" si="8"/>
        <v>2195.4100000000012</v>
      </c>
      <c r="J27" s="25">
        <f t="shared" si="8"/>
        <v>2199.2499999999995</v>
      </c>
      <c r="K27" s="25">
        <f t="shared" si="8"/>
        <v>2206.909999999998</v>
      </c>
      <c r="L27" s="25">
        <f t="shared" si="8"/>
        <v>2716.3599999999997</v>
      </c>
    </row>
    <row r="28" spans="2:16" x14ac:dyDescent="0.3">
      <c r="B28" s="15" t="s">
        <v>124</v>
      </c>
      <c r="C28" s="17">
        <f>C27/C9</f>
        <v>0.15570490079353089</v>
      </c>
      <c r="D28" s="17">
        <f t="shared" ref="D28:L28" si="9">D27/D9</f>
        <v>0.18480201522338865</v>
      </c>
      <c r="E28" s="17">
        <f t="shared" si="9"/>
        <v>0.19045717966618131</v>
      </c>
      <c r="F28" s="17">
        <f t="shared" si="9"/>
        <v>0.19586023967674823</v>
      </c>
      <c r="G28" s="17">
        <f t="shared" si="9"/>
        <v>0.19018085500381024</v>
      </c>
      <c r="H28" s="17">
        <f t="shared" si="9"/>
        <v>0.19740787827420589</v>
      </c>
      <c r="I28" s="17">
        <f t="shared" si="9"/>
        <v>0.19906479686488437</v>
      </c>
      <c r="J28" s="17">
        <f t="shared" si="9"/>
        <v>0.17914307823891171</v>
      </c>
      <c r="K28" s="17">
        <f t="shared" si="9"/>
        <v>0.1657340772020362</v>
      </c>
      <c r="L28" s="17">
        <f t="shared" si="9"/>
        <v>0.19270280949850702</v>
      </c>
    </row>
    <row r="30" spans="2:16" x14ac:dyDescent="0.3">
      <c r="B30" t="s">
        <v>22</v>
      </c>
      <c r="C30" s="18">
        <f>IFERROR('Data Sheet'!B27,0)</f>
        <v>112.46</v>
      </c>
      <c r="D30" s="18">
        <f>IFERROR('Data Sheet'!C27,0)</f>
        <v>128.04</v>
      </c>
      <c r="E30" s="18">
        <f>IFERROR('Data Sheet'!D27,0)</f>
        <v>154.19</v>
      </c>
      <c r="F30" s="18">
        <f>IFERROR('Data Sheet'!E27,0)</f>
        <v>173.12</v>
      </c>
      <c r="G30" s="18">
        <f>IFERROR('Data Sheet'!F27,0)</f>
        <v>238.21</v>
      </c>
      <c r="H30" s="18">
        <f>IFERROR('Data Sheet'!G27,0)</f>
        <v>228.13</v>
      </c>
      <c r="I30" s="18">
        <f>IFERROR('Data Sheet'!H27,0)</f>
        <v>137.65</v>
      </c>
      <c r="J30" s="18">
        <f>IFERROR('Data Sheet'!I27,0)</f>
        <v>122.26</v>
      </c>
      <c r="K30" s="18">
        <f>IFERROR('Data Sheet'!J27,0)</f>
        <v>188.48</v>
      </c>
      <c r="L30" s="18">
        <f>IFERROR('Data Sheet'!K27,0)</f>
        <v>309.57</v>
      </c>
      <c r="N30" s="190"/>
      <c r="O30" s="190"/>
      <c r="P30" s="190"/>
    </row>
    <row r="31" spans="2:16" x14ac:dyDescent="0.3">
      <c r="B31" s="15" t="s">
        <v>67</v>
      </c>
      <c r="C31" s="17">
        <f t="shared" ref="C31:L31" si="10">C30/C9</f>
        <v>1.3593371327728858E-2</v>
      </c>
      <c r="D31" s="17">
        <f t="shared" si="10"/>
        <v>1.5199646718614226E-2</v>
      </c>
      <c r="E31" s="17">
        <f t="shared" si="10"/>
        <v>1.6636976405683696E-2</v>
      </c>
      <c r="F31" s="17">
        <f t="shared" si="10"/>
        <v>1.7580221438486997E-2</v>
      </c>
      <c r="G31" s="17">
        <f t="shared" si="10"/>
        <v>2.3095030801776942E-2</v>
      </c>
      <c r="H31" s="17">
        <f t="shared" si="10"/>
        <v>2.3018323445130565E-2</v>
      </c>
      <c r="I31" s="17">
        <f t="shared" si="10"/>
        <v>1.2481162647729272E-2</v>
      </c>
      <c r="J31" s="17">
        <f t="shared" si="10"/>
        <v>9.9588644972101181E-3</v>
      </c>
      <c r="K31" s="17">
        <f t="shared" si="10"/>
        <v>1.4154432609866199E-2</v>
      </c>
      <c r="L31" s="17">
        <f t="shared" si="10"/>
        <v>2.1961377997192132E-2</v>
      </c>
      <c r="N31" s="191"/>
      <c r="O31" s="191"/>
      <c r="P31" s="191"/>
    </row>
    <row r="33" spans="2:12" x14ac:dyDescent="0.3">
      <c r="B33" s="24" t="s">
        <v>70</v>
      </c>
      <c r="C33" s="25">
        <f t="shared" ref="C33:L33" si="11">IFERROR(C21-SUM(C24,C30),0)</f>
        <v>1175.71</v>
      </c>
      <c r="D33" s="25">
        <f t="shared" si="11"/>
        <v>1428.7099999999989</v>
      </c>
      <c r="E33" s="25">
        <f t="shared" si="11"/>
        <v>1610.9499999999985</v>
      </c>
      <c r="F33" s="25">
        <f t="shared" si="11"/>
        <v>1755.600000000001</v>
      </c>
      <c r="G33" s="25">
        <f t="shared" si="11"/>
        <v>1723.38</v>
      </c>
      <c r="H33" s="25">
        <f t="shared" si="11"/>
        <v>1728.3399999999997</v>
      </c>
      <c r="I33" s="26">
        <f t="shared" si="11"/>
        <v>2057.7600000000011</v>
      </c>
      <c r="J33" s="26">
        <f t="shared" si="11"/>
        <v>2076.9899999999993</v>
      </c>
      <c r="K33" s="26">
        <f t="shared" si="11"/>
        <v>2018.429999999998</v>
      </c>
      <c r="L33" s="26">
        <f t="shared" si="11"/>
        <v>2406.79</v>
      </c>
    </row>
    <row r="34" spans="2:12" x14ac:dyDescent="0.3">
      <c r="B34" s="15" t="s">
        <v>71</v>
      </c>
      <c r="C34" s="17">
        <f t="shared" ref="C34:L34" si="12">C33/C9</f>
        <v>0.14211152946580202</v>
      </c>
      <c r="D34" s="17">
        <f t="shared" si="12"/>
        <v>0.16960236850477442</v>
      </c>
      <c r="E34" s="17">
        <f t="shared" si="12"/>
        <v>0.17382020326049763</v>
      </c>
      <c r="F34" s="17">
        <f t="shared" si="12"/>
        <v>0.17828001823826126</v>
      </c>
      <c r="G34" s="17">
        <f t="shared" si="12"/>
        <v>0.1670858242020333</v>
      </c>
      <c r="H34" s="17">
        <f t="shared" si="12"/>
        <v>0.17438955482907534</v>
      </c>
      <c r="I34" s="17">
        <f t="shared" si="12"/>
        <v>0.1865836342171551</v>
      </c>
      <c r="J34" s="17">
        <f t="shared" si="12"/>
        <v>0.16918421374170156</v>
      </c>
      <c r="K34" s="17">
        <f t="shared" si="12"/>
        <v>0.15157964459217002</v>
      </c>
      <c r="L34" s="17">
        <f t="shared" si="12"/>
        <v>0.17074143150131491</v>
      </c>
    </row>
    <row r="36" spans="2:12" x14ac:dyDescent="0.3">
      <c r="B36" t="s">
        <v>24</v>
      </c>
      <c r="C36" s="13">
        <f>IFERROR('Data Sheet'!B29,0)</f>
        <v>272.29000000000002</v>
      </c>
      <c r="D36" s="13">
        <f>IFERROR('Data Sheet'!C29,0)</f>
        <v>336.05</v>
      </c>
      <c r="E36" s="13">
        <f>IFERROR('Data Sheet'!D29,0)</f>
        <v>379.16</v>
      </c>
      <c r="F36" s="13">
        <f>IFERROR('Data Sheet'!E29,0)</f>
        <v>404.7</v>
      </c>
      <c r="G36" s="13">
        <f>IFERROR('Data Sheet'!F29,0)</f>
        <v>-256.2</v>
      </c>
      <c r="H36" s="13">
        <f>IFERROR('Data Sheet'!G29,0)</f>
        <v>263.82</v>
      </c>
      <c r="I36" s="13">
        <f>IFERROR('Data Sheet'!H29,0)</f>
        <v>359.54</v>
      </c>
      <c r="J36" s="13">
        <f>IFERROR('Data Sheet'!I29,0)</f>
        <v>371.87</v>
      </c>
      <c r="K36" s="13">
        <f>IFERROR('Data Sheet'!J29,0)</f>
        <v>430.27</v>
      </c>
      <c r="L36" s="13">
        <f>IFERROR('Data Sheet'!K29,0)</f>
        <v>758.78</v>
      </c>
    </row>
    <row r="37" spans="2:12" x14ac:dyDescent="0.3">
      <c r="B37" s="15" t="s">
        <v>27</v>
      </c>
      <c r="C37" s="17">
        <f>C36/C33</f>
        <v>0.23159622696073012</v>
      </c>
      <c r="D37" s="17">
        <f t="shared" ref="D37:L37" si="13">D36/D33</f>
        <v>0.23521218441811162</v>
      </c>
      <c r="E37" s="17">
        <f t="shared" si="13"/>
        <v>0.23536422607778043</v>
      </c>
      <c r="F37" s="17">
        <f t="shared" si="13"/>
        <v>0.23051948051948037</v>
      </c>
      <c r="G37" s="17">
        <f t="shared" si="13"/>
        <v>-0.14866135153013263</v>
      </c>
      <c r="H37" s="17">
        <f t="shared" si="13"/>
        <v>0.15264357707395537</v>
      </c>
      <c r="I37" s="17">
        <f t="shared" si="13"/>
        <v>0.17472397169737958</v>
      </c>
      <c r="J37" s="17">
        <f t="shared" si="13"/>
        <v>0.17904274936326131</v>
      </c>
      <c r="K37" s="17">
        <f t="shared" si="13"/>
        <v>0.2131706326204032</v>
      </c>
      <c r="L37" s="17">
        <f t="shared" si="13"/>
        <v>0.31526639216549845</v>
      </c>
    </row>
    <row r="39" spans="2:12" x14ac:dyDescent="0.3">
      <c r="B39" s="24" t="s">
        <v>72</v>
      </c>
      <c r="C39" s="26">
        <f>IFERROR(C33-C36,0)</f>
        <v>903.42000000000007</v>
      </c>
      <c r="D39" s="26">
        <f t="shared" ref="D39:L39" si="14">IFERROR(D33-D36,0)</f>
        <v>1092.6599999999989</v>
      </c>
      <c r="E39" s="26">
        <f t="shared" si="14"/>
        <v>1231.7899999999984</v>
      </c>
      <c r="F39" s="26">
        <f t="shared" si="14"/>
        <v>1350.900000000001</v>
      </c>
      <c r="G39" s="26">
        <f t="shared" si="14"/>
        <v>1979.5800000000002</v>
      </c>
      <c r="H39" s="26">
        <f t="shared" si="14"/>
        <v>1464.5199999999998</v>
      </c>
      <c r="I39" s="26">
        <f t="shared" si="14"/>
        <v>1698.2200000000012</v>
      </c>
      <c r="J39" s="26">
        <f t="shared" si="14"/>
        <v>1705.1199999999994</v>
      </c>
      <c r="K39" s="26">
        <f t="shared" si="14"/>
        <v>1588.159999999998</v>
      </c>
      <c r="L39" s="26">
        <f t="shared" si="14"/>
        <v>1648.01</v>
      </c>
    </row>
    <row r="40" spans="2:12" x14ac:dyDescent="0.3">
      <c r="B40" s="15" t="s">
        <v>73</v>
      </c>
      <c r="C40" s="17">
        <f t="shared" ref="C40:L40" si="15">C39/C9</f>
        <v>0.10919903543390366</v>
      </c>
      <c r="D40" s="17">
        <f t="shared" si="15"/>
        <v>0.12970982492628089</v>
      </c>
      <c r="E40" s="17">
        <f t="shared" si="15"/>
        <v>0.13290914564340811</v>
      </c>
      <c r="F40" s="17">
        <f t="shared" si="15"/>
        <v>0.13718300104697378</v>
      </c>
      <c r="G40" s="17">
        <f t="shared" si="15"/>
        <v>0.19192502864943373</v>
      </c>
      <c r="H40" s="17">
        <f t="shared" si="15"/>
        <v>0.14777010937563062</v>
      </c>
      <c r="I40" s="17">
        <f t="shared" si="15"/>
        <v>0.15398300059300266</v>
      </c>
      <c r="J40" s="17">
        <f t="shared" si="15"/>
        <v>0.13889300696452567</v>
      </c>
      <c r="K40" s="17">
        <f t="shared" si="15"/>
        <v>0.11926731586208125</v>
      </c>
      <c r="L40" s="17">
        <f t="shared" si="15"/>
        <v>0.11691239639872276</v>
      </c>
    </row>
    <row r="42" spans="2:12" x14ac:dyDescent="0.3">
      <c r="B42" t="s">
        <v>74</v>
      </c>
      <c r="C42">
        <f>IFERROR('Data Sheet'!B93,0)</f>
        <v>102.14</v>
      </c>
      <c r="D42">
        <f>IFERROR('Data Sheet'!C93,0)</f>
        <v>102.16</v>
      </c>
      <c r="E42">
        <f>IFERROR('Data Sheet'!D93,0)</f>
        <v>102.18</v>
      </c>
      <c r="F42">
        <f>IFERROR('Data Sheet'!E93,0)</f>
        <v>102.2</v>
      </c>
      <c r="G42">
        <f>IFERROR('Data Sheet'!F93,0)</f>
        <v>102.22</v>
      </c>
      <c r="H42">
        <f>IFERROR('Data Sheet'!G93,0)</f>
        <v>102.23</v>
      </c>
      <c r="I42">
        <f>IFERROR('Data Sheet'!H93,0)</f>
        <v>102.25</v>
      </c>
      <c r="J42">
        <f>IFERROR('Data Sheet'!I93,0)</f>
        <v>102.26</v>
      </c>
      <c r="K42">
        <f>IFERROR('Data Sheet'!J93,0)</f>
        <v>102.27</v>
      </c>
      <c r="L42">
        <f>IFERROR('Data Sheet'!K93,0)</f>
        <v>102.28</v>
      </c>
    </row>
    <row r="43" spans="2:12" x14ac:dyDescent="0.3"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2:12" x14ac:dyDescent="0.3">
      <c r="B44" s="24" t="s">
        <v>76</v>
      </c>
      <c r="C44" s="25">
        <f>IFERROR(C39/C42,0)</f>
        <v>8.8449187389857062</v>
      </c>
      <c r="D44" s="25">
        <f t="shared" ref="D44:L44" si="16">IFERROR(D39/D42,0)</f>
        <v>10.695575567736874</v>
      </c>
      <c r="E44" s="25">
        <f t="shared" si="16"/>
        <v>12.055098845175165</v>
      </c>
      <c r="F44" s="25">
        <f t="shared" si="16"/>
        <v>13.218199608610577</v>
      </c>
      <c r="G44" s="25">
        <f t="shared" si="16"/>
        <v>19.365877519076502</v>
      </c>
      <c r="H44" s="25">
        <f t="shared" si="16"/>
        <v>14.325736085297855</v>
      </c>
      <c r="I44" s="25">
        <f t="shared" si="16"/>
        <v>16.608508557457224</v>
      </c>
      <c r="J44" s="25">
        <f t="shared" si="16"/>
        <v>16.674359475845876</v>
      </c>
      <c r="K44" s="25">
        <f t="shared" si="16"/>
        <v>15.529089664613259</v>
      </c>
      <c r="L44" s="25">
        <f t="shared" si="16"/>
        <v>16.112729761439187</v>
      </c>
    </row>
    <row r="45" spans="2:12" x14ac:dyDescent="0.3">
      <c r="B45" s="15" t="s">
        <v>77</v>
      </c>
      <c r="C45" s="17"/>
      <c r="D45" s="17">
        <f>IFERROR(D44/C44-1,0)</f>
        <v>0.20923389839570117</v>
      </c>
      <c r="E45" s="17">
        <f t="shared" ref="E45:L45" si="17">IFERROR(E44/D44-1,0)</f>
        <v>0.12711081033724669</v>
      </c>
      <c r="F45" s="17">
        <f t="shared" si="17"/>
        <v>9.6482059448307345E-2</v>
      </c>
      <c r="G45" s="17">
        <f t="shared" si="17"/>
        <v>0.46509192571590563</v>
      </c>
      <c r="H45" s="17">
        <f t="shared" si="17"/>
        <v>-0.26025887176110751</v>
      </c>
      <c r="I45" s="17">
        <f t="shared" si="17"/>
        <v>0.15934765645320814</v>
      </c>
      <c r="J45" s="17">
        <f t="shared" si="17"/>
        <v>3.9648905355251784E-3</v>
      </c>
      <c r="K45" s="17">
        <f t="shared" si="17"/>
        <v>-6.8684486075260009E-2</v>
      </c>
      <c r="L45" s="17">
        <f t="shared" si="17"/>
        <v>3.7583664556712026E-2</v>
      </c>
    </row>
    <row r="47" spans="2:12" x14ac:dyDescent="0.3">
      <c r="B47" t="s">
        <v>75</v>
      </c>
      <c r="C47" s="13">
        <f>IFERROR('Data Sheet'!B31/HistoricalFS!C42,0)</f>
        <v>1.8329743489328372</v>
      </c>
      <c r="D47" s="13">
        <f>IFERROR('Data Sheet'!C31/HistoricalFS!D42,0)</f>
        <v>1.9165035238841033</v>
      </c>
      <c r="E47" s="13">
        <f>IFERROR('Data Sheet'!D31/HistoricalFS!E42,0)</f>
        <v>4.9999999999999991</v>
      </c>
      <c r="F47" s="13">
        <f>IFERROR('Data Sheet'!E31/HistoricalFS!F42,0)</f>
        <v>6.6663405088062619</v>
      </c>
      <c r="G47" s="13">
        <f>IFERROR('Data Sheet'!F31/HistoricalFS!G42,0)</f>
        <v>10</v>
      </c>
      <c r="H47" s="13">
        <f>IFERROR('Data Sheet'!G31/HistoricalFS!H42,0)</f>
        <v>8</v>
      </c>
      <c r="I47" s="13">
        <f>IFERROR('Data Sheet'!H31/HistoricalFS!I42,0)</f>
        <v>0</v>
      </c>
      <c r="J47" s="13">
        <f>IFERROR('Data Sheet'!I31/HistoricalFS!J42,0)</f>
        <v>0</v>
      </c>
      <c r="K47" s="13">
        <f>IFERROR('Data Sheet'!J31/HistoricalFS!K42,0)</f>
        <v>0</v>
      </c>
      <c r="L47" s="13">
        <f>IFERROR('Data Sheet'!K31/HistoricalFS!L42,0)</f>
        <v>0</v>
      </c>
    </row>
    <row r="48" spans="2:12" x14ac:dyDescent="0.3">
      <c r="B48" s="15" t="s">
        <v>78</v>
      </c>
      <c r="C48" s="17">
        <f>IFERROR(C47/C44,0)</f>
        <v>0.20723473024728253</v>
      </c>
      <c r="D48" s="17">
        <f t="shared" ref="D48:L48" si="18">IFERROR(D47/D44,0)</f>
        <v>0.17918657221825651</v>
      </c>
      <c r="E48" s="17">
        <f t="shared" si="18"/>
        <v>0.41476225655347143</v>
      </c>
      <c r="F48" s="17">
        <f t="shared" si="18"/>
        <v>0.50433044636908686</v>
      </c>
      <c r="G48" s="17">
        <f t="shared" si="18"/>
        <v>0.51637215975105832</v>
      </c>
      <c r="H48" s="17">
        <f t="shared" si="18"/>
        <v>0.55843552836424226</v>
      </c>
      <c r="I48" s="17">
        <f t="shared" si="18"/>
        <v>0</v>
      </c>
      <c r="J48" s="17">
        <f t="shared" si="18"/>
        <v>0</v>
      </c>
      <c r="K48" s="17">
        <f t="shared" si="18"/>
        <v>0</v>
      </c>
      <c r="L48" s="17">
        <f t="shared" si="18"/>
        <v>0</v>
      </c>
    </row>
    <row r="50" spans="1:12" x14ac:dyDescent="0.3">
      <c r="B50" s="24" t="s">
        <v>79</v>
      </c>
      <c r="C50" s="27">
        <f>IFERROR(IF(C44&gt;C47,1-C48,0),0)</f>
        <v>0.79276526975271744</v>
      </c>
      <c r="D50" s="27">
        <f t="shared" ref="D50:L50" si="19">IFERROR(IF(D44&gt;D47,1-D48,0),0)</f>
        <v>0.82081342778174349</v>
      </c>
      <c r="E50" s="27">
        <f t="shared" si="19"/>
        <v>0.58523774344652857</v>
      </c>
      <c r="F50" s="27">
        <f t="shared" si="19"/>
        <v>0.49566955363091314</v>
      </c>
      <c r="G50" s="27">
        <f t="shared" si="19"/>
        <v>0.48362784024894168</v>
      </c>
      <c r="H50" s="27">
        <f t="shared" si="19"/>
        <v>0.44156447163575774</v>
      </c>
      <c r="I50" s="27">
        <f t="shared" si="19"/>
        <v>1</v>
      </c>
      <c r="J50" s="27">
        <f t="shared" si="19"/>
        <v>1</v>
      </c>
      <c r="K50" s="27">
        <f t="shared" si="19"/>
        <v>1</v>
      </c>
      <c r="L50" s="27">
        <f t="shared" si="19"/>
        <v>1</v>
      </c>
    </row>
    <row r="52" spans="1:12" ht="18" x14ac:dyDescent="0.35">
      <c r="A52" t="s">
        <v>58</v>
      </c>
      <c r="B52" s="187" t="s">
        <v>80</v>
      </c>
      <c r="C52" s="187"/>
      <c r="D52" s="187"/>
      <c r="E52" s="187"/>
      <c r="F52" s="187"/>
      <c r="G52" s="187"/>
      <c r="H52" s="187"/>
      <c r="I52" s="187"/>
      <c r="J52" s="187"/>
      <c r="K52" s="187"/>
      <c r="L52" s="187"/>
    </row>
    <row r="53" spans="1:12" ht="3.6" customHeight="1" x14ac:dyDescent="0.3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1:12" x14ac:dyDescent="0.3">
      <c r="B54" t="s">
        <v>33</v>
      </c>
      <c r="C54" s="13">
        <f>IFERROR('Data Sheet'!B57,0)</f>
        <v>34.04</v>
      </c>
      <c r="D54" s="13">
        <f>IFERROR('Data Sheet'!C57,0)</f>
        <v>34.049999999999997</v>
      </c>
      <c r="E54" s="13">
        <f>IFERROR('Data Sheet'!D57,0)</f>
        <v>34.06</v>
      </c>
      <c r="F54" s="13">
        <f>IFERROR('Data Sheet'!E57,0)</f>
        <v>68.13</v>
      </c>
      <c r="G54" s="13">
        <f>IFERROR('Data Sheet'!F57,0)</f>
        <v>102.22</v>
      </c>
      <c r="H54" s="13">
        <f>IFERROR('Data Sheet'!G57,0)</f>
        <v>102.23</v>
      </c>
      <c r="I54" s="13">
        <f>IFERROR('Data Sheet'!H57,0)</f>
        <v>102.25</v>
      </c>
      <c r="J54" s="13">
        <f>IFERROR('Data Sheet'!I57,0)</f>
        <v>102.26</v>
      </c>
      <c r="K54" s="13">
        <f>IFERROR('Data Sheet'!J57,0)</f>
        <v>102.27</v>
      </c>
      <c r="L54" s="13">
        <f>IFERROR('Data Sheet'!K57,0)</f>
        <v>102.28</v>
      </c>
    </row>
    <row r="55" spans="1:12" x14ac:dyDescent="0.3">
      <c r="B55" t="s">
        <v>34</v>
      </c>
      <c r="C55" s="13">
        <f>IFERROR('Data Sheet'!B58,0)</f>
        <v>4276.6499999999996</v>
      </c>
      <c r="D55" s="13">
        <f>IFERROR('Data Sheet'!C58,0)</f>
        <v>4232.91</v>
      </c>
      <c r="E55" s="13">
        <f>IFERROR('Data Sheet'!D58,0)</f>
        <v>5267.89</v>
      </c>
      <c r="F55" s="13">
        <f>IFERROR('Data Sheet'!E58,0)</f>
        <v>6190.18</v>
      </c>
      <c r="G55" s="13">
        <f>IFERROR('Data Sheet'!F58,0)</f>
        <v>7164.7</v>
      </c>
      <c r="H55" s="13">
        <f>IFERROR('Data Sheet'!G58,0)</f>
        <v>7796.13</v>
      </c>
      <c r="I55" s="13">
        <f>IFERROR('Data Sheet'!H58,0)</f>
        <v>9336.65</v>
      </c>
      <c r="J55" s="13">
        <f>IFERROR('Data Sheet'!I58,0)</f>
        <v>11453.67</v>
      </c>
      <c r="K55" s="13">
        <f>IFERROR('Data Sheet'!J58,0)</f>
        <v>13691.96</v>
      </c>
      <c r="L55" s="13">
        <f>IFERROR('Data Sheet'!K58,0)</f>
        <v>12496.29</v>
      </c>
    </row>
    <row r="56" spans="1:12" x14ac:dyDescent="0.3">
      <c r="B56" t="s">
        <v>35</v>
      </c>
      <c r="C56" s="13">
        <f>IFERROR('Data Sheet'!B59,0)</f>
        <v>2717.15</v>
      </c>
      <c r="D56" s="13">
        <f>IFERROR('Data Sheet'!C59,0)</f>
        <v>2891.12</v>
      </c>
      <c r="E56" s="13">
        <f>IFERROR('Data Sheet'!D59,0)</f>
        <v>4000.93</v>
      </c>
      <c r="F56" s="13">
        <f>IFERROR('Data Sheet'!E59,0)</f>
        <v>3507.57</v>
      </c>
      <c r="G56" s="13">
        <f>IFERROR('Data Sheet'!F59,0)</f>
        <v>3382.05</v>
      </c>
      <c r="H56" s="13">
        <f>IFERROR('Data Sheet'!G59,0)</f>
        <v>3574.97</v>
      </c>
      <c r="I56" s="13">
        <f>IFERROR('Data Sheet'!H59,0)</f>
        <v>1863.97</v>
      </c>
      <c r="J56" s="13">
        <f>IFERROR('Data Sheet'!I59,0)</f>
        <v>1704.34</v>
      </c>
      <c r="K56" s="13">
        <f>IFERROR('Data Sheet'!J59,0)</f>
        <v>1129.58</v>
      </c>
      <c r="L56" s="13">
        <f>IFERROR('Data Sheet'!K59,0)</f>
        <v>3222.2</v>
      </c>
    </row>
    <row r="57" spans="1:12" x14ac:dyDescent="0.3">
      <c r="B57" t="s">
        <v>36</v>
      </c>
      <c r="C57" s="13">
        <f>IFERROR('Data Sheet'!B60,0)</f>
        <v>2097.1799999999998</v>
      </c>
      <c r="D57" s="13">
        <f>IFERROR('Data Sheet'!C60,0)</f>
        <v>2520.66</v>
      </c>
      <c r="E57" s="13">
        <f>IFERROR('Data Sheet'!D60,0)</f>
        <v>3637.37</v>
      </c>
      <c r="F57" s="13">
        <f>IFERROR('Data Sheet'!E60,0)</f>
        <v>4097.8900000000003</v>
      </c>
      <c r="G57" s="13">
        <f>IFERROR('Data Sheet'!F60,0)</f>
        <v>3444.58</v>
      </c>
      <c r="H57" s="13">
        <f>IFERROR('Data Sheet'!G60,0)</f>
        <v>3406.95</v>
      </c>
      <c r="I57" s="13">
        <f>IFERROR('Data Sheet'!H60,0)</f>
        <v>2940.92</v>
      </c>
      <c r="J57" s="13">
        <f>IFERROR('Data Sheet'!I60,0)</f>
        <v>2821.85</v>
      </c>
      <c r="K57" s="13">
        <f>IFERROR('Data Sheet'!J60,0)</f>
        <v>2513.4499999999998</v>
      </c>
      <c r="L57" s="13">
        <f>IFERROR('Data Sheet'!K60,0)</f>
        <v>2571.31</v>
      </c>
    </row>
    <row r="58" spans="1:12" x14ac:dyDescent="0.3">
      <c r="B58" s="24" t="s">
        <v>81</v>
      </c>
      <c r="C58" s="26">
        <f>IFERROR('Data Sheet'!B61,0)</f>
        <v>9125.02</v>
      </c>
      <c r="D58" s="26">
        <f>IFERROR('Data Sheet'!C61,0)</f>
        <v>9678.74</v>
      </c>
      <c r="E58" s="26">
        <f>IFERROR('Data Sheet'!D61,0)</f>
        <v>12940.25</v>
      </c>
      <c r="F58" s="26">
        <f>IFERROR('Data Sheet'!E61,0)</f>
        <v>13863.77</v>
      </c>
      <c r="G58" s="26">
        <f>IFERROR('Data Sheet'!F61,0)</f>
        <v>14093.55</v>
      </c>
      <c r="H58" s="26">
        <f>IFERROR('Data Sheet'!G61,0)</f>
        <v>14880.28</v>
      </c>
      <c r="I58" s="26">
        <f>IFERROR('Data Sheet'!H61,0)</f>
        <v>14243.79</v>
      </c>
      <c r="J58" s="26">
        <f>IFERROR('Data Sheet'!I61,0)</f>
        <v>16082.12</v>
      </c>
      <c r="K58" s="26">
        <f>IFERROR('Data Sheet'!J61,0)</f>
        <v>17437.259999999998</v>
      </c>
      <c r="L58" s="26">
        <f>IFERROR('Data Sheet'!K61,0)</f>
        <v>18392.080000000002</v>
      </c>
    </row>
    <row r="60" spans="1:12" x14ac:dyDescent="0.3">
      <c r="B60" t="s">
        <v>82</v>
      </c>
      <c r="C60" s="13">
        <f>IFERROR('Data Sheet'!B62,0)</f>
        <v>5550.95</v>
      </c>
      <c r="D60" s="13">
        <f>IFERROR('Data Sheet'!C62,0)</f>
        <v>5931.41</v>
      </c>
      <c r="E60" s="13">
        <f>IFERROR('Data Sheet'!D62,0)</f>
        <v>8082.89</v>
      </c>
      <c r="F60" s="13">
        <f>IFERROR('Data Sheet'!E62,0)</f>
        <v>8315</v>
      </c>
      <c r="G60" s="13">
        <f>IFERROR('Data Sheet'!F62,0)</f>
        <v>8670.26</v>
      </c>
      <c r="H60" s="13">
        <f>IFERROR('Data Sheet'!G62,0)</f>
        <v>9231.4</v>
      </c>
      <c r="I60" s="13">
        <f>IFERROR('Data Sheet'!H62,0)</f>
        <v>8904.77</v>
      </c>
      <c r="J60" s="13">
        <f>IFERROR('Data Sheet'!I62,0)</f>
        <v>9219.2999999999993</v>
      </c>
      <c r="K60" s="13">
        <f>IFERROR('Data Sheet'!J62,0)</f>
        <v>9933.66</v>
      </c>
      <c r="L60" s="13">
        <f>IFERROR('Data Sheet'!K62,0)</f>
        <v>10440.24</v>
      </c>
    </row>
    <row r="61" spans="1:12" x14ac:dyDescent="0.3">
      <c r="B61" t="s">
        <v>39</v>
      </c>
      <c r="C61" s="13">
        <f>IFERROR('Data Sheet'!B63,0)</f>
        <v>224.61</v>
      </c>
      <c r="D61" s="13">
        <f>IFERROR('Data Sheet'!C63,0)</f>
        <v>43.66</v>
      </c>
      <c r="E61" s="13">
        <f>IFERROR('Data Sheet'!D63,0)</f>
        <v>97.43</v>
      </c>
      <c r="F61" s="13">
        <f>IFERROR('Data Sheet'!E63,0)</f>
        <v>83.88</v>
      </c>
      <c r="G61" s="13">
        <f>IFERROR('Data Sheet'!F63,0)</f>
        <v>52.06</v>
      </c>
      <c r="H61" s="13">
        <f>IFERROR('Data Sheet'!G63,0)</f>
        <v>57.04</v>
      </c>
      <c r="I61" s="13">
        <f>IFERROR('Data Sheet'!H63,0)</f>
        <v>57.43</v>
      </c>
      <c r="J61" s="13">
        <f>IFERROR('Data Sheet'!I63,0)</f>
        <v>116.44</v>
      </c>
      <c r="K61" s="13">
        <f>IFERROR('Data Sheet'!J63,0)</f>
        <v>45.42</v>
      </c>
      <c r="L61" s="13">
        <f>IFERROR('Data Sheet'!K63,0)</f>
        <v>83.36</v>
      </c>
    </row>
    <row r="62" spans="1:12" x14ac:dyDescent="0.3">
      <c r="B62" t="s">
        <v>40</v>
      </c>
      <c r="C62" s="13">
        <f>IFERROR('Data Sheet'!B64,0)</f>
        <v>185.69</v>
      </c>
      <c r="D62" s="13">
        <f>IFERROR('Data Sheet'!C64,0)</f>
        <v>189.5</v>
      </c>
      <c r="E62" s="13">
        <f>IFERROR('Data Sheet'!D64,0)</f>
        <v>933.54</v>
      </c>
      <c r="F62" s="13">
        <f>IFERROR('Data Sheet'!E64,0)</f>
        <v>997.28</v>
      </c>
      <c r="G62" s="13">
        <f>IFERROR('Data Sheet'!F64,0)</f>
        <v>515.98</v>
      </c>
      <c r="H62" s="13">
        <f>IFERROR('Data Sheet'!G64,0)</f>
        <v>671.98</v>
      </c>
      <c r="I62" s="13">
        <f>IFERROR('Data Sheet'!H64,0)</f>
        <v>679.1</v>
      </c>
      <c r="J62" s="13">
        <f>IFERROR('Data Sheet'!I64,0)</f>
        <v>1015.43</v>
      </c>
      <c r="K62" s="13">
        <f>IFERROR('Data Sheet'!J64,0)</f>
        <v>3028.98</v>
      </c>
      <c r="L62" s="13">
        <f>IFERROR('Data Sheet'!K64,0)</f>
        <v>3503.67</v>
      </c>
    </row>
    <row r="63" spans="1:12" x14ac:dyDescent="0.3">
      <c r="B63" t="s">
        <v>41</v>
      </c>
      <c r="C63" s="13">
        <f>IFERROR('Data Sheet'!B65-SUM('Data Sheet'!B67:B69),0)</f>
        <v>393.25999999999976</v>
      </c>
      <c r="D63" s="13">
        <f>IFERROR('Data Sheet'!C65-SUM('Data Sheet'!C67:C69),0)</f>
        <v>335.39000000000033</v>
      </c>
      <c r="E63" s="13">
        <f>IFERROR('Data Sheet'!D65-SUM('Data Sheet'!D67:D69),0)</f>
        <v>472.49000000000024</v>
      </c>
      <c r="F63" s="13">
        <f>IFERROR('Data Sheet'!E65-SUM('Data Sheet'!E67:E69),0)</f>
        <v>684.17999999999938</v>
      </c>
      <c r="G63" s="13">
        <f>IFERROR('Data Sheet'!F65-SUM('Data Sheet'!F67:F69),0)</f>
        <v>1109.04</v>
      </c>
      <c r="H63" s="13">
        <f>IFERROR('Data Sheet'!G65-SUM('Data Sheet'!G67:G69),0)</f>
        <v>1289.33</v>
      </c>
      <c r="I63" s="13">
        <f>IFERROR('Data Sheet'!H65-SUM('Data Sheet'!H67:H69),0)</f>
        <v>1209.5299999999997</v>
      </c>
      <c r="J63" s="13">
        <f>IFERROR('Data Sheet'!I65-SUM('Data Sheet'!I67:I69),0)</f>
        <v>1377.0099999999993</v>
      </c>
      <c r="K63" s="13">
        <f>IFERROR('Data Sheet'!J65-SUM('Data Sheet'!J67:J69),0)</f>
        <v>1256.0499999999993</v>
      </c>
      <c r="L63" s="13">
        <f>IFERROR('Data Sheet'!K65-SUM('Data Sheet'!K67:K69),0)</f>
        <v>1011.5800000000004</v>
      </c>
    </row>
    <row r="64" spans="1:12" x14ac:dyDescent="0.3">
      <c r="B64" s="24" t="s">
        <v>83</v>
      </c>
      <c r="C64" s="26">
        <f>SUM(C60:C63)</f>
        <v>6354.5099999999984</v>
      </c>
      <c r="D64" s="26">
        <f t="shared" ref="D64:L64" si="20">SUM(D60:D63)</f>
        <v>6499.96</v>
      </c>
      <c r="E64" s="26">
        <f t="shared" si="20"/>
        <v>9586.35</v>
      </c>
      <c r="F64" s="26">
        <f t="shared" si="20"/>
        <v>10080.34</v>
      </c>
      <c r="G64" s="26">
        <f t="shared" si="20"/>
        <v>10347.34</v>
      </c>
      <c r="H64" s="26">
        <f t="shared" si="20"/>
        <v>11249.75</v>
      </c>
      <c r="I64" s="26">
        <f t="shared" si="20"/>
        <v>10850.830000000002</v>
      </c>
      <c r="J64" s="26">
        <f t="shared" si="20"/>
        <v>11728.18</v>
      </c>
      <c r="K64" s="26">
        <f t="shared" si="20"/>
        <v>14264.109999999999</v>
      </c>
      <c r="L64" s="26">
        <f t="shared" si="20"/>
        <v>15038.85</v>
      </c>
    </row>
    <row r="65" spans="2:12" x14ac:dyDescent="0.3">
      <c r="B65" s="12"/>
    </row>
    <row r="66" spans="2:12" x14ac:dyDescent="0.3">
      <c r="B66" t="s">
        <v>42</v>
      </c>
      <c r="C66" s="13">
        <f>IFERROR('Data Sheet'!B67,0)</f>
        <v>804.58</v>
      </c>
      <c r="D66" s="13">
        <f>IFERROR('Data Sheet'!C67,0)</f>
        <v>1118.01</v>
      </c>
      <c r="E66" s="13">
        <f>IFERROR('Data Sheet'!D67,0)</f>
        <v>1028.74</v>
      </c>
      <c r="F66" s="13">
        <f>IFERROR('Data Sheet'!E67,0)</f>
        <v>1245.5</v>
      </c>
      <c r="G66" s="13">
        <f>IFERROR('Data Sheet'!F67,0)</f>
        <v>1292.9000000000001</v>
      </c>
      <c r="H66" s="13">
        <f>IFERROR('Data Sheet'!G67,0)</f>
        <v>1157.25</v>
      </c>
      <c r="I66" s="13">
        <f>IFERROR('Data Sheet'!H67,0)</f>
        <v>1004.5</v>
      </c>
      <c r="J66" s="13">
        <f>IFERROR('Data Sheet'!I67,0)</f>
        <v>1116.32</v>
      </c>
      <c r="K66" s="13">
        <f>IFERROR('Data Sheet'!J67,0)</f>
        <v>1245.28</v>
      </c>
      <c r="L66" s="13">
        <f>IFERROR('Data Sheet'!K67,0)</f>
        <v>1535.37</v>
      </c>
    </row>
    <row r="67" spans="2:12" x14ac:dyDescent="0.3">
      <c r="B67" t="s">
        <v>43</v>
      </c>
      <c r="C67" s="13">
        <f>IFERROR('Data Sheet'!B68,0)</f>
        <v>1071.71</v>
      </c>
      <c r="D67" s="13">
        <f>IFERROR('Data Sheet'!C68,0)</f>
        <v>1306.98</v>
      </c>
      <c r="E67" s="13">
        <f>IFERROR('Data Sheet'!D68,0)</f>
        <v>1412.5</v>
      </c>
      <c r="F67" s="13">
        <f>IFERROR('Data Sheet'!E68,0)</f>
        <v>1577.72</v>
      </c>
      <c r="G67" s="13">
        <f>IFERROR('Data Sheet'!F68,0)</f>
        <v>1558.59</v>
      </c>
      <c r="H67" s="13">
        <f>IFERROR('Data Sheet'!G68,0)</f>
        <v>1703.12</v>
      </c>
      <c r="I67" s="13">
        <f>IFERROR('Data Sheet'!H68,0)</f>
        <v>1716.25</v>
      </c>
      <c r="J67" s="13">
        <f>IFERROR('Data Sheet'!I68,0)</f>
        <v>2129.85</v>
      </c>
      <c r="K67" s="13">
        <f>IFERROR('Data Sheet'!J68,0)</f>
        <v>1537.15</v>
      </c>
      <c r="L67" s="13">
        <f>IFERROR('Data Sheet'!K68,0)</f>
        <v>1270.92</v>
      </c>
    </row>
    <row r="68" spans="2:12" x14ac:dyDescent="0.3">
      <c r="B68" t="s">
        <v>44</v>
      </c>
      <c r="C68" s="13">
        <f>IFERROR('Data Sheet'!B69,0)</f>
        <v>894.22</v>
      </c>
      <c r="D68" s="13">
        <f>IFERROR('Data Sheet'!C69,0)</f>
        <v>753.79</v>
      </c>
      <c r="E68" s="13">
        <f>IFERROR('Data Sheet'!D69,0)</f>
        <v>912.66</v>
      </c>
      <c r="F68" s="13">
        <f>IFERROR('Data Sheet'!E69,0)</f>
        <v>960.21</v>
      </c>
      <c r="G68" s="13">
        <f>IFERROR('Data Sheet'!F69,0)</f>
        <v>894.72</v>
      </c>
      <c r="H68" s="13">
        <f>IFERROR('Data Sheet'!G69,0)</f>
        <v>770.16</v>
      </c>
      <c r="I68" s="13">
        <f>IFERROR('Data Sheet'!H69,0)</f>
        <v>672.21</v>
      </c>
      <c r="J68" s="13">
        <f>IFERROR('Data Sheet'!I69,0)</f>
        <v>1107.77</v>
      </c>
      <c r="K68" s="13">
        <f>IFERROR('Data Sheet'!J69,0)</f>
        <v>390.72</v>
      </c>
      <c r="L68" s="13">
        <f>IFERROR('Data Sheet'!K69,0)</f>
        <v>546.94000000000005</v>
      </c>
    </row>
    <row r="69" spans="2:12" x14ac:dyDescent="0.3">
      <c r="B69" s="24" t="s">
        <v>84</v>
      </c>
      <c r="C69" s="26">
        <f>IFERROR(SUM(C66:C68),0)</f>
        <v>2770.51</v>
      </c>
      <c r="D69" s="26">
        <f t="shared" ref="D69:L69" si="21">IFERROR(SUM(D66:D68),0)</f>
        <v>3178.7799999999997</v>
      </c>
      <c r="E69" s="26">
        <f t="shared" si="21"/>
        <v>3353.8999999999996</v>
      </c>
      <c r="F69" s="26">
        <f t="shared" si="21"/>
        <v>3783.4300000000003</v>
      </c>
      <c r="G69" s="26">
        <f t="shared" si="21"/>
        <v>3746.21</v>
      </c>
      <c r="H69" s="26">
        <f t="shared" si="21"/>
        <v>3630.5299999999997</v>
      </c>
      <c r="I69" s="26">
        <f t="shared" si="21"/>
        <v>3392.96</v>
      </c>
      <c r="J69" s="26">
        <f t="shared" si="21"/>
        <v>4353.9400000000005</v>
      </c>
      <c r="K69" s="26">
        <f t="shared" si="21"/>
        <v>3173.1500000000005</v>
      </c>
      <c r="L69" s="26">
        <f t="shared" si="21"/>
        <v>3353.23</v>
      </c>
    </row>
    <row r="71" spans="2:12" x14ac:dyDescent="0.3">
      <c r="B71" s="24" t="s">
        <v>85</v>
      </c>
      <c r="C71" s="26">
        <f>IFERROR(C69+C64,0)</f>
        <v>9125.0199999999986</v>
      </c>
      <c r="D71" s="26">
        <f t="shared" ref="D71:L71" si="22">IFERROR(D69+D64,0)</f>
        <v>9678.74</v>
      </c>
      <c r="E71" s="26">
        <f t="shared" si="22"/>
        <v>12940.25</v>
      </c>
      <c r="F71" s="26">
        <f t="shared" si="22"/>
        <v>13863.77</v>
      </c>
      <c r="G71" s="26">
        <f t="shared" si="22"/>
        <v>14093.55</v>
      </c>
      <c r="H71" s="26">
        <f t="shared" si="22"/>
        <v>14880.279999999999</v>
      </c>
      <c r="I71" s="26">
        <f t="shared" si="22"/>
        <v>14243.79</v>
      </c>
      <c r="J71" s="26">
        <f t="shared" si="22"/>
        <v>16082.12</v>
      </c>
      <c r="K71" s="26">
        <f t="shared" si="22"/>
        <v>17437.259999999998</v>
      </c>
      <c r="L71" s="26">
        <f t="shared" si="22"/>
        <v>18392.080000000002</v>
      </c>
    </row>
    <row r="73" spans="2:12" x14ac:dyDescent="0.3">
      <c r="B73" s="14" t="s">
        <v>86</v>
      </c>
      <c r="C73" s="14" t="b">
        <f>C71=C58</f>
        <v>1</v>
      </c>
      <c r="D73" s="14" t="b">
        <f t="shared" ref="D73:L73" si="23">D71=D58</f>
        <v>1</v>
      </c>
      <c r="E73" s="14" t="b">
        <f t="shared" si="23"/>
        <v>1</v>
      </c>
      <c r="F73" s="14" t="b">
        <f t="shared" si="23"/>
        <v>1</v>
      </c>
      <c r="G73" s="14" t="b">
        <f t="shared" si="23"/>
        <v>1</v>
      </c>
      <c r="H73" s="14" t="b">
        <f t="shared" si="23"/>
        <v>1</v>
      </c>
      <c r="I73" s="14" t="b">
        <f t="shared" si="23"/>
        <v>1</v>
      </c>
      <c r="J73" s="14" t="b">
        <f t="shared" si="23"/>
        <v>1</v>
      </c>
      <c r="K73" s="14" t="b">
        <f t="shared" si="23"/>
        <v>1</v>
      </c>
      <c r="L73" s="14" t="b">
        <f t="shared" si="23"/>
        <v>1</v>
      </c>
    </row>
  </sheetData>
  <mergeCells count="9">
    <mergeCell ref="B52:L52"/>
    <mergeCell ref="B2:G2"/>
    <mergeCell ref="B3:E3"/>
    <mergeCell ref="N24:P24"/>
    <mergeCell ref="N25:P25"/>
    <mergeCell ref="N30:P30"/>
    <mergeCell ref="N31:P31"/>
    <mergeCell ref="B5:L5"/>
    <mergeCell ref="B8:L8"/>
  </mergeCells>
  <pageMargins left="0.25" right="0.25" top="0.75" bottom="0.75" header="0.3" footer="0.3"/>
  <pageSetup scale="63" fitToWidth="0" orientation="portrait" r:id="rId1"/>
  <ignoredErrors>
    <ignoredError sqref="C18:L1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56C0-07C9-4911-8E3C-37DB4A577D0C}">
  <sheetPr>
    <pageSetUpPr fitToPage="1"/>
  </sheetPr>
  <dimension ref="B1:O42"/>
  <sheetViews>
    <sheetView showGridLines="0" tabSelected="1" zoomScale="94" zoomScaleNormal="93" workbookViewId="0">
      <pane ySplit="6" topLeftCell="A23" activePane="bottomLeft" state="frozen"/>
      <selection activeCell="S13" sqref="S13"/>
      <selection pane="bottomLeft" activeCell="P32" sqref="P32"/>
    </sheetView>
  </sheetViews>
  <sheetFormatPr defaultRowHeight="14.4" x14ac:dyDescent="0.3"/>
  <cols>
    <col min="1" max="1" width="1.88671875" customWidth="1"/>
    <col min="2" max="2" width="28.5546875" customWidth="1"/>
    <col min="3" max="10" width="9" bestFit="1" customWidth="1"/>
    <col min="11" max="12" width="9.6640625" bestFit="1" customWidth="1"/>
    <col min="13" max="13" width="14" customWidth="1"/>
    <col min="14" max="14" width="10.6640625" bestFit="1" customWidth="1"/>
    <col min="15" max="15" width="10" bestFit="1" customWidth="1"/>
  </cols>
  <sheetData>
    <row r="1" spans="2:15" ht="15" thickBot="1" x14ac:dyDescent="0.35"/>
    <row r="2" spans="2:15" ht="28.8" customHeight="1" thickTop="1" x14ac:dyDescent="0.55000000000000004">
      <c r="B2" s="188" t="str">
        <f>'Data Sheet'!B1</f>
        <v>GODREJ CONSUMER PRODUCTS LTD</v>
      </c>
      <c r="C2" s="188"/>
      <c r="D2" s="188"/>
      <c r="E2" s="188"/>
      <c r="F2" s="188"/>
      <c r="G2" s="188"/>
      <c r="H2" s="81"/>
      <c r="I2" s="81"/>
      <c r="J2" s="81"/>
      <c r="K2" s="81"/>
      <c r="L2" s="81"/>
      <c r="M2" s="81"/>
      <c r="N2" s="81"/>
      <c r="O2" s="81"/>
    </row>
    <row r="3" spans="2:15" ht="18.600000000000001" thickBot="1" x14ac:dyDescent="0.4">
      <c r="B3" s="189" t="s">
        <v>176</v>
      </c>
      <c r="C3" s="189"/>
      <c r="D3" s="189"/>
      <c r="E3" s="189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 ht="15" thickTop="1" x14ac:dyDescent="0.3"/>
    <row r="5" spans="2:15" ht="21" x14ac:dyDescent="0.4">
      <c r="B5" s="192" t="str">
        <f>"Ratio Analysis of - "&amp;'[1]Data Sheet'!B1</f>
        <v>Ratio Analysis of - GODREJ CONSUMER PRODUCTS LTD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</row>
    <row r="6" spans="2:15" x14ac:dyDescent="0.3">
      <c r="B6" s="30" t="s">
        <v>56</v>
      </c>
      <c r="C6" s="31">
        <f>'[1]Data Sheet'!B16</f>
        <v>42094</v>
      </c>
      <c r="D6" s="31">
        <f>'[1]Data Sheet'!C16</f>
        <v>42460</v>
      </c>
      <c r="E6" s="31">
        <f>'[1]Data Sheet'!D16</f>
        <v>42825</v>
      </c>
      <c r="F6" s="31">
        <f>'[1]Data Sheet'!E16</f>
        <v>43190</v>
      </c>
      <c r="G6" s="31">
        <f>'[1]Data Sheet'!F16</f>
        <v>43555</v>
      </c>
      <c r="H6" s="31">
        <f>'[1]Data Sheet'!G16</f>
        <v>43921</v>
      </c>
      <c r="I6" s="31">
        <f>'[1]Data Sheet'!H16</f>
        <v>44286</v>
      </c>
      <c r="J6" s="31">
        <f>'[1]Data Sheet'!I16</f>
        <v>44651</v>
      </c>
      <c r="K6" s="31">
        <f>'[1]Data Sheet'!J16</f>
        <v>45016</v>
      </c>
      <c r="L6" s="31">
        <f>'[1]Data Sheet'!K16</f>
        <v>45382</v>
      </c>
      <c r="M6" s="32" t="s">
        <v>115</v>
      </c>
      <c r="N6" s="33" t="s">
        <v>116</v>
      </c>
      <c r="O6" s="33" t="s">
        <v>117</v>
      </c>
    </row>
    <row r="7" spans="2:15" s="83" customFormat="1" ht="4.2" customHeight="1" x14ac:dyDescent="0.3">
      <c r="B7" s="94"/>
      <c r="C7" s="95"/>
      <c r="D7" s="95"/>
      <c r="E7" s="95"/>
      <c r="F7" s="95"/>
      <c r="G7" s="95"/>
      <c r="H7" s="95"/>
      <c r="I7" s="95"/>
      <c r="J7" s="95"/>
      <c r="K7" s="95"/>
      <c r="L7" s="95"/>
      <c r="M7" s="96"/>
      <c r="N7" s="97"/>
      <c r="O7" s="97"/>
    </row>
    <row r="8" spans="2:15" ht="15.6" x14ac:dyDescent="0.3">
      <c r="B8" s="87" t="s">
        <v>184</v>
      </c>
      <c r="C8" s="29"/>
      <c r="D8" s="29"/>
      <c r="E8" s="29"/>
      <c r="F8" s="29"/>
      <c r="G8" s="29"/>
      <c r="H8" s="29"/>
      <c r="I8" s="29"/>
      <c r="J8" s="29"/>
      <c r="K8" s="29"/>
      <c r="L8" s="29"/>
      <c r="N8" s="28"/>
      <c r="O8" s="28"/>
    </row>
    <row r="9" spans="2:15" x14ac:dyDescent="0.3">
      <c r="B9" s="100" t="s">
        <v>180</v>
      </c>
      <c r="C9" s="88">
        <f>HistoricalFS!C69/SUM('Raw FS'!E11:E13)</f>
        <v>1.4317881136950905</v>
      </c>
      <c r="D9" s="88">
        <f>HistoricalFS!D69/SUM('Raw FS'!F11:F13)</f>
        <v>1.2659418558343289</v>
      </c>
      <c r="E9" s="88">
        <f>HistoricalFS!E69/SUM('Raw FS'!G11:G13)</f>
        <v>0.92216112180368426</v>
      </c>
      <c r="F9" s="88">
        <f>HistoricalFS!F69/SUM('Raw FS'!H11:H13)</f>
        <v>0.92323816495851641</v>
      </c>
      <c r="G9" s="88">
        <f>HistoricalFS!G69/SUM('Raw FS'!I11:I13)</f>
        <v>1.0874339622641509</v>
      </c>
      <c r="H9" s="88">
        <f>HistoricalFS!H69/SUM('Raw FS'!J11:J13)</f>
        <v>1.0659219025249558</v>
      </c>
      <c r="I9" s="88">
        <f>HistoricalFS!I69/SUM('Raw FS'!K11:K13)</f>
        <v>1.1540680272108843</v>
      </c>
      <c r="J9" s="88">
        <f>HistoricalFS!J69/SUM('Raw FS'!L11:L13)</f>
        <v>1.542856130403969</v>
      </c>
      <c r="K9" s="88">
        <f>HistoricalFS!K69/SUM('Raw FS'!M11:M13)</f>
        <v>1.2626939912455235</v>
      </c>
      <c r="L9" s="88">
        <f>HistoricalFS!L69/SUM('Raw FS'!N11:N13)</f>
        <v>1.3047587548638133</v>
      </c>
      <c r="M9" s="39"/>
      <c r="N9" s="91">
        <f>IFERROR(AVERAGE(C9:L9),0)</f>
        <v>1.1960862024804917</v>
      </c>
      <c r="O9" s="91">
        <f>IFERROR(MEDIAN(C9:L9),0)</f>
        <v>1.2083810092282039</v>
      </c>
    </row>
    <row r="10" spans="2:15" x14ac:dyDescent="0.3">
      <c r="B10" s="93" t="s">
        <v>181</v>
      </c>
      <c r="C10" s="89">
        <f>(HistoricalFS!C69-HistoricalFS!C67)/SUM('Raw FS'!E11:E13)</f>
        <v>0.8779328165374678</v>
      </c>
      <c r="D10" s="89">
        <f>(HistoricalFS!D69-HistoricalFS!D67)/SUM('Raw FS'!F11:F13)</f>
        <v>0.74544006371963345</v>
      </c>
      <c r="E10" s="89">
        <f>(HistoricalFS!E69-HistoricalFS!E67)/SUM('Raw FS'!G11:G13)</f>
        <v>0.53379158647236724</v>
      </c>
      <c r="F10" s="89">
        <f>(HistoricalFS!F69-HistoricalFS!F67)/SUM('Raw FS'!H11:H13)</f>
        <v>0.53824060517325523</v>
      </c>
      <c r="G10" s="89">
        <f>(HistoricalFS!G69-HistoricalFS!G67)/SUM('Raw FS'!I11:I13)</f>
        <v>0.63501306240928879</v>
      </c>
      <c r="H10" s="89">
        <f>(HistoricalFS!H69-HistoricalFS!H67)/SUM('Raw FS'!J11:J13)</f>
        <v>0.56588667058132702</v>
      </c>
      <c r="I10" s="89">
        <f>(HistoricalFS!I69-HistoricalFS!I67)/SUM('Raw FS'!K11:K13)</f>
        <v>0.57030952380952382</v>
      </c>
      <c r="J10" s="89">
        <f>(HistoricalFS!J69-HistoricalFS!J67)/SUM('Raw FS'!L11:L13)</f>
        <v>0.78812544294826381</v>
      </c>
      <c r="K10" s="89">
        <f>(HistoricalFS!K69-HistoricalFS!K67)/SUM('Raw FS'!M11:M13)</f>
        <v>0.65101472343812194</v>
      </c>
      <c r="L10" s="89">
        <f>(HistoricalFS!L69-HistoricalFS!L67)/SUM('Raw FS'!N11:N13)</f>
        <v>0.81023735408560305</v>
      </c>
      <c r="N10" s="92">
        <f>IFERROR(AVERAGE(C10:L10),0)</f>
        <v>0.67159918491748516</v>
      </c>
      <c r="O10" s="92">
        <f>IFERROR(MEDIAN(C10:L10),0)</f>
        <v>0.64301389292370537</v>
      </c>
    </row>
    <row r="11" spans="2:15" x14ac:dyDescent="0.3">
      <c r="B11" s="101" t="s">
        <v>182</v>
      </c>
      <c r="C11" s="90">
        <f>HistoricalFS!C68/SUM('Raw FS'!E11:E13)</f>
        <v>0.46212919896640831</v>
      </c>
      <c r="D11" s="90">
        <f>HistoricalFS!D68/SUM('Raw FS'!F11:F13)</f>
        <v>0.30019514137793707</v>
      </c>
      <c r="E11" s="90">
        <f>HistoricalFS!E68/SUM('Raw FS'!G11:G13)</f>
        <v>0.25093758592246357</v>
      </c>
      <c r="F11" s="90">
        <f>HistoricalFS!F68/SUM('Raw FS'!H11:H13)</f>
        <v>0.23431185944363106</v>
      </c>
      <c r="G11" s="90">
        <f>HistoricalFS!G68/SUM('Raw FS'!I11:I13)</f>
        <v>0.25971552975326562</v>
      </c>
      <c r="H11" s="90">
        <f>HistoricalFS!H68/SUM('Raw FS'!J11:J13)</f>
        <v>0.22611861421021726</v>
      </c>
      <c r="I11" s="90">
        <f>HistoricalFS!I68/SUM('Raw FS'!K11:K13)</f>
        <v>0.22864285714285715</v>
      </c>
      <c r="J11" s="90">
        <f>HistoricalFS!J68/SUM('Raw FS'!L11:L13)</f>
        <v>0.39254783841247343</v>
      </c>
      <c r="K11" s="90">
        <f>HistoricalFS!K68/SUM('Raw FS'!M11:M13)</f>
        <v>0.15547950656585754</v>
      </c>
      <c r="L11" s="90">
        <f>HistoricalFS!L68/SUM('Raw FS'!N11:N13)</f>
        <v>0.21281712062256811</v>
      </c>
      <c r="M11" s="43"/>
      <c r="N11" s="86">
        <f>IFERROR(AVERAGE(C11:L11),0)</f>
        <v>0.27228952524176792</v>
      </c>
      <c r="O11" s="86">
        <f>IFERROR(MEDIAN(C11:L11),0)</f>
        <v>0.2426247226830473</v>
      </c>
    </row>
    <row r="12" spans="2:15" ht="9" customHeight="1" x14ac:dyDescent="0.3"/>
    <row r="13" spans="2:15" ht="15.6" x14ac:dyDescent="0.3">
      <c r="B13" s="87" t="s">
        <v>185</v>
      </c>
    </row>
    <row r="14" spans="2:15" x14ac:dyDescent="0.3">
      <c r="B14" s="100" t="s">
        <v>177</v>
      </c>
      <c r="C14" s="38">
        <f>HistoricalFS!C56/SUM(HistoricalFS!C54:C55)</f>
        <v>0.63032832330786959</v>
      </c>
      <c r="D14" s="38">
        <f>HistoricalFS!D56/SUM(HistoricalFS!D54:D55)</f>
        <v>0.6775596677728406</v>
      </c>
      <c r="E14" s="38">
        <f>HistoricalFS!E56/SUM(HistoricalFS!E54:E55)</f>
        <v>0.75461481153160614</v>
      </c>
      <c r="F14" s="38">
        <f>HistoricalFS!F56/SUM(HistoricalFS!F54:F55)</f>
        <v>0.56046600440054906</v>
      </c>
      <c r="G14" s="38">
        <f>HistoricalFS!G56/SUM(HistoricalFS!G54:G55)</f>
        <v>0.46540349969450606</v>
      </c>
      <c r="H14" s="38">
        <f>HistoricalFS!H56/SUM(HistoricalFS!H54:H55)</f>
        <v>0.45262181009728603</v>
      </c>
      <c r="I14" s="38">
        <f>HistoricalFS!I56/SUM(HistoricalFS!I54:I55)</f>
        <v>0.19747746029728042</v>
      </c>
      <c r="J14" s="38">
        <f>HistoricalFS!J56/SUM(HistoricalFS!J54:J55)</f>
        <v>0.14748618241889661</v>
      </c>
      <c r="K14" s="38">
        <f>HistoricalFS!K56/SUM(HistoricalFS!K54:K55)</f>
        <v>8.1887861808886755E-2</v>
      </c>
      <c r="L14" s="38">
        <f>HistoricalFS!L56/SUM(HistoricalFS!L54:L55)</f>
        <v>0.25575918536786313</v>
      </c>
      <c r="M14" s="39"/>
      <c r="N14" s="38">
        <f>IFERROR(AVERAGE(C14:L14),0)</f>
        <v>0.42236048066975851</v>
      </c>
      <c r="O14" s="38">
        <f>IFERROR(MEDIAN(C14:L14),0)</f>
        <v>0.45901265489589604</v>
      </c>
    </row>
    <row r="15" spans="2:15" x14ac:dyDescent="0.3">
      <c r="B15" s="93" t="s">
        <v>178</v>
      </c>
      <c r="C15" s="28">
        <f>HistoricalFS!C56/HistoricalFS!C71</f>
        <v>0.29776921036885406</v>
      </c>
      <c r="D15" s="28">
        <f>HistoricalFS!D56/HistoricalFS!D71</f>
        <v>0.29870830294025874</v>
      </c>
      <c r="E15" s="28">
        <f>HistoricalFS!E56/HistoricalFS!E71</f>
        <v>0.30918490755588185</v>
      </c>
      <c r="F15" s="28">
        <f>HistoricalFS!F56/HistoricalFS!F71</f>
        <v>0.25300261040106697</v>
      </c>
      <c r="G15" s="28">
        <f>HistoricalFS!G56/HistoricalFS!G71</f>
        <v>0.23997147631363286</v>
      </c>
      <c r="H15" s="28">
        <f>HistoricalFS!H56/HistoricalFS!H71</f>
        <v>0.24024883940355962</v>
      </c>
      <c r="I15" s="28">
        <f>HistoricalFS!I56/HistoricalFS!I71</f>
        <v>0.13086194053689362</v>
      </c>
      <c r="J15" s="28">
        <f>HistoricalFS!J56/HistoricalFS!J71</f>
        <v>0.10597732139792514</v>
      </c>
      <c r="K15" s="28">
        <f>HistoricalFS!K56/HistoricalFS!K71</f>
        <v>6.4779672953204803E-2</v>
      </c>
      <c r="L15" s="28">
        <f>HistoricalFS!L56/HistoricalFS!L71</f>
        <v>0.17519497522846789</v>
      </c>
      <c r="N15" s="28">
        <f>IFERROR(AVERAGE(C15:L15),0)</f>
        <v>0.21156992570997457</v>
      </c>
      <c r="O15" s="28">
        <f>IFERROR(MEDIAN(C15:L15),0)</f>
        <v>0.24011015785859624</v>
      </c>
    </row>
    <row r="16" spans="2:15" x14ac:dyDescent="0.3">
      <c r="B16" s="101" t="s">
        <v>179</v>
      </c>
      <c r="C16" s="42">
        <f>HistoricalFS!C56/SUM(HistoricalFS!C54:C56)</f>
        <v>0.38662661642837631</v>
      </c>
      <c r="D16" s="42">
        <f>HistoricalFS!D56/SUM(HistoricalFS!D54:D56)</f>
        <v>0.40389601680897669</v>
      </c>
      <c r="E16" s="42">
        <f>HistoricalFS!E56/SUM(HistoricalFS!E54:E56)</f>
        <v>0.43007434256918281</v>
      </c>
      <c r="F16" s="42">
        <f>HistoricalFS!F56/SUM(HistoricalFS!F54:F56)</f>
        <v>0.3591657894629055</v>
      </c>
      <c r="G16" s="42">
        <f>HistoricalFS!G56/SUM(HistoricalFS!G54:G56)</f>
        <v>0.31759409595482002</v>
      </c>
      <c r="H16" s="42">
        <f>HistoricalFS!H56/SUM(HistoricalFS!H54:H56)</f>
        <v>0.31158957338453613</v>
      </c>
      <c r="I16" s="42">
        <f>HistoricalFS!I56/SUM(HistoricalFS!I54:I56)</f>
        <v>0.16491121281586005</v>
      </c>
      <c r="J16" s="42">
        <f>HistoricalFS!J56/SUM(HistoricalFS!J54:J56)</f>
        <v>0.12852981123310458</v>
      </c>
      <c r="K16" s="42">
        <f>HistoricalFS!K56/SUM(HistoricalFS!K54:K56)</f>
        <v>7.5689786991391603E-2</v>
      </c>
      <c r="L16" s="42">
        <f>HistoricalFS!L56/SUM(HistoricalFS!L54:L56)</f>
        <v>0.20366897439252324</v>
      </c>
      <c r="M16" s="43"/>
      <c r="N16" s="42">
        <f>IFERROR(AVERAGE(C16:L16),0)</f>
        <v>0.2781746220041677</v>
      </c>
      <c r="O16" s="42">
        <f>IFERROR(MEDIAN(C16:L16),0)</f>
        <v>0.31459183466967811</v>
      </c>
    </row>
    <row r="17" spans="2:15" ht="9" customHeight="1" x14ac:dyDescent="0.3">
      <c r="B17" s="83"/>
      <c r="C17" s="29"/>
      <c r="D17" s="29"/>
      <c r="E17" s="29"/>
      <c r="F17" s="29"/>
      <c r="G17" s="29"/>
      <c r="H17" s="29"/>
      <c r="I17" s="29"/>
      <c r="J17" s="29"/>
      <c r="K17" s="29"/>
      <c r="L17" s="29"/>
      <c r="N17" s="28"/>
      <c r="O17" s="28"/>
    </row>
    <row r="18" spans="2:15" ht="15.6" x14ac:dyDescent="0.3">
      <c r="B18" s="87" t="s">
        <v>186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N18" s="28"/>
      <c r="O18" s="28"/>
    </row>
    <row r="19" spans="2:15" x14ac:dyDescent="0.3">
      <c r="B19" s="100" t="s">
        <v>127</v>
      </c>
      <c r="C19" s="47">
        <f>IFERROR(HistoricalFS!C9/HistoricalFS!C67,0)</f>
        <v>7.7195789905851386</v>
      </c>
      <c r="D19" s="47">
        <f>IFERROR(HistoricalFS!D9/HistoricalFS!D67,0)</f>
        <v>6.4453013818115039</v>
      </c>
      <c r="E19" s="47">
        <f>IFERROR(HistoricalFS!E9/HistoricalFS!E67,0)</f>
        <v>6.5613522123893802</v>
      </c>
      <c r="F19" s="47">
        <f>IFERROR(HistoricalFS!F9/HistoricalFS!F67,0)</f>
        <v>6.2415574373146061</v>
      </c>
      <c r="G19" s="47">
        <f>IFERROR(HistoricalFS!G9/HistoricalFS!G67,0)</f>
        <v>6.6177378271386322</v>
      </c>
      <c r="H19" s="47">
        <f>IFERROR(HistoricalFS!H9/HistoricalFS!H67,0)</f>
        <v>5.8192024049978865</v>
      </c>
      <c r="I19" s="47">
        <f>IFERROR(HistoricalFS!I9/HistoricalFS!I67,0)</f>
        <v>6.4259985433357611</v>
      </c>
      <c r="J19" s="47">
        <f>IFERROR(HistoricalFS!J9/HistoricalFS!J67,0)</f>
        <v>5.7640209404418155</v>
      </c>
      <c r="K19" s="47">
        <f>IFERROR(HistoricalFS!K9/HistoricalFS!K67,0)</f>
        <v>8.6627655075952248</v>
      </c>
      <c r="L19" s="47">
        <f>IFERROR(HistoricalFS!L9/HistoricalFS!L67,0)</f>
        <v>11.091264595725931</v>
      </c>
      <c r="M19" s="39"/>
      <c r="N19" s="47">
        <f>IFERROR(AVERAGE(C19:L19),0)</f>
        <v>7.1348779841335883</v>
      </c>
      <c r="O19" s="47">
        <f>IFERROR(MEDIAN(C19:L19),0)</f>
        <v>6.503326797100442</v>
      </c>
    </row>
    <row r="20" spans="2:15" x14ac:dyDescent="0.3">
      <c r="B20" s="93" t="s">
        <v>128</v>
      </c>
      <c r="C20" s="48">
        <f>IFERROR(HistoricalFS!C9/HistoricalFS!C60,0)</f>
        <v>1.4904025437087345</v>
      </c>
      <c r="D20" s="48">
        <f>IFERROR(HistoricalFS!D9/HistoricalFS!D60,0)</f>
        <v>1.4202154293835698</v>
      </c>
      <c r="E20" s="48">
        <f>IFERROR(HistoricalFS!E9/HistoricalFS!E60,0)</f>
        <v>1.1466084531646477</v>
      </c>
      <c r="F20" s="48">
        <f>IFERROR(HistoricalFS!F9/HistoricalFS!F60,0)</f>
        <v>1.1842970535177391</v>
      </c>
      <c r="G20" s="48">
        <f>IFERROR(HistoricalFS!G9/HistoricalFS!G60,0)</f>
        <v>1.1896229178825086</v>
      </c>
      <c r="H20" s="48">
        <f>IFERROR(HistoricalFS!H9/HistoricalFS!H60,0)</f>
        <v>1.0735966375630999</v>
      </c>
      <c r="I20" s="48">
        <f>IFERROR(HistoricalFS!I9/HistoricalFS!I60,0)</f>
        <v>1.2385070024267892</v>
      </c>
      <c r="J20" s="48">
        <f>IFERROR(HistoricalFS!J9/HistoricalFS!J60,0)</f>
        <v>1.331608690464569</v>
      </c>
      <c r="K20" s="48">
        <f>IFERROR(HistoricalFS!K9/HistoricalFS!K60,0)</f>
        <v>1.34048980939553</v>
      </c>
      <c r="L20" s="48">
        <f>IFERROR(HistoricalFS!L9/HistoricalFS!L60,0)</f>
        <v>1.3501710688643174</v>
      </c>
      <c r="N20" s="48">
        <f>IFERROR(AVERAGE(C20:L20),0)</f>
        <v>1.2765519606371505</v>
      </c>
      <c r="O20" s="48">
        <f>IFERROR(MEDIAN(C20:L20),0)</f>
        <v>1.285057846445679</v>
      </c>
    </row>
    <row r="21" spans="2:15" x14ac:dyDescent="0.3">
      <c r="B21" s="101" t="s">
        <v>189</v>
      </c>
      <c r="C21" s="46">
        <f>IFERROR(HistoricalFS!C9/HistoricalFS!C66,0)</f>
        <v>10.282569787963906</v>
      </c>
      <c r="D21" s="46">
        <f>IFERROR(HistoricalFS!D9/HistoricalFS!D66,0)</f>
        <v>7.5347089918694818</v>
      </c>
      <c r="E21" s="46">
        <f>IFERROR(HistoricalFS!E9/HistoricalFS!E66,0)</f>
        <v>9.0089915819351827</v>
      </c>
      <c r="F21" s="46">
        <f>IFERROR(HistoricalFS!F9/HistoricalFS!F66,0)</f>
        <v>7.9064070654355687</v>
      </c>
      <c r="G21" s="46">
        <f>IFERROR(HistoricalFS!G9/HistoricalFS!G66,0)</f>
        <v>7.9776780880191813</v>
      </c>
      <c r="H21" s="46">
        <f>IFERROR(HistoricalFS!H9/HistoricalFS!H66,0)</f>
        <v>8.5640959170447175</v>
      </c>
      <c r="I21" s="46">
        <f>IFERROR(HistoricalFS!I9/HistoricalFS!I66,0)</f>
        <v>10.979213539074166</v>
      </c>
      <c r="J21" s="46">
        <f>IFERROR(HistoricalFS!J9/HistoricalFS!J66,0)</f>
        <v>10.997294682528308</v>
      </c>
      <c r="K21" s="46">
        <f>IFERROR(HistoricalFS!K9/HistoricalFS!K66,0)</f>
        <v>10.693153347038416</v>
      </c>
      <c r="L21" s="46">
        <f>IFERROR(HistoricalFS!L9/HistoricalFS!L66,0)</f>
        <v>9.1809205598650507</v>
      </c>
      <c r="M21" s="43"/>
      <c r="N21" s="46">
        <f>IFERROR(AVERAGE(C21:L21),0)</f>
        <v>9.3125033560773964</v>
      </c>
      <c r="O21" s="46">
        <f>IFERROR(MEDIAN(C21:L21),0)</f>
        <v>9.0949560709001176</v>
      </c>
    </row>
    <row r="22" spans="2:15" ht="8.4" customHeight="1" x14ac:dyDescent="0.3">
      <c r="B22" s="83"/>
      <c r="C22" s="28"/>
      <c r="D22" s="28"/>
      <c r="E22" s="28"/>
      <c r="F22" s="28"/>
      <c r="G22" s="28"/>
      <c r="H22" s="28"/>
      <c r="I22" s="28"/>
      <c r="J22" s="28"/>
      <c r="K22" s="28"/>
      <c r="L22" s="28"/>
      <c r="N22" s="28"/>
      <c r="O22" s="28"/>
    </row>
    <row r="23" spans="2:15" ht="15.6" x14ac:dyDescent="0.3">
      <c r="B23" s="87" t="s">
        <v>187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N23" s="28"/>
      <c r="O23" s="28"/>
    </row>
    <row r="24" spans="2:15" x14ac:dyDescent="0.3">
      <c r="B24" s="100" t="s">
        <v>188</v>
      </c>
      <c r="C24" s="38">
        <f>IFERROR(HistoricalFS!C16,0)</f>
        <v>0.40139366504898377</v>
      </c>
      <c r="D24" s="38">
        <f>IFERROR(HistoricalFS!D16,0)</f>
        <v>0.3877417532063609</v>
      </c>
      <c r="E24" s="38">
        <f>IFERROR(HistoricalFS!E16,0)</f>
        <v>0.40516793969729947</v>
      </c>
      <c r="F24" s="38">
        <f>IFERROR(HistoricalFS!F16,0)</f>
        <v>0.41592577961965721</v>
      </c>
      <c r="G24" s="38">
        <f>IFERROR(HistoricalFS!G16,0)</f>
        <v>0.41132151936042444</v>
      </c>
      <c r="H24" s="38">
        <f>IFERROR(HistoricalFS!H16,0)</f>
        <v>0.41705210477458932</v>
      </c>
      <c r="I24" s="38">
        <f>IFERROR(HistoricalFS!I16,0)</f>
        <v>0.4055248979473407</v>
      </c>
      <c r="J24" s="38">
        <f>IFERROR(HistoricalFS!J16,0)</f>
        <v>0.36928114690669162</v>
      </c>
      <c r="K24" s="38">
        <f>IFERROR(HistoricalFS!K16,0)</f>
        <v>0.36859199893060723</v>
      </c>
      <c r="L24" s="38">
        <f>IFERROR(HistoricalFS!L16,0)</f>
        <v>0.42247045461478377</v>
      </c>
      <c r="M24" s="39"/>
      <c r="N24" s="38">
        <f t="shared" ref="N24:N29" si="0">IFERROR(AVERAGE(C24:L24),0)</f>
        <v>0.40044712601067384</v>
      </c>
      <c r="O24" s="38">
        <f t="shared" ref="O24:O29" si="1">IFERROR(MEDIAN(C24:L24),0)</f>
        <v>0.40534641882232009</v>
      </c>
    </row>
    <row r="25" spans="2:15" x14ac:dyDescent="0.3">
      <c r="B25" s="93" t="s">
        <v>126</v>
      </c>
      <c r="C25" s="28">
        <f>IFERROR(HistoricalFS!C40,0)</f>
        <v>0.10919903543390366</v>
      </c>
      <c r="D25" s="28">
        <f>IFERROR(HistoricalFS!D40,0)</f>
        <v>0.12970982492628089</v>
      </c>
      <c r="E25" s="28">
        <f>IFERROR(HistoricalFS!E40,0)</f>
        <v>0.13290914564340811</v>
      </c>
      <c r="F25" s="28">
        <f>IFERROR(HistoricalFS!F40,0)</f>
        <v>0.13718300104697378</v>
      </c>
      <c r="G25" s="28">
        <f>IFERROR(HistoricalFS!G40,0)</f>
        <v>0.19192502864943373</v>
      </c>
      <c r="H25" s="28">
        <f>IFERROR(HistoricalFS!H40,0)</f>
        <v>0.14777010937563062</v>
      </c>
      <c r="I25" s="28">
        <f>IFERROR(HistoricalFS!I40,0)</f>
        <v>0.15398300059300266</v>
      </c>
      <c r="J25" s="28">
        <f>IFERROR(HistoricalFS!J40,0)</f>
        <v>0.13889300696452567</v>
      </c>
      <c r="K25" s="28">
        <f>IFERROR(HistoricalFS!K40,0)</f>
        <v>0.11926731586208125</v>
      </c>
      <c r="L25" s="28">
        <f>IFERROR(HistoricalFS!L40,0)</f>
        <v>0.11691239639872276</v>
      </c>
      <c r="N25" s="28">
        <f t="shared" si="0"/>
        <v>0.1377751864893963</v>
      </c>
      <c r="O25" s="28">
        <f t="shared" si="1"/>
        <v>0.13504607334519095</v>
      </c>
    </row>
    <row r="26" spans="2:15" x14ac:dyDescent="0.3">
      <c r="B26" s="93" t="s">
        <v>173</v>
      </c>
      <c r="C26" s="28">
        <f>ROIC!F42</f>
        <v>0.21885321100917432</v>
      </c>
      <c r="D26" s="28">
        <f>ROIC!G42</f>
        <v>0.25190129449838167</v>
      </c>
      <c r="E26" s="28">
        <f>ROIC!H42</f>
        <v>0.23989399293286198</v>
      </c>
      <c r="F26" s="28">
        <f>ROIC!I42</f>
        <v>0.24967249190938526</v>
      </c>
      <c r="G26" s="28">
        <f>ROIC!J42</f>
        <v>0.21351801458582781</v>
      </c>
      <c r="H26" s="28">
        <f>ROIC!K42</f>
        <v>0.1961766770279755</v>
      </c>
      <c r="I26" s="28">
        <f>ROIC!L42</f>
        <v>0.22189306650495261</v>
      </c>
      <c r="J26" s="28">
        <f>ROIC!M42</f>
        <v>0.19955085745395151</v>
      </c>
      <c r="K26" s="28">
        <f>ROIC!N42</f>
        <v>0.19260865770640584</v>
      </c>
      <c r="L26" s="28">
        <f>ROIC!O42</f>
        <v>0.23238600393532383</v>
      </c>
      <c r="N26" s="28">
        <f t="shared" si="0"/>
        <v>0.22164542675642407</v>
      </c>
      <c r="O26" s="28">
        <f t="shared" si="1"/>
        <v>0.22037313875706346</v>
      </c>
    </row>
    <row r="27" spans="2:15" x14ac:dyDescent="0.3">
      <c r="B27" s="34" t="s">
        <v>123</v>
      </c>
      <c r="C27" s="44">
        <f>IFERROR(HistoricalFS!C22,0)</f>
        <v>0.16667774668657043</v>
      </c>
      <c r="D27" s="28">
        <f>IFERROR(HistoricalFS!D22,0)</f>
        <v>0.19674781692046886</v>
      </c>
      <c r="E27" s="28">
        <f>IFERROR(HistoricalFS!E22,0)</f>
        <v>0.20573246826954497</v>
      </c>
      <c r="F27" s="28">
        <f>IFERROR(HistoricalFS!F22,0)</f>
        <v>0.21166944065609006</v>
      </c>
      <c r="G27" s="28">
        <f>IFERROR(HistoricalFS!G22,0)</f>
        <v>0.2066608236687951</v>
      </c>
      <c r="H27" s="28">
        <f>IFERROR(HistoricalFS!H22,0)</f>
        <v>0.217313435847762</v>
      </c>
      <c r="I27" s="28">
        <f>IFERROR(HistoricalFS!I22,0)</f>
        <v>0.21754852375002501</v>
      </c>
      <c r="J27" s="28">
        <f>IFERROR(HistoricalFS!J22,0)</f>
        <v>0.19624322893332785</v>
      </c>
      <c r="K27" s="28">
        <f>IFERROR(HistoricalFS!K22,0)</f>
        <v>0.18347893544368141</v>
      </c>
      <c r="L27" s="28">
        <f>IFERROR(HistoricalFS!L22,0)</f>
        <v>0.20979688722633405</v>
      </c>
      <c r="N27" s="28">
        <f t="shared" si="0"/>
        <v>0.20118693074025998</v>
      </c>
      <c r="O27" s="28">
        <f t="shared" si="1"/>
        <v>0.20619664596917003</v>
      </c>
    </row>
    <row r="28" spans="2:15" x14ac:dyDescent="0.3">
      <c r="B28" s="34" t="s">
        <v>124</v>
      </c>
      <c r="C28" s="44">
        <f>IFERROR((HistoricalFS!C21-HistoricalFS!C24)/HistoricalFS!C9,0)</f>
        <v>0.15570490079353089</v>
      </c>
      <c r="D28" s="28">
        <f>IFERROR((HistoricalFS!D21-HistoricalFS!D24)/HistoricalFS!D9,0)</f>
        <v>0.18480201522338865</v>
      </c>
      <c r="E28" s="28">
        <f>IFERROR((HistoricalFS!E21-HistoricalFS!E24)/HistoricalFS!E9,0)</f>
        <v>0.19045717966618131</v>
      </c>
      <c r="F28" s="28">
        <f>IFERROR((HistoricalFS!F21-HistoricalFS!F24)/HistoricalFS!F9,0)</f>
        <v>0.19586023967674823</v>
      </c>
      <c r="G28" s="28">
        <f>IFERROR((HistoricalFS!G21-HistoricalFS!G24)/HistoricalFS!G9,0)</f>
        <v>0.19018085500381024</v>
      </c>
      <c r="H28" s="28">
        <f>IFERROR((HistoricalFS!H21-HistoricalFS!H24)/HistoricalFS!H9,0)</f>
        <v>0.19740787827420589</v>
      </c>
      <c r="I28" s="28">
        <f>IFERROR((HistoricalFS!I21-HistoricalFS!I24)/HistoricalFS!I9,0)</f>
        <v>0.19906479686488437</v>
      </c>
      <c r="J28" s="28">
        <f>IFERROR((HistoricalFS!J21-HistoricalFS!J24)/HistoricalFS!J9,0)</f>
        <v>0.17914307823891171</v>
      </c>
      <c r="K28" s="28">
        <f>IFERROR((HistoricalFS!K21-HistoricalFS!K24)/HistoricalFS!K9,0)</f>
        <v>0.1657340772020362</v>
      </c>
      <c r="L28" s="28">
        <f>IFERROR((HistoricalFS!L21-HistoricalFS!L24)/HistoricalFS!L9,0)</f>
        <v>0.19270280949850702</v>
      </c>
      <c r="N28" s="28">
        <f t="shared" si="0"/>
        <v>0.18510578304422043</v>
      </c>
      <c r="O28" s="28">
        <f t="shared" si="1"/>
        <v>0.19031901733499579</v>
      </c>
    </row>
    <row r="29" spans="2:15" x14ac:dyDescent="0.3">
      <c r="B29" s="102" t="s">
        <v>125</v>
      </c>
      <c r="C29" s="45">
        <f>IFERROR(HistoricalFS!C34,0)</f>
        <v>0.14211152946580202</v>
      </c>
      <c r="D29" s="42">
        <f>IFERROR(HistoricalFS!D34,0)</f>
        <v>0.16960236850477442</v>
      </c>
      <c r="E29" s="42">
        <f>IFERROR(HistoricalFS!E34,0)</f>
        <v>0.17382020326049763</v>
      </c>
      <c r="F29" s="42">
        <f>IFERROR(HistoricalFS!F34,0)</f>
        <v>0.17828001823826126</v>
      </c>
      <c r="G29" s="42">
        <f>IFERROR(HistoricalFS!G34,0)</f>
        <v>0.1670858242020333</v>
      </c>
      <c r="H29" s="42">
        <f>IFERROR(HistoricalFS!H34,0)</f>
        <v>0.17438955482907534</v>
      </c>
      <c r="I29" s="42">
        <f>IFERROR(HistoricalFS!I34,0)</f>
        <v>0.1865836342171551</v>
      </c>
      <c r="J29" s="42">
        <f>IFERROR(HistoricalFS!J34,0)</f>
        <v>0.16918421374170156</v>
      </c>
      <c r="K29" s="42">
        <f>IFERROR(HistoricalFS!K34,0)</f>
        <v>0.15157964459217002</v>
      </c>
      <c r="L29" s="42">
        <f>IFERROR(HistoricalFS!L34,0)</f>
        <v>0.17074143150131491</v>
      </c>
      <c r="M29" s="43"/>
      <c r="N29" s="42">
        <f t="shared" si="0"/>
        <v>0.16833784225527854</v>
      </c>
      <c r="O29" s="42">
        <f t="shared" si="1"/>
        <v>0.17017190000304466</v>
      </c>
    </row>
    <row r="30" spans="2:15" ht="9" customHeight="1" x14ac:dyDescent="0.3">
      <c r="C30" s="28"/>
      <c r="D30" s="28"/>
      <c r="E30" s="28"/>
      <c r="F30" s="28"/>
      <c r="G30" s="28"/>
      <c r="H30" s="28"/>
      <c r="I30" s="28"/>
      <c r="J30" s="28"/>
      <c r="K30" s="28"/>
      <c r="L30" s="28"/>
      <c r="N30" s="28"/>
      <c r="O30" s="28"/>
    </row>
    <row r="31" spans="2:15" ht="15.6" x14ac:dyDescent="0.3">
      <c r="B31" s="103" t="s">
        <v>190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N31" s="28"/>
      <c r="O31" s="28"/>
    </row>
    <row r="32" spans="2:15" x14ac:dyDescent="0.3">
      <c r="B32" s="36" t="s">
        <v>118</v>
      </c>
      <c r="C32" s="37" t="s">
        <v>60</v>
      </c>
      <c r="D32" s="38">
        <f>IFERROR(HistoricalFS!D10,0)</f>
        <v>1.8219178910088507E-2</v>
      </c>
      <c r="E32" s="38">
        <f>IFERROR(HistoricalFS!E10,0)</f>
        <v>0.10019492205492009</v>
      </c>
      <c r="F32" s="38">
        <f>IFERROR(HistoricalFS!F10,0)</f>
        <v>6.2529739714779264E-2</v>
      </c>
      <c r="G32" s="38">
        <f>IFERROR(HistoricalFS!G10,0)</f>
        <v>4.7414401524052519E-2</v>
      </c>
      <c r="H32" s="38">
        <f>IFERROR(HistoricalFS!H10,0)</f>
        <v>-3.9124170814613501E-2</v>
      </c>
      <c r="I32" s="38">
        <f>IFERROR(HistoricalFS!I10,0)</f>
        <v>0.11278806958065957</v>
      </c>
      <c r="J32" s="38">
        <f>IFERROR(HistoricalFS!J10,0)</f>
        <v>0.11314924260696246</v>
      </c>
      <c r="K32" s="38">
        <f>IFERROR(HistoricalFS!K10,0)</f>
        <v>8.4671526900989669E-2</v>
      </c>
      <c r="L32" s="38">
        <f>IFERROR(HistoricalFS!L10,0)</f>
        <v>5.8586794653337382E-2</v>
      </c>
      <c r="M32" s="39"/>
      <c r="N32" s="38">
        <f>IFERROR(AVERAGE(D32:L32),0)</f>
        <v>6.2047745014575106E-2</v>
      </c>
      <c r="O32" s="38">
        <f>IFERROR(MEDIAN(C32:L32),0)</f>
        <v>6.2529739714779264E-2</v>
      </c>
    </row>
    <row r="33" spans="2:15" x14ac:dyDescent="0.3">
      <c r="B33" s="34" t="s">
        <v>119</v>
      </c>
      <c r="C33" s="40" t="s">
        <v>60</v>
      </c>
      <c r="D33" s="28">
        <f>IFERROR(HistoricalFS!D21/HistoricalFS!C21-1,0)</f>
        <v>0.20191450016316681</v>
      </c>
      <c r="E33" s="28">
        <f>IFERROR(HistoricalFS!E21/HistoricalFS!D21-1,0)</f>
        <v>0.15043623067733392</v>
      </c>
      <c r="F33" s="28">
        <f>IFERROR(HistoricalFS!F21/HistoricalFS!E21-1,0)</f>
        <v>9.3191937945467762E-2</v>
      </c>
      <c r="G33" s="28">
        <f>IFERROR(HistoricalFS!G21/HistoricalFS!F21-1,0)</f>
        <v>2.2630013433121876E-2</v>
      </c>
      <c r="H33" s="28">
        <f>IFERROR(HistoricalFS!H21/HistoricalFS!G21-1,0)</f>
        <v>1.0405475776070761E-2</v>
      </c>
      <c r="I33" s="28">
        <f>IFERROR(HistoricalFS!I21/HistoricalFS!H21-1,0)</f>
        <v>0.11399187463726146</v>
      </c>
      <c r="J33" s="28">
        <f>IFERROR(HistoricalFS!J21/HistoricalFS!I21-1,0)</f>
        <v>4.1346081708519833E-3</v>
      </c>
      <c r="K33" s="28">
        <f>IFERROR(HistoricalFS!K21/HistoricalFS!J21-1,0)</f>
        <v>1.412098722386812E-2</v>
      </c>
      <c r="L33" s="28">
        <f>IFERROR(HistoricalFS!L21/HistoricalFS!K21-1,0)</f>
        <v>0.21042894564505654</v>
      </c>
      <c r="N33" s="28">
        <f t="shared" ref="N33:N36" si="2">IFERROR(AVERAGE(D33:L33),0)</f>
        <v>9.1250508185799911E-2</v>
      </c>
      <c r="O33" s="28">
        <f t="shared" ref="O33:O36" si="3">IFERROR(MEDIAN(C33:L33),0)</f>
        <v>9.3191937945467762E-2</v>
      </c>
    </row>
    <row r="34" spans="2:15" x14ac:dyDescent="0.3">
      <c r="B34" s="34" t="s">
        <v>120</v>
      </c>
      <c r="C34" s="40" t="s">
        <v>60</v>
      </c>
      <c r="D34" s="28">
        <f>IFERROR(HistoricalFS!D33/HistoricalFS!C33-1,0)</f>
        <v>0.21518911976592769</v>
      </c>
      <c r="E34" s="28">
        <f>IFERROR(HistoricalFS!E33/HistoricalFS!D33-1,0)</f>
        <v>0.12755562710417068</v>
      </c>
      <c r="F34" s="28">
        <f>IFERROR(HistoricalFS!F33/HistoricalFS!E33-1,0)</f>
        <v>8.9791737794470805E-2</v>
      </c>
      <c r="G34" s="28">
        <f>IFERROR(HistoricalFS!G33/HistoricalFS!F33-1,0)</f>
        <v>-1.8352699931647787E-2</v>
      </c>
      <c r="H34" s="28">
        <f>IFERROR(HistoricalFS!H33/HistoricalFS!G33-1,0)</f>
        <v>2.8780651974604776E-3</v>
      </c>
      <c r="I34" s="28">
        <f>IFERROR(HistoricalFS!I33/HistoricalFS!H33-1,0)</f>
        <v>0.19059907194186421</v>
      </c>
      <c r="J34" s="28">
        <f>IFERROR(HistoricalFS!J33/HistoricalFS!I33-1,0)</f>
        <v>9.3451131327260129E-3</v>
      </c>
      <c r="K34" s="28">
        <f>IFERROR(HistoricalFS!K33/HistoricalFS!J33-1,0)</f>
        <v>-2.819464706137309E-2</v>
      </c>
      <c r="L34" s="28">
        <f>IFERROR(HistoricalFS!L33/HistoricalFS!K33-1,0)</f>
        <v>0.19240696977353799</v>
      </c>
      <c r="N34" s="28">
        <f t="shared" si="2"/>
        <v>8.680203974634855E-2</v>
      </c>
      <c r="O34" s="28">
        <f t="shared" si="3"/>
        <v>8.9791737794470805E-2</v>
      </c>
    </row>
    <row r="35" spans="2:15" x14ac:dyDescent="0.3">
      <c r="B35" s="34" t="s">
        <v>121</v>
      </c>
      <c r="C35" s="40" t="s">
        <v>60</v>
      </c>
      <c r="D35" s="28">
        <f>IFERROR(HistoricalFS!D39/HistoricalFS!C39-1,0)</f>
        <v>0.20947067808992359</v>
      </c>
      <c r="E35" s="28">
        <f>IFERROR(HistoricalFS!E39/HistoricalFS!D39-1,0)</f>
        <v>0.12733146632987347</v>
      </c>
      <c r="F35" s="28">
        <f>IFERROR(HistoricalFS!F39/HistoricalFS!E39-1,0)</f>
        <v>9.6696677193355063E-2</v>
      </c>
      <c r="G35" s="28">
        <f>IFERROR(HistoricalFS!G39/HistoricalFS!F39-1,0)</f>
        <v>0.46537863646457822</v>
      </c>
      <c r="H35" s="28">
        <f>IFERROR(HistoricalFS!H39/HistoricalFS!G39-1,0)</f>
        <v>-0.26018650420796352</v>
      </c>
      <c r="I35" s="28">
        <f>IFERROR(HistoricalFS!I39/HistoricalFS!H39-1,0)</f>
        <v>0.15957446808510745</v>
      </c>
      <c r="J35" s="28">
        <f>IFERROR(HistoricalFS!J39/HistoricalFS!I39-1,0)</f>
        <v>4.06307781088322E-3</v>
      </c>
      <c r="K35" s="28">
        <f>IFERROR(HistoricalFS!K39/HistoricalFS!J39-1,0)</f>
        <v>-6.8593412780333041E-2</v>
      </c>
      <c r="L35" s="28">
        <f>IFERROR(HistoricalFS!L39/HistoricalFS!K39-1,0)</f>
        <v>3.7685119887166385E-2</v>
      </c>
      <c r="N35" s="28">
        <f t="shared" si="2"/>
        <v>8.5713356319176759E-2</v>
      </c>
      <c r="O35" s="28">
        <f t="shared" si="3"/>
        <v>9.6696677193355063E-2</v>
      </c>
    </row>
    <row r="36" spans="2:15" x14ac:dyDescent="0.3">
      <c r="B36" s="35" t="s">
        <v>122</v>
      </c>
      <c r="C36" s="41" t="s">
        <v>60</v>
      </c>
      <c r="D36" s="42">
        <f>IFERROR(HistoricalFS!D47/HistoricalFS!C47-1,0)</f>
        <v>4.5570291259065865E-2</v>
      </c>
      <c r="E36" s="42">
        <f>IFERROR(HistoricalFS!E47/HistoricalFS!D47-1,0)</f>
        <v>1.6089177179631236</v>
      </c>
      <c r="F36" s="42">
        <f>IFERROR(HistoricalFS!F47/HistoricalFS!E47-1,0)</f>
        <v>0.33326810176125266</v>
      </c>
      <c r="G36" s="42">
        <f>IFERROR(HistoricalFS!G47/HistoricalFS!F47-1,0)</f>
        <v>0.5000733891090563</v>
      </c>
      <c r="H36" s="42">
        <f>IFERROR(HistoricalFS!H47/HistoricalFS!G47-1,0)</f>
        <v>-0.19999999999999996</v>
      </c>
      <c r="I36" s="42">
        <f>IFERROR(HistoricalFS!I47/HistoricalFS!H47-1,0)</f>
        <v>-1</v>
      </c>
      <c r="J36" s="42">
        <f>IFERROR(HistoricalFS!J47/HistoricalFS!I47-1,0)</f>
        <v>0</v>
      </c>
      <c r="K36" s="42">
        <f>IFERROR(HistoricalFS!K47/HistoricalFS!J47-1,0)</f>
        <v>0</v>
      </c>
      <c r="L36" s="42">
        <f>IFERROR(HistoricalFS!L47/HistoricalFS!K47-1,0)</f>
        <v>0</v>
      </c>
      <c r="M36" s="43"/>
      <c r="N36" s="42">
        <f t="shared" si="2"/>
        <v>0.14309216667694427</v>
      </c>
      <c r="O36" s="42">
        <f t="shared" si="3"/>
        <v>0</v>
      </c>
    </row>
    <row r="37" spans="2:15" x14ac:dyDescent="0.3">
      <c r="B37" s="105"/>
      <c r="C37" s="104"/>
      <c r="D37" s="28"/>
      <c r="E37" s="28"/>
      <c r="F37" s="28"/>
      <c r="G37" s="28"/>
      <c r="H37" s="28"/>
      <c r="I37" s="28"/>
      <c r="J37" s="28"/>
      <c r="K37" s="28"/>
      <c r="L37" s="28"/>
      <c r="N37" s="28"/>
      <c r="O37" s="28"/>
    </row>
    <row r="38" spans="2:15" ht="15.6" x14ac:dyDescent="0.3">
      <c r="B38" s="103" t="s">
        <v>191</v>
      </c>
    </row>
    <row r="39" spans="2:15" x14ac:dyDescent="0.3">
      <c r="B39" s="98" t="s">
        <v>129</v>
      </c>
      <c r="C39" s="49">
        <f t="shared" ref="C39:L39" si="4">IFERROR(365/C21,0)</f>
        <v>35.496963067271835</v>
      </c>
      <c r="D39" s="50">
        <f t="shared" si="4"/>
        <v>48.442481374378559</v>
      </c>
      <c r="E39" s="50">
        <f t="shared" si="4"/>
        <v>40.515078372578067</v>
      </c>
      <c r="F39" s="50">
        <f t="shared" si="4"/>
        <v>46.165090790185864</v>
      </c>
      <c r="G39" s="50">
        <f t="shared" si="4"/>
        <v>45.752660858571659</v>
      </c>
      <c r="H39" s="50">
        <f t="shared" si="4"/>
        <v>42.619793558542199</v>
      </c>
      <c r="I39" s="50">
        <f t="shared" si="4"/>
        <v>33.244639855213073</v>
      </c>
      <c r="J39" s="50">
        <f t="shared" si="4"/>
        <v>33.189980857736323</v>
      </c>
      <c r="K39" s="50">
        <f t="shared" si="4"/>
        <v>34.133990989766424</v>
      </c>
      <c r="L39" s="50">
        <f t="shared" si="4"/>
        <v>39.756361861534842</v>
      </c>
      <c r="M39" s="39"/>
      <c r="N39" s="50">
        <f>IFERROR(AVERAGE(C39:L39),0)</f>
        <v>39.931704158577887</v>
      </c>
      <c r="O39" s="50">
        <f>IFERROR(MEDIAN(C39:L39),0)</f>
        <v>40.135720117056451</v>
      </c>
    </row>
    <row r="40" spans="2:15" x14ac:dyDescent="0.3">
      <c r="B40" s="93" t="s">
        <v>130</v>
      </c>
      <c r="C40" s="51">
        <f>IFERROR(365/([5]HistoricalFS!C9/[5]HistoricalFS!C57),0)</f>
        <v>92.524697364365437</v>
      </c>
      <c r="D40" s="202">
        <f>IFERROR(365/([5]HistoricalFS!D9/[5]HistoricalFS!D57),0)</f>
        <v>109.21818686875882</v>
      </c>
      <c r="E40" s="202">
        <f>IFERROR(365/([5]HistoricalFS!E9/[5]HistoricalFS!E57),0)</f>
        <v>143.25128858609978</v>
      </c>
      <c r="F40" s="202">
        <f>IFERROR(365/([5]HistoricalFS!F9/[5]HistoricalFS!F57),0)</f>
        <v>151.89037647386172</v>
      </c>
      <c r="G40" s="202">
        <f>IFERROR(365/([5]HistoricalFS!G9/[5]HistoricalFS!G57),0)</f>
        <v>121.89550664414786</v>
      </c>
      <c r="H40" s="202">
        <f>IFERROR(365/([5]HistoricalFS!H9/[5]HistoricalFS!H57),0)</f>
        <v>125.4728932074101</v>
      </c>
      <c r="I40" s="202">
        <f>IFERROR(365/([5]HistoricalFS!I9/[5]HistoricalFS!I57),0)</f>
        <v>97.331832994517896</v>
      </c>
      <c r="J40" s="202">
        <f>IFERROR(365/([5]HistoricalFS!J9/[5]HistoricalFS!J57),0)</f>
        <v>83.898118356209011</v>
      </c>
      <c r="K40" s="202">
        <f>IFERROR(365/([5]HistoricalFS!K9/[5]HistoricalFS!K57),0)</f>
        <v>68.895412801320518</v>
      </c>
      <c r="L40" s="202">
        <f>IFERROR(365/([5]HistoricalFS!L9/[5]HistoricalFS!L57),0)</f>
        <v>66.580648845674432</v>
      </c>
      <c r="N40" s="52">
        <f>IFERROR(AVERAGE(C40:L40),0)</f>
        <v>106.09589621423656</v>
      </c>
      <c r="O40" s="52">
        <f>IFERROR(MEDIAN(C40:L40),0)</f>
        <v>103.27500993163835</v>
      </c>
    </row>
    <row r="41" spans="2:15" x14ac:dyDescent="0.3">
      <c r="B41" s="93" t="s">
        <v>131</v>
      </c>
      <c r="C41" s="51">
        <f t="shared" ref="C41:L41" si="5">IFERROR(365/C19,0)</f>
        <v>47.282371285423331</v>
      </c>
      <c r="D41" s="52">
        <f t="shared" si="5"/>
        <v>56.630400717958949</v>
      </c>
      <c r="E41" s="52">
        <f t="shared" si="5"/>
        <v>55.628777146087955</v>
      </c>
      <c r="F41" s="52">
        <f t="shared" si="5"/>
        <v>58.478994011635521</v>
      </c>
      <c r="G41" s="52">
        <f t="shared" si="5"/>
        <v>55.154799046764012</v>
      </c>
      <c r="H41" s="52">
        <f t="shared" si="5"/>
        <v>62.723372482544292</v>
      </c>
      <c r="I41" s="52">
        <f t="shared" si="5"/>
        <v>56.80051085267241</v>
      </c>
      <c r="J41" s="52">
        <f t="shared" si="5"/>
        <v>63.32385044597401</v>
      </c>
      <c r="K41" s="52">
        <f t="shared" si="5"/>
        <v>42.134350708209766</v>
      </c>
      <c r="L41" s="52">
        <f t="shared" si="5"/>
        <v>32.908781216945663</v>
      </c>
      <c r="N41" s="52">
        <f>IFERROR(AVERAGE(C41:L41),0)</f>
        <v>53.106620791421584</v>
      </c>
      <c r="O41" s="52">
        <f>IFERROR(MEDIAN(C41:L41),0)</f>
        <v>56.129588932023452</v>
      </c>
    </row>
    <row r="42" spans="2:15" x14ac:dyDescent="0.3">
      <c r="B42" s="99" t="s">
        <v>132</v>
      </c>
      <c r="C42" s="53">
        <f>IFERROR(SUM(C39,C41)-C40,0)</f>
        <v>-9.7453630116702641</v>
      </c>
      <c r="D42" s="54">
        <f t="shared" ref="D42:L42" si="6">IFERROR(SUM(D39,D41)-D40,0)</f>
        <v>-4.1453047764213125</v>
      </c>
      <c r="E42" s="54">
        <f t="shared" si="6"/>
        <v>-47.10743306743376</v>
      </c>
      <c r="F42" s="54">
        <f t="shared" si="6"/>
        <v>-47.246291672040343</v>
      </c>
      <c r="G42" s="54">
        <f t="shared" si="6"/>
        <v>-20.988046738812187</v>
      </c>
      <c r="H42" s="54">
        <f t="shared" si="6"/>
        <v>-20.129727166323605</v>
      </c>
      <c r="I42" s="54">
        <f t="shared" si="6"/>
        <v>-7.2866822866324128</v>
      </c>
      <c r="J42" s="54">
        <f t="shared" si="6"/>
        <v>12.615712947501322</v>
      </c>
      <c r="K42" s="54">
        <f t="shared" si="6"/>
        <v>7.3729288966556652</v>
      </c>
      <c r="L42" s="54">
        <f t="shared" si="6"/>
        <v>6.0844942328060654</v>
      </c>
      <c r="M42" s="43"/>
      <c r="N42" s="54">
        <f>IFERROR(AVERAGE(C42:L42),0)</f>
        <v>-13.057571264237087</v>
      </c>
      <c r="O42" s="54">
        <f>IFERROR(MEDIAN(C42:L42),0)</f>
        <v>-8.5160226491513384</v>
      </c>
    </row>
  </sheetData>
  <mergeCells count="3">
    <mergeCell ref="B5:O5"/>
    <mergeCell ref="B2:G2"/>
    <mergeCell ref="B3:E3"/>
  </mergeCells>
  <printOptions horizontalCentered="1" verticalCentered="1"/>
  <pageMargins left="0.25" right="0.25" top="0.75" bottom="0.75" header="0.3" footer="0.3"/>
  <pageSetup paperSize="9" scale="79" fitToWidth="0" orientation="landscape" r:id="rId1"/>
  <ignoredErrors>
    <ignoredError sqref="C9:L11" formulaRange="1"/>
  </ignoredError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9BF20130-F706-4160-98FA-C4188696EB54}">
          <x14:colorSeries rgb="FFB50C59"/>
          <x14:colorNegative rgb="FFD00000"/>
          <x14:colorAxis rgb="FF000000"/>
          <x14:colorMarkers rgb="FFC00000"/>
          <x14:colorFirst rgb="FFD00000"/>
          <x14:colorLast rgb="FFD00000"/>
          <x14:colorHigh rgb="FFD00000"/>
          <x14:colorLow rgb="FFD00000"/>
          <x14:sparklines>
            <x14:sparkline>
              <xm:f>'Ratio Analysis'!C24:L24</xm:f>
              <xm:sqref>M24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Analysis'!C25:L25</xm:f>
              <xm:sqref>M25</xm:sqref>
            </x14:sparkline>
            <x14:sparkline>
              <xm:f>'Ratio Analysis'!C21:L21</xm:f>
              <xm:sqref>M21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Analysis'!C26:L26</xm:f>
              <xm:sqref>M26</xm:sqref>
            </x14:sparkline>
            <x14:sparkline>
              <xm:f>'Ratio Analysis'!C8:L8</xm:f>
              <xm:sqref>M8</xm:sqref>
            </x14:sparkline>
            <x14:sparkline>
              <xm:f>'Ratio Analysis'!C9:L9</xm:f>
              <xm:sqref>M9</xm:sqref>
            </x14:sparkline>
            <x14:sparkline>
              <xm:f>'Ratio Analysis'!C10:L10</xm:f>
              <xm:sqref>M10</xm:sqref>
            </x14:sparkline>
            <x14:sparkline>
              <xm:f>'Ratio Analysis'!C11:L11</xm:f>
              <xm:sqref>M11</xm:sqref>
            </x14:sparkline>
          </x14:sparklines>
        </x14:sparklineGroup>
        <x14:sparklineGroup displayEmptyCellsAs="gap" markers="1" xr2:uid="{FA8057A5-A854-4061-A3CF-0E0762B286CA}">
          <x14:colorSeries rgb="FFB50C59"/>
          <x14:colorNegative rgb="FFD00000"/>
          <x14:colorAxis rgb="FF000000"/>
          <x14:colorMarkers rgb="FFC00000"/>
          <x14:colorFirst rgb="FFD00000"/>
          <x14:colorLast rgb="FFD00000"/>
          <x14:colorHigh rgb="FFD00000"/>
          <x14:colorLow rgb="FFD00000"/>
          <x14:sparklines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951C-9549-47F7-B396-D6B4AD0655F6}">
  <sheetPr>
    <pageSetUpPr fitToPage="1"/>
  </sheetPr>
  <dimension ref="B1:S42"/>
  <sheetViews>
    <sheetView showGridLines="0" topLeftCell="A18" zoomScale="102" zoomScaleNormal="110" workbookViewId="0">
      <selection activeCell="S19" sqref="S19"/>
    </sheetView>
  </sheetViews>
  <sheetFormatPr defaultRowHeight="14.4" x14ac:dyDescent="0.3"/>
  <cols>
    <col min="1" max="1" width="1.88671875" customWidth="1"/>
  </cols>
  <sheetData>
    <row r="1" spans="2:19" ht="15" thickBot="1" x14ac:dyDescent="0.35"/>
    <row r="2" spans="2:19" ht="28.2" customHeight="1" thickTop="1" x14ac:dyDescent="0.4">
      <c r="B2" s="193" t="str">
        <f>'Data Sheet'!B1</f>
        <v>GODREJ CONSUMER PRODUCTS LTD</v>
      </c>
      <c r="C2" s="193"/>
      <c r="D2" s="193"/>
      <c r="E2" s="193"/>
      <c r="F2" s="193"/>
      <c r="G2" s="193"/>
      <c r="H2" s="193"/>
      <c r="I2" s="193"/>
      <c r="J2" s="193"/>
      <c r="K2" s="193"/>
      <c r="L2" s="81"/>
      <c r="M2" s="81"/>
      <c r="N2" s="81"/>
      <c r="O2" s="81"/>
      <c r="P2" s="83"/>
    </row>
    <row r="3" spans="2:19" ht="16.2" thickBot="1" x14ac:dyDescent="0.35">
      <c r="B3" s="194" t="s">
        <v>176</v>
      </c>
      <c r="C3" s="194"/>
      <c r="D3" s="194"/>
      <c r="E3" s="194"/>
      <c r="F3" s="82"/>
      <c r="G3" s="82"/>
      <c r="H3" s="82"/>
      <c r="I3" s="82"/>
      <c r="J3" s="82"/>
      <c r="K3" s="82"/>
      <c r="L3" s="82"/>
      <c r="M3" s="82"/>
      <c r="N3" s="82"/>
      <c r="O3" s="82"/>
      <c r="P3" s="83"/>
    </row>
    <row r="4" spans="2:19" ht="8.4" customHeight="1" thickTop="1" x14ac:dyDescent="0.3">
      <c r="B4" s="85"/>
      <c r="C4" s="85"/>
      <c r="D4" s="85"/>
      <c r="E4" s="85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2:19" ht="21" x14ac:dyDescent="0.4">
      <c r="B5" s="192" t="s">
        <v>183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84"/>
      <c r="Q5" s="84"/>
      <c r="R5" s="84"/>
      <c r="S5" s="84"/>
    </row>
    <row r="6" spans="2:19" ht="7.8" customHeight="1" x14ac:dyDescent="0.3"/>
    <row r="7" spans="2:19" x14ac:dyDescent="0.3">
      <c r="B7" s="30" t="s">
        <v>164</v>
      </c>
      <c r="C7" s="66"/>
      <c r="D7" s="66"/>
      <c r="E7" s="66"/>
      <c r="F7" s="31">
        <f>'Raw FS'!E$1</f>
        <v>42064</v>
      </c>
      <c r="G7" s="31">
        <f>'Raw FS'!F$1</f>
        <v>42430</v>
      </c>
      <c r="H7" s="31">
        <f>'Raw FS'!G$1</f>
        <v>42795</v>
      </c>
      <c r="I7" s="31">
        <f>'Raw FS'!H$1</f>
        <v>43160</v>
      </c>
      <c r="J7" s="31">
        <f>'Raw FS'!I$1</f>
        <v>43525</v>
      </c>
      <c r="K7" s="31">
        <f>'Raw FS'!J$1</f>
        <v>43891</v>
      </c>
      <c r="L7" s="31">
        <f>'Raw FS'!K$1</f>
        <v>44256</v>
      </c>
      <c r="M7" s="31">
        <f>'Raw FS'!L$1</f>
        <v>44621</v>
      </c>
      <c r="N7" s="31">
        <f>'Raw FS'!M$1</f>
        <v>44986</v>
      </c>
      <c r="O7" s="31">
        <f>'Raw FS'!N$1</f>
        <v>45352</v>
      </c>
    </row>
    <row r="8" spans="2:19" ht="2.4" customHeight="1" x14ac:dyDescent="0.3"/>
    <row r="9" spans="2:19" x14ac:dyDescent="0.3">
      <c r="B9" s="12" t="s">
        <v>165</v>
      </c>
    </row>
    <row r="10" spans="2:19" x14ac:dyDescent="0.3">
      <c r="B10" s="56" t="str">
        <f>'Raw FS'!B35</f>
        <v>Inventories</v>
      </c>
      <c r="C10" s="56"/>
      <c r="D10" s="56"/>
      <c r="E10" s="56"/>
      <c r="F10" s="67">
        <f>'Raw FS'!E35</f>
        <v>1072</v>
      </c>
      <c r="G10" s="67">
        <f>'Raw FS'!F35</f>
        <v>1307</v>
      </c>
      <c r="H10" s="67">
        <f>'Raw FS'!G35</f>
        <v>1412</v>
      </c>
      <c r="I10" s="67">
        <f>'Raw FS'!H35</f>
        <v>1578</v>
      </c>
      <c r="J10" s="67">
        <f>'Raw FS'!I35</f>
        <v>1559</v>
      </c>
      <c r="K10" s="67">
        <f>'Raw FS'!J35</f>
        <v>1703</v>
      </c>
      <c r="L10" s="67">
        <f>'Raw FS'!K35</f>
        <v>1716</v>
      </c>
      <c r="M10" s="67">
        <f>'Raw FS'!L35</f>
        <v>2130</v>
      </c>
      <c r="N10" s="67">
        <f>'Raw FS'!M35</f>
        <v>1537</v>
      </c>
      <c r="O10" s="67">
        <f>'Raw FS'!N35</f>
        <v>1271</v>
      </c>
    </row>
    <row r="11" spans="2:19" x14ac:dyDescent="0.3">
      <c r="B11" s="56" t="str">
        <f>'Raw FS'!B36</f>
        <v>Trade receivables</v>
      </c>
      <c r="C11" s="56"/>
      <c r="D11" s="56"/>
      <c r="E11" s="56"/>
      <c r="F11" s="67">
        <f>'Raw FS'!E36</f>
        <v>805</v>
      </c>
      <c r="G11" s="67">
        <f>'Raw FS'!F36</f>
        <v>1118</v>
      </c>
      <c r="H11" s="67">
        <f>'Raw FS'!G36</f>
        <v>1029</v>
      </c>
      <c r="I11" s="67">
        <f>'Raw FS'!H36</f>
        <v>1246</v>
      </c>
      <c r="J11" s="67">
        <f>'Raw FS'!I36</f>
        <v>1293</v>
      </c>
      <c r="K11" s="67">
        <f>'Raw FS'!J36</f>
        <v>1157</v>
      </c>
      <c r="L11" s="67">
        <f>'Raw FS'!K36</f>
        <v>1004</v>
      </c>
      <c r="M11" s="67">
        <f>'Raw FS'!L36</f>
        <v>1116</v>
      </c>
      <c r="N11" s="67">
        <f>'Raw FS'!M36</f>
        <v>1245</v>
      </c>
      <c r="O11" s="67">
        <f>'Raw FS'!N36</f>
        <v>1535</v>
      </c>
    </row>
    <row r="12" spans="2:19" x14ac:dyDescent="0.3">
      <c r="B12" s="68" t="str">
        <f>'Raw FS'!B39</f>
        <v>Other asset items</v>
      </c>
      <c r="C12" s="68"/>
      <c r="D12" s="68"/>
      <c r="E12" s="68"/>
      <c r="F12" s="69">
        <f>'Raw FS'!E39</f>
        <v>393</v>
      </c>
      <c r="G12" s="69">
        <f>'Raw FS'!F39</f>
        <v>335</v>
      </c>
      <c r="H12" s="69">
        <f>'Raw FS'!G39</f>
        <v>472</v>
      </c>
      <c r="I12" s="69">
        <f>'Raw FS'!H39</f>
        <v>684</v>
      </c>
      <c r="J12" s="69">
        <f>'Raw FS'!I39</f>
        <v>1109</v>
      </c>
      <c r="K12" s="69">
        <f>'Raw FS'!J39</f>
        <v>1289</v>
      </c>
      <c r="L12" s="69">
        <f>'Raw FS'!K39</f>
        <v>1209</v>
      </c>
      <c r="M12" s="69">
        <f>'Raw FS'!L39</f>
        <v>1377</v>
      </c>
      <c r="N12" s="69">
        <f>'Raw FS'!M39</f>
        <v>1256</v>
      </c>
      <c r="O12" s="69">
        <f>'Raw FS'!N39</f>
        <v>1012</v>
      </c>
    </row>
    <row r="13" spans="2:19" x14ac:dyDescent="0.3">
      <c r="B13" s="12" t="s">
        <v>84</v>
      </c>
      <c r="F13" s="61">
        <f t="shared" ref="F13:J13" si="0">SUM(F10:F12)</f>
        <v>2270</v>
      </c>
      <c r="G13" s="61">
        <f t="shared" si="0"/>
        <v>2760</v>
      </c>
      <c r="H13" s="61">
        <f t="shared" si="0"/>
        <v>2913</v>
      </c>
      <c r="I13" s="61">
        <f t="shared" si="0"/>
        <v>3508</v>
      </c>
      <c r="J13" s="61">
        <f t="shared" si="0"/>
        <v>3961</v>
      </c>
      <c r="K13" s="61">
        <f>SUM(K10:K12)</f>
        <v>4149</v>
      </c>
      <c r="L13" s="61">
        <f>SUM(L10:L12)</f>
        <v>3929</v>
      </c>
      <c r="M13" s="61">
        <f>SUM(M10:M12)</f>
        <v>4623</v>
      </c>
      <c r="N13" s="61">
        <f>SUM(N10:N12)</f>
        <v>4038</v>
      </c>
      <c r="O13" s="61">
        <f>SUM(O10:O12)</f>
        <v>3818</v>
      </c>
    </row>
    <row r="14" spans="2:19" x14ac:dyDescent="0.3">
      <c r="K14" s="59"/>
      <c r="L14" s="59"/>
      <c r="M14" s="59"/>
      <c r="N14" s="59"/>
      <c r="O14" s="59"/>
    </row>
    <row r="15" spans="2:19" x14ac:dyDescent="0.3">
      <c r="B15" s="12" t="s">
        <v>166</v>
      </c>
      <c r="K15" s="59"/>
      <c r="L15" s="59"/>
      <c r="M15" s="59"/>
      <c r="N15" s="59"/>
      <c r="O15" s="59"/>
    </row>
    <row r="16" spans="2:19" x14ac:dyDescent="0.3">
      <c r="B16" s="56" t="str">
        <f>'Raw FS'!B11</f>
        <v>Trade Payables</v>
      </c>
      <c r="C16" s="56"/>
      <c r="D16" s="56"/>
      <c r="E16" s="56"/>
      <c r="F16" s="67">
        <f>'Raw FS'!E11</f>
        <v>1088</v>
      </c>
      <c r="G16" s="67">
        <f>'Raw FS'!F11</f>
        <v>1485</v>
      </c>
      <c r="H16" s="67">
        <f>'Raw FS'!G11</f>
        <v>1724</v>
      </c>
      <c r="I16" s="67">
        <f>'Raw FS'!H11</f>
        <v>2353</v>
      </c>
      <c r="J16" s="67">
        <f>'Raw FS'!I11</f>
        <v>2540</v>
      </c>
      <c r="K16" s="67">
        <f>'Raw FS'!J11</f>
        <v>2480</v>
      </c>
      <c r="L16" s="67">
        <f>'Raw FS'!K11</f>
        <v>2012</v>
      </c>
      <c r="M16" s="67">
        <f>'Raw FS'!L11</f>
        <v>2163</v>
      </c>
      <c r="N16" s="67">
        <f>'Raw FS'!M11</f>
        <v>1823</v>
      </c>
      <c r="O16" s="67">
        <f>'Raw FS'!N11</f>
        <v>1675</v>
      </c>
    </row>
    <row r="17" spans="2:15" x14ac:dyDescent="0.3">
      <c r="B17" s="56" t="str">
        <f>'Raw FS'!B12</f>
        <v>Advance from Customers</v>
      </c>
      <c r="C17" s="56"/>
      <c r="D17" s="56"/>
      <c r="E17" s="56"/>
      <c r="F17" s="67">
        <f>'Raw FS'!E12</f>
        <v>0</v>
      </c>
      <c r="G17" s="67">
        <f>'Raw FS'!F12</f>
        <v>0</v>
      </c>
      <c r="H17" s="67">
        <f>'Raw FS'!G12</f>
        <v>0</v>
      </c>
      <c r="I17" s="67">
        <f>'Raw FS'!H12</f>
        <v>0</v>
      </c>
      <c r="J17" s="67">
        <f>'Raw FS'!I12</f>
        <v>0</v>
      </c>
      <c r="K17" s="67">
        <f>'Raw FS'!J12</f>
        <v>25</v>
      </c>
      <c r="L17" s="67">
        <f>'Raw FS'!K12</f>
        <v>27</v>
      </c>
      <c r="M17" s="67">
        <f>'Raw FS'!L12</f>
        <v>30</v>
      </c>
      <c r="N17" s="67">
        <f>'Raw FS'!M12</f>
        <v>38</v>
      </c>
      <c r="O17" s="67">
        <f>'Raw FS'!N12</f>
        <v>30</v>
      </c>
    </row>
    <row r="18" spans="2:15" x14ac:dyDescent="0.3">
      <c r="B18" s="68" t="str">
        <f>'Raw FS'!B13</f>
        <v>Other liability items</v>
      </c>
      <c r="C18" s="68"/>
      <c r="D18" s="68"/>
      <c r="E18" s="68"/>
      <c r="F18" s="69">
        <f>'Raw FS'!E13</f>
        <v>847</v>
      </c>
      <c r="G18" s="69">
        <f>'Raw FS'!F13</f>
        <v>1026</v>
      </c>
      <c r="H18" s="69">
        <f>'Raw FS'!G13</f>
        <v>1913</v>
      </c>
      <c r="I18" s="69">
        <f>'Raw FS'!H13</f>
        <v>1745</v>
      </c>
      <c r="J18" s="69">
        <f>'Raw FS'!I13</f>
        <v>905</v>
      </c>
      <c r="K18" s="69">
        <f>'Raw FS'!J13</f>
        <v>901</v>
      </c>
      <c r="L18" s="69">
        <f>'Raw FS'!K13</f>
        <v>901</v>
      </c>
      <c r="M18" s="69">
        <f>'Raw FS'!L13</f>
        <v>629</v>
      </c>
      <c r="N18" s="69">
        <f>'Raw FS'!M13</f>
        <v>652</v>
      </c>
      <c r="O18" s="69">
        <f>'Raw FS'!N13</f>
        <v>865</v>
      </c>
    </row>
    <row r="19" spans="2:15" x14ac:dyDescent="0.3">
      <c r="B19" s="12" t="s">
        <v>167</v>
      </c>
      <c r="F19" s="61">
        <f t="shared" ref="F19:J19" si="1">SUM(F16:F18)</f>
        <v>1935</v>
      </c>
      <c r="G19" s="61">
        <f t="shared" si="1"/>
        <v>2511</v>
      </c>
      <c r="H19" s="61">
        <f t="shared" si="1"/>
        <v>3637</v>
      </c>
      <c r="I19" s="61">
        <f t="shared" si="1"/>
        <v>4098</v>
      </c>
      <c r="J19" s="61">
        <f t="shared" si="1"/>
        <v>3445</v>
      </c>
      <c r="K19" s="61">
        <f>SUM(K16:K18)</f>
        <v>3406</v>
      </c>
      <c r="L19" s="61">
        <f>SUM(L16:L18)</f>
        <v>2940</v>
      </c>
      <c r="M19" s="61">
        <f>SUM(M16:M18)</f>
        <v>2822</v>
      </c>
      <c r="N19" s="61">
        <f>SUM(N16:N18)</f>
        <v>2513</v>
      </c>
      <c r="O19" s="61">
        <f>SUM(O16:O18)</f>
        <v>2570</v>
      </c>
    </row>
    <row r="20" spans="2:15" x14ac:dyDescent="0.3">
      <c r="K20" s="59"/>
      <c r="L20" s="59"/>
      <c r="M20" s="59"/>
      <c r="N20" s="59"/>
      <c r="O20" s="59"/>
    </row>
    <row r="21" spans="2:15" ht="15" thickBot="1" x14ac:dyDescent="0.35">
      <c r="B21" s="70" t="s">
        <v>168</v>
      </c>
      <c r="C21" s="70"/>
      <c r="D21" s="70"/>
      <c r="E21" s="70"/>
      <c r="F21" s="71">
        <f t="shared" ref="F21:J21" si="2">F13-F19</f>
        <v>335</v>
      </c>
      <c r="G21" s="71">
        <f t="shared" si="2"/>
        <v>249</v>
      </c>
      <c r="H21" s="71">
        <f t="shared" si="2"/>
        <v>-724</v>
      </c>
      <c r="I21" s="71">
        <f t="shared" si="2"/>
        <v>-590</v>
      </c>
      <c r="J21" s="71">
        <f t="shared" si="2"/>
        <v>516</v>
      </c>
      <c r="K21" s="71">
        <f>K13-K19</f>
        <v>743</v>
      </c>
      <c r="L21" s="71">
        <f t="shared" ref="L21:O21" si="3">L13-L19</f>
        <v>989</v>
      </c>
      <c r="M21" s="71">
        <f t="shared" si="3"/>
        <v>1801</v>
      </c>
      <c r="N21" s="71">
        <f t="shared" si="3"/>
        <v>1525</v>
      </c>
      <c r="O21" s="71">
        <f t="shared" si="3"/>
        <v>1248</v>
      </c>
    </row>
    <row r="22" spans="2:15" x14ac:dyDescent="0.3">
      <c r="K22" s="59"/>
      <c r="L22" s="59"/>
      <c r="M22" s="59"/>
      <c r="N22" s="59"/>
      <c r="O22" s="59"/>
    </row>
    <row r="23" spans="2:15" x14ac:dyDescent="0.3">
      <c r="B23" s="72" t="s">
        <v>169</v>
      </c>
      <c r="C23" s="43"/>
      <c r="D23" s="43"/>
      <c r="E23" s="43"/>
      <c r="F23" s="43"/>
      <c r="G23" s="43"/>
      <c r="H23" s="43"/>
      <c r="I23" s="43"/>
      <c r="J23" s="43"/>
      <c r="K23" s="73"/>
      <c r="L23" s="73"/>
      <c r="M23" s="73"/>
      <c r="N23" s="73"/>
      <c r="O23" s="73"/>
    </row>
    <row r="24" spans="2:15" x14ac:dyDescent="0.3">
      <c r="B24" s="56" t="str">
        <f>'Raw FS'!B17</f>
        <v>Land</v>
      </c>
      <c r="C24" s="56"/>
      <c r="D24" s="56"/>
      <c r="E24" s="56"/>
      <c r="F24" s="67">
        <f>'Raw FS'!E17</f>
        <v>54</v>
      </c>
      <c r="G24" s="67">
        <f>'Raw FS'!F17</f>
        <v>86</v>
      </c>
      <c r="H24" s="67">
        <f>'Raw FS'!G17</f>
        <v>108</v>
      </c>
      <c r="I24" s="67">
        <f>'Raw FS'!H17</f>
        <v>118</v>
      </c>
      <c r="J24" s="67">
        <f>'Raw FS'!I17</f>
        <v>147</v>
      </c>
      <c r="K24" s="67">
        <f>'Raw FS'!J17</f>
        <v>146</v>
      </c>
      <c r="L24" s="67">
        <f>'Raw FS'!K17</f>
        <v>144</v>
      </c>
      <c r="M24" s="67">
        <f>'Raw FS'!L17</f>
        <v>147</v>
      </c>
      <c r="N24" s="67">
        <f>'Raw FS'!M17</f>
        <v>145</v>
      </c>
      <c r="O24" s="67">
        <f>'Raw FS'!N17</f>
        <v>157</v>
      </c>
    </row>
    <row r="25" spans="2:15" x14ac:dyDescent="0.3">
      <c r="B25" s="56" t="str">
        <f>'Raw FS'!B18</f>
        <v>Building</v>
      </c>
      <c r="C25" s="56"/>
      <c r="D25" s="56"/>
      <c r="E25" s="56"/>
      <c r="F25" s="67">
        <f>'Raw FS'!E18</f>
        <v>249</v>
      </c>
      <c r="G25" s="67">
        <f>'Raw FS'!F18</f>
        <v>390</v>
      </c>
      <c r="H25" s="67">
        <f>'Raw FS'!G18</f>
        <v>430</v>
      </c>
      <c r="I25" s="67">
        <f>'Raw FS'!H18</f>
        <v>537</v>
      </c>
      <c r="J25" s="67">
        <f>'Raw FS'!I18</f>
        <v>627</v>
      </c>
      <c r="K25" s="67">
        <f>'Raw FS'!J18</f>
        <v>699</v>
      </c>
      <c r="L25" s="67">
        <f>'Raw FS'!K18</f>
        <v>757</v>
      </c>
      <c r="M25" s="67">
        <f>'Raw FS'!L18</f>
        <v>812</v>
      </c>
      <c r="N25" s="67">
        <f>'Raw FS'!M18</f>
        <v>854</v>
      </c>
      <c r="O25" s="67">
        <f>'Raw FS'!N18</f>
        <v>791</v>
      </c>
    </row>
    <row r="26" spans="2:15" x14ac:dyDescent="0.3">
      <c r="B26" s="56" t="str">
        <f>'Raw FS'!B19</f>
        <v>Plant Machinery</v>
      </c>
      <c r="C26" s="56"/>
      <c r="D26" s="56"/>
      <c r="E26" s="56"/>
      <c r="F26" s="67">
        <f>'Raw FS'!E19</f>
        <v>547</v>
      </c>
      <c r="G26" s="67">
        <f>'Raw FS'!F19</f>
        <v>343</v>
      </c>
      <c r="H26" s="67">
        <f>'Raw FS'!G19</f>
        <v>435</v>
      </c>
      <c r="I26" s="67">
        <f>'Raw FS'!H19</f>
        <v>517</v>
      </c>
      <c r="J26" s="67">
        <f>'Raw FS'!I19</f>
        <v>634</v>
      </c>
      <c r="K26" s="67">
        <f>'Raw FS'!J19</f>
        <v>713</v>
      </c>
      <c r="L26" s="67">
        <f>'Raw FS'!K19</f>
        <v>809</v>
      </c>
      <c r="M26" s="67">
        <f>'Raw FS'!L19</f>
        <v>942</v>
      </c>
      <c r="N26" s="67">
        <f>'Raw FS'!M19</f>
        <v>1178</v>
      </c>
      <c r="O26" s="67">
        <f>'Raw FS'!N19</f>
        <v>1186</v>
      </c>
    </row>
    <row r="27" spans="2:15" x14ac:dyDescent="0.3">
      <c r="B27" s="56" t="str">
        <f>'Raw FS'!B20</f>
        <v>Ships Vessels</v>
      </c>
      <c r="C27" s="56"/>
      <c r="D27" s="56"/>
      <c r="E27" s="56"/>
      <c r="F27" s="67">
        <f>'Raw FS'!E20</f>
        <v>0</v>
      </c>
      <c r="G27" s="67">
        <f>'Raw FS'!F20</f>
        <v>0</v>
      </c>
      <c r="H27" s="67">
        <f>'Raw FS'!G20</f>
        <v>0</v>
      </c>
      <c r="I27" s="67">
        <f>'Raw FS'!H20</f>
        <v>0</v>
      </c>
      <c r="J27" s="67">
        <f>'Raw FS'!I20</f>
        <v>0</v>
      </c>
      <c r="K27" s="67">
        <f>'Raw FS'!J20</f>
        <v>0</v>
      </c>
      <c r="L27" s="67">
        <f>'Raw FS'!K20</f>
        <v>1</v>
      </c>
      <c r="M27" s="67">
        <f>'Raw FS'!L20</f>
        <v>2</v>
      </c>
      <c r="N27" s="67">
        <f>'Raw FS'!M20</f>
        <v>12</v>
      </c>
      <c r="O27" s="67">
        <f>'Raw FS'!N20</f>
        <v>17</v>
      </c>
    </row>
    <row r="28" spans="2:15" x14ac:dyDescent="0.3">
      <c r="B28" s="56" t="str">
        <f>'Raw FS'!B21</f>
        <v>Equipments</v>
      </c>
      <c r="C28" s="56"/>
      <c r="D28" s="56"/>
      <c r="E28" s="56"/>
      <c r="F28" s="67">
        <f>'Raw FS'!E21</f>
        <v>19</v>
      </c>
      <c r="G28" s="67">
        <f>'Raw FS'!F21</f>
        <v>14</v>
      </c>
      <c r="H28" s="67">
        <f>'Raw FS'!G21</f>
        <v>17</v>
      </c>
      <c r="I28" s="67">
        <f>'Raw FS'!H21</f>
        <v>24</v>
      </c>
      <c r="J28" s="67">
        <f>'Raw FS'!I21</f>
        <v>30</v>
      </c>
      <c r="K28" s="67">
        <f>'Raw FS'!J21</f>
        <v>33</v>
      </c>
      <c r="L28" s="67">
        <f>'Raw FS'!K21</f>
        <v>36</v>
      </c>
      <c r="M28" s="67">
        <f>'Raw FS'!L21</f>
        <v>41</v>
      </c>
      <c r="N28" s="67">
        <f>'Raw FS'!M21</f>
        <v>51</v>
      </c>
      <c r="O28" s="67">
        <f>'Raw FS'!N21</f>
        <v>47</v>
      </c>
    </row>
    <row r="29" spans="2:15" x14ac:dyDescent="0.3">
      <c r="B29" s="56" t="str">
        <f>'Raw FS'!B22</f>
        <v>Computers</v>
      </c>
      <c r="C29" s="56"/>
      <c r="D29" s="56"/>
      <c r="E29" s="56"/>
      <c r="F29" s="67">
        <f>'Raw FS'!E22</f>
        <v>34</v>
      </c>
      <c r="G29" s="67">
        <f>'Raw FS'!F22</f>
        <v>24</v>
      </c>
      <c r="H29" s="67">
        <f>'Raw FS'!G22</f>
        <v>38</v>
      </c>
      <c r="I29" s="67">
        <f>'Raw FS'!H22</f>
        <v>47</v>
      </c>
      <c r="J29" s="67">
        <f>'Raw FS'!I22</f>
        <v>55</v>
      </c>
      <c r="K29" s="67">
        <f>'Raw FS'!J22</f>
        <v>59</v>
      </c>
      <c r="L29" s="67">
        <f>'Raw FS'!K22</f>
        <v>64</v>
      </c>
      <c r="M29" s="67">
        <f>'Raw FS'!L22</f>
        <v>75</v>
      </c>
      <c r="N29" s="67">
        <f>'Raw FS'!M22</f>
        <v>78</v>
      </c>
      <c r="O29" s="67">
        <f>'Raw FS'!N22</f>
        <v>67</v>
      </c>
    </row>
    <row r="30" spans="2:15" x14ac:dyDescent="0.3">
      <c r="B30" s="56" t="str">
        <f>'Raw FS'!B23</f>
        <v>Furniture n fittings</v>
      </c>
      <c r="C30" s="56"/>
      <c r="D30" s="56"/>
      <c r="E30" s="56"/>
      <c r="F30" s="67">
        <f>'Raw FS'!E23</f>
        <v>29</v>
      </c>
      <c r="G30" s="67">
        <f>'Raw FS'!F23</f>
        <v>21</v>
      </c>
      <c r="H30" s="67">
        <f>'Raw FS'!G23</f>
        <v>25</v>
      </c>
      <c r="I30" s="67">
        <f>'Raw FS'!H23</f>
        <v>32</v>
      </c>
      <c r="J30" s="67">
        <f>'Raw FS'!I23</f>
        <v>35</v>
      </c>
      <c r="K30" s="67">
        <f>'Raw FS'!J23</f>
        <v>35</v>
      </c>
      <c r="L30" s="67">
        <f>'Raw FS'!K23</f>
        <v>37</v>
      </c>
      <c r="M30" s="67">
        <f>'Raw FS'!L23</f>
        <v>36</v>
      </c>
      <c r="N30" s="67">
        <f>'Raw FS'!M23</f>
        <v>35</v>
      </c>
      <c r="O30" s="67">
        <f>'Raw FS'!N23</f>
        <v>30</v>
      </c>
    </row>
    <row r="31" spans="2:15" x14ac:dyDescent="0.3">
      <c r="B31" s="56" t="str">
        <f>'Raw FS'!B24</f>
        <v>Vehicles</v>
      </c>
      <c r="C31" s="56"/>
      <c r="D31" s="56"/>
      <c r="E31" s="56"/>
      <c r="F31" s="67">
        <f>'Raw FS'!E24</f>
        <v>49</v>
      </c>
      <c r="G31" s="67">
        <f>'Raw FS'!F24</f>
        <v>41</v>
      </c>
      <c r="H31" s="67">
        <f>'Raw FS'!G24</f>
        <v>47</v>
      </c>
      <c r="I31" s="67">
        <f>'Raw FS'!H24</f>
        <v>47</v>
      </c>
      <c r="J31" s="67">
        <f>'Raw FS'!I24</f>
        <v>48</v>
      </c>
      <c r="K31" s="67">
        <f>'Raw FS'!J24</f>
        <v>44</v>
      </c>
      <c r="L31" s="67">
        <f>'Raw FS'!K24</f>
        <v>60</v>
      </c>
      <c r="M31" s="67">
        <f>'Raw FS'!L24</f>
        <v>65</v>
      </c>
      <c r="N31" s="67">
        <f>'Raw FS'!M24</f>
        <v>63</v>
      </c>
      <c r="O31" s="67">
        <f>'Raw FS'!N24</f>
        <v>31</v>
      </c>
    </row>
    <row r="32" spans="2:15" x14ac:dyDescent="0.3">
      <c r="B32" s="56" t="str">
        <f>'Raw FS'!B25</f>
        <v>Intangible Assets</v>
      </c>
      <c r="C32" s="56"/>
      <c r="D32" s="56"/>
      <c r="E32" s="56"/>
      <c r="F32" s="67">
        <f>'Raw FS'!E25</f>
        <v>5285</v>
      </c>
      <c r="G32" s="67">
        <f>'Raw FS'!F25</f>
        <v>5050</v>
      </c>
      <c r="H32" s="67">
        <f>'Raw FS'!G25</f>
        <v>7123</v>
      </c>
      <c r="I32" s="67">
        <f>'Raw FS'!H25</f>
        <v>7245</v>
      </c>
      <c r="J32" s="67">
        <f>'Raw FS'!I25</f>
        <v>7433</v>
      </c>
      <c r="K32" s="67">
        <f>'Raw FS'!J25</f>
        <v>8036</v>
      </c>
      <c r="L32" s="67">
        <f>'Raw FS'!K25</f>
        <v>7753</v>
      </c>
      <c r="M32" s="67">
        <f>'Raw FS'!L25</f>
        <v>8083</v>
      </c>
      <c r="N32" s="67">
        <f>'Raw FS'!M25</f>
        <v>8687</v>
      </c>
      <c r="O32" s="67">
        <f>'Raw FS'!N25</f>
        <v>10696</v>
      </c>
    </row>
    <row r="33" spans="2:15" x14ac:dyDescent="0.3">
      <c r="B33" s="56" t="str">
        <f>'Raw FS'!B26</f>
        <v>Other fixed assets</v>
      </c>
      <c r="C33" s="56"/>
      <c r="D33" s="56"/>
      <c r="E33" s="56"/>
      <c r="F33" s="67">
        <f>'Raw FS'!E26</f>
        <v>67</v>
      </c>
      <c r="G33" s="67">
        <f>'Raw FS'!F26</f>
        <v>55</v>
      </c>
      <c r="H33" s="67">
        <f>'Raw FS'!G26</f>
        <v>67</v>
      </c>
      <c r="I33" s="67">
        <f>'Raw FS'!H26</f>
        <v>107</v>
      </c>
      <c r="J33" s="67">
        <f>'Raw FS'!I26</f>
        <v>119</v>
      </c>
      <c r="K33" s="67">
        <f>'Raw FS'!J26</f>
        <v>126</v>
      </c>
      <c r="L33" s="67">
        <f>'Raw FS'!K26</f>
        <v>130</v>
      </c>
      <c r="M33" s="67">
        <f>'Raw FS'!L26</f>
        <v>144</v>
      </c>
      <c r="N33" s="67">
        <f>'Raw FS'!M26</f>
        <v>145</v>
      </c>
      <c r="O33" s="67">
        <f>'Raw FS'!N26</f>
        <v>151</v>
      </c>
    </row>
    <row r="34" spans="2:15" ht="3.6" customHeight="1" x14ac:dyDescent="0.3"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2:15" x14ac:dyDescent="0.3">
      <c r="B35" s="74" t="s">
        <v>155</v>
      </c>
      <c r="C35" s="75"/>
      <c r="D35" s="75"/>
      <c r="E35" s="75"/>
      <c r="F35" s="76">
        <f t="shared" ref="F35:J35" si="4">SUM(F24:F34)</f>
        <v>6333</v>
      </c>
      <c r="G35" s="76">
        <f t="shared" si="4"/>
        <v>6024</v>
      </c>
      <c r="H35" s="76">
        <f t="shared" si="4"/>
        <v>8290</v>
      </c>
      <c r="I35" s="76">
        <f t="shared" si="4"/>
        <v>8674</v>
      </c>
      <c r="J35" s="76">
        <f t="shared" si="4"/>
        <v>9128</v>
      </c>
      <c r="K35" s="76">
        <f>SUM(K24:K34)</f>
        <v>9891</v>
      </c>
      <c r="L35" s="76">
        <f t="shared" ref="L35:O35" si="5">SUM(L24:L34)</f>
        <v>9791</v>
      </c>
      <c r="M35" s="76">
        <f t="shared" si="5"/>
        <v>10347</v>
      </c>
      <c r="N35" s="76">
        <f t="shared" si="5"/>
        <v>11248</v>
      </c>
      <c r="O35" s="76">
        <f t="shared" si="5"/>
        <v>13173</v>
      </c>
    </row>
    <row r="36" spans="2:15" x14ac:dyDescent="0.3">
      <c r="B36" s="77" t="s">
        <v>156</v>
      </c>
      <c r="C36" s="77"/>
      <c r="D36" s="77"/>
      <c r="E36" s="77"/>
      <c r="F36" s="78">
        <f>-'Raw FS'!E28</f>
        <v>-782</v>
      </c>
      <c r="G36" s="78">
        <f>-'Raw FS'!F28</f>
        <v>-93</v>
      </c>
      <c r="H36" s="78">
        <f>-'Raw FS'!G28</f>
        <v>-208</v>
      </c>
      <c r="I36" s="78">
        <f>-'Raw FS'!H28</f>
        <v>-359</v>
      </c>
      <c r="J36" s="78">
        <f>-'Raw FS'!I28</f>
        <v>-457</v>
      </c>
      <c r="K36" s="78">
        <f>-'Raw FS'!J28</f>
        <v>-661</v>
      </c>
      <c r="L36" s="78">
        <f>-'Raw FS'!K28</f>
        <v>-886</v>
      </c>
      <c r="M36" s="78">
        <f>-'Raw FS'!L28</f>
        <v>-1127</v>
      </c>
      <c r="N36" s="78">
        <f>-'Raw FS'!M28</f>
        <v>-1315</v>
      </c>
      <c r="O36" s="78">
        <f>-'Raw FS'!N28</f>
        <v>-2732</v>
      </c>
    </row>
    <row r="37" spans="2:15" ht="15" thickBot="1" x14ac:dyDescent="0.35">
      <c r="B37" s="70" t="s">
        <v>170</v>
      </c>
      <c r="C37" s="70"/>
      <c r="D37" s="70"/>
      <c r="E37" s="70"/>
      <c r="F37" s="71">
        <f t="shared" ref="F37:J37" si="6">SUM(F35:F36)</f>
        <v>5551</v>
      </c>
      <c r="G37" s="71">
        <f t="shared" si="6"/>
        <v>5931</v>
      </c>
      <c r="H37" s="71">
        <f t="shared" si="6"/>
        <v>8082</v>
      </c>
      <c r="I37" s="71">
        <f t="shared" si="6"/>
        <v>8315</v>
      </c>
      <c r="J37" s="71">
        <f t="shared" si="6"/>
        <v>8671</v>
      </c>
      <c r="K37" s="71">
        <f>SUM(K35:K36)</f>
        <v>9230</v>
      </c>
      <c r="L37" s="71">
        <f t="shared" ref="L37:O37" si="7">SUM(L35:L36)</f>
        <v>8905</v>
      </c>
      <c r="M37" s="71">
        <f t="shared" si="7"/>
        <v>9220</v>
      </c>
      <c r="N37" s="71">
        <f t="shared" si="7"/>
        <v>9933</v>
      </c>
      <c r="O37" s="71">
        <f t="shared" si="7"/>
        <v>10441</v>
      </c>
    </row>
    <row r="38" spans="2:15" x14ac:dyDescent="0.3">
      <c r="K38" s="59"/>
      <c r="L38" s="59"/>
      <c r="M38" s="59"/>
      <c r="N38" s="59"/>
      <c r="O38" s="59"/>
    </row>
    <row r="39" spans="2:15" x14ac:dyDescent="0.3">
      <c r="B39" s="12" t="s">
        <v>171</v>
      </c>
      <c r="C39" s="12"/>
      <c r="D39" s="12"/>
      <c r="E39" s="12"/>
      <c r="F39" s="61">
        <f t="shared" ref="F39:J39" si="8">F37+F21</f>
        <v>5886</v>
      </c>
      <c r="G39" s="61">
        <f t="shared" si="8"/>
        <v>6180</v>
      </c>
      <c r="H39" s="61">
        <f t="shared" si="8"/>
        <v>7358</v>
      </c>
      <c r="I39" s="61">
        <f t="shared" si="8"/>
        <v>7725</v>
      </c>
      <c r="J39" s="61">
        <f t="shared" si="8"/>
        <v>9187</v>
      </c>
      <c r="K39" s="61">
        <f>K37+K21</f>
        <v>9973</v>
      </c>
      <c r="L39" s="61">
        <f t="shared" ref="L39:O39" si="9">L37+L21</f>
        <v>9894</v>
      </c>
      <c r="M39" s="61">
        <f t="shared" si="9"/>
        <v>11021</v>
      </c>
      <c r="N39" s="61">
        <f t="shared" si="9"/>
        <v>11458</v>
      </c>
      <c r="O39" s="61">
        <f t="shared" si="9"/>
        <v>11689</v>
      </c>
    </row>
    <row r="40" spans="2:15" x14ac:dyDescent="0.3">
      <c r="B40" s="12" t="s">
        <v>172</v>
      </c>
      <c r="C40" s="12"/>
      <c r="D40" s="12"/>
      <c r="E40" s="12"/>
      <c r="F40" s="61">
        <f>HistoricalFS!C33+HistoricalFS!C30</f>
        <v>1288.17</v>
      </c>
      <c r="G40" s="61">
        <f>HistoricalFS!D33+HistoricalFS!D30</f>
        <v>1556.7499999999989</v>
      </c>
      <c r="H40" s="61">
        <f>HistoricalFS!E33+HistoricalFS!E30</f>
        <v>1765.1399999999985</v>
      </c>
      <c r="I40" s="61">
        <f>HistoricalFS!F33+HistoricalFS!F30</f>
        <v>1928.7200000000012</v>
      </c>
      <c r="J40" s="61">
        <f>HistoricalFS!G33+HistoricalFS!G30</f>
        <v>1961.5900000000001</v>
      </c>
      <c r="K40" s="61">
        <f>HistoricalFS!H33+HistoricalFS!H30</f>
        <v>1956.4699999999998</v>
      </c>
      <c r="L40" s="61">
        <f>HistoricalFS!I33+HistoricalFS!I30</f>
        <v>2195.4100000000012</v>
      </c>
      <c r="M40" s="61">
        <f>HistoricalFS!J33+HistoricalFS!J30</f>
        <v>2199.2499999999995</v>
      </c>
      <c r="N40" s="61">
        <f>HistoricalFS!K33+HistoricalFS!K30</f>
        <v>2206.909999999998</v>
      </c>
      <c r="O40" s="61">
        <f>HistoricalFS!L33+HistoricalFS!L30</f>
        <v>2716.36</v>
      </c>
    </row>
    <row r="42" spans="2:15" ht="15" thickBot="1" x14ac:dyDescent="0.35">
      <c r="B42" s="70" t="s">
        <v>173</v>
      </c>
      <c r="C42" s="79"/>
      <c r="D42" s="79"/>
      <c r="E42" s="79"/>
      <c r="F42" s="80">
        <f t="shared" ref="F42:J42" si="10">F40/F39</f>
        <v>0.21885321100917432</v>
      </c>
      <c r="G42" s="80">
        <f t="shared" si="10"/>
        <v>0.25190129449838167</v>
      </c>
      <c r="H42" s="80">
        <f t="shared" si="10"/>
        <v>0.23989399293286198</v>
      </c>
      <c r="I42" s="80">
        <f t="shared" si="10"/>
        <v>0.24967249190938526</v>
      </c>
      <c r="J42" s="80">
        <f t="shared" si="10"/>
        <v>0.21351801458582781</v>
      </c>
      <c r="K42" s="80">
        <f>K40/K39</f>
        <v>0.1961766770279755</v>
      </c>
      <c r="L42" s="80">
        <f t="shared" ref="L42:O42" si="11">L40/L39</f>
        <v>0.22189306650495261</v>
      </c>
      <c r="M42" s="80">
        <f t="shared" si="11"/>
        <v>0.19955085745395151</v>
      </c>
      <c r="N42" s="80">
        <f t="shared" si="11"/>
        <v>0.19260865770640584</v>
      </c>
      <c r="O42" s="80">
        <f t="shared" si="11"/>
        <v>0.23238600393532383</v>
      </c>
    </row>
  </sheetData>
  <mergeCells count="3">
    <mergeCell ref="B2:K2"/>
    <mergeCell ref="B3:E3"/>
    <mergeCell ref="B5:O5"/>
  </mergeCells>
  <pageMargins left="0.7" right="0.7" top="0.75" bottom="0.75" header="0.3" footer="0.3"/>
  <pageSetup paperSize="9" scale="8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7449-C08E-4064-948D-B425E8ACF3AF}">
  <sheetPr>
    <pageSetUpPr fitToPage="1"/>
  </sheetPr>
  <dimension ref="B1:O24"/>
  <sheetViews>
    <sheetView showGridLines="0" zoomScaleNormal="100" workbookViewId="0">
      <selection activeCell="D19" sqref="D19"/>
    </sheetView>
  </sheetViews>
  <sheetFormatPr defaultRowHeight="14.4" x14ac:dyDescent="0.3"/>
  <cols>
    <col min="1" max="1" width="1.88671875" customWidth="1"/>
    <col min="2" max="2" width="11.109375" bestFit="1" customWidth="1"/>
    <col min="3" max="3" width="10.33203125" customWidth="1"/>
    <col min="4" max="4" width="12.88671875" customWidth="1"/>
    <col min="5" max="5" width="14.5546875" customWidth="1"/>
    <col min="7" max="7" width="11.44140625" customWidth="1"/>
    <col min="8" max="8" width="10.88671875" customWidth="1"/>
    <col min="9" max="9" width="14" customWidth="1"/>
    <col min="10" max="10" width="15.33203125" customWidth="1"/>
    <col min="12" max="12" width="11.109375" bestFit="1" customWidth="1"/>
    <col min="13" max="13" width="11" customWidth="1"/>
    <col min="14" max="14" width="12.5546875" customWidth="1"/>
    <col min="15" max="15" width="13.88671875" customWidth="1"/>
  </cols>
  <sheetData>
    <row r="1" spans="2:15" ht="15" thickBot="1" x14ac:dyDescent="0.35"/>
    <row r="2" spans="2:15" ht="28.8" customHeight="1" thickTop="1" x14ac:dyDescent="0.55000000000000004">
      <c r="B2" s="188" t="str">
        <f>'[2]Data Sheet'!B1</f>
        <v>GODREJ CONSUMER PRODUCTS LTD</v>
      </c>
      <c r="C2" s="188"/>
      <c r="D2" s="188"/>
      <c r="E2" s="188"/>
      <c r="F2" s="188"/>
      <c r="G2" s="188"/>
      <c r="H2" s="81"/>
      <c r="I2" s="81"/>
      <c r="J2" s="81"/>
      <c r="K2" s="81"/>
      <c r="L2" s="81"/>
      <c r="M2" s="81"/>
      <c r="N2" s="81"/>
      <c r="O2" s="81"/>
    </row>
    <row r="3" spans="2:15" ht="18.600000000000001" thickBot="1" x14ac:dyDescent="0.4">
      <c r="B3" s="189" t="s">
        <v>176</v>
      </c>
      <c r="C3" s="189"/>
      <c r="D3" s="189"/>
      <c r="E3" s="189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 ht="7.8" customHeight="1" thickTop="1" x14ac:dyDescent="0.3"/>
    <row r="5" spans="2:15" ht="21" x14ac:dyDescent="0.4">
      <c r="B5" s="192" t="s">
        <v>294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</row>
    <row r="6" spans="2:15" ht="6" customHeight="1" x14ac:dyDescent="0.3"/>
    <row r="7" spans="2:15" x14ac:dyDescent="0.3">
      <c r="B7" s="190"/>
      <c r="C7" s="190"/>
      <c r="D7" s="190"/>
      <c r="E7" s="190"/>
      <c r="G7" s="190"/>
      <c r="H7" s="190"/>
      <c r="I7" s="190"/>
      <c r="J7" s="190"/>
      <c r="L7" s="190"/>
      <c r="M7" s="190"/>
      <c r="N7" s="190"/>
      <c r="O7" s="190"/>
    </row>
    <row r="8" spans="2:15" x14ac:dyDescent="0.3">
      <c r="B8" s="30" t="s">
        <v>295</v>
      </c>
      <c r="C8" s="167" t="s">
        <v>296</v>
      </c>
      <c r="D8" s="167" t="s">
        <v>12</v>
      </c>
      <c r="E8" s="167" t="s">
        <v>59</v>
      </c>
      <c r="G8" s="30" t="s">
        <v>295</v>
      </c>
      <c r="H8" s="167" t="s">
        <v>296</v>
      </c>
      <c r="I8" s="167" t="s">
        <v>172</v>
      </c>
      <c r="J8" s="167" t="s">
        <v>120</v>
      </c>
      <c r="L8" s="30" t="s">
        <v>295</v>
      </c>
      <c r="M8" s="167" t="s">
        <v>296</v>
      </c>
      <c r="N8" s="167" t="s">
        <v>297</v>
      </c>
      <c r="O8" s="167" t="s">
        <v>298</v>
      </c>
    </row>
    <row r="9" spans="2:15" x14ac:dyDescent="0.3">
      <c r="B9" s="168">
        <v>1</v>
      </c>
      <c r="C9" s="169">
        <f>'[2]Data Sheet'!$B$16</f>
        <v>42094</v>
      </c>
      <c r="D9" s="146" cm="1">
        <f t="array" ref="D9:D18">TRANSPOSE('Data Sheet'!B17:K17)</f>
        <v>8273.15</v>
      </c>
      <c r="E9" s="104" t="s">
        <v>60</v>
      </c>
      <c r="G9" s="168">
        <v>1</v>
      </c>
      <c r="H9" s="169">
        <f>'[2]Data Sheet'!$B$16</f>
        <v>42094</v>
      </c>
      <c r="I9" s="146" cm="1">
        <f t="array" ref="I9:I18">TRANSPOSE(HistoricalFS!C27:L27)</f>
        <v>1288.17</v>
      </c>
      <c r="J9" s="104" t="s">
        <v>60</v>
      </c>
      <c r="L9" s="168">
        <v>1</v>
      </c>
      <c r="M9" s="169">
        <f>'[2]Data Sheet'!$B$16</f>
        <v>42094</v>
      </c>
      <c r="N9" s="170" cm="1">
        <f t="array" ref="N9:N18">TRANSPOSE(HistoricalFS!C44:L44)</f>
        <v>8.8449187389857062</v>
      </c>
    </row>
    <row r="10" spans="2:15" x14ac:dyDescent="0.3">
      <c r="B10" s="168">
        <f>B9+1</f>
        <v>2</v>
      </c>
      <c r="C10" s="169">
        <f>C9+365</f>
        <v>42459</v>
      </c>
      <c r="D10" s="146">
        <v>8423.8799999999992</v>
      </c>
      <c r="E10" s="29">
        <f>D10/D9-1</f>
        <v>1.8219178910088507E-2</v>
      </c>
      <c r="G10" s="168">
        <f>G9+1</f>
        <v>2</v>
      </c>
      <c r="H10" s="169">
        <f>H9+365</f>
        <v>42459</v>
      </c>
      <c r="I10" s="146">
        <v>1556.7499999999991</v>
      </c>
      <c r="J10" s="29">
        <f>I10/I9-1</f>
        <v>0.2084973256635374</v>
      </c>
      <c r="L10" s="168">
        <f>L9+1</f>
        <v>2</v>
      </c>
      <c r="M10" s="169">
        <f>M9+365</f>
        <v>42459</v>
      </c>
      <c r="N10" s="170">
        <v>10.695575567736874</v>
      </c>
      <c r="O10" s="29">
        <f>N10/N9-1</f>
        <v>0.20923389839570117</v>
      </c>
    </row>
    <row r="11" spans="2:15" x14ac:dyDescent="0.3">
      <c r="B11" s="168">
        <f t="shared" ref="B11:B24" si="0">B10+1</f>
        <v>3</v>
      </c>
      <c r="C11" s="169">
        <f t="shared" ref="C11:C24" si="1">C10+365</f>
        <v>42824</v>
      </c>
      <c r="D11" s="146">
        <v>9267.91</v>
      </c>
      <c r="E11" s="29">
        <f t="shared" ref="E11:E24" si="2">D11/D10-1</f>
        <v>0.10019492205492009</v>
      </c>
      <c r="G11" s="168">
        <f t="shared" ref="G11:G24" si="3">G10+1</f>
        <v>3</v>
      </c>
      <c r="H11" s="169">
        <f t="shared" ref="H11:H24" si="4">H10+365</f>
        <v>42824</v>
      </c>
      <c r="I11" s="146">
        <v>1765.1399999999985</v>
      </c>
      <c r="J11" s="29">
        <f t="shared" ref="J11:J24" si="5">I11/I10-1</f>
        <v>0.13386221294363221</v>
      </c>
      <c r="L11" s="168">
        <f t="shared" ref="L11:L24" si="6">L10+1</f>
        <v>3</v>
      </c>
      <c r="M11" s="169">
        <f t="shared" ref="M11:M24" si="7">M10+365</f>
        <v>42824</v>
      </c>
      <c r="N11" s="170">
        <v>12.055098845175165</v>
      </c>
      <c r="O11" s="29">
        <f t="shared" ref="O11:O24" si="8">N11/N10-1</f>
        <v>0.12711081033724669</v>
      </c>
    </row>
    <row r="12" spans="2:15" x14ac:dyDescent="0.3">
      <c r="B12" s="168">
        <f t="shared" si="0"/>
        <v>4</v>
      </c>
      <c r="C12" s="169">
        <f t="shared" si="1"/>
        <v>43189</v>
      </c>
      <c r="D12" s="146">
        <v>9847.43</v>
      </c>
      <c r="E12" s="29">
        <f t="shared" si="2"/>
        <v>6.2529739714779264E-2</v>
      </c>
      <c r="G12" s="168">
        <f t="shared" si="3"/>
        <v>4</v>
      </c>
      <c r="H12" s="169">
        <f t="shared" si="4"/>
        <v>43189</v>
      </c>
      <c r="I12" s="146">
        <v>1928.7200000000009</v>
      </c>
      <c r="J12" s="29">
        <f t="shared" si="5"/>
        <v>9.2672535889505969E-2</v>
      </c>
      <c r="L12" s="168">
        <f t="shared" si="6"/>
        <v>4</v>
      </c>
      <c r="M12" s="169">
        <f t="shared" si="7"/>
        <v>43189</v>
      </c>
      <c r="N12" s="170">
        <v>13.218199608610577</v>
      </c>
      <c r="O12" s="29">
        <f t="shared" si="8"/>
        <v>9.6482059448307345E-2</v>
      </c>
    </row>
    <row r="13" spans="2:15" x14ac:dyDescent="0.3">
      <c r="B13" s="168">
        <f t="shared" si="0"/>
        <v>5</v>
      </c>
      <c r="C13" s="169">
        <f t="shared" si="1"/>
        <v>43554</v>
      </c>
      <c r="D13" s="146">
        <v>10314.34</v>
      </c>
      <c r="E13" s="29">
        <f t="shared" si="2"/>
        <v>4.7414401524052519E-2</v>
      </c>
      <c r="G13" s="168">
        <f t="shared" si="3"/>
        <v>5</v>
      </c>
      <c r="H13" s="169">
        <f t="shared" si="4"/>
        <v>43554</v>
      </c>
      <c r="I13" s="146">
        <v>1961.5900000000001</v>
      </c>
      <c r="J13" s="29">
        <f t="shared" si="5"/>
        <v>1.7042390808411412E-2</v>
      </c>
      <c r="L13" s="168">
        <f t="shared" si="6"/>
        <v>5</v>
      </c>
      <c r="M13" s="169">
        <f t="shared" si="7"/>
        <v>43554</v>
      </c>
      <c r="N13" s="170">
        <v>19.365877519076502</v>
      </c>
      <c r="O13" s="29">
        <f t="shared" si="8"/>
        <v>0.46509192571590563</v>
      </c>
    </row>
    <row r="14" spans="2:15" x14ac:dyDescent="0.3">
      <c r="B14" s="168">
        <f t="shared" si="0"/>
        <v>6</v>
      </c>
      <c r="C14" s="169">
        <f t="shared" si="1"/>
        <v>43919</v>
      </c>
      <c r="D14" s="146">
        <v>9910.7999999999993</v>
      </c>
      <c r="E14" s="29">
        <f t="shared" si="2"/>
        <v>-3.9124170814613501E-2</v>
      </c>
      <c r="G14" s="168">
        <f t="shared" si="3"/>
        <v>6</v>
      </c>
      <c r="H14" s="169">
        <f t="shared" si="4"/>
        <v>43919</v>
      </c>
      <c r="I14" s="146">
        <v>1956.4699999999996</v>
      </c>
      <c r="J14" s="29">
        <f t="shared" si="5"/>
        <v>-2.6101274986111145E-3</v>
      </c>
      <c r="L14" s="168">
        <f t="shared" si="6"/>
        <v>6</v>
      </c>
      <c r="M14" s="169">
        <f t="shared" si="7"/>
        <v>43919</v>
      </c>
      <c r="N14" s="170">
        <v>14.325736085297855</v>
      </c>
      <c r="O14" s="29">
        <f t="shared" si="8"/>
        <v>-0.26025887176110751</v>
      </c>
    </row>
    <row r="15" spans="2:15" x14ac:dyDescent="0.3">
      <c r="B15" s="168">
        <f t="shared" si="0"/>
        <v>7</v>
      </c>
      <c r="C15" s="169">
        <f t="shared" si="1"/>
        <v>44284</v>
      </c>
      <c r="D15" s="146">
        <v>11028.62</v>
      </c>
      <c r="E15" s="29">
        <f t="shared" si="2"/>
        <v>0.11278806958065957</v>
      </c>
      <c r="G15" s="168">
        <f t="shared" si="3"/>
        <v>7</v>
      </c>
      <c r="H15" s="169">
        <f t="shared" si="4"/>
        <v>44284</v>
      </c>
      <c r="I15" s="146">
        <v>2195.4100000000012</v>
      </c>
      <c r="J15" s="29">
        <f t="shared" si="5"/>
        <v>0.12212811849913452</v>
      </c>
      <c r="L15" s="168">
        <f t="shared" si="6"/>
        <v>7</v>
      </c>
      <c r="M15" s="169">
        <f t="shared" si="7"/>
        <v>44284</v>
      </c>
      <c r="N15" s="170">
        <v>16.608508557457224</v>
      </c>
      <c r="O15" s="29">
        <f t="shared" si="8"/>
        <v>0.15934765645320814</v>
      </c>
    </row>
    <row r="16" spans="2:15" x14ac:dyDescent="0.3">
      <c r="B16" s="168">
        <f t="shared" si="0"/>
        <v>8</v>
      </c>
      <c r="C16" s="169">
        <f t="shared" si="1"/>
        <v>44649</v>
      </c>
      <c r="D16" s="146">
        <v>12276.5</v>
      </c>
      <c r="E16" s="29">
        <f t="shared" si="2"/>
        <v>0.11314924260696246</v>
      </c>
      <c r="G16" s="168">
        <f t="shared" si="3"/>
        <v>8</v>
      </c>
      <c r="H16" s="169">
        <f t="shared" si="4"/>
        <v>44649</v>
      </c>
      <c r="I16" s="146">
        <v>2199.2499999999995</v>
      </c>
      <c r="J16" s="29">
        <f t="shared" si="5"/>
        <v>1.7491038120434066E-3</v>
      </c>
      <c r="L16" s="168">
        <f t="shared" si="6"/>
        <v>8</v>
      </c>
      <c r="M16" s="169">
        <f t="shared" si="7"/>
        <v>44649</v>
      </c>
      <c r="N16" s="170">
        <v>16.674359475845876</v>
      </c>
      <c r="O16" s="29">
        <f t="shared" si="8"/>
        <v>3.9648905355251784E-3</v>
      </c>
    </row>
    <row r="17" spans="2:15" x14ac:dyDescent="0.3">
      <c r="B17" s="168">
        <f t="shared" si="0"/>
        <v>9</v>
      </c>
      <c r="C17" s="169">
        <f t="shared" si="1"/>
        <v>45014</v>
      </c>
      <c r="D17" s="146">
        <v>13315.97</v>
      </c>
      <c r="E17" s="29">
        <f t="shared" si="2"/>
        <v>8.4671526900989669E-2</v>
      </c>
      <c r="G17" s="168">
        <f t="shared" si="3"/>
        <v>9</v>
      </c>
      <c r="H17" s="169">
        <f t="shared" si="4"/>
        <v>45014</v>
      </c>
      <c r="I17" s="146">
        <v>2206.909999999998</v>
      </c>
      <c r="J17" s="29">
        <f t="shared" si="5"/>
        <v>3.4830055700800777E-3</v>
      </c>
      <c r="L17" s="168">
        <f t="shared" si="6"/>
        <v>9</v>
      </c>
      <c r="M17" s="169">
        <f t="shared" si="7"/>
        <v>45014</v>
      </c>
      <c r="N17" s="170">
        <v>15.529089664613259</v>
      </c>
      <c r="O17" s="29">
        <f t="shared" si="8"/>
        <v>-6.8684486075260009E-2</v>
      </c>
    </row>
    <row r="18" spans="2:15" x14ac:dyDescent="0.3">
      <c r="B18" s="168">
        <f t="shared" si="0"/>
        <v>10</v>
      </c>
      <c r="C18" s="169">
        <f t="shared" si="1"/>
        <v>45379</v>
      </c>
      <c r="D18" s="146">
        <v>14096.11</v>
      </c>
      <c r="E18" s="29">
        <f t="shared" si="2"/>
        <v>5.8586794653337382E-2</v>
      </c>
      <c r="G18" s="168">
        <f t="shared" si="3"/>
        <v>10</v>
      </c>
      <c r="H18" s="169">
        <f t="shared" si="4"/>
        <v>45379</v>
      </c>
      <c r="I18" s="146">
        <v>2716.3599999999997</v>
      </c>
      <c r="J18" s="29">
        <f t="shared" si="5"/>
        <v>0.23084312454971068</v>
      </c>
      <c r="L18" s="168">
        <f t="shared" si="6"/>
        <v>10</v>
      </c>
      <c r="M18" s="169">
        <f t="shared" si="7"/>
        <v>45379</v>
      </c>
      <c r="N18" s="170">
        <v>16.112729761439187</v>
      </c>
      <c r="O18" s="29">
        <f t="shared" si="8"/>
        <v>3.7583664556712026E-2</v>
      </c>
    </row>
    <row r="19" spans="2:15" x14ac:dyDescent="0.3">
      <c r="B19" s="171">
        <f t="shared" si="0"/>
        <v>11</v>
      </c>
      <c r="C19" s="172">
        <f t="shared" si="1"/>
        <v>45744</v>
      </c>
      <c r="D19" s="161">
        <f>FORECAST(B19,$D$9:$D$18,$B$9:$B$18)</f>
        <v>14169.946</v>
      </c>
      <c r="E19" s="173">
        <f t="shared" si="2"/>
        <v>5.2380408495675823E-3</v>
      </c>
      <c r="G19" s="171">
        <f t="shared" si="3"/>
        <v>11</v>
      </c>
      <c r="H19" s="172">
        <f t="shared" si="4"/>
        <v>45744</v>
      </c>
      <c r="I19" s="161">
        <f>FORECAST(G19,$I$9:$I$18,$G$9:$G$18)</f>
        <v>2656.4879999999994</v>
      </c>
      <c r="J19" s="173">
        <f t="shared" si="5"/>
        <v>-2.2041261099412512E-2</v>
      </c>
      <c r="L19" s="171">
        <f t="shared" si="6"/>
        <v>11</v>
      </c>
      <c r="M19" s="172">
        <f t="shared" si="7"/>
        <v>45744</v>
      </c>
      <c r="N19" s="174">
        <f>FORECAST(L19,N9:N18,L9:L18)</f>
        <v>18.592075597301523</v>
      </c>
      <c r="O19" s="173">
        <f t="shared" si="8"/>
        <v>0.15387497168827835</v>
      </c>
    </row>
    <row r="20" spans="2:15" x14ac:dyDescent="0.3">
      <c r="B20" s="171">
        <f t="shared" si="0"/>
        <v>12</v>
      </c>
      <c r="C20" s="172">
        <f t="shared" si="1"/>
        <v>46109</v>
      </c>
      <c r="D20" s="161">
        <f t="shared" ref="D20:D24" si="9">FORECAST(B20,$D$9:$D$18,$B$9:$B$18)</f>
        <v>14805.305090909093</v>
      </c>
      <c r="E20" s="173">
        <f t="shared" si="2"/>
        <v>4.4838497684401402E-2</v>
      </c>
      <c r="G20" s="171">
        <f t="shared" si="3"/>
        <v>12</v>
      </c>
      <c r="H20" s="172">
        <f t="shared" si="4"/>
        <v>46109</v>
      </c>
      <c r="I20" s="161">
        <f t="shared" ref="I20:I24" si="10">FORECAST(G20,$I$9:$I$18,$G$9:$G$18)</f>
        <v>2779.9445454545448</v>
      </c>
      <c r="J20" s="173">
        <f t="shared" si="5"/>
        <v>4.6473594254724748E-2</v>
      </c>
      <c r="L20" s="171">
        <f t="shared" si="6"/>
        <v>12</v>
      </c>
      <c r="M20" s="172">
        <f t="shared" si="7"/>
        <v>46109</v>
      </c>
      <c r="N20" s="174">
        <f t="shared" ref="N20:N24" si="11">FORECAST(L20,N10:N19,L10:L19)</f>
        <v>18.825544578335766</v>
      </c>
      <c r="O20" s="173">
        <f t="shared" si="8"/>
        <v>1.2557445768353492E-2</v>
      </c>
    </row>
    <row r="21" spans="2:15" x14ac:dyDescent="0.3">
      <c r="B21" s="171">
        <f t="shared" si="0"/>
        <v>13</v>
      </c>
      <c r="C21" s="172">
        <f t="shared" si="1"/>
        <v>46474</v>
      </c>
      <c r="D21" s="161">
        <f t="shared" si="9"/>
        <v>15440.664181818183</v>
      </c>
      <c r="E21" s="173">
        <f t="shared" si="2"/>
        <v>4.2914285589374268E-2</v>
      </c>
      <c r="G21" s="171">
        <f t="shared" si="3"/>
        <v>13</v>
      </c>
      <c r="H21" s="172">
        <f t="shared" si="4"/>
        <v>46474</v>
      </c>
      <c r="I21" s="161">
        <f t="shared" si="10"/>
        <v>2903.4010909090903</v>
      </c>
      <c r="J21" s="173">
        <f t="shared" si="5"/>
        <v>4.4409715170904418E-2</v>
      </c>
      <c r="L21" s="171">
        <f t="shared" si="6"/>
        <v>13</v>
      </c>
      <c r="M21" s="172">
        <f t="shared" si="7"/>
        <v>46474</v>
      </c>
      <c r="N21" s="174">
        <f t="shared" si="11"/>
        <v>18.996099182229642</v>
      </c>
      <c r="O21" s="173">
        <f t="shared" si="8"/>
        <v>9.0597434344688033E-3</v>
      </c>
    </row>
    <row r="22" spans="2:15" x14ac:dyDescent="0.3">
      <c r="B22" s="171">
        <f t="shared" si="0"/>
        <v>14</v>
      </c>
      <c r="C22" s="172">
        <f t="shared" si="1"/>
        <v>46839</v>
      </c>
      <c r="D22" s="161">
        <f t="shared" si="9"/>
        <v>16076.023272727274</v>
      </c>
      <c r="E22" s="173">
        <f t="shared" si="2"/>
        <v>4.1148430108158385E-2</v>
      </c>
      <c r="G22" s="171">
        <f t="shared" si="3"/>
        <v>14</v>
      </c>
      <c r="H22" s="172">
        <f t="shared" si="4"/>
        <v>46839</v>
      </c>
      <c r="I22" s="161">
        <f t="shared" si="10"/>
        <v>3026.8576363636357</v>
      </c>
      <c r="J22" s="173">
        <f t="shared" si="5"/>
        <v>4.2521353953163255E-2</v>
      </c>
      <c r="L22" s="171">
        <f t="shared" si="6"/>
        <v>14</v>
      </c>
      <c r="M22" s="172">
        <f t="shared" si="7"/>
        <v>46839</v>
      </c>
      <c r="N22" s="174">
        <f t="shared" si="11"/>
        <v>19.055417234291344</v>
      </c>
      <c r="O22" s="173">
        <f t="shared" si="8"/>
        <v>3.1226438382250254E-3</v>
      </c>
    </row>
    <row r="23" spans="2:15" x14ac:dyDescent="0.3">
      <c r="B23" s="171">
        <f t="shared" si="0"/>
        <v>15</v>
      </c>
      <c r="C23" s="172">
        <f t="shared" si="1"/>
        <v>47204</v>
      </c>
      <c r="D23" s="161">
        <f t="shared" si="9"/>
        <v>16711.382363636367</v>
      </c>
      <c r="E23" s="173">
        <f t="shared" si="2"/>
        <v>3.9522155456627628E-2</v>
      </c>
      <c r="G23" s="171">
        <f t="shared" si="3"/>
        <v>15</v>
      </c>
      <c r="H23" s="172">
        <f t="shared" si="4"/>
        <v>47204</v>
      </c>
      <c r="I23" s="161">
        <f t="shared" si="10"/>
        <v>3150.3141818181812</v>
      </c>
      <c r="J23" s="173">
        <f t="shared" si="5"/>
        <v>4.0787034041964931E-2</v>
      </c>
      <c r="L23" s="171">
        <f t="shared" si="6"/>
        <v>15</v>
      </c>
      <c r="M23" s="172">
        <f t="shared" si="7"/>
        <v>47204</v>
      </c>
      <c r="N23" s="174">
        <f t="shared" si="11"/>
        <v>18.985889354956875</v>
      </c>
      <c r="O23" s="173">
        <f t="shared" si="8"/>
        <v>-3.6487198616333982E-3</v>
      </c>
    </row>
    <row r="24" spans="2:15" x14ac:dyDescent="0.3">
      <c r="B24" s="171">
        <f t="shared" si="0"/>
        <v>16</v>
      </c>
      <c r="C24" s="172">
        <f t="shared" si="1"/>
        <v>47569</v>
      </c>
      <c r="D24" s="161">
        <f t="shared" si="9"/>
        <v>17346.741454545456</v>
      </c>
      <c r="E24" s="173">
        <f t="shared" si="2"/>
        <v>3.8019541237451326E-2</v>
      </c>
      <c r="G24" s="171">
        <f t="shared" si="3"/>
        <v>16</v>
      </c>
      <c r="H24" s="172">
        <f t="shared" si="4"/>
        <v>47569</v>
      </c>
      <c r="I24" s="161">
        <f t="shared" si="10"/>
        <v>3273.7707272727266</v>
      </c>
      <c r="J24" s="173">
        <f t="shared" si="5"/>
        <v>3.9188645426880386E-2</v>
      </c>
      <c r="L24" s="171">
        <f t="shared" si="6"/>
        <v>16</v>
      </c>
      <c r="M24" s="172">
        <f t="shared" si="7"/>
        <v>47569</v>
      </c>
      <c r="N24" s="174">
        <f t="shared" si="11"/>
        <v>20.138783258300812</v>
      </c>
      <c r="O24" s="173">
        <f t="shared" si="8"/>
        <v>6.0723723908300276E-2</v>
      </c>
    </row>
  </sheetData>
  <mergeCells count="6">
    <mergeCell ref="B2:G2"/>
    <mergeCell ref="B3:E3"/>
    <mergeCell ref="B5:O5"/>
    <mergeCell ref="B7:E7"/>
    <mergeCell ref="G7:J7"/>
    <mergeCell ref="L7:O7"/>
  </mergeCells>
  <printOptions horizontalCentered="1"/>
  <pageMargins left="0.7" right="0.7" top="0.75" bottom="0.75" header="0.3" footer="0.3"/>
  <pageSetup paperSize="9" scale="7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5D31-0EA6-4321-A26F-93C788FDB2ED}">
  <sheetPr>
    <pageSetUpPr fitToPage="1"/>
  </sheetPr>
  <dimension ref="A1:R75"/>
  <sheetViews>
    <sheetView showGridLines="0" zoomScale="77" zoomScaleNormal="100" workbookViewId="0">
      <selection activeCell="J11" sqref="J11"/>
    </sheetView>
  </sheetViews>
  <sheetFormatPr defaultRowHeight="14.4" x14ac:dyDescent="0.3"/>
  <cols>
    <col min="1" max="1" width="1.88671875" customWidth="1"/>
    <col min="2" max="2" width="12.6640625" customWidth="1"/>
    <col min="3" max="3" width="13" customWidth="1"/>
    <col min="4" max="4" width="12.5546875" customWidth="1"/>
    <col min="6" max="6" width="13" customWidth="1"/>
    <col min="7" max="7" width="8.33203125" customWidth="1"/>
    <col min="9" max="9" width="18.109375" customWidth="1"/>
    <col min="10" max="10" width="11" customWidth="1"/>
    <col min="14" max="14" width="17.44140625" bestFit="1" customWidth="1"/>
    <col min="15" max="15" width="20.21875" bestFit="1" customWidth="1"/>
  </cols>
  <sheetData>
    <row r="1" spans="1:12" ht="15" thickBot="1" x14ac:dyDescent="0.35"/>
    <row r="2" spans="1:12" ht="29.4" customHeight="1" thickTop="1" x14ac:dyDescent="0.55000000000000004">
      <c r="B2" s="188" t="str">
        <f>'[2]Data Sheet'!B1</f>
        <v>GODREJ CONSUMER PRODUCTS LTD</v>
      </c>
      <c r="C2" s="188"/>
      <c r="D2" s="188"/>
      <c r="E2" s="188"/>
      <c r="F2" s="188"/>
      <c r="G2" s="188"/>
      <c r="H2" s="81"/>
      <c r="I2" s="81"/>
      <c r="J2" s="81"/>
      <c r="K2" s="81"/>
      <c r="L2" s="83"/>
    </row>
    <row r="3" spans="1:12" ht="18.600000000000001" thickBot="1" x14ac:dyDescent="0.4">
      <c r="B3" s="189" t="s">
        <v>176</v>
      </c>
      <c r="C3" s="189"/>
      <c r="D3" s="189"/>
      <c r="E3" s="189"/>
      <c r="F3" s="82"/>
      <c r="G3" s="82"/>
      <c r="H3" s="82"/>
      <c r="I3" s="82"/>
      <c r="J3" s="82"/>
      <c r="K3" s="82"/>
      <c r="L3" s="83"/>
    </row>
    <row r="4" spans="1:12" ht="7.8" customHeight="1" thickTop="1" x14ac:dyDescent="0.35">
      <c r="B4" s="141"/>
      <c r="C4" s="141"/>
      <c r="D4" s="141"/>
      <c r="E4" s="141"/>
      <c r="F4" s="83"/>
      <c r="G4" s="83"/>
      <c r="H4" s="83"/>
      <c r="I4" s="83"/>
      <c r="J4" s="83"/>
      <c r="K4" s="83"/>
      <c r="L4" s="83"/>
    </row>
    <row r="5" spans="1:12" ht="21" x14ac:dyDescent="0.4">
      <c r="B5" s="192" t="s">
        <v>235</v>
      </c>
      <c r="C5" s="192"/>
      <c r="D5" s="192"/>
      <c r="E5" s="192"/>
      <c r="F5" s="192"/>
      <c r="G5" s="192"/>
      <c r="H5" s="192"/>
      <c r="I5" s="192"/>
      <c r="J5" s="192"/>
      <c r="K5" s="192"/>
      <c r="L5" s="84"/>
    </row>
    <row r="6" spans="1:12" ht="7.2" customHeight="1" x14ac:dyDescent="0.3"/>
    <row r="7" spans="1:12" x14ac:dyDescent="0.3">
      <c r="B7" s="12" t="s">
        <v>236</v>
      </c>
    </row>
    <row r="8" spans="1:12" ht="7.2" customHeight="1" x14ac:dyDescent="0.3"/>
    <row r="9" spans="1:12" x14ac:dyDescent="0.3">
      <c r="B9" s="195" t="s">
        <v>237</v>
      </c>
      <c r="C9" s="195"/>
      <c r="D9" s="195"/>
      <c r="F9" s="195" t="s">
        <v>238</v>
      </c>
      <c r="G9" s="195"/>
      <c r="I9" s="195" t="s">
        <v>239</v>
      </c>
      <c r="J9" s="195"/>
    </row>
    <row r="10" spans="1:12" ht="8.4" customHeight="1" x14ac:dyDescent="0.3">
      <c r="B10" s="21"/>
      <c r="C10" s="21"/>
      <c r="D10" s="21"/>
      <c r="F10" s="21"/>
      <c r="G10" s="21"/>
      <c r="I10" s="21"/>
      <c r="J10" s="21"/>
    </row>
    <row r="11" spans="1:12" x14ac:dyDescent="0.3">
      <c r="B11" s="142" t="s">
        <v>240</v>
      </c>
      <c r="C11" s="143" t="s">
        <v>241</v>
      </c>
      <c r="D11" s="143" t="s">
        <v>242</v>
      </c>
      <c r="F11" s="143" t="s">
        <v>241</v>
      </c>
      <c r="G11" s="143" t="s">
        <v>242</v>
      </c>
      <c r="I11" s="144" t="s">
        <v>243</v>
      </c>
      <c r="J11" s="90">
        <f>K49</f>
        <v>0.74083500167004857</v>
      </c>
    </row>
    <row r="12" spans="1:12" x14ac:dyDescent="0.3">
      <c r="A12" s="21"/>
      <c r="B12" s="145">
        <v>45208</v>
      </c>
      <c r="C12" s="146">
        <v>967.26</v>
      </c>
      <c r="D12" s="147"/>
      <c r="F12" s="146">
        <v>19751.05</v>
      </c>
      <c r="G12" s="147"/>
      <c r="H12" s="19"/>
      <c r="I12" s="56" t="s">
        <v>244</v>
      </c>
      <c r="J12" s="148">
        <v>0.75</v>
      </c>
    </row>
    <row r="13" spans="1:12" x14ac:dyDescent="0.3">
      <c r="B13" s="145">
        <v>45215</v>
      </c>
      <c r="C13" s="146">
        <v>972.38</v>
      </c>
      <c r="D13" s="147">
        <f t="shared" ref="D13:D65" si="0">C13/C12-1</f>
        <v>5.2933027314270298E-3</v>
      </c>
      <c r="F13" s="146">
        <v>19542.650000000001</v>
      </c>
      <c r="G13" s="147">
        <f t="shared" ref="G13:G65" si="1">F13/F12-1</f>
        <v>-1.0551337776978809E-2</v>
      </c>
      <c r="I13" s="56"/>
      <c r="J13" s="56"/>
    </row>
    <row r="14" spans="1:12" x14ac:dyDescent="0.3">
      <c r="B14" s="145">
        <v>45222</v>
      </c>
      <c r="C14" s="146">
        <v>971.49</v>
      </c>
      <c r="D14" s="147">
        <f>C14/C13-1</f>
        <v>-9.1528003455443319E-4</v>
      </c>
      <c r="F14" s="146">
        <v>19047.25</v>
      </c>
      <c r="G14" s="147">
        <f>F14/F13-1</f>
        <v>-2.5349683896503383E-2</v>
      </c>
      <c r="I14" s="56" t="s">
        <v>245</v>
      </c>
      <c r="J14" s="149">
        <v>1</v>
      </c>
    </row>
    <row r="15" spans="1:12" x14ac:dyDescent="0.3">
      <c r="B15" s="145">
        <v>45229</v>
      </c>
      <c r="C15" s="146">
        <v>1004.41</v>
      </c>
      <c r="D15" s="147">
        <f t="shared" si="0"/>
        <v>3.3886092497092068E-2</v>
      </c>
      <c r="F15" s="146">
        <v>19230.599999999999</v>
      </c>
      <c r="G15" s="147">
        <f t="shared" si="1"/>
        <v>9.6260615049414966E-3</v>
      </c>
      <c r="I15" s="56" t="s">
        <v>246</v>
      </c>
      <c r="J15" s="148">
        <v>0.25</v>
      </c>
    </row>
    <row r="16" spans="1:12" x14ac:dyDescent="0.3">
      <c r="B16" s="145">
        <v>45236</v>
      </c>
      <c r="C16" s="146">
        <v>968.59</v>
      </c>
      <c r="D16" s="147">
        <f t="shared" si="0"/>
        <v>-3.566272737228815E-2</v>
      </c>
      <c r="F16" s="146">
        <v>19425.349999999999</v>
      </c>
      <c r="G16" s="147">
        <f t="shared" si="1"/>
        <v>1.0127089118384225E-2</v>
      </c>
      <c r="I16" s="39"/>
      <c r="J16" s="39"/>
    </row>
    <row r="17" spans="2:10" ht="15" thickBot="1" x14ac:dyDescent="0.35">
      <c r="B17" s="145">
        <v>45243</v>
      </c>
      <c r="C17" s="146">
        <v>985.89</v>
      </c>
      <c r="D17" s="147">
        <f t="shared" si="0"/>
        <v>1.786101446432431E-2</v>
      </c>
      <c r="F17" s="146">
        <v>19731.8</v>
      </c>
      <c r="G17" s="147">
        <f t="shared" si="1"/>
        <v>1.5775777527818002E-2</v>
      </c>
      <c r="I17" s="150" t="s">
        <v>247</v>
      </c>
      <c r="J17" s="151">
        <f>(J11*J12)+(J14*J15)</f>
        <v>0.8056262512525364</v>
      </c>
    </row>
    <row r="18" spans="2:10" x14ac:dyDescent="0.3">
      <c r="B18" s="145">
        <v>45250</v>
      </c>
      <c r="C18" s="146">
        <v>998.3</v>
      </c>
      <c r="D18" s="147">
        <f t="shared" si="0"/>
        <v>1.2587611193946469E-2</v>
      </c>
      <c r="F18" s="146">
        <v>19794.7</v>
      </c>
      <c r="G18" s="147">
        <f t="shared" si="1"/>
        <v>3.1877476966115648E-3</v>
      </c>
    </row>
    <row r="19" spans="2:10" x14ac:dyDescent="0.3">
      <c r="B19" s="145">
        <v>45257</v>
      </c>
      <c r="C19" s="146">
        <v>1014.03</v>
      </c>
      <c r="D19" s="147">
        <f t="shared" si="0"/>
        <v>1.5756786537113099E-2</v>
      </c>
      <c r="F19" s="146">
        <v>20267.900000000001</v>
      </c>
      <c r="G19" s="147">
        <f t="shared" si="1"/>
        <v>2.3905388816198414E-2</v>
      </c>
    </row>
    <row r="20" spans="2:10" x14ac:dyDescent="0.3">
      <c r="B20" s="145">
        <v>45264</v>
      </c>
      <c r="C20" s="146">
        <v>1010.22</v>
      </c>
      <c r="D20" s="147">
        <f t="shared" si="0"/>
        <v>-3.7572852874174778E-3</v>
      </c>
      <c r="F20" s="146">
        <v>20969.400000000001</v>
      </c>
      <c r="G20" s="147">
        <f t="shared" si="1"/>
        <v>3.4611380557433069E-2</v>
      </c>
    </row>
    <row r="21" spans="2:10" x14ac:dyDescent="0.3">
      <c r="B21" s="145">
        <v>45271</v>
      </c>
      <c r="C21" s="146">
        <v>1030.5899999999999</v>
      </c>
      <c r="D21" s="147">
        <f t="shared" si="0"/>
        <v>2.0163924689671431E-2</v>
      </c>
      <c r="F21" s="146">
        <v>21456.65</v>
      </c>
      <c r="G21" s="147">
        <f t="shared" si="1"/>
        <v>2.3236239472755438E-2</v>
      </c>
    </row>
    <row r="22" spans="2:10" x14ac:dyDescent="0.3">
      <c r="B22" s="145">
        <v>45278</v>
      </c>
      <c r="C22" s="146">
        <v>1062.33</v>
      </c>
      <c r="D22" s="147">
        <f t="shared" si="0"/>
        <v>3.0797892469362154E-2</v>
      </c>
      <c r="F22" s="146">
        <v>21349.4</v>
      </c>
      <c r="G22" s="147">
        <f t="shared" si="1"/>
        <v>-4.9984503638732525E-3</v>
      </c>
    </row>
    <row r="23" spans="2:10" x14ac:dyDescent="0.3">
      <c r="B23" s="145">
        <v>45285</v>
      </c>
      <c r="C23" s="146">
        <v>1118.6500000000001</v>
      </c>
      <c r="D23" s="147">
        <f t="shared" si="0"/>
        <v>5.3015541310139191E-2</v>
      </c>
      <c r="F23" s="146">
        <v>21731.4</v>
      </c>
      <c r="G23" s="147">
        <f t="shared" si="1"/>
        <v>1.7892774504201459E-2</v>
      </c>
    </row>
    <row r="24" spans="2:10" x14ac:dyDescent="0.3">
      <c r="B24" s="145">
        <v>45292</v>
      </c>
      <c r="C24" s="146">
        <v>1206.32</v>
      </c>
      <c r="D24" s="147">
        <f t="shared" si="0"/>
        <v>7.8371251061547298E-2</v>
      </c>
      <c r="F24" s="146">
        <v>21710.799999999999</v>
      </c>
      <c r="G24" s="147">
        <f t="shared" si="1"/>
        <v>-9.479370864280412E-4</v>
      </c>
    </row>
    <row r="25" spans="2:10" x14ac:dyDescent="0.3">
      <c r="B25" s="145">
        <v>45299</v>
      </c>
      <c r="C25" s="146">
        <v>1142.68</v>
      </c>
      <c r="D25" s="147">
        <f t="shared" si="0"/>
        <v>-5.2755487764440501E-2</v>
      </c>
      <c r="F25" s="146">
        <v>21894.55</v>
      </c>
      <c r="G25" s="147">
        <f t="shared" si="1"/>
        <v>8.4635296718684749E-3</v>
      </c>
    </row>
    <row r="26" spans="2:10" x14ac:dyDescent="0.3">
      <c r="B26" s="145">
        <v>45306</v>
      </c>
      <c r="C26" s="146">
        <v>1136.5</v>
      </c>
      <c r="D26" s="147">
        <f t="shared" si="0"/>
        <v>-5.4083382924353662E-3</v>
      </c>
      <c r="F26" s="146">
        <v>21622.400000000001</v>
      </c>
      <c r="G26" s="147">
        <f t="shared" si="1"/>
        <v>-1.2430033958222397E-2</v>
      </c>
    </row>
    <row r="27" spans="2:10" x14ac:dyDescent="0.3">
      <c r="B27" s="145">
        <v>45313</v>
      </c>
      <c r="C27" s="146">
        <v>1144.46</v>
      </c>
      <c r="D27" s="147">
        <f t="shared" si="0"/>
        <v>7.0039595248569952E-3</v>
      </c>
      <c r="F27" s="146">
        <v>21352.6</v>
      </c>
      <c r="G27" s="147">
        <f t="shared" si="1"/>
        <v>-1.2477800799171379E-2</v>
      </c>
    </row>
    <row r="28" spans="2:10" x14ac:dyDescent="0.3">
      <c r="B28" s="145">
        <v>45320</v>
      </c>
      <c r="C28" s="146">
        <v>1223.1300000000001</v>
      </c>
      <c r="D28" s="147">
        <f t="shared" si="0"/>
        <v>6.8739842371074555E-2</v>
      </c>
      <c r="F28" s="146">
        <v>21853.8</v>
      </c>
      <c r="G28" s="147">
        <f t="shared" si="1"/>
        <v>2.3472551352060167E-2</v>
      </c>
    </row>
    <row r="29" spans="2:10" x14ac:dyDescent="0.3">
      <c r="B29" s="145">
        <v>45327</v>
      </c>
      <c r="C29" s="146">
        <v>1205.1300000000001</v>
      </c>
      <c r="D29" s="147">
        <f t="shared" si="0"/>
        <v>-1.4716342498344415E-2</v>
      </c>
      <c r="F29" s="146">
        <v>21782.5</v>
      </c>
      <c r="G29" s="147">
        <f t="shared" si="1"/>
        <v>-3.2625904876955047E-3</v>
      </c>
    </row>
    <row r="30" spans="2:10" x14ac:dyDescent="0.3">
      <c r="B30" s="145">
        <v>45334</v>
      </c>
      <c r="C30" s="146">
        <v>1227.58</v>
      </c>
      <c r="D30" s="147">
        <f t="shared" si="0"/>
        <v>1.8628695659389294E-2</v>
      </c>
      <c r="F30" s="146">
        <v>22040.7</v>
      </c>
      <c r="G30" s="147">
        <f t="shared" si="1"/>
        <v>1.1853552163433978E-2</v>
      </c>
    </row>
    <row r="31" spans="2:10" x14ac:dyDescent="0.3">
      <c r="B31" s="145">
        <v>45341</v>
      </c>
      <c r="C31" s="146">
        <v>1237.07</v>
      </c>
      <c r="D31" s="147">
        <f t="shared" si="0"/>
        <v>7.7306570651201056E-3</v>
      </c>
      <c r="F31" s="146">
        <v>22212.7</v>
      </c>
      <c r="G31" s="147">
        <f t="shared" si="1"/>
        <v>7.8037448901351336E-3</v>
      </c>
    </row>
    <row r="32" spans="2:10" x14ac:dyDescent="0.3">
      <c r="B32" s="145">
        <v>45348</v>
      </c>
      <c r="C32" s="146">
        <v>1253.3900000000001</v>
      </c>
      <c r="D32" s="147">
        <f t="shared" si="0"/>
        <v>1.3192462835571295E-2</v>
      </c>
      <c r="F32" s="146">
        <v>22338.75</v>
      </c>
      <c r="G32" s="147">
        <f t="shared" si="1"/>
        <v>5.6746816010659895E-3</v>
      </c>
    </row>
    <row r="33" spans="2:7" x14ac:dyDescent="0.3">
      <c r="B33" s="145">
        <v>45355</v>
      </c>
      <c r="C33" s="146">
        <v>1220.56</v>
      </c>
      <c r="D33" s="147">
        <f t="shared" si="0"/>
        <v>-2.6192964679788489E-2</v>
      </c>
      <c r="F33" s="146">
        <v>22493.55</v>
      </c>
      <c r="G33" s="147">
        <f t="shared" si="1"/>
        <v>6.929662581836471E-3</v>
      </c>
    </row>
    <row r="34" spans="2:7" x14ac:dyDescent="0.3">
      <c r="B34" s="145">
        <v>45362</v>
      </c>
      <c r="C34" s="146">
        <v>1199.25</v>
      </c>
      <c r="D34" s="147">
        <f t="shared" si="0"/>
        <v>-1.7459199056170882E-2</v>
      </c>
      <c r="F34" s="146">
        <v>22023.35</v>
      </c>
      <c r="G34" s="147">
        <f t="shared" si="1"/>
        <v>-2.0903770191899484E-2</v>
      </c>
    </row>
    <row r="35" spans="2:7" x14ac:dyDescent="0.3">
      <c r="B35" s="145">
        <v>45369</v>
      </c>
      <c r="C35" s="146">
        <v>1208.0999999999999</v>
      </c>
      <c r="D35" s="147">
        <f t="shared" si="0"/>
        <v>7.379612257661039E-3</v>
      </c>
      <c r="F35" s="146">
        <v>22096.75</v>
      </c>
      <c r="G35" s="147">
        <f t="shared" si="1"/>
        <v>3.3328262957270649E-3</v>
      </c>
    </row>
    <row r="36" spans="2:7" x14ac:dyDescent="0.3">
      <c r="B36" s="145">
        <v>45376</v>
      </c>
      <c r="C36" s="146">
        <v>1237.92</v>
      </c>
      <c r="D36" s="147">
        <f t="shared" si="0"/>
        <v>2.4683387136826607E-2</v>
      </c>
      <c r="F36" s="146">
        <v>22326.9</v>
      </c>
      <c r="G36" s="147">
        <f t="shared" si="1"/>
        <v>1.0415558849152129E-2</v>
      </c>
    </row>
    <row r="37" spans="2:7" x14ac:dyDescent="0.3">
      <c r="B37" s="145">
        <v>45383</v>
      </c>
      <c r="C37" s="146">
        <v>1196.68</v>
      </c>
      <c r="D37" s="147">
        <f t="shared" si="0"/>
        <v>-3.3313945973891701E-2</v>
      </c>
      <c r="F37" s="146">
        <v>22513.7</v>
      </c>
      <c r="G37" s="147">
        <f t="shared" si="1"/>
        <v>8.3665891816597782E-3</v>
      </c>
    </row>
    <row r="38" spans="2:7" x14ac:dyDescent="0.3">
      <c r="B38" s="145">
        <v>45390</v>
      </c>
      <c r="C38" s="146">
        <v>1186.44</v>
      </c>
      <c r="D38" s="147">
        <f t="shared" si="0"/>
        <v>-8.5570077213624751E-3</v>
      </c>
      <c r="F38" s="146">
        <v>22519.4</v>
      </c>
      <c r="G38" s="147">
        <f t="shared" si="1"/>
        <v>2.5317917534661838E-4</v>
      </c>
    </row>
    <row r="39" spans="2:7" x14ac:dyDescent="0.3">
      <c r="B39" s="145">
        <v>45397</v>
      </c>
      <c r="C39" s="146">
        <v>1155.8900000000001</v>
      </c>
      <c r="D39" s="147">
        <f t="shared" si="0"/>
        <v>-2.5749300428171584E-2</v>
      </c>
      <c r="F39" s="146">
        <v>22147</v>
      </c>
      <c r="G39" s="147">
        <f t="shared" si="1"/>
        <v>-1.6536852669254087E-2</v>
      </c>
    </row>
    <row r="40" spans="2:7" x14ac:dyDescent="0.3">
      <c r="B40" s="145">
        <v>45404</v>
      </c>
      <c r="C40" s="146">
        <v>1189.1600000000001</v>
      </c>
      <c r="D40" s="147">
        <f t="shared" si="0"/>
        <v>2.8783015684883395E-2</v>
      </c>
      <c r="F40" s="146">
        <v>22419.95</v>
      </c>
      <c r="G40" s="147">
        <f t="shared" si="1"/>
        <v>1.2324468325281002E-2</v>
      </c>
    </row>
    <row r="41" spans="2:7" x14ac:dyDescent="0.3">
      <c r="B41" s="145">
        <v>45411</v>
      </c>
      <c r="C41" s="146">
        <v>1237.32</v>
      </c>
      <c r="D41" s="147">
        <f t="shared" si="0"/>
        <v>4.0499175888862649E-2</v>
      </c>
      <c r="F41" s="146">
        <v>22475.85</v>
      </c>
      <c r="G41" s="147">
        <f t="shared" si="1"/>
        <v>2.4933151055197555E-3</v>
      </c>
    </row>
    <row r="42" spans="2:7" x14ac:dyDescent="0.3">
      <c r="B42" s="145">
        <v>45418</v>
      </c>
      <c r="C42" s="146">
        <v>1306.3</v>
      </c>
      <c r="D42" s="147">
        <f t="shared" si="0"/>
        <v>5.574952316296522E-2</v>
      </c>
      <c r="F42" s="146">
        <v>22055.200000000001</v>
      </c>
      <c r="G42" s="147">
        <f t="shared" si="1"/>
        <v>-1.8715643679771743E-2</v>
      </c>
    </row>
    <row r="43" spans="2:7" x14ac:dyDescent="0.3">
      <c r="B43" s="145">
        <v>45425</v>
      </c>
      <c r="C43" s="146">
        <v>1284.99</v>
      </c>
      <c r="D43" s="147">
        <f t="shared" si="0"/>
        <v>-1.631325116741944E-2</v>
      </c>
      <c r="F43" s="146">
        <v>22466.1</v>
      </c>
      <c r="G43" s="147">
        <f t="shared" si="1"/>
        <v>1.8630527041241907E-2</v>
      </c>
    </row>
    <row r="44" spans="2:7" x14ac:dyDescent="0.3">
      <c r="B44" s="145">
        <v>45432</v>
      </c>
      <c r="C44" s="146">
        <v>1305.57</v>
      </c>
      <c r="D44" s="147">
        <f t="shared" si="0"/>
        <v>1.6015688838045383E-2</v>
      </c>
      <c r="F44" s="146">
        <v>22957.1</v>
      </c>
      <c r="G44" s="147">
        <f t="shared" si="1"/>
        <v>2.1855150649200406E-2</v>
      </c>
    </row>
    <row r="45" spans="2:7" x14ac:dyDescent="0.3">
      <c r="B45" s="145">
        <v>45439</v>
      </c>
      <c r="C45" s="146">
        <v>1265.72</v>
      </c>
      <c r="D45" s="147">
        <f t="shared" si="0"/>
        <v>-3.0523066553306166E-2</v>
      </c>
      <c r="F45" s="146">
        <v>22530.7</v>
      </c>
      <c r="G45" s="147">
        <f t="shared" si="1"/>
        <v>-1.8573774562117951E-2</v>
      </c>
    </row>
    <row r="46" spans="2:7" x14ac:dyDescent="0.3">
      <c r="B46" s="145">
        <v>45446</v>
      </c>
      <c r="C46" s="146">
        <v>1422.69</v>
      </c>
      <c r="D46" s="147">
        <f t="shared" si="0"/>
        <v>0.12401637012925448</v>
      </c>
      <c r="F46" s="146">
        <v>23290.15</v>
      </c>
      <c r="G46" s="147">
        <f t="shared" si="1"/>
        <v>3.3707341538434354E-2</v>
      </c>
    </row>
    <row r="47" spans="2:7" x14ac:dyDescent="0.3">
      <c r="B47" s="145">
        <v>45453</v>
      </c>
      <c r="C47" s="146">
        <v>1387.87</v>
      </c>
      <c r="D47" s="147">
        <f t="shared" si="0"/>
        <v>-2.4474762597614497E-2</v>
      </c>
      <c r="F47" s="146">
        <v>23465.599999999999</v>
      </c>
      <c r="G47" s="147">
        <f t="shared" si="1"/>
        <v>7.5332275661599279E-3</v>
      </c>
    </row>
    <row r="48" spans="2:7" x14ac:dyDescent="0.3">
      <c r="B48" s="145">
        <v>45460</v>
      </c>
      <c r="C48" s="146">
        <v>1351.9</v>
      </c>
      <c r="D48" s="147">
        <f t="shared" si="0"/>
        <v>-2.5917413014187041E-2</v>
      </c>
      <c r="F48" s="146">
        <v>23501.1</v>
      </c>
      <c r="G48" s="147">
        <f t="shared" si="1"/>
        <v>1.5128528569481325E-3</v>
      </c>
    </row>
    <row r="49" spans="2:11" x14ac:dyDescent="0.3">
      <c r="B49" s="145">
        <v>45467</v>
      </c>
      <c r="C49" s="146">
        <v>1370.83</v>
      </c>
      <c r="D49" s="147">
        <f t="shared" si="0"/>
        <v>1.4002514978918468E-2</v>
      </c>
      <c r="F49" s="146">
        <v>24010.6</v>
      </c>
      <c r="G49" s="147">
        <f t="shared" si="1"/>
        <v>2.1679836262983532E-2</v>
      </c>
      <c r="J49" t="s">
        <v>309</v>
      </c>
      <c r="K49" s="89">
        <f>SLOPE(D12:D65,G12:G65)</f>
        <v>0.74083500167004857</v>
      </c>
    </row>
    <row r="50" spans="2:11" x14ac:dyDescent="0.3">
      <c r="B50" s="145">
        <v>45474</v>
      </c>
      <c r="C50" s="146">
        <v>1368.79</v>
      </c>
      <c r="D50" s="147">
        <f t="shared" si="0"/>
        <v>-1.4881495152571089E-3</v>
      </c>
      <c r="F50" s="146">
        <v>24323.85</v>
      </c>
      <c r="G50" s="147">
        <f t="shared" si="1"/>
        <v>1.3046321208133094E-2</v>
      </c>
    </row>
    <row r="51" spans="2:11" x14ac:dyDescent="0.3">
      <c r="B51" s="145">
        <v>45481</v>
      </c>
      <c r="C51" s="146">
        <v>1438.63</v>
      </c>
      <c r="D51" s="147">
        <f t="shared" si="0"/>
        <v>5.1023166446277468E-2</v>
      </c>
      <c r="F51" s="146">
        <v>24502.15</v>
      </c>
      <c r="G51" s="147">
        <f t="shared" si="1"/>
        <v>7.3302540510651326E-3</v>
      </c>
      <c r="J51" t="s">
        <v>310</v>
      </c>
      <c r="K51" s="89">
        <f>(_xlfn.COVARIANCE.S(D12:D65,G12:G65))/_xlfn.VAR.S(G12:G65)</f>
        <v>0.74083500167004834</v>
      </c>
    </row>
    <row r="52" spans="2:11" x14ac:dyDescent="0.3">
      <c r="B52" s="145">
        <v>45488</v>
      </c>
      <c r="C52" s="146">
        <v>1446.61</v>
      </c>
      <c r="D52" s="147">
        <f t="shared" si="0"/>
        <v>5.5469439675244203E-3</v>
      </c>
      <c r="F52" s="146">
        <v>24530.9</v>
      </c>
      <c r="G52" s="147">
        <f t="shared" si="1"/>
        <v>1.1733664188653403E-3</v>
      </c>
    </row>
    <row r="53" spans="2:11" x14ac:dyDescent="0.3">
      <c r="B53" s="145">
        <v>45495</v>
      </c>
      <c r="C53" s="146">
        <v>1462.15</v>
      </c>
      <c r="D53" s="147">
        <f t="shared" si="0"/>
        <v>1.0742356267411601E-2</v>
      </c>
      <c r="F53" s="146">
        <v>24834.85</v>
      </c>
      <c r="G53" s="147">
        <f t="shared" si="1"/>
        <v>1.2390495252925682E-2</v>
      </c>
      <c r="J53" t="s">
        <v>311</v>
      </c>
      <c r="K53" s="89">
        <f>K75</f>
        <v>0.74083500167004812</v>
      </c>
    </row>
    <row r="54" spans="2:11" x14ac:dyDescent="0.3">
      <c r="B54" s="145">
        <v>45502</v>
      </c>
      <c r="C54" s="146">
        <v>1453.83</v>
      </c>
      <c r="D54" s="147">
        <f t="shared" si="0"/>
        <v>-5.6902506582773293E-3</v>
      </c>
      <c r="F54" s="146">
        <v>24717.7</v>
      </c>
      <c r="G54" s="147">
        <f t="shared" si="1"/>
        <v>-4.7171615693268887E-3</v>
      </c>
    </row>
    <row r="55" spans="2:11" x14ac:dyDescent="0.3">
      <c r="B55" s="145">
        <v>45509</v>
      </c>
      <c r="C55" s="146">
        <v>1439.53</v>
      </c>
      <c r="D55" s="147">
        <f t="shared" si="0"/>
        <v>-9.8360881258469091E-3</v>
      </c>
      <c r="F55" s="146">
        <v>24367.5</v>
      </c>
      <c r="G55" s="147">
        <f t="shared" si="1"/>
        <v>-1.4167984885325113E-2</v>
      </c>
    </row>
    <row r="56" spans="2:11" x14ac:dyDescent="0.3">
      <c r="B56" s="145">
        <v>45516</v>
      </c>
      <c r="C56" s="146">
        <v>1399.93</v>
      </c>
      <c r="D56" s="147">
        <f t="shared" si="0"/>
        <v>-2.7508978624967817E-2</v>
      </c>
      <c r="F56" s="146">
        <v>24541.15</v>
      </c>
      <c r="G56" s="147">
        <f t="shared" si="1"/>
        <v>7.1262952703396998E-3</v>
      </c>
    </row>
    <row r="57" spans="2:11" x14ac:dyDescent="0.3">
      <c r="B57" s="145">
        <v>45523</v>
      </c>
      <c r="C57" s="146">
        <v>1428.35</v>
      </c>
      <c r="D57" s="147">
        <f t="shared" si="0"/>
        <v>2.0301015050752325E-2</v>
      </c>
      <c r="F57" s="146">
        <v>24823.15</v>
      </c>
      <c r="G57" s="147">
        <f t="shared" si="1"/>
        <v>1.1490904052988471E-2</v>
      </c>
    </row>
    <row r="58" spans="2:11" x14ac:dyDescent="0.3">
      <c r="B58" s="145">
        <v>45530</v>
      </c>
      <c r="C58" s="146">
        <v>1481.2</v>
      </c>
      <c r="D58" s="147">
        <f t="shared" si="0"/>
        <v>3.7000735113942751E-2</v>
      </c>
      <c r="F58" s="146">
        <v>25235.9</v>
      </c>
      <c r="G58" s="147">
        <f t="shared" si="1"/>
        <v>1.6627623810837822E-2</v>
      </c>
      <c r="J58" t="s">
        <v>248</v>
      </c>
    </row>
    <row r="59" spans="2:11" ht="15" thickBot="1" x14ac:dyDescent="0.35">
      <c r="B59" s="145">
        <v>45537</v>
      </c>
      <c r="C59" s="146">
        <v>1443.45</v>
      </c>
      <c r="D59" s="147">
        <f t="shared" si="0"/>
        <v>-2.5486092357547951E-2</v>
      </c>
      <c r="F59" s="146">
        <v>24852.15</v>
      </c>
      <c r="G59" s="147">
        <f t="shared" si="1"/>
        <v>-1.5206511358818231E-2</v>
      </c>
    </row>
    <row r="60" spans="2:11" x14ac:dyDescent="0.3">
      <c r="B60" s="145">
        <v>45544</v>
      </c>
      <c r="C60" s="146">
        <v>1491.3</v>
      </c>
      <c r="D60" s="147">
        <f t="shared" si="0"/>
        <v>3.3149745401641839E-2</v>
      </c>
      <c r="F60" s="146">
        <v>25356.5</v>
      </c>
      <c r="G60" s="147">
        <f t="shared" si="1"/>
        <v>2.0294018827344829E-2</v>
      </c>
      <c r="J60" s="152" t="s">
        <v>249</v>
      </c>
      <c r="K60" s="152"/>
    </row>
    <row r="61" spans="2:11" x14ac:dyDescent="0.3">
      <c r="B61" s="145">
        <v>45551</v>
      </c>
      <c r="C61" s="146">
        <v>1456.6</v>
      </c>
      <c r="D61" s="147">
        <f t="shared" si="0"/>
        <v>-2.3268289411922494E-2</v>
      </c>
      <c r="F61" s="146">
        <v>25790.95</v>
      </c>
      <c r="G61" s="147">
        <f t="shared" si="1"/>
        <v>1.7133673811448702E-2</v>
      </c>
      <c r="J61" t="s">
        <v>250</v>
      </c>
      <c r="K61">
        <v>0.34239134952524425</v>
      </c>
    </row>
    <row r="62" spans="2:11" x14ac:dyDescent="0.3">
      <c r="B62" s="145">
        <v>45558</v>
      </c>
      <c r="C62" s="146">
        <v>1388.65</v>
      </c>
      <c r="D62" s="147">
        <f t="shared" si="0"/>
        <v>-4.6649732253192244E-2</v>
      </c>
      <c r="F62" s="146">
        <v>26178.95</v>
      </c>
      <c r="G62" s="147">
        <f t="shared" si="1"/>
        <v>1.5044036764834123E-2</v>
      </c>
      <c r="J62" t="s">
        <v>251</v>
      </c>
      <c r="K62">
        <v>0.11723183622971797</v>
      </c>
    </row>
    <row r="63" spans="2:11" x14ac:dyDescent="0.3">
      <c r="B63" s="145">
        <v>45565</v>
      </c>
      <c r="C63" s="146">
        <v>1343.25</v>
      </c>
      <c r="D63" s="147">
        <f t="shared" si="0"/>
        <v>-3.2693623303208241E-2</v>
      </c>
      <c r="F63" s="146">
        <v>25014.6</v>
      </c>
      <c r="G63" s="147">
        <f t="shared" si="1"/>
        <v>-4.4476573735768743E-2</v>
      </c>
      <c r="J63" t="s">
        <v>252</v>
      </c>
      <c r="K63">
        <v>9.9922656547947727E-2</v>
      </c>
    </row>
    <row r="64" spans="2:11" x14ac:dyDescent="0.3">
      <c r="B64" s="145">
        <v>45572</v>
      </c>
      <c r="C64" s="146">
        <v>1315.7</v>
      </c>
      <c r="D64" s="147">
        <f t="shared" si="0"/>
        <v>-2.0509957193374229E-2</v>
      </c>
      <c r="F64" s="146">
        <v>24964.25</v>
      </c>
      <c r="G64" s="147">
        <f t="shared" si="1"/>
        <v>-2.0128245104857889E-3</v>
      </c>
      <c r="J64" t="s">
        <v>253</v>
      </c>
      <c r="K64">
        <v>3.1829074822367756E-2</v>
      </c>
    </row>
    <row r="65" spans="2:18" ht="15" thickBot="1" x14ac:dyDescent="0.35">
      <c r="B65" s="145">
        <v>45579</v>
      </c>
      <c r="C65" s="146">
        <v>1336.15</v>
      </c>
      <c r="D65" s="147">
        <f t="shared" si="0"/>
        <v>1.5543056927871168E-2</v>
      </c>
      <c r="E65" s="21"/>
      <c r="F65" s="146">
        <v>24854.05</v>
      </c>
      <c r="G65" s="147">
        <f t="shared" si="1"/>
        <v>-4.4143124668275524E-3</v>
      </c>
      <c r="J65" s="153" t="s">
        <v>254</v>
      </c>
      <c r="K65" s="153">
        <v>53</v>
      </c>
    </row>
    <row r="67" spans="2:18" ht="15" thickBot="1" x14ac:dyDescent="0.35">
      <c r="J67" t="s">
        <v>255</v>
      </c>
    </row>
    <row r="68" spans="2:18" x14ac:dyDescent="0.3">
      <c r="J68" s="154"/>
      <c r="K68" s="154" t="s">
        <v>256</v>
      </c>
      <c r="L68" s="154" t="s">
        <v>257</v>
      </c>
      <c r="M68" s="154" t="s">
        <v>258</v>
      </c>
      <c r="N68" s="154" t="s">
        <v>259</v>
      </c>
      <c r="O68" s="154" t="s">
        <v>260</v>
      </c>
    </row>
    <row r="69" spans="2:18" x14ac:dyDescent="0.3">
      <c r="J69" t="s">
        <v>261</v>
      </c>
      <c r="K69">
        <v>1</v>
      </c>
      <c r="L69">
        <v>6.8614690946670887E-3</v>
      </c>
      <c r="M69">
        <v>6.8614690946670887E-3</v>
      </c>
      <c r="N69">
        <v>6.7728129457911139</v>
      </c>
      <c r="O69">
        <v>1.2087864488941615E-2</v>
      </c>
    </row>
    <row r="70" spans="2:18" x14ac:dyDescent="0.3">
      <c r="J70" t="s">
        <v>262</v>
      </c>
      <c r="K70">
        <v>51</v>
      </c>
      <c r="L70">
        <v>5.1667590206442141E-2</v>
      </c>
      <c r="M70">
        <v>1.0130900040478852E-3</v>
      </c>
    </row>
    <row r="71" spans="2:18" ht="15" thickBot="1" x14ac:dyDescent="0.35">
      <c r="J71" s="153" t="s">
        <v>37</v>
      </c>
      <c r="K71" s="153">
        <v>52</v>
      </c>
      <c r="L71" s="153">
        <v>5.8529059301109229E-2</v>
      </c>
      <c r="M71" s="153"/>
      <c r="N71" s="153"/>
      <c r="O71" s="153"/>
    </row>
    <row r="72" spans="2:18" ht="15" thickBot="1" x14ac:dyDescent="0.35"/>
    <row r="73" spans="2:18" x14ac:dyDescent="0.3">
      <c r="J73" s="154"/>
      <c r="K73" s="154" t="s">
        <v>263</v>
      </c>
      <c r="L73" s="154" t="s">
        <v>253</v>
      </c>
      <c r="M73" s="154" t="s">
        <v>264</v>
      </c>
      <c r="N73" s="154" t="s">
        <v>265</v>
      </c>
      <c r="O73" s="154" t="s">
        <v>266</v>
      </c>
      <c r="P73" s="154" t="s">
        <v>267</v>
      </c>
      <c r="Q73" s="154" t="s">
        <v>268</v>
      </c>
      <c r="R73" s="154" t="s">
        <v>269</v>
      </c>
    </row>
    <row r="74" spans="2:18" x14ac:dyDescent="0.3">
      <c r="J74" t="s">
        <v>270</v>
      </c>
      <c r="K74">
        <v>3.346263250015245E-3</v>
      </c>
      <c r="L74">
        <v>4.5529703158850438E-3</v>
      </c>
      <c r="M74">
        <v>0.73496267663778314</v>
      </c>
      <c r="N74">
        <v>0.46572853426289595</v>
      </c>
      <c r="O74">
        <v>-5.7942060628853303E-3</v>
      </c>
      <c r="P74">
        <v>1.248673256291582E-2</v>
      </c>
      <c r="Q74">
        <v>-5.7942060628853303E-3</v>
      </c>
      <c r="R74">
        <v>1.248673256291582E-2</v>
      </c>
    </row>
    <row r="75" spans="2:18" ht="15" thickBot="1" x14ac:dyDescent="0.35">
      <c r="J75" s="153" t="s">
        <v>271</v>
      </c>
      <c r="K75" s="153">
        <v>0.74083500167004812</v>
      </c>
      <c r="L75" s="153">
        <v>0.28466688712952626</v>
      </c>
      <c r="M75" s="153">
        <v>2.6024628615584673</v>
      </c>
      <c r="N75" s="153">
        <v>1.208786448894174E-2</v>
      </c>
      <c r="O75" s="153">
        <v>0.16934237912248151</v>
      </c>
      <c r="P75" s="153">
        <v>1.3123276242176147</v>
      </c>
      <c r="Q75" s="153">
        <v>0.16934237912248151</v>
      </c>
      <c r="R75" s="153">
        <v>1.3123276242176147</v>
      </c>
    </row>
  </sheetData>
  <mergeCells count="6">
    <mergeCell ref="B2:G2"/>
    <mergeCell ref="B3:E3"/>
    <mergeCell ref="B5:K5"/>
    <mergeCell ref="B9:D9"/>
    <mergeCell ref="F9:G9"/>
    <mergeCell ref="I9:J9"/>
  </mergeCells>
  <pageMargins left="0.7" right="0.7" top="0.75" bottom="0.75" header="0.3" footer="0.3"/>
  <pageSetup paperSize="9" scale="80" fitToHeight="0" orientation="portrait" r:id="rId1"/>
  <rowBreaks count="1" manualBreakCount="1">
    <brk id="67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7F98-8F2F-42D9-9ECA-5637CCC6BF44}">
  <sheetPr>
    <pageSetUpPr fitToPage="1"/>
  </sheetPr>
  <dimension ref="B1:K46"/>
  <sheetViews>
    <sheetView showGridLines="0" topLeftCell="A16" zoomScale="84" workbookViewId="0">
      <selection activeCell="J46" sqref="J46"/>
    </sheetView>
  </sheetViews>
  <sheetFormatPr defaultRowHeight="14.4" x14ac:dyDescent="0.3"/>
  <cols>
    <col min="1" max="1" width="1.88671875" customWidth="1"/>
    <col min="2" max="2" width="19.5546875" customWidth="1"/>
    <col min="3" max="3" width="9.44140625" bestFit="1" customWidth="1"/>
    <col min="4" max="4" width="10.109375" bestFit="1" customWidth="1"/>
    <col min="5" max="5" width="13.6640625" bestFit="1" customWidth="1"/>
  </cols>
  <sheetData>
    <row r="1" spans="2:11" ht="15" thickBot="1" x14ac:dyDescent="0.35"/>
    <row r="2" spans="2:11" ht="28.8" customHeight="1" thickTop="1" x14ac:dyDescent="0.5">
      <c r="B2" s="197" t="str">
        <f>'[2]Data Sheet'!B1</f>
        <v>GODREJ CONSUMER PRODUCTS LTD</v>
      </c>
      <c r="C2" s="197"/>
      <c r="D2" s="197"/>
      <c r="E2" s="197"/>
      <c r="F2" s="197"/>
      <c r="G2" s="197"/>
      <c r="H2" s="81"/>
      <c r="I2" s="81"/>
      <c r="J2" s="81"/>
      <c r="K2" s="83"/>
    </row>
    <row r="3" spans="2:11" ht="18.600000000000001" thickBot="1" x14ac:dyDescent="0.4">
      <c r="B3" s="189" t="s">
        <v>176</v>
      </c>
      <c r="C3" s="189"/>
      <c r="D3" s="189"/>
      <c r="E3" s="189"/>
      <c r="F3" s="82"/>
      <c r="G3" s="82"/>
      <c r="H3" s="82"/>
      <c r="I3" s="82"/>
      <c r="J3" s="82"/>
      <c r="K3" s="83"/>
    </row>
    <row r="4" spans="2:11" ht="6.6" customHeight="1" thickTop="1" x14ac:dyDescent="0.3"/>
    <row r="5" spans="2:11" ht="16.8" customHeight="1" x14ac:dyDescent="0.4">
      <c r="B5" s="192" t="s">
        <v>192</v>
      </c>
      <c r="C5" s="192"/>
      <c r="D5" s="192"/>
      <c r="E5" s="192"/>
      <c r="F5" s="192"/>
      <c r="G5" s="192"/>
      <c r="H5" s="192"/>
      <c r="I5" s="192"/>
      <c r="J5" s="192"/>
    </row>
    <row r="6" spans="2:11" ht="6" customHeight="1" x14ac:dyDescent="0.3"/>
    <row r="7" spans="2:11" x14ac:dyDescent="0.3">
      <c r="B7" s="106" t="s">
        <v>193</v>
      </c>
    </row>
    <row r="8" spans="2:11" ht="1.8" customHeight="1" x14ac:dyDescent="0.3"/>
    <row r="9" spans="2:11" ht="18" x14ac:dyDescent="0.35">
      <c r="B9" s="198" t="s">
        <v>194</v>
      </c>
      <c r="C9" s="198"/>
      <c r="D9" s="198"/>
      <c r="E9" s="198"/>
      <c r="F9" s="198"/>
      <c r="G9" s="198"/>
      <c r="H9" s="198"/>
      <c r="I9" s="198"/>
      <c r="J9" s="198"/>
    </row>
    <row r="10" spans="2:11" x14ac:dyDescent="0.3">
      <c r="B10" s="62"/>
      <c r="C10" s="62"/>
      <c r="D10" s="62"/>
      <c r="E10" s="62"/>
      <c r="F10" s="107"/>
      <c r="G10" s="107" t="s">
        <v>195</v>
      </c>
      <c r="H10" s="107" t="s">
        <v>195</v>
      </c>
      <c r="I10" s="107" t="s">
        <v>196</v>
      </c>
      <c r="J10" s="107" t="s">
        <v>197</v>
      </c>
    </row>
    <row r="11" spans="2:11" ht="16.2" x14ac:dyDescent="0.3">
      <c r="B11" s="108" t="s">
        <v>198</v>
      </c>
      <c r="C11" s="108" t="s">
        <v>199</v>
      </c>
      <c r="D11" s="109" t="s">
        <v>200</v>
      </c>
      <c r="E11" s="109" t="s">
        <v>201</v>
      </c>
      <c r="F11" s="109" t="s">
        <v>202</v>
      </c>
      <c r="G11" s="109" t="s">
        <v>203</v>
      </c>
      <c r="H11" s="109" t="s">
        <v>204</v>
      </c>
      <c r="I11" s="109" t="s">
        <v>205</v>
      </c>
      <c r="J11" s="109" t="s">
        <v>206</v>
      </c>
    </row>
    <row r="12" spans="2:11" ht="3.6" customHeight="1" x14ac:dyDescent="0.3">
      <c r="B12" s="110"/>
      <c r="C12" s="110"/>
      <c r="D12" s="110"/>
      <c r="E12" s="110"/>
      <c r="F12" s="110"/>
      <c r="G12" s="110"/>
      <c r="H12" s="110"/>
      <c r="I12" s="110"/>
      <c r="J12" s="110"/>
    </row>
    <row r="13" spans="2:11" x14ac:dyDescent="0.3">
      <c r="B13" s="111" t="s">
        <v>207</v>
      </c>
      <c r="C13" s="112" t="s">
        <v>208</v>
      </c>
      <c r="D13" s="111">
        <v>3222.2</v>
      </c>
      <c r="E13" s="111">
        <v>136678</v>
      </c>
      <c r="F13" s="113">
        <v>0.25</v>
      </c>
      <c r="G13" s="114">
        <f>D13/E13</f>
        <v>2.3575118160932995E-2</v>
      </c>
      <c r="H13" s="114">
        <f>D13/(D13+E13)</f>
        <v>2.3032132906171683E-2</v>
      </c>
      <c r="I13" s="115">
        <v>0.74</v>
      </c>
      <c r="J13" s="116">
        <f>I13/(1+(1-F13)*G13)</f>
        <v>0.72714313598689806</v>
      </c>
    </row>
    <row r="14" spans="2:11" x14ac:dyDescent="0.3">
      <c r="B14" s="111" t="s">
        <v>209</v>
      </c>
      <c r="C14" s="112" t="s">
        <v>208</v>
      </c>
      <c r="D14" s="111">
        <v>1365.09</v>
      </c>
      <c r="E14" s="111">
        <v>101269.87</v>
      </c>
      <c r="F14" s="113">
        <v>0.25</v>
      </c>
      <c r="G14" s="114">
        <f t="shared" ref="G14:G17" si="0">D14/E14</f>
        <v>1.3479725015940082E-2</v>
      </c>
      <c r="H14" s="114">
        <f t="shared" ref="H14:H17" si="1">D14/(D14+E14)</f>
        <v>1.3300438758879041E-2</v>
      </c>
      <c r="I14" s="115">
        <v>0.690292209817012</v>
      </c>
      <c r="J14" s="116">
        <f t="shared" ref="J14:J17" si="2">I14/(1+(1-F14)*G14)</f>
        <v>0.6833833451373188</v>
      </c>
    </row>
    <row r="15" spans="2:11" x14ac:dyDescent="0.3">
      <c r="B15" s="111" t="s">
        <v>210</v>
      </c>
      <c r="C15" s="112" t="s">
        <v>208</v>
      </c>
      <c r="D15" s="111">
        <v>93.95</v>
      </c>
      <c r="E15" s="111">
        <v>30592.1</v>
      </c>
      <c r="F15" s="113">
        <v>0.25</v>
      </c>
      <c r="G15" s="114">
        <f>D15/E15</f>
        <v>3.0710542917942868E-3</v>
      </c>
      <c r="H15" s="114">
        <f>D15/(D15+E15)</f>
        <v>3.0616517929156735E-3</v>
      </c>
      <c r="I15" s="115">
        <v>0.41363446043263175</v>
      </c>
      <c r="J15" s="116">
        <f>I15/(1+(1-F15)*G15)</f>
        <v>0.41268392936830101</v>
      </c>
    </row>
    <row r="16" spans="2:11" x14ac:dyDescent="0.3">
      <c r="B16" s="111" t="s">
        <v>211</v>
      </c>
      <c r="C16" s="112" t="s">
        <v>208</v>
      </c>
      <c r="D16" s="111">
        <v>50.56</v>
      </c>
      <c r="E16" s="111">
        <v>18804.75</v>
      </c>
      <c r="F16" s="113">
        <v>0.25</v>
      </c>
      <c r="G16" s="114">
        <f t="shared" si="0"/>
        <v>2.6886823807814515E-3</v>
      </c>
      <c r="H16" s="114">
        <f t="shared" si="1"/>
        <v>2.6814727522379636E-3</v>
      </c>
      <c r="I16" s="115">
        <v>0.58255316530926149</v>
      </c>
      <c r="J16" s="116">
        <f t="shared" si="2"/>
        <v>0.58138080406594894</v>
      </c>
    </row>
    <row r="17" spans="2:10" x14ac:dyDescent="0.3">
      <c r="B17" s="111" t="s">
        <v>212</v>
      </c>
      <c r="C17" s="112" t="s">
        <v>208</v>
      </c>
      <c r="D17" s="111">
        <v>8.75</v>
      </c>
      <c r="E17" s="111">
        <v>3269.69</v>
      </c>
      <c r="F17" s="113">
        <v>0.25</v>
      </c>
      <c r="G17" s="114">
        <f t="shared" si="0"/>
        <v>2.6760946756420332E-3</v>
      </c>
      <c r="H17" s="114">
        <f t="shared" si="1"/>
        <v>2.6689523065848392E-3</v>
      </c>
      <c r="I17" s="115">
        <v>0.47654061646755935</v>
      </c>
      <c r="J17" s="116">
        <f t="shared" si="2"/>
        <v>0.47558608143231151</v>
      </c>
    </row>
    <row r="18" spans="2:10" x14ac:dyDescent="0.3">
      <c r="F18" s="117"/>
    </row>
    <row r="19" spans="2:10" x14ac:dyDescent="0.3">
      <c r="E19" s="118" t="s">
        <v>213</v>
      </c>
      <c r="F19" s="119">
        <f>AVERAGE(F14:F17)</f>
        <v>0.25</v>
      </c>
      <c r="G19" s="119">
        <f>AVERAGE(G14:G17)</f>
        <v>5.4788890910394631E-3</v>
      </c>
      <c r="H19" s="119">
        <f>AVERAGE(H14:H17)</f>
        <v>5.4281289026543791E-3</v>
      </c>
      <c r="I19" s="120">
        <f>AVERAGE(I14:I17)</f>
        <v>0.54075511300661616</v>
      </c>
      <c r="J19" s="120">
        <f>AVERAGE(J14:J17)</f>
        <v>0.53825854000097006</v>
      </c>
    </row>
    <row r="20" spans="2:10" x14ac:dyDescent="0.3">
      <c r="E20" s="121" t="s">
        <v>117</v>
      </c>
      <c r="F20" s="122">
        <f>MEDIAN(F14:F17)</f>
        <v>0.25</v>
      </c>
      <c r="G20" s="122">
        <f>MEDIAN(G14:G17)</f>
        <v>2.8798683362878689E-3</v>
      </c>
      <c r="H20" s="122">
        <f>MEDIAN(H14:H17)</f>
        <v>2.8715622725768186E-3</v>
      </c>
      <c r="I20" s="123">
        <f>MEDIAN(I14:I17)</f>
        <v>0.52954689088841045</v>
      </c>
      <c r="J20" s="123">
        <f>MEDIAN(J14:J17)</f>
        <v>0.52848344274913028</v>
      </c>
    </row>
    <row r="21" spans="2:10" x14ac:dyDescent="0.3">
      <c r="G21" s="89"/>
    </row>
    <row r="22" spans="2:10" x14ac:dyDescent="0.3">
      <c r="G22" s="89"/>
    </row>
    <row r="23" spans="2:10" ht="15.6" x14ac:dyDescent="0.3">
      <c r="B23" s="196" t="s">
        <v>214</v>
      </c>
      <c r="C23" s="196"/>
      <c r="D23" s="196"/>
      <c r="E23" s="196"/>
      <c r="G23" s="196" t="s">
        <v>215</v>
      </c>
      <c r="H23" s="196"/>
      <c r="I23" s="196"/>
      <c r="J23" s="196"/>
    </row>
    <row r="24" spans="2:10" x14ac:dyDescent="0.3">
      <c r="B24" s="89"/>
      <c r="G24" s="89"/>
    </row>
    <row r="25" spans="2:10" x14ac:dyDescent="0.3">
      <c r="B25" t="s">
        <v>216</v>
      </c>
      <c r="E25" s="124">
        <f>310/3222.2</f>
        <v>9.6207560052138291E-2</v>
      </c>
      <c r="G25" t="s">
        <v>217</v>
      </c>
      <c r="J25" s="125">
        <v>6.9459999999999994E-2</v>
      </c>
    </row>
    <row r="26" spans="2:10" x14ac:dyDescent="0.3">
      <c r="B26" t="s">
        <v>218</v>
      </c>
      <c r="E26" s="117">
        <f>F20</f>
        <v>0.25</v>
      </c>
      <c r="G26" t="s">
        <v>219</v>
      </c>
      <c r="J26" s="126">
        <f>(0.1677-J25)</f>
        <v>9.8239999999999994E-2</v>
      </c>
    </row>
    <row r="27" spans="2:10" ht="16.2" x14ac:dyDescent="0.3">
      <c r="B27" s="127" t="s">
        <v>220</v>
      </c>
      <c r="C27" s="127"/>
      <c r="D27" s="127"/>
      <c r="E27" s="128">
        <f>E25*(1-E26)</f>
        <v>7.2155670039103725E-2</v>
      </c>
      <c r="G27" t="s">
        <v>221</v>
      </c>
      <c r="J27" s="129">
        <f>J36</f>
        <v>0.65988322024134027</v>
      </c>
    </row>
    <row r="28" spans="2:10" x14ac:dyDescent="0.3">
      <c r="G28" s="127" t="s">
        <v>215</v>
      </c>
      <c r="H28" s="127"/>
      <c r="I28" s="127"/>
      <c r="J28" s="130">
        <f>J25+(J26*J27)</f>
        <v>0.13428692755650926</v>
      </c>
    </row>
    <row r="31" spans="2:10" ht="15.6" x14ac:dyDescent="0.3">
      <c r="B31" s="196" t="s">
        <v>222</v>
      </c>
      <c r="C31" s="196"/>
      <c r="D31" s="196"/>
      <c r="E31" s="196"/>
      <c r="G31" s="196" t="s">
        <v>223</v>
      </c>
      <c r="H31" s="196"/>
      <c r="I31" s="196"/>
      <c r="J31" s="196"/>
    </row>
    <row r="32" spans="2:10" x14ac:dyDescent="0.3">
      <c r="G32" s="12"/>
    </row>
    <row r="33" spans="2:10" x14ac:dyDescent="0.3">
      <c r="C33" s="131"/>
      <c r="D33" s="131" t="s">
        <v>224</v>
      </c>
      <c r="E33" s="131" t="s">
        <v>225</v>
      </c>
      <c r="G33" s="89" t="s">
        <v>226</v>
      </c>
      <c r="J33" s="89">
        <f>J20</f>
        <v>0.52848344274913028</v>
      </c>
    </row>
    <row r="34" spans="2:10" x14ac:dyDescent="0.3">
      <c r="B34" t="s">
        <v>200</v>
      </c>
      <c r="C34" s="111">
        <f>D13</f>
        <v>3222.2</v>
      </c>
      <c r="D34" s="29">
        <f>C34/$C$36</f>
        <v>2.3032132906171683E-2</v>
      </c>
      <c r="E34" s="132">
        <f>H19</f>
        <v>5.4281289026543791E-3</v>
      </c>
      <c r="G34" t="s">
        <v>227</v>
      </c>
      <c r="J34" s="28">
        <f>E38</f>
        <v>5.4577542964947684E-3</v>
      </c>
    </row>
    <row r="35" spans="2:10" x14ac:dyDescent="0.3">
      <c r="B35" t="s">
        <v>9</v>
      </c>
      <c r="C35" s="111">
        <f>E13</f>
        <v>136678</v>
      </c>
      <c r="D35" s="29">
        <f>C35/$C$36</f>
        <v>0.97696786709382821</v>
      </c>
      <c r="E35" s="117">
        <f>E36-E34</f>
        <v>0.99457187109734557</v>
      </c>
      <c r="G35" t="s">
        <v>218</v>
      </c>
      <c r="J35" s="117">
        <f>E26</f>
        <v>0.25</v>
      </c>
    </row>
    <row r="36" spans="2:10" x14ac:dyDescent="0.3">
      <c r="B36" t="s">
        <v>228</v>
      </c>
      <c r="C36" s="127">
        <f>SUM(C34:C35)</f>
        <v>139900.20000000001</v>
      </c>
      <c r="D36" s="133">
        <v>1</v>
      </c>
      <c r="E36" s="134">
        <v>1</v>
      </c>
      <c r="G36" s="127" t="s">
        <v>229</v>
      </c>
      <c r="H36" s="127"/>
      <c r="I36" s="127"/>
      <c r="J36" s="135">
        <f>J33*(1+(1-J34)*J35)</f>
        <v>0.65988322024134027</v>
      </c>
    </row>
    <row r="38" spans="2:10" ht="15.6" x14ac:dyDescent="0.3">
      <c r="B38" s="12" t="s">
        <v>230</v>
      </c>
      <c r="D38" s="136">
        <f>D34/D35</f>
        <v>2.3575118160932995E-2</v>
      </c>
      <c r="E38" s="136">
        <f>E34/E35</f>
        <v>5.4577542964947684E-3</v>
      </c>
      <c r="G38" s="196" t="s">
        <v>231</v>
      </c>
      <c r="H38" s="196"/>
      <c r="I38" s="196"/>
      <c r="J38" s="196"/>
    </row>
    <row r="39" spans="2:10" x14ac:dyDescent="0.3">
      <c r="G39" s="89"/>
    </row>
    <row r="40" spans="2:10" x14ac:dyDescent="0.3">
      <c r="B40" s="137" t="s">
        <v>317</v>
      </c>
      <c r="G40" t="s">
        <v>215</v>
      </c>
      <c r="J40" s="138">
        <f>J28</f>
        <v>0.13428692755650926</v>
      </c>
    </row>
    <row r="41" spans="2:10" x14ac:dyDescent="0.3">
      <c r="B41" s="137" t="s">
        <v>316</v>
      </c>
      <c r="G41" t="s">
        <v>232</v>
      </c>
      <c r="J41" s="117">
        <f>E35</f>
        <v>0.99457187109734557</v>
      </c>
    </row>
    <row r="42" spans="2:10" x14ac:dyDescent="0.3">
      <c r="J42" s="138"/>
    </row>
    <row r="43" spans="2:10" x14ac:dyDescent="0.3">
      <c r="G43" t="s">
        <v>214</v>
      </c>
      <c r="J43" s="117">
        <f>E27</f>
        <v>7.2155670039103725E-2</v>
      </c>
    </row>
    <row r="44" spans="2:10" x14ac:dyDescent="0.3">
      <c r="G44" t="s">
        <v>233</v>
      </c>
      <c r="J44" s="117">
        <f>E34</f>
        <v>5.4281289026543791E-3</v>
      </c>
    </row>
    <row r="46" spans="2:10" x14ac:dyDescent="0.3">
      <c r="G46" s="139" t="s">
        <v>234</v>
      </c>
      <c r="H46" s="139"/>
      <c r="I46" s="139"/>
      <c r="J46" s="140">
        <f>(J40*J41)+(J43*J44)</f>
        <v>0.13394967108182074</v>
      </c>
    </row>
  </sheetData>
  <mergeCells count="9">
    <mergeCell ref="B31:E31"/>
    <mergeCell ref="G31:J31"/>
    <mergeCell ref="G38:J38"/>
    <mergeCell ref="B2:G2"/>
    <mergeCell ref="B3:E3"/>
    <mergeCell ref="B5:J5"/>
    <mergeCell ref="B9:J9"/>
    <mergeCell ref="B23:E23"/>
    <mergeCell ref="G23:J23"/>
  </mergeCells>
  <pageMargins left="0.25" right="0.25" top="0.75" bottom="0.75" header="0.3" footer="0.3"/>
  <pageSetup paperSize="9" scale="91" fitToHeight="0" orientation="portrait" r:id="rId1"/>
  <ignoredErrors>
    <ignoredError sqref="F19:H20 I19:I20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F998-27BC-458D-971F-429EDEC17EC3}">
  <sheetPr>
    <pageSetUpPr fitToPage="1"/>
  </sheetPr>
  <dimension ref="B1:K51"/>
  <sheetViews>
    <sheetView showGridLines="0" topLeftCell="A4" zoomScale="121" zoomScaleNormal="175" workbookViewId="0">
      <selection activeCell="M18" sqref="M18"/>
    </sheetView>
  </sheetViews>
  <sheetFormatPr defaultRowHeight="14.4" x14ac:dyDescent="0.3"/>
  <cols>
    <col min="1" max="1" width="1.88671875" customWidth="1"/>
    <col min="4" max="4" width="9" customWidth="1"/>
    <col min="5" max="5" width="10.5546875" bestFit="1" customWidth="1"/>
    <col min="6" max="6" width="11" bestFit="1" customWidth="1"/>
    <col min="7" max="7" width="11.88671875" customWidth="1"/>
    <col min="8" max="9" width="10" bestFit="1" customWidth="1"/>
    <col min="10" max="10" width="11" bestFit="1" customWidth="1"/>
    <col min="11" max="11" width="10" bestFit="1" customWidth="1"/>
  </cols>
  <sheetData>
    <row r="1" spans="2:11" ht="15" thickBot="1" x14ac:dyDescent="0.35"/>
    <row r="2" spans="2:11" ht="29.4" customHeight="1" thickTop="1" x14ac:dyDescent="0.4">
      <c r="B2" s="193" t="str">
        <f>'[2]Data Sheet'!B1</f>
        <v>GODREJ CONSUMER PRODUCTS LTD</v>
      </c>
      <c r="C2" s="193"/>
      <c r="D2" s="193"/>
      <c r="E2" s="193"/>
      <c r="F2" s="193"/>
      <c r="G2" s="193"/>
      <c r="H2" s="81"/>
      <c r="I2" s="81"/>
      <c r="J2" s="81"/>
      <c r="K2" s="81"/>
    </row>
    <row r="3" spans="2:11" ht="16.2" thickBot="1" x14ac:dyDescent="0.35">
      <c r="B3" s="194" t="s">
        <v>176</v>
      </c>
      <c r="C3" s="194"/>
      <c r="D3" s="194"/>
      <c r="E3" s="194"/>
      <c r="F3" s="82"/>
      <c r="G3" s="82"/>
      <c r="H3" s="82"/>
      <c r="I3" s="82"/>
      <c r="J3" s="82"/>
      <c r="K3" s="82"/>
    </row>
    <row r="4" spans="2:11" ht="8.4" customHeight="1" thickTop="1" x14ac:dyDescent="0.3">
      <c r="B4" s="85"/>
      <c r="C4" s="85"/>
      <c r="D4" s="85"/>
      <c r="E4" s="85"/>
      <c r="F4" s="83"/>
      <c r="G4" s="166">
        <v>11</v>
      </c>
      <c r="H4" s="166">
        <v>12</v>
      </c>
      <c r="I4" s="166">
        <v>13</v>
      </c>
      <c r="J4" s="166">
        <v>14</v>
      </c>
      <c r="K4" s="166">
        <v>15</v>
      </c>
    </row>
    <row r="5" spans="2:11" ht="21" x14ac:dyDescent="0.4">
      <c r="B5" s="192" t="s">
        <v>272</v>
      </c>
      <c r="C5" s="192"/>
      <c r="D5" s="192"/>
      <c r="E5" s="192"/>
      <c r="F5" s="192"/>
      <c r="G5" s="192"/>
      <c r="H5" s="192"/>
      <c r="I5" s="192"/>
      <c r="J5" s="192"/>
      <c r="K5" s="192"/>
    </row>
    <row r="6" spans="2:11" ht="7.8" customHeight="1" x14ac:dyDescent="0.3">
      <c r="F6" s="155">
        <v>0</v>
      </c>
      <c r="G6" s="155">
        <v>0.5</v>
      </c>
      <c r="H6" s="155">
        <v>1.5</v>
      </c>
      <c r="I6" s="155">
        <v>2.5</v>
      </c>
      <c r="J6" s="155">
        <v>3.5</v>
      </c>
      <c r="K6" s="155">
        <v>4.5</v>
      </c>
    </row>
    <row r="7" spans="2:11" x14ac:dyDescent="0.3">
      <c r="B7" s="30" t="s">
        <v>273</v>
      </c>
      <c r="C7" s="66"/>
      <c r="D7" s="66"/>
      <c r="E7" s="66"/>
      <c r="F7" s="31">
        <f>'[2]Data Sheet'!K16</f>
        <v>45382</v>
      </c>
      <c r="G7" s="186">
        <f>F7+365</f>
        <v>45747</v>
      </c>
      <c r="H7" s="186">
        <f t="shared" ref="H7:K7" si="0">G7+365</f>
        <v>46112</v>
      </c>
      <c r="I7" s="186">
        <f t="shared" si="0"/>
        <v>46477</v>
      </c>
      <c r="J7" s="186">
        <f t="shared" si="0"/>
        <v>46842</v>
      </c>
      <c r="K7" s="186">
        <f t="shared" si="0"/>
        <v>47207</v>
      </c>
    </row>
    <row r="9" spans="2:11" x14ac:dyDescent="0.3">
      <c r="B9" t="s">
        <v>172</v>
      </c>
      <c r="F9" s="156">
        <f>HistoricalFS!L21-HistoricalFS!L24</f>
        <v>2716.3599999999997</v>
      </c>
      <c r="G9" s="156">
        <f>FORECAST(G4,HistoricalFS!$C$27:$L$27,HistoricalFS!$C$7:$L$7)</f>
        <v>2656.4879999999994</v>
      </c>
      <c r="H9" s="156">
        <f>FORECAST(H4,HistoricalFS!$C$27:$L$27,HistoricalFS!$C$7:$L$7)</f>
        <v>2779.9445454545448</v>
      </c>
      <c r="I9" s="156">
        <f>FORECAST(I4,HistoricalFS!$C$27:$L$27,HistoricalFS!$C$7:$L$7)</f>
        <v>2903.4010909090903</v>
      </c>
      <c r="J9" s="156">
        <f>FORECAST(J4,HistoricalFS!$C$27:$L$27,HistoricalFS!$C$7:$L$7)</f>
        <v>3026.8576363636357</v>
      </c>
      <c r="K9" s="156">
        <f>FORECAST(K4,HistoricalFS!$C$27:$L$27,HistoricalFS!$C$7:$L$7)</f>
        <v>3150.3141818181812</v>
      </c>
    </row>
    <row r="11" spans="2:11" x14ac:dyDescent="0.3">
      <c r="B11" t="s">
        <v>218</v>
      </c>
      <c r="F11" s="117">
        <v>0.25</v>
      </c>
      <c r="G11" s="117">
        <f>F11</f>
        <v>0.25</v>
      </c>
      <c r="H11" s="117">
        <f t="shared" ref="H11:K11" si="1">G11</f>
        <v>0.25</v>
      </c>
      <c r="I11" s="117">
        <f t="shared" si="1"/>
        <v>0.25</v>
      </c>
      <c r="J11" s="117">
        <f t="shared" si="1"/>
        <v>0.25</v>
      </c>
      <c r="K11" s="117">
        <f t="shared" si="1"/>
        <v>0.25</v>
      </c>
    </row>
    <row r="13" spans="2:11" x14ac:dyDescent="0.3">
      <c r="B13" t="s">
        <v>292</v>
      </c>
      <c r="F13" s="156">
        <f>F9*(1-F11)</f>
        <v>2037.2699999999998</v>
      </c>
      <c r="G13" s="156">
        <f t="shared" ref="G13:K13" si="2">G9*(1-G11)</f>
        <v>1992.3659999999995</v>
      </c>
      <c r="H13" s="156">
        <f t="shared" si="2"/>
        <v>2084.9584090909084</v>
      </c>
      <c r="I13" s="156">
        <f t="shared" si="2"/>
        <v>2177.5508181818177</v>
      </c>
      <c r="J13" s="156">
        <f t="shared" si="2"/>
        <v>2270.143227272727</v>
      </c>
      <c r="K13" s="156">
        <f t="shared" si="2"/>
        <v>2362.7356363636359</v>
      </c>
    </row>
    <row r="15" spans="2:11" x14ac:dyDescent="0.3">
      <c r="B15" t="s">
        <v>293</v>
      </c>
      <c r="F15" s="89">
        <f>HistoricalFS!L24</f>
        <v>240.96</v>
      </c>
      <c r="G15" s="89" cm="1">
        <f t="array" ref="G15:K15">TRANSPOSE(Forcasting!D19:D23)*$J$29</f>
        <v>227.86899447090443</v>
      </c>
      <c r="H15" s="89">
        <v>238.08629785183496</v>
      </c>
      <c r="I15" s="89">
        <v>248.30360123276546</v>
      </c>
      <c r="J15" s="89">
        <v>258.52090461369596</v>
      </c>
      <c r="K15" s="89">
        <v>268.73820799462646</v>
      </c>
    </row>
    <row r="16" spans="2:11" x14ac:dyDescent="0.3">
      <c r="F16" s="117"/>
      <c r="G16" s="117"/>
      <c r="H16" s="117"/>
      <c r="I16" s="117"/>
      <c r="J16" s="117"/>
      <c r="K16" s="117"/>
    </row>
    <row r="17" spans="2:11" x14ac:dyDescent="0.3">
      <c r="B17" t="s">
        <v>300</v>
      </c>
      <c r="F17" s="89">
        <f>E30*(HistoricalFS!L9-HistoricalFS!K9)</f>
        <v>187.23360000000028</v>
      </c>
      <c r="G17" s="89">
        <f>E30*(Forcasting!D19-Forcasting!D18)</f>
        <v>17.72063999999984</v>
      </c>
      <c r="H17" s="89">
        <f>E30*(Forcasting!D20-Forcasting!D19)</f>
        <v>152.48618181818222</v>
      </c>
      <c r="I17" s="89">
        <f>E30*(Forcasting!D21-Forcasting!D20)</f>
        <v>152.48618181818179</v>
      </c>
      <c r="J17" s="89">
        <f>E30*(Forcasting!D22-Forcasting!D21)</f>
        <v>152.48618181818179</v>
      </c>
      <c r="K17" s="89">
        <f>E30*(Forcasting!D23-Forcasting!D22)</f>
        <v>152.48618181818222</v>
      </c>
    </row>
    <row r="18" spans="2:11" x14ac:dyDescent="0.3">
      <c r="F18" s="117"/>
      <c r="G18" s="117"/>
      <c r="H18" s="117"/>
      <c r="I18" s="117"/>
      <c r="J18" s="117"/>
      <c r="K18" s="117"/>
    </row>
    <row r="19" spans="2:11" x14ac:dyDescent="0.3">
      <c r="B19" t="s">
        <v>301</v>
      </c>
      <c r="F19" s="89">
        <f>J30*HistoricalFS!L9</f>
        <v>211.44165000000001</v>
      </c>
      <c r="G19" s="89">
        <f>J30*Forcasting!D19</f>
        <v>212.54918999999998</v>
      </c>
      <c r="H19" s="89">
        <f>J30*Forcasting!D20</f>
        <v>222.07957636363639</v>
      </c>
      <c r="I19" s="89">
        <f>J30*Forcasting!D21</f>
        <v>231.60996272727274</v>
      </c>
      <c r="J19" s="89">
        <f>J30*Forcasting!D22</f>
        <v>241.1403490909091</v>
      </c>
      <c r="K19" s="89">
        <f>J30*Forcasting!D23</f>
        <v>250.67073545454548</v>
      </c>
    </row>
    <row r="21" spans="2:11" ht="15" thickBot="1" x14ac:dyDescent="0.35">
      <c r="B21" s="70" t="s">
        <v>274</v>
      </c>
      <c r="C21" s="70"/>
      <c r="D21" s="70"/>
      <c r="E21" s="70"/>
      <c r="F21" s="157">
        <f>F13+F15-F17-F19</f>
        <v>1879.5547499999991</v>
      </c>
      <c r="G21" s="157">
        <f t="shared" ref="G21:K21" si="3">G13+G15-G17-G19</f>
        <v>1989.965164470904</v>
      </c>
      <c r="H21" s="157">
        <f t="shared" si="3"/>
        <v>1948.4789487609248</v>
      </c>
      <c r="I21" s="157">
        <f t="shared" si="3"/>
        <v>2041.7582748691291</v>
      </c>
      <c r="J21" s="157">
        <f t="shared" si="3"/>
        <v>2135.0376009773322</v>
      </c>
      <c r="K21" s="157">
        <f t="shared" si="3"/>
        <v>2228.3169270855346</v>
      </c>
    </row>
    <row r="23" spans="2:11" x14ac:dyDescent="0.3">
      <c r="B23" t="s">
        <v>275</v>
      </c>
      <c r="F23" s="89">
        <f t="shared" ref="F23:K23" si="4">1/(1+$E$35)^F6</f>
        <v>1</v>
      </c>
      <c r="G23" s="89">
        <f t="shared" si="4"/>
        <v>0.93908112230037244</v>
      </c>
      <c r="H23" s="89">
        <f t="shared" si="4"/>
        <v>0.82815061924614519</v>
      </c>
      <c r="I23" s="89">
        <f t="shared" si="4"/>
        <v>0.73032396442786185</v>
      </c>
      <c r="J23" s="89">
        <f t="shared" si="4"/>
        <v>0.64405324420713639</v>
      </c>
      <c r="K23" s="89">
        <f t="shared" si="4"/>
        <v>0.56797339479157927</v>
      </c>
    </row>
    <row r="25" spans="2:11" ht="15" thickBot="1" x14ac:dyDescent="0.35">
      <c r="B25" s="70" t="s">
        <v>276</v>
      </c>
      <c r="C25" s="70"/>
      <c r="D25" s="70"/>
      <c r="E25" s="70"/>
      <c r="F25" s="157">
        <f>F23*F21</f>
        <v>1879.5547499999991</v>
      </c>
      <c r="G25" s="157">
        <f t="shared" ref="G25:K25" si="5">G23*G21</f>
        <v>1868.7387199899817</v>
      </c>
      <c r="H25" s="157">
        <f t="shared" si="5"/>
        <v>1613.634048004438</v>
      </c>
      <c r="I25" s="157">
        <f t="shared" si="5"/>
        <v>1491.1449977058144</v>
      </c>
      <c r="J25" s="157">
        <f t="shared" si="5"/>
        <v>1375.0778934136724</v>
      </c>
      <c r="K25" s="157">
        <f t="shared" si="5"/>
        <v>1265.6247297483112</v>
      </c>
    </row>
    <row r="27" spans="2:11" x14ac:dyDescent="0.3">
      <c r="B27" s="30" t="s">
        <v>308</v>
      </c>
      <c r="C27" s="66"/>
      <c r="D27" s="66"/>
      <c r="E27" s="66"/>
      <c r="F27" s="66"/>
      <c r="G27" s="66"/>
      <c r="H27" s="66"/>
      <c r="I27" s="66"/>
      <c r="J27" s="66"/>
      <c r="K27" s="66"/>
    </row>
    <row r="28" spans="2:11" ht="4.8" customHeight="1" x14ac:dyDescent="0.3"/>
    <row r="29" spans="2:11" x14ac:dyDescent="0.3">
      <c r="B29" s="158" t="s">
        <v>277</v>
      </c>
      <c r="C29" s="158"/>
      <c r="D29" s="136"/>
      <c r="E29" s="136">
        <v>5.5E-2</v>
      </c>
      <c r="G29" s="158" t="s">
        <v>299</v>
      </c>
      <c r="H29" s="158"/>
      <c r="I29" s="158"/>
      <c r="J29" s="136">
        <f>AVERAGE(HistoricalFS!C25:L25)</f>
        <v>1.6081147696039522E-2</v>
      </c>
    </row>
    <row r="30" spans="2:11" x14ac:dyDescent="0.3">
      <c r="B30" s="158" t="s">
        <v>313</v>
      </c>
      <c r="C30" s="158"/>
      <c r="D30" s="136"/>
      <c r="E30" s="136">
        <f>24%</f>
        <v>0.24</v>
      </c>
      <c r="G30" s="158" t="s">
        <v>314</v>
      </c>
      <c r="H30" s="158"/>
      <c r="I30" s="136"/>
      <c r="J30" s="136">
        <v>1.4999999999999999E-2</v>
      </c>
    </row>
    <row r="32" spans="2:11" x14ac:dyDescent="0.3">
      <c r="B32" s="30" t="s">
        <v>278</v>
      </c>
      <c r="C32" s="66"/>
      <c r="D32" s="66"/>
      <c r="E32" s="66"/>
      <c r="G32" s="30" t="s">
        <v>279</v>
      </c>
      <c r="H32" s="66"/>
      <c r="I32" s="66"/>
      <c r="J32" s="66"/>
      <c r="K32" s="66"/>
    </row>
    <row r="34" spans="2:11" x14ac:dyDescent="0.3">
      <c r="B34" t="s">
        <v>280</v>
      </c>
      <c r="E34" s="156">
        <f>K21*(1+E29)</f>
        <v>2350.8743580752389</v>
      </c>
      <c r="G34" s="159">
        <f>E45</f>
        <v>24526.692240716762</v>
      </c>
      <c r="H34" s="160">
        <v>0.12</v>
      </c>
      <c r="I34" s="160">
        <v>0.13394967108182099</v>
      </c>
      <c r="J34" s="160">
        <v>0.15</v>
      </c>
      <c r="K34" s="160">
        <v>0.18</v>
      </c>
    </row>
    <row r="35" spans="2:11" x14ac:dyDescent="0.3">
      <c r="B35" t="s">
        <v>234</v>
      </c>
      <c r="E35" s="117">
        <f>WACC!J46</f>
        <v>0.13394967108182074</v>
      </c>
      <c r="G35" s="175">
        <v>0.02</v>
      </c>
      <c r="H35" s="89">
        <f t="dataTable" ref="H35:K51" dt2D="1" dtr="1" r1="E35" r2="E36"/>
        <v>21953.499976571587</v>
      </c>
      <c r="I35" s="89">
        <v>19331.973298615743</v>
      </c>
      <c r="J35" s="89">
        <v>17013.9339940926</v>
      </c>
      <c r="K35" s="89">
        <v>13932.746003586321</v>
      </c>
    </row>
    <row r="36" spans="2:11" x14ac:dyDescent="0.3">
      <c r="B36" t="s">
        <v>281</v>
      </c>
      <c r="E36" s="117">
        <f>E29</f>
        <v>5.5E-2</v>
      </c>
      <c r="G36" s="175">
        <f>G35+0.5%</f>
        <v>2.5000000000000001E-2</v>
      </c>
      <c r="H36" s="89">
        <v>22696.510074331723</v>
      </c>
      <c r="I36" s="89">
        <v>19869.733201578347</v>
      </c>
      <c r="J36" s="89">
        <v>17399.595041501492</v>
      </c>
      <c r="K36" s="89">
        <v>14157.795844156353</v>
      </c>
    </row>
    <row r="37" spans="2:11" x14ac:dyDescent="0.3">
      <c r="G37" s="175">
        <f t="shared" ref="G37:G51" si="6">G36+0.5%</f>
        <v>3.0000000000000002E-2</v>
      </c>
      <c r="H37" s="89">
        <v>23522.076849620764</v>
      </c>
      <c r="I37" s="89">
        <v>20459.225822630968</v>
      </c>
      <c r="J37" s="89">
        <v>17817.394509527792</v>
      </c>
      <c r="K37" s="89">
        <v>14397.849007431056</v>
      </c>
    </row>
    <row r="38" spans="2:11" ht="15" thickBot="1" x14ac:dyDescent="0.35">
      <c r="B38" s="70" t="s">
        <v>282</v>
      </c>
      <c r="C38" s="70"/>
      <c r="D38" s="70"/>
      <c r="E38" s="162">
        <f>E34/(E35-E36)</f>
        <v>29776.873365803804</v>
      </c>
      <c r="G38" s="175">
        <f t="shared" si="6"/>
        <v>3.5000000000000003E-2</v>
      </c>
      <c r="H38" s="89">
        <v>24444.769127884989</v>
      </c>
      <c r="I38" s="89">
        <v>21108.293439194713</v>
      </c>
      <c r="J38" s="89">
        <v>18271.52436607812</v>
      </c>
      <c r="K38" s="89">
        <v>14654.457561276427</v>
      </c>
    </row>
    <row r="39" spans="2:11" x14ac:dyDescent="0.3">
      <c r="G39" s="175">
        <f t="shared" si="6"/>
        <v>0.04</v>
      </c>
      <c r="H39" s="89">
        <v>25482.797940932243</v>
      </c>
      <c r="I39" s="89">
        <v>21826.447792208917</v>
      </c>
      <c r="J39" s="89">
        <v>18766.938755042109</v>
      </c>
      <c r="K39" s="89">
        <v>14929.395297539326</v>
      </c>
    </row>
    <row r="40" spans="2:11" x14ac:dyDescent="0.3">
      <c r="G40" s="175">
        <f t="shared" si="6"/>
        <v>4.4999999999999998E-2</v>
      </c>
      <c r="H40" s="89">
        <v>26659.230595719124</v>
      </c>
      <c r="I40" s="89">
        <v>22625.339301896089</v>
      </c>
      <c r="J40" s="89">
        <v>19309.535466764581</v>
      </c>
      <c r="K40" s="89">
        <v>15224.698792043917</v>
      </c>
    </row>
    <row r="41" spans="2:11" x14ac:dyDescent="0.3">
      <c r="B41" s="30" t="s">
        <v>283</v>
      </c>
      <c r="C41" s="66"/>
      <c r="D41" s="66"/>
      <c r="E41" s="66"/>
      <c r="G41" s="175">
        <f t="shared" si="6"/>
        <v>4.9999999999999996E-2</v>
      </c>
      <c r="H41" s="89">
        <v>28003.725058332704</v>
      </c>
      <c r="I41" s="89">
        <v>23519.393961050344</v>
      </c>
      <c r="J41" s="89">
        <v>19906.391849659292</v>
      </c>
      <c r="K41" s="89">
        <v>15542.717939971943</v>
      </c>
    </row>
    <row r="42" spans="2:11" x14ac:dyDescent="0.3">
      <c r="G42" s="175">
        <f t="shared" si="6"/>
        <v>5.4999999999999993E-2</v>
      </c>
      <c r="H42" s="89">
        <v>29555.064822886841</v>
      </c>
      <c r="I42" s="116">
        <v>24526.692240716671</v>
      </c>
      <c r="J42" s="89">
        <v>20566.075220227136</v>
      </c>
      <c r="K42" s="89">
        <v>15886.178619734208</v>
      </c>
    </row>
    <row r="43" spans="2:11" x14ac:dyDescent="0.3">
      <c r="B43" t="s">
        <v>276</v>
      </c>
      <c r="E43" s="156">
        <f>SUM(G25:K25)</f>
        <v>7614.220388862218</v>
      </c>
      <c r="G43" s="175">
        <f t="shared" si="6"/>
        <v>5.9999999999999991E-2</v>
      </c>
      <c r="H43" s="89">
        <v>31364.96121486666</v>
      </c>
      <c r="I43" s="89">
        <v>25670.204551484207</v>
      </c>
      <c r="J43" s="89">
        <v>21299.056743080291</v>
      </c>
      <c r="K43" s="89">
        <v>16258.261022809997</v>
      </c>
    </row>
    <row r="44" spans="2:11" x14ac:dyDescent="0.3">
      <c r="B44" t="s">
        <v>284</v>
      </c>
      <c r="E44" s="89">
        <f>E38*K23</f>
        <v>16912.471851854545</v>
      </c>
      <c r="G44" s="175">
        <f t="shared" si="6"/>
        <v>6.4999999999999988E-2</v>
      </c>
      <c r="H44" s="89">
        <v>33503.929678115543</v>
      </c>
      <c r="I44" s="89">
        <v>26979.564253954384</v>
      </c>
      <c r="J44" s="89">
        <v>22118.271386269116</v>
      </c>
      <c r="K44" s="89">
        <v>16662.698417457592</v>
      </c>
    </row>
    <row r="45" spans="2:11" x14ac:dyDescent="0.3">
      <c r="B45" s="12" t="s">
        <v>285</v>
      </c>
      <c r="C45" s="12"/>
      <c r="D45" s="12"/>
      <c r="E45" s="164">
        <f>SUM(E43:E44)</f>
        <v>24526.692240716762</v>
      </c>
      <c r="G45" s="175">
        <f t="shared" si="6"/>
        <v>6.9999999999999993E-2</v>
      </c>
      <c r="H45" s="89">
        <v>36070.6918340142</v>
      </c>
      <c r="I45" s="89">
        <v>28493.672421947544</v>
      </c>
      <c r="J45" s="89">
        <v>23039.887859856542</v>
      </c>
      <c r="K45" s="89">
        <v>17103.902847982241</v>
      </c>
    </row>
    <row r="46" spans="2:11" x14ac:dyDescent="0.3">
      <c r="G46" s="175">
        <f t="shared" si="6"/>
        <v>7.4999999999999997E-2</v>
      </c>
      <c r="H46" s="89">
        <v>39207.84558011256</v>
      </c>
      <c r="I46" s="89">
        <v>30264.628192345746</v>
      </c>
      <c r="J46" s="89">
        <v>24084.386529922293</v>
      </c>
      <c r="K46" s="89">
        <v>17587.126748080671</v>
      </c>
    </row>
    <row r="47" spans="2:11" x14ac:dyDescent="0.3">
      <c r="B47" t="s">
        <v>286</v>
      </c>
      <c r="E47">
        <f>'Data Sheet'!K69</f>
        <v>546.94000000000005</v>
      </c>
      <c r="G47" s="175">
        <f t="shared" si="6"/>
        <v>0.08</v>
      </c>
      <c r="H47" s="89">
        <v>43129.287762735512</v>
      </c>
      <c r="I47" s="89">
        <v>32363.844679609545</v>
      </c>
      <c r="J47" s="89">
        <v>25278.099295711727</v>
      </c>
      <c r="K47" s="89">
        <v>18118.673038188936</v>
      </c>
    </row>
    <row r="48" spans="2:11" x14ac:dyDescent="0.3">
      <c r="B48" t="s">
        <v>287</v>
      </c>
      <c r="E48">
        <f>SUM('Raw FS'!N5:N6)</f>
        <v>3155</v>
      </c>
      <c r="G48" s="175">
        <f t="shared" si="6"/>
        <v>8.5000000000000006E-2</v>
      </c>
      <c r="H48" s="89">
        <v>48171.141997536455</v>
      </c>
      <c r="I48" s="89">
        <v>34891.913177697876</v>
      </c>
      <c r="J48" s="89">
        <v>26655.460179314916</v>
      </c>
      <c r="K48" s="89">
        <v>18706.171569361235</v>
      </c>
    </row>
    <row r="49" spans="2:11" x14ac:dyDescent="0.3">
      <c r="B49" s="12" t="s">
        <v>288</v>
      </c>
      <c r="C49" s="12"/>
      <c r="D49" s="12"/>
      <c r="E49" s="164">
        <f>E45+E47-E48</f>
        <v>21918.632240716761</v>
      </c>
      <c r="G49" s="175">
        <f t="shared" si="6"/>
        <v>9.0000000000000011E-2</v>
      </c>
      <c r="H49" s="89">
        <v>54893.614310604367</v>
      </c>
      <c r="I49" s="89">
        <v>37995.200656010609</v>
      </c>
      <c r="J49" s="89">
        <v>28262.3812101853</v>
      </c>
      <c r="K49" s="89">
        <v>19358.947715108232</v>
      </c>
    </row>
    <row r="50" spans="2:11" x14ac:dyDescent="0.3">
      <c r="B50" t="s">
        <v>289</v>
      </c>
      <c r="E50" s="156">
        <f>'Data Sheet'!B6</f>
        <v>102.29245023255815</v>
      </c>
      <c r="G50" s="175">
        <f t="shared" si="6"/>
        <v>9.5000000000000015E-2</v>
      </c>
      <c r="H50" s="89">
        <v>64305.075548899476</v>
      </c>
      <c r="I50" s="89">
        <v>41895.231057208039</v>
      </c>
      <c r="J50" s="89">
        <v>30161.46970121394</v>
      </c>
      <c r="K50" s="89">
        <v>20088.521054472523</v>
      </c>
    </row>
    <row r="51" spans="2:11" x14ac:dyDescent="0.3">
      <c r="B51" t="s">
        <v>290</v>
      </c>
      <c r="E51" s="163">
        <f>E49/E50</f>
        <v>214.2741931675852</v>
      </c>
      <c r="G51" s="175">
        <f t="shared" si="6"/>
        <v>0.10000000000000002</v>
      </c>
      <c r="H51" s="89">
        <v>78422.267406342129</v>
      </c>
      <c r="I51" s="89">
        <v>46944.029701784937</v>
      </c>
      <c r="J51" s="89">
        <v>32440.375890448311</v>
      </c>
      <c r="K51" s="89">
        <v>20909.291061257351</v>
      </c>
    </row>
  </sheetData>
  <mergeCells count="3">
    <mergeCell ref="B2:G2"/>
    <mergeCell ref="B3:E3"/>
    <mergeCell ref="B5:K5"/>
  </mergeCells>
  <pageMargins left="0.25" right="0.25" top="0.75" bottom="0.75" header="0.3" footer="0.3"/>
  <pageSetup paperSize="9" scale="95" fitToWidth="0" orientation="portrait" r:id="rId1"/>
  <ignoredErrors>
    <ignoredError sqref="E48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B3FA-89FC-4093-BDBF-E82C3E4B139A}">
  <sheetPr>
    <pageSetUpPr fitToPage="1"/>
  </sheetPr>
  <dimension ref="B1:K58"/>
  <sheetViews>
    <sheetView showGridLines="0" topLeftCell="A29" zoomScale="81" zoomScaleNormal="55" workbookViewId="0">
      <selection activeCell="E51" sqref="E51"/>
    </sheetView>
  </sheetViews>
  <sheetFormatPr defaultRowHeight="14.4" x14ac:dyDescent="0.3"/>
  <cols>
    <col min="1" max="1" width="1.88671875" customWidth="1"/>
    <col min="4" max="4" width="9" customWidth="1"/>
    <col min="5" max="5" width="10.5546875" bestFit="1" customWidth="1"/>
    <col min="6" max="6" width="11" bestFit="1" customWidth="1"/>
    <col min="7" max="7" width="11.88671875" customWidth="1"/>
    <col min="8" max="11" width="10" bestFit="1" customWidth="1"/>
  </cols>
  <sheetData>
    <row r="1" spans="2:11" ht="15" thickBot="1" x14ac:dyDescent="0.35"/>
    <row r="2" spans="2:11" ht="29.4" customHeight="1" thickTop="1" x14ac:dyDescent="0.4">
      <c r="B2" s="193" t="str">
        <f>'[2]Data Sheet'!B1</f>
        <v>GODREJ CONSUMER PRODUCTS LTD</v>
      </c>
      <c r="C2" s="193"/>
      <c r="D2" s="193"/>
      <c r="E2" s="193"/>
      <c r="F2" s="193"/>
      <c r="G2" s="193"/>
      <c r="H2" s="81"/>
      <c r="I2" s="81"/>
      <c r="J2" s="81"/>
      <c r="K2" s="81"/>
    </row>
    <row r="3" spans="2:11" ht="16.2" thickBot="1" x14ac:dyDescent="0.35">
      <c r="B3" s="194" t="s">
        <v>176</v>
      </c>
      <c r="C3" s="194"/>
      <c r="D3" s="194"/>
      <c r="E3" s="194"/>
      <c r="F3" s="82"/>
      <c r="G3" s="82"/>
      <c r="H3" s="82"/>
      <c r="I3" s="82"/>
      <c r="J3" s="82"/>
      <c r="K3" s="82"/>
    </row>
    <row r="4" spans="2:11" ht="8.4" customHeight="1" thickTop="1" x14ac:dyDescent="0.3">
      <c r="B4" s="85"/>
      <c r="C4" s="85"/>
      <c r="D4" s="85"/>
      <c r="E4" s="85"/>
      <c r="F4" s="83"/>
      <c r="G4" s="166">
        <v>11</v>
      </c>
      <c r="H4" s="166">
        <v>12</v>
      </c>
      <c r="I4" s="166">
        <v>13</v>
      </c>
      <c r="J4" s="166">
        <v>14</v>
      </c>
      <c r="K4" s="166">
        <v>15</v>
      </c>
    </row>
    <row r="5" spans="2:11" ht="21" x14ac:dyDescent="0.4">
      <c r="B5" s="192" t="s">
        <v>302</v>
      </c>
      <c r="C5" s="192"/>
      <c r="D5" s="192"/>
      <c r="E5" s="192"/>
      <c r="F5" s="192"/>
      <c r="G5" s="192"/>
      <c r="H5" s="192"/>
      <c r="I5" s="192"/>
      <c r="J5" s="192"/>
      <c r="K5" s="192"/>
    </row>
    <row r="6" spans="2:11" ht="7.8" customHeight="1" x14ac:dyDescent="0.3">
      <c r="F6" s="155">
        <v>0</v>
      </c>
      <c r="G6" s="155">
        <v>0.5</v>
      </c>
      <c r="H6" s="155">
        <v>1.5</v>
      </c>
      <c r="I6" s="155">
        <v>2.5</v>
      </c>
      <c r="J6" s="155">
        <v>3.5</v>
      </c>
      <c r="K6" s="155">
        <v>4.5</v>
      </c>
    </row>
    <row r="7" spans="2:11" x14ac:dyDescent="0.3">
      <c r="B7" s="30" t="s">
        <v>303</v>
      </c>
      <c r="C7" s="66"/>
      <c r="D7" s="66"/>
      <c r="E7" s="66"/>
      <c r="F7" s="31">
        <f>'[2]Data Sheet'!K16</f>
        <v>45382</v>
      </c>
      <c r="G7" s="186">
        <f>F7+365</f>
        <v>45747</v>
      </c>
      <c r="H7" s="186">
        <f t="shared" ref="H7:K7" si="0">G7+365</f>
        <v>46112</v>
      </c>
      <c r="I7" s="186">
        <f t="shared" si="0"/>
        <v>46477</v>
      </c>
      <c r="J7" s="186">
        <f t="shared" si="0"/>
        <v>46842</v>
      </c>
      <c r="K7" s="186">
        <f t="shared" si="0"/>
        <v>47207</v>
      </c>
    </row>
    <row r="9" spans="2:11" x14ac:dyDescent="0.3">
      <c r="B9" t="s">
        <v>172</v>
      </c>
      <c r="F9" s="156">
        <f>HistoricalFS!L21-HistoricalFS!L24</f>
        <v>2716.3599999999997</v>
      </c>
      <c r="G9" s="156">
        <f>FORECAST(G4,HistoricalFS!$C$27:$L$27,HistoricalFS!$C$7:$L$7)</f>
        <v>2656.4879999999994</v>
      </c>
      <c r="H9" s="156">
        <f>FORECAST(H4,HistoricalFS!$C$27:$L$27,HistoricalFS!$C$7:$L$7)</f>
        <v>2779.9445454545448</v>
      </c>
      <c r="I9" s="156">
        <f>FORECAST(I4,HistoricalFS!$C$27:$L$27,HistoricalFS!$C$7:$L$7)</f>
        <v>2903.4010909090903</v>
      </c>
      <c r="J9" s="156">
        <f>FORECAST(J4,HistoricalFS!$C$27:$L$27,HistoricalFS!$C$7:$L$7)</f>
        <v>3026.8576363636357</v>
      </c>
      <c r="K9" s="156">
        <f>FORECAST(K4,HistoricalFS!$C$27:$L$27,HistoricalFS!$C$7:$L$7)</f>
        <v>3150.3141818181812</v>
      </c>
    </row>
    <row r="11" spans="2:11" x14ac:dyDescent="0.3">
      <c r="B11" t="s">
        <v>218</v>
      </c>
      <c r="F11" s="117">
        <v>0.25</v>
      </c>
      <c r="G11" s="117">
        <f>F11</f>
        <v>0.25</v>
      </c>
      <c r="H11" s="117">
        <f t="shared" ref="H11:K11" si="1">G11</f>
        <v>0.25</v>
      </c>
      <c r="I11" s="117">
        <f t="shared" si="1"/>
        <v>0.25</v>
      </c>
      <c r="J11" s="117">
        <f t="shared" si="1"/>
        <v>0.25</v>
      </c>
      <c r="K11" s="117">
        <f t="shared" si="1"/>
        <v>0.25</v>
      </c>
    </row>
    <row r="13" spans="2:11" x14ac:dyDescent="0.3">
      <c r="B13" t="s">
        <v>292</v>
      </c>
      <c r="F13" s="156">
        <f>F9*(1-F11)</f>
        <v>2037.2699999999998</v>
      </c>
      <c r="G13" s="156">
        <f t="shared" ref="G13:K13" si="2">G9*(1-G11)</f>
        <v>1992.3659999999995</v>
      </c>
      <c r="H13" s="156">
        <f t="shared" si="2"/>
        <v>2084.9584090909084</v>
      </c>
      <c r="I13" s="156">
        <f t="shared" si="2"/>
        <v>2177.5508181818177</v>
      </c>
      <c r="J13" s="156">
        <f t="shared" si="2"/>
        <v>2270.143227272727</v>
      </c>
      <c r="K13" s="156">
        <f t="shared" si="2"/>
        <v>2362.7356363636359</v>
      </c>
    </row>
    <row r="15" spans="2:11" x14ac:dyDescent="0.3">
      <c r="B15" t="s">
        <v>293</v>
      </c>
      <c r="F15" s="89">
        <f>HistoricalFS!L24</f>
        <v>240.96</v>
      </c>
      <c r="G15" s="89" cm="1">
        <f t="array" ref="G15:K15">TRANSPOSE(Forcasting!D19:D23)*CCF!$J$36</f>
        <v>227.86899447090443</v>
      </c>
      <c r="H15" s="89">
        <v>238.08629785183496</v>
      </c>
      <c r="I15" s="89">
        <v>248.30360123276546</v>
      </c>
      <c r="J15" s="89">
        <v>258.52090461369596</v>
      </c>
      <c r="K15" s="89">
        <v>268.73820799462646</v>
      </c>
    </row>
    <row r="16" spans="2:11" x14ac:dyDescent="0.3">
      <c r="F16" s="117"/>
      <c r="G16" s="117"/>
      <c r="H16" s="117"/>
      <c r="I16" s="117"/>
      <c r="J16" s="117"/>
      <c r="K16" s="117"/>
    </row>
    <row r="17" spans="2:11" x14ac:dyDescent="0.3">
      <c r="B17" t="s">
        <v>300</v>
      </c>
      <c r="F17" s="89">
        <f>E36*(HistoricalFS!L9-HistoricalFS!K9)</f>
        <v>187.23360000000028</v>
      </c>
      <c r="G17" s="89">
        <f>E36*(Forcasting!D19-Forcasting!D18)</f>
        <v>17.72063999999984</v>
      </c>
      <c r="H17" s="89">
        <f>E36*(Forcasting!D20-Forcasting!D19)</f>
        <v>152.48618181818222</v>
      </c>
      <c r="I17" s="89">
        <f>E36*(Forcasting!D21-Forcasting!D20)</f>
        <v>152.48618181818179</v>
      </c>
      <c r="J17" s="89">
        <f>E36*(Forcasting!D22-Forcasting!D21)</f>
        <v>152.48618181818179</v>
      </c>
      <c r="K17" s="89">
        <f>E36*(Forcasting!D23-Forcasting!D22)</f>
        <v>152.48618181818222</v>
      </c>
    </row>
    <row r="18" spans="2:11" x14ac:dyDescent="0.3">
      <c r="F18" s="117"/>
      <c r="G18" s="117"/>
      <c r="H18" s="117"/>
      <c r="I18" s="117"/>
      <c r="J18" s="117"/>
      <c r="K18" s="117"/>
    </row>
    <row r="19" spans="2:11" x14ac:dyDescent="0.3">
      <c r="B19" t="s">
        <v>301</v>
      </c>
      <c r="F19" s="89">
        <f>E37*HistoricalFS!L9</f>
        <v>211.44165000000001</v>
      </c>
      <c r="G19" s="89">
        <f>E37*Forcasting!D19</f>
        <v>212.54918999999998</v>
      </c>
      <c r="H19" s="89">
        <f>E37*Forcasting!D20</f>
        <v>222.07957636363639</v>
      </c>
      <c r="I19" s="89">
        <f>E37*Forcasting!D21</f>
        <v>231.60996272727274</v>
      </c>
      <c r="J19" s="89">
        <f>E37*Forcasting!D22</f>
        <v>241.1403490909091</v>
      </c>
      <c r="K19" s="89">
        <f>E37*Forcasting!D23</f>
        <v>250.67073545454548</v>
      </c>
    </row>
    <row r="21" spans="2:11" ht="15" thickBot="1" x14ac:dyDescent="0.35">
      <c r="B21" s="70" t="s">
        <v>274</v>
      </c>
      <c r="C21" s="70"/>
      <c r="D21" s="70"/>
      <c r="E21" s="70"/>
      <c r="F21" s="157">
        <f>F13+F15-F17-F19</f>
        <v>1879.5547499999991</v>
      </c>
      <c r="G21" s="157">
        <f t="shared" ref="G21:K21" si="3">G13+G15-G17-G19</f>
        <v>1989.965164470904</v>
      </c>
      <c r="H21" s="157">
        <f t="shared" si="3"/>
        <v>1948.4789487609248</v>
      </c>
      <c r="I21" s="157">
        <f t="shared" si="3"/>
        <v>2041.7582748691291</v>
      </c>
      <c r="J21" s="157">
        <f t="shared" si="3"/>
        <v>2135.0376009773322</v>
      </c>
      <c r="K21" s="157">
        <f t="shared" si="3"/>
        <v>2228.3169270855346</v>
      </c>
    </row>
    <row r="22" spans="2:11" x14ac:dyDescent="0.3">
      <c r="B22" s="12"/>
      <c r="C22" s="12"/>
      <c r="D22" s="12"/>
      <c r="E22" s="12"/>
      <c r="F22" s="164"/>
      <c r="G22" s="164"/>
      <c r="H22" s="164"/>
      <c r="I22" s="164"/>
      <c r="J22" s="164"/>
      <c r="K22" s="164"/>
    </row>
    <row r="23" spans="2:11" x14ac:dyDescent="0.3">
      <c r="B23" t="s">
        <v>304</v>
      </c>
      <c r="F23" s="89">
        <f>HistoricalFS!L30</f>
        <v>309.57</v>
      </c>
      <c r="G23" s="89" cm="1">
        <f t="array" ref="G23:K23">TRANSPOSE(Forcasting!D19:D23)*CCF!$J$35</f>
        <v>237.60081551050411</v>
      </c>
      <c r="H23" s="89">
        <v>248.25447912658373</v>
      </c>
      <c r="I23" s="89">
        <v>258.9081427426633</v>
      </c>
      <c r="J23" s="89">
        <v>269.5618063587429</v>
      </c>
      <c r="K23" s="89">
        <v>280.21546997482255</v>
      </c>
    </row>
    <row r="24" spans="2:11" x14ac:dyDescent="0.3">
      <c r="F24" s="89"/>
      <c r="G24" s="89"/>
      <c r="H24" s="89"/>
      <c r="I24" s="89"/>
      <c r="J24" s="89"/>
      <c r="K24" s="89"/>
    </row>
    <row r="25" spans="2:11" x14ac:dyDescent="0.3">
      <c r="B25" t="s">
        <v>305</v>
      </c>
      <c r="F25" s="89">
        <f>F23*F11</f>
        <v>77.392499999999998</v>
      </c>
      <c r="G25" s="89">
        <f t="shared" ref="G25:K25" si="4">G23*G11</f>
        <v>59.400203877626026</v>
      </c>
      <c r="H25" s="89">
        <f t="shared" si="4"/>
        <v>62.063619781645933</v>
      </c>
      <c r="I25" s="89">
        <f t="shared" si="4"/>
        <v>64.727035685665825</v>
      </c>
      <c r="J25" s="89">
        <f t="shared" si="4"/>
        <v>67.390451589685725</v>
      </c>
      <c r="K25" s="89">
        <f t="shared" si="4"/>
        <v>70.053867493705638</v>
      </c>
    </row>
    <row r="27" spans="2:11" ht="15" thickBot="1" x14ac:dyDescent="0.35">
      <c r="B27" s="70" t="s">
        <v>306</v>
      </c>
      <c r="C27" s="70"/>
      <c r="D27" s="70"/>
      <c r="E27" s="70"/>
      <c r="F27" s="157">
        <f>F21+F25</f>
        <v>1956.947249999999</v>
      </c>
      <c r="G27" s="157">
        <f t="shared" ref="G27:K27" si="5">G21+G25</f>
        <v>2049.36536834853</v>
      </c>
      <c r="H27" s="157">
        <f t="shared" si="5"/>
        <v>2010.5425685425707</v>
      </c>
      <c r="I27" s="157">
        <f t="shared" si="5"/>
        <v>2106.485310554795</v>
      </c>
      <c r="J27" s="157">
        <f t="shared" si="5"/>
        <v>2202.4280525670179</v>
      </c>
      <c r="K27" s="157">
        <f t="shared" si="5"/>
        <v>2298.3707945792403</v>
      </c>
    </row>
    <row r="29" spans="2:11" x14ac:dyDescent="0.3">
      <c r="B29" t="s">
        <v>275</v>
      </c>
      <c r="F29" s="89">
        <f t="shared" ref="F29:K29" si="6">1/(1+$E$42)^F6</f>
        <v>1</v>
      </c>
      <c r="G29" s="89">
        <f t="shared" si="6"/>
        <v>0.93908112230037244</v>
      </c>
      <c r="H29" s="89">
        <f t="shared" si="6"/>
        <v>0.82815061924614519</v>
      </c>
      <c r="I29" s="89">
        <f t="shared" si="6"/>
        <v>0.73032396442786185</v>
      </c>
      <c r="J29" s="89">
        <f t="shared" si="6"/>
        <v>0.64405324420713639</v>
      </c>
      <c r="K29" s="89">
        <f t="shared" si="6"/>
        <v>0.56797339479157927</v>
      </c>
    </row>
    <row r="31" spans="2:11" ht="15" thickBot="1" x14ac:dyDescent="0.35">
      <c r="B31" s="70" t="s">
        <v>307</v>
      </c>
      <c r="C31" s="70"/>
      <c r="D31" s="70"/>
      <c r="E31" s="70"/>
      <c r="F31" s="157">
        <f>F29*F27</f>
        <v>1956.947249999999</v>
      </c>
      <c r="G31" s="157">
        <f t="shared" ref="G31:K31" si="7">G29*G27</f>
        <v>1924.5203301122538</v>
      </c>
      <c r="H31" s="157">
        <f t="shared" si="7"/>
        <v>1665.0320731592653</v>
      </c>
      <c r="I31" s="157">
        <f t="shared" si="7"/>
        <v>1538.4167030134336</v>
      </c>
      <c r="J31" s="157">
        <f t="shared" si="7"/>
        <v>1418.4809323885934</v>
      </c>
      <c r="K31" s="157">
        <f t="shared" si="7"/>
        <v>1305.4134626869907</v>
      </c>
    </row>
    <row r="33" spans="2:11" x14ac:dyDescent="0.3">
      <c r="B33" s="30" t="s">
        <v>308</v>
      </c>
      <c r="C33" s="66"/>
      <c r="D33" s="66"/>
      <c r="E33" s="66"/>
      <c r="F33" s="66"/>
      <c r="G33" s="66"/>
      <c r="H33" s="66"/>
      <c r="I33" s="66"/>
      <c r="J33" s="66"/>
      <c r="K33" s="66"/>
    </row>
    <row r="34" spans="2:11" ht="5.4" customHeight="1" x14ac:dyDescent="0.3"/>
    <row r="35" spans="2:11" x14ac:dyDescent="0.3">
      <c r="B35" s="158" t="s">
        <v>277</v>
      </c>
      <c r="C35" s="158"/>
      <c r="D35" s="136"/>
      <c r="E35" s="136">
        <v>5.5E-2</v>
      </c>
      <c r="G35" s="158" t="s">
        <v>315</v>
      </c>
      <c r="H35" s="158"/>
      <c r="I35" s="136"/>
      <c r="J35" s="136">
        <f>AVERAGE(HistoricalFS!C31:L31)</f>
        <v>1.67679407889419E-2</v>
      </c>
    </row>
    <row r="36" spans="2:11" x14ac:dyDescent="0.3">
      <c r="B36" s="158" t="s">
        <v>313</v>
      </c>
      <c r="C36" s="158"/>
      <c r="D36" s="136"/>
      <c r="E36" s="136">
        <f>24%</f>
        <v>0.24</v>
      </c>
      <c r="G36" s="158" t="s">
        <v>299</v>
      </c>
      <c r="H36" s="158"/>
      <c r="I36" s="158"/>
      <c r="J36" s="136">
        <f>AVERAGE(HistoricalFS!C25:L25)</f>
        <v>1.6081147696039522E-2</v>
      </c>
    </row>
    <row r="37" spans="2:11" x14ac:dyDescent="0.3">
      <c r="B37" s="158" t="s">
        <v>314</v>
      </c>
      <c r="C37" s="158"/>
      <c r="D37" s="136"/>
      <c r="E37" s="136">
        <v>1.4999999999999999E-2</v>
      </c>
    </row>
    <row r="39" spans="2:11" x14ac:dyDescent="0.3">
      <c r="B39" s="30" t="s">
        <v>278</v>
      </c>
      <c r="C39" s="66"/>
      <c r="D39" s="66"/>
      <c r="E39" s="66"/>
      <c r="G39" s="30" t="s">
        <v>279</v>
      </c>
      <c r="H39" s="66"/>
      <c r="I39" s="66"/>
      <c r="J39" s="66"/>
      <c r="K39" s="66"/>
    </row>
    <row r="41" spans="2:11" x14ac:dyDescent="0.3">
      <c r="B41" t="s">
        <v>312</v>
      </c>
      <c r="E41" s="156">
        <f>K27*(1+E35)</f>
        <v>2424.7811882810984</v>
      </c>
      <c r="G41" s="159">
        <f>E52</f>
        <v>25296.029946430084</v>
      </c>
      <c r="H41" s="160">
        <v>0.12</v>
      </c>
      <c r="I41" s="160">
        <v>0.13394967108182099</v>
      </c>
      <c r="J41" s="160">
        <v>0.15</v>
      </c>
      <c r="K41" s="160">
        <v>0.18</v>
      </c>
    </row>
    <row r="42" spans="2:11" x14ac:dyDescent="0.3">
      <c r="B42" t="s">
        <v>234</v>
      </c>
      <c r="E42" s="117">
        <f>WACC!J46</f>
        <v>0.13394967108182074</v>
      </c>
      <c r="G42" s="175">
        <v>0.02</v>
      </c>
      <c r="H42" s="89">
        <f t="dataTable" ref="H42:K58" dt2D="1" dtr="1" r1="E42" r2="E43"/>
        <v>22641.955749366894</v>
      </c>
      <c r="I42" s="89">
        <v>19937.999337117992</v>
      </c>
      <c r="J42" s="89">
        <v>17547.070416113824</v>
      </c>
      <c r="K42" s="89">
        <v>14368.99099759505</v>
      </c>
    </row>
    <row r="43" spans="2:11" x14ac:dyDescent="0.3">
      <c r="B43" t="s">
        <v>281</v>
      </c>
      <c r="E43" s="117">
        <f>E35</f>
        <v>5.5E-2</v>
      </c>
      <c r="G43" s="175">
        <f>G42+0.5%</f>
        <v>2.5000000000000001E-2</v>
      </c>
      <c r="H43" s="89">
        <v>23408.324611898002</v>
      </c>
      <c r="I43" s="89">
        <v>20492.665345548656</v>
      </c>
      <c r="J43" s="89">
        <v>17944.855882443684</v>
      </c>
      <c r="K43" s="89">
        <v>14601.115959086681</v>
      </c>
    </row>
    <row r="44" spans="2:11" x14ac:dyDescent="0.3">
      <c r="G44" s="175">
        <f t="shared" ref="G44:G58" si="8">G43+0.5%</f>
        <v>3.0000000000000002E-2</v>
      </c>
      <c r="H44" s="89">
        <v>24259.845570265908</v>
      </c>
      <c r="I44" s="89">
        <v>21100.690446187902</v>
      </c>
      <c r="J44" s="89">
        <v>18375.790137634365</v>
      </c>
      <c r="K44" s="89">
        <v>14848.715918011087</v>
      </c>
    </row>
    <row r="45" spans="2:11" ht="15" thickBot="1" x14ac:dyDescent="0.35">
      <c r="B45" s="70" t="s">
        <v>282</v>
      </c>
      <c r="C45" s="70"/>
      <c r="D45" s="70"/>
      <c r="E45" s="162">
        <f>E41/(E42-E43)</f>
        <v>30712.999244393784</v>
      </c>
      <c r="G45" s="175">
        <f t="shared" si="8"/>
        <v>3.5000000000000003E-2</v>
      </c>
      <c r="H45" s="89">
        <v>25211.545464912389</v>
      </c>
      <c r="I45" s="89">
        <v>21770.163462114957</v>
      </c>
      <c r="J45" s="89">
        <v>18844.19693675467</v>
      </c>
      <c r="K45" s="89">
        <v>15113.391736171659</v>
      </c>
    </row>
    <row r="46" spans="2:11" x14ac:dyDescent="0.3">
      <c r="G46" s="175">
        <f t="shared" si="8"/>
        <v>0.04</v>
      </c>
      <c r="H46" s="89">
        <v>26282.207846389683</v>
      </c>
      <c r="I46" s="89">
        <v>22510.895164551308</v>
      </c>
      <c r="J46" s="89">
        <v>19355.186172158639</v>
      </c>
      <c r="K46" s="89">
        <v>15396.97296991513</v>
      </c>
    </row>
    <row r="47" spans="2:11" x14ac:dyDescent="0.3">
      <c r="G47" s="175">
        <f t="shared" si="8"/>
        <v>4.4999999999999998E-2</v>
      </c>
      <c r="H47" s="89">
        <v>27495.625212063944</v>
      </c>
      <c r="I47" s="89">
        <v>23334.902239839226</v>
      </c>
      <c r="J47" s="89">
        <v>19914.841049029652</v>
      </c>
      <c r="K47" s="89">
        <v>15701.56022097293</v>
      </c>
    </row>
    <row r="48" spans="2:11" x14ac:dyDescent="0.3">
      <c r="B48" s="30" t="s">
        <v>283</v>
      </c>
      <c r="C48" s="66"/>
      <c r="D48" s="66"/>
      <c r="E48" s="66"/>
      <c r="G48" s="175">
        <f t="shared" si="8"/>
        <v>4.9999999999999996E-2</v>
      </c>
      <c r="H48" s="89">
        <v>28882.387915691666</v>
      </c>
      <c r="I48" s="89">
        <v>24257.06420539286</v>
      </c>
      <c r="J48" s="89">
        <v>20530.461413587767</v>
      </c>
      <c r="K48" s="89">
        <v>16029.577260573638</v>
      </c>
    </row>
    <row r="49" spans="2:11" x14ac:dyDescent="0.3">
      <c r="G49" s="175">
        <f t="shared" si="8"/>
        <v>5.4999999999999993E-2</v>
      </c>
      <c r="H49" s="89">
        <v>30482.498727569819</v>
      </c>
      <c r="I49" s="116">
        <v>25296.02994642999</v>
      </c>
      <c r="J49" s="89">
        <v>21210.883921783578</v>
      </c>
      <c r="K49" s="89">
        <v>16383.835663342405</v>
      </c>
    </row>
    <row r="50" spans="2:11" x14ac:dyDescent="0.3">
      <c r="B50" t="s">
        <v>307</v>
      </c>
      <c r="E50" s="156">
        <f>SUM(G31:K31)</f>
        <v>7851.8635013605362</v>
      </c>
      <c r="G50" s="175">
        <f t="shared" si="8"/>
        <v>5.9999999999999991E-2</v>
      </c>
      <c r="H50" s="89">
        <v>32349.294674760989</v>
      </c>
      <c r="I50" s="89">
        <v>26475.492017719567</v>
      </c>
      <c r="J50" s="89">
        <v>21966.908930890037</v>
      </c>
      <c r="K50" s="89">
        <v>16767.615599675235</v>
      </c>
    </row>
    <row r="51" spans="2:11" x14ac:dyDescent="0.3">
      <c r="B51" t="s">
        <v>284</v>
      </c>
      <c r="E51" s="89">
        <f>E45*K29</f>
        <v>17444.166445069546</v>
      </c>
      <c r="G51" s="175">
        <f t="shared" si="8"/>
        <v>6.4999999999999988E-2</v>
      </c>
      <c r="H51" s="89">
        <v>34555.508066896007</v>
      </c>
      <c r="I51" s="89">
        <v>27826.015393984751</v>
      </c>
      <c r="J51" s="89">
        <v>22811.878058714901</v>
      </c>
      <c r="K51" s="89">
        <v>17184.767704384831</v>
      </c>
    </row>
    <row r="52" spans="2:11" x14ac:dyDescent="0.3">
      <c r="B52" s="12" t="s">
        <v>285</v>
      </c>
      <c r="C52" s="12"/>
      <c r="D52" s="12"/>
      <c r="E52" s="164">
        <f>SUM(E50:E51)</f>
        <v>25296.029946430084</v>
      </c>
      <c r="G52" s="175">
        <f t="shared" si="8"/>
        <v>6.9999999999999993E-2</v>
      </c>
      <c r="H52" s="89">
        <v>37202.964137458039</v>
      </c>
      <c r="I52" s="89">
        <v>29387.724121701911</v>
      </c>
      <c r="J52" s="89">
        <v>23762.468327517872</v>
      </c>
      <c r="K52" s="89">
        <v>17639.842727704388</v>
      </c>
    </row>
    <row r="53" spans="2:11" x14ac:dyDescent="0.3">
      <c r="G53" s="175">
        <f t="shared" si="8"/>
        <v>7.4999999999999997E-2</v>
      </c>
      <c r="H53" s="89">
        <v>40438.743779256074</v>
      </c>
      <c r="I53" s="89">
        <v>31214.355231352209</v>
      </c>
      <c r="J53" s="89">
        <v>24839.803965494575</v>
      </c>
      <c r="K53" s="89">
        <v>18138.258229435338</v>
      </c>
    </row>
    <row r="54" spans="2:11" x14ac:dyDescent="0.3">
      <c r="B54" t="s">
        <v>286</v>
      </c>
      <c r="E54">
        <f>'Data Sheet'!K69</f>
        <v>546.94000000000005</v>
      </c>
      <c r="G54" s="175">
        <f t="shared" si="8"/>
        <v>0.08</v>
      </c>
      <c r="H54" s="89">
        <v>44483.468331503624</v>
      </c>
      <c r="I54" s="89">
        <v>33379.566924168626</v>
      </c>
      <c r="J54" s="89">
        <v>26071.044694610806</v>
      </c>
      <c r="K54" s="89">
        <v>18686.51528133938</v>
      </c>
    </row>
    <row r="55" spans="2:11" x14ac:dyDescent="0.3">
      <c r="B55" t="s">
        <v>287</v>
      </c>
      <c r="E55">
        <f>SUM('Raw FS'!N5:N6)</f>
        <v>3155</v>
      </c>
      <c r="G55" s="175">
        <f t="shared" si="8"/>
        <v>8.5000000000000006E-2</v>
      </c>
      <c r="H55" s="89">
        <v>49683.828470107612</v>
      </c>
      <c r="I55" s="89">
        <v>35987.112885012546</v>
      </c>
      <c r="J55" s="89">
        <v>27491.707074360307</v>
      </c>
      <c r="K55" s="89">
        <v>19292.4836018649</v>
      </c>
    </row>
    <row r="56" spans="2:11" x14ac:dyDescent="0.3">
      <c r="B56" s="12" t="s">
        <v>288</v>
      </c>
      <c r="C56" s="12"/>
      <c r="D56" s="12"/>
      <c r="E56" s="164">
        <f>E52+E54-E55</f>
        <v>22687.969946430083</v>
      </c>
      <c r="G56" s="175">
        <f t="shared" si="8"/>
        <v>9.0000000000000011E-2</v>
      </c>
      <c r="H56" s="89">
        <v>56617.641988246265</v>
      </c>
      <c r="I56" s="89">
        <v>39187.961570691295</v>
      </c>
      <c r="J56" s="89">
        <v>29149.146517401387</v>
      </c>
      <c r="K56" s="89">
        <v>19965.781735782144</v>
      </c>
    </row>
    <row r="57" spans="2:11" x14ac:dyDescent="0.3">
      <c r="B57" t="s">
        <v>289</v>
      </c>
      <c r="E57" s="156">
        <f>'Data Sheet'!B6</f>
        <v>102.29245023255815</v>
      </c>
      <c r="G57" s="175">
        <f t="shared" si="8"/>
        <v>9.5000000000000015E-2</v>
      </c>
      <c r="H57" s="89">
        <v>66324.980913640378</v>
      </c>
      <c r="I57" s="89">
        <v>43210.601197545082</v>
      </c>
      <c r="J57" s="89">
        <v>31107.938586449942</v>
      </c>
      <c r="K57" s="89">
        <v>20718.291414866126</v>
      </c>
    </row>
    <row r="58" spans="2:11" x14ac:dyDescent="0.3">
      <c r="B58" t="s">
        <v>290</v>
      </c>
      <c r="E58" s="163">
        <f>E56/E57</f>
        <v>221.79515589713426</v>
      </c>
      <c r="G58" s="175">
        <f t="shared" si="8"/>
        <v>0.10000000000000002</v>
      </c>
      <c r="H58" s="89">
        <v>80885.989301731577</v>
      </c>
      <c r="I58" s="89">
        <v>48418.124064404037</v>
      </c>
      <c r="J58" s="89">
        <v>33458.489069308198</v>
      </c>
      <c r="K58" s="89">
        <v>21564.864803835604</v>
      </c>
    </row>
  </sheetData>
  <mergeCells count="3">
    <mergeCell ref="B2:G2"/>
    <mergeCell ref="B3:E3"/>
    <mergeCell ref="B5:K5"/>
  </mergeCells>
  <pageMargins left="0.25" right="0.25" top="0.75" bottom="0.75" header="0.3" footer="0.3"/>
  <pageSetup paperSize="9" scale="83" fitToWidth="0" orientation="portrait" r:id="rId1"/>
  <ignoredErrors>
    <ignoredError sqref="E55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A768-3031-42C2-8C84-85CA95835153}">
  <sheetPr>
    <pageSetUpPr fitToPage="1"/>
  </sheetPr>
  <dimension ref="B1:L60"/>
  <sheetViews>
    <sheetView showGridLines="0" topLeftCell="A28" zoomScale="84" zoomScaleNormal="175" workbookViewId="0">
      <selection activeCell="E44" sqref="E44"/>
    </sheetView>
  </sheetViews>
  <sheetFormatPr defaultRowHeight="14.4" x14ac:dyDescent="0.3"/>
  <cols>
    <col min="1" max="1" width="1.88671875" customWidth="1"/>
    <col min="4" max="4" width="9" customWidth="1"/>
    <col min="5" max="5" width="10.5546875" bestFit="1" customWidth="1"/>
    <col min="6" max="6" width="11" bestFit="1" customWidth="1"/>
    <col min="7" max="7" width="11.88671875" customWidth="1"/>
    <col min="8" max="9" width="10" bestFit="1" customWidth="1"/>
    <col min="10" max="10" width="11" bestFit="1" customWidth="1"/>
    <col min="11" max="11" width="10" bestFit="1" customWidth="1"/>
  </cols>
  <sheetData>
    <row r="1" spans="2:11" ht="15" thickBot="1" x14ac:dyDescent="0.35"/>
    <row r="2" spans="2:11" ht="29.4" customHeight="1" thickTop="1" x14ac:dyDescent="0.4">
      <c r="B2" s="193" t="str">
        <f>'[2]Data Sheet'!B1</f>
        <v>GODREJ CONSUMER PRODUCTS LTD</v>
      </c>
      <c r="C2" s="193"/>
      <c r="D2" s="193"/>
      <c r="E2" s="193"/>
      <c r="F2" s="193"/>
      <c r="G2" s="193"/>
      <c r="H2" s="81"/>
      <c r="I2" s="81"/>
      <c r="J2" s="81"/>
      <c r="K2" s="81"/>
    </row>
    <row r="3" spans="2:11" ht="16.2" thickBot="1" x14ac:dyDescent="0.35">
      <c r="B3" s="194" t="s">
        <v>176</v>
      </c>
      <c r="C3" s="194"/>
      <c r="D3" s="194"/>
      <c r="E3" s="194"/>
      <c r="F3" s="82"/>
      <c r="G3" s="82"/>
      <c r="H3" s="82"/>
      <c r="I3" s="82"/>
      <c r="J3" s="82"/>
      <c r="K3" s="82"/>
    </row>
    <row r="4" spans="2:11" ht="8.4" customHeight="1" thickTop="1" x14ac:dyDescent="0.3">
      <c r="B4" s="85"/>
      <c r="C4" s="85"/>
      <c r="D4" s="85"/>
      <c r="E4" s="85"/>
      <c r="F4" s="83"/>
      <c r="G4" s="166">
        <v>11</v>
      </c>
      <c r="H4" s="166">
        <v>12</v>
      </c>
      <c r="I4" s="166">
        <v>13</v>
      </c>
      <c r="J4" s="166">
        <v>14</v>
      </c>
      <c r="K4" s="166">
        <v>15</v>
      </c>
    </row>
    <row r="5" spans="2:11" ht="21" x14ac:dyDescent="0.4">
      <c r="B5" s="192" t="s">
        <v>325</v>
      </c>
      <c r="C5" s="192"/>
      <c r="D5" s="192"/>
      <c r="E5" s="192"/>
      <c r="F5" s="192"/>
      <c r="G5" s="192"/>
      <c r="H5" s="192"/>
      <c r="I5" s="192"/>
      <c r="J5" s="192"/>
      <c r="K5" s="192"/>
    </row>
    <row r="6" spans="2:11" ht="7.8" customHeight="1" x14ac:dyDescent="0.3">
      <c r="F6" s="155">
        <v>0</v>
      </c>
      <c r="G6" s="155">
        <v>0.5</v>
      </c>
      <c r="H6" s="155">
        <v>1.5</v>
      </c>
      <c r="I6" s="155">
        <v>2.5</v>
      </c>
      <c r="J6" s="155">
        <v>3.5</v>
      </c>
      <c r="K6" s="155">
        <v>4.5</v>
      </c>
    </row>
    <row r="7" spans="2:11" x14ac:dyDescent="0.3">
      <c r="B7" s="30" t="s">
        <v>273</v>
      </c>
      <c r="C7" s="66"/>
      <c r="D7" s="66"/>
      <c r="E7" s="66"/>
      <c r="F7" s="31">
        <f>'[2]Data Sheet'!K16</f>
        <v>45382</v>
      </c>
      <c r="G7" s="186">
        <f>F7+365</f>
        <v>45747</v>
      </c>
      <c r="H7" s="186">
        <f t="shared" ref="H7:K7" si="0">G7+365</f>
        <v>46112</v>
      </c>
      <c r="I7" s="186">
        <f t="shared" si="0"/>
        <v>46477</v>
      </c>
      <c r="J7" s="186">
        <f t="shared" si="0"/>
        <v>46842</v>
      </c>
      <c r="K7" s="186">
        <f t="shared" si="0"/>
        <v>47207</v>
      </c>
    </row>
    <row r="9" spans="2:11" x14ac:dyDescent="0.3">
      <c r="B9" t="s">
        <v>172</v>
      </c>
      <c r="F9" s="156">
        <f>HistoricalFS!L21-HistoricalFS!L24</f>
        <v>2716.3599999999997</v>
      </c>
      <c r="G9" s="156">
        <f>FORECAST(G4,HistoricalFS!$C$27:$L$27,HistoricalFS!$C$7:$L$7)</f>
        <v>2656.4879999999994</v>
      </c>
      <c r="H9" s="156">
        <f>FORECAST(H4,HistoricalFS!$C$27:$L$27,HistoricalFS!$C$7:$L$7)</f>
        <v>2779.9445454545448</v>
      </c>
      <c r="I9" s="156">
        <f>FORECAST(I4,HistoricalFS!$C$27:$L$27,HistoricalFS!$C$7:$L$7)</f>
        <v>2903.4010909090903</v>
      </c>
      <c r="J9" s="156">
        <f>FORECAST(J4,HistoricalFS!$C$27:$L$27,HistoricalFS!$C$7:$L$7)</f>
        <v>3026.8576363636357</v>
      </c>
      <c r="K9" s="156">
        <f>FORECAST(K4,HistoricalFS!$C$27:$L$27,HistoricalFS!$C$7:$L$7)</f>
        <v>3150.3141818181812</v>
      </c>
    </row>
    <row r="10" spans="2:11" x14ac:dyDescent="0.3">
      <c r="F10" s="156"/>
      <c r="G10" s="156"/>
      <c r="H10" s="156"/>
      <c r="I10" s="156"/>
      <c r="J10" s="156"/>
      <c r="K10" s="156"/>
    </row>
    <row r="11" spans="2:11" x14ac:dyDescent="0.3">
      <c r="B11" t="s">
        <v>318</v>
      </c>
      <c r="F11" s="156">
        <f>HistoricalFS!L30</f>
        <v>309.57</v>
      </c>
      <c r="G11" s="156">
        <f>CCF!G23</f>
        <v>237.60081551050411</v>
      </c>
      <c r="H11" s="156">
        <f>CCF!H23</f>
        <v>248.25447912658373</v>
      </c>
      <c r="I11" s="156">
        <f>CCF!I23</f>
        <v>258.9081427426633</v>
      </c>
      <c r="J11" s="156">
        <f>CCF!J23</f>
        <v>269.5618063587429</v>
      </c>
      <c r="K11" s="156">
        <f>CCF!K23</f>
        <v>280.21546997482255</v>
      </c>
    </row>
    <row r="12" spans="2:11" x14ac:dyDescent="0.3">
      <c r="F12" s="156"/>
      <c r="G12" s="156"/>
      <c r="H12" s="156"/>
      <c r="I12" s="156"/>
      <c r="J12" s="156"/>
      <c r="K12" s="156"/>
    </row>
    <row r="13" spans="2:11" x14ac:dyDescent="0.3">
      <c r="B13" t="s">
        <v>321</v>
      </c>
      <c r="F13" s="156">
        <f>F9-F11</f>
        <v>2406.7899999999995</v>
      </c>
      <c r="G13" s="156">
        <f>G9-G11</f>
        <v>2418.8871844894952</v>
      </c>
      <c r="H13" s="156">
        <f t="shared" ref="H13:K13" si="1">H9-H11</f>
        <v>2531.6900663279612</v>
      </c>
      <c r="I13" s="156">
        <f t="shared" si="1"/>
        <v>2644.4929481664271</v>
      </c>
      <c r="J13" s="156">
        <f t="shared" si="1"/>
        <v>2757.2958300048927</v>
      </c>
      <c r="K13" s="156">
        <f t="shared" si="1"/>
        <v>2870.0987118433586</v>
      </c>
    </row>
    <row r="14" spans="2:11" x14ac:dyDescent="0.3">
      <c r="F14" s="156"/>
      <c r="G14" s="156"/>
      <c r="H14" s="156"/>
      <c r="I14" s="156"/>
      <c r="J14" s="156"/>
      <c r="K14" s="156"/>
    </row>
    <row r="15" spans="2:11" x14ac:dyDescent="0.3">
      <c r="B15" t="s">
        <v>218</v>
      </c>
      <c r="F15" s="117">
        <v>0.25</v>
      </c>
      <c r="G15" s="117">
        <f>F15</f>
        <v>0.25</v>
      </c>
      <c r="H15" s="117">
        <f t="shared" ref="H15:K15" si="2">G15</f>
        <v>0.25</v>
      </c>
      <c r="I15" s="117">
        <f t="shared" si="2"/>
        <v>0.25</v>
      </c>
      <c r="J15" s="117">
        <f t="shared" si="2"/>
        <v>0.25</v>
      </c>
      <c r="K15" s="117">
        <f t="shared" si="2"/>
        <v>0.25</v>
      </c>
    </row>
    <row r="16" spans="2:11" x14ac:dyDescent="0.3">
      <c r="F16" s="156"/>
      <c r="G16" s="156"/>
      <c r="H16" s="156"/>
      <c r="I16" s="156"/>
      <c r="J16" s="156"/>
      <c r="K16" s="156"/>
    </row>
    <row r="17" spans="2:12" x14ac:dyDescent="0.3">
      <c r="B17" t="s">
        <v>322</v>
      </c>
      <c r="F17" s="156">
        <f>F13*(1-F15)</f>
        <v>1805.0924999999997</v>
      </c>
      <c r="G17" s="156">
        <f>G13*(1-G15)</f>
        <v>1814.1653883671215</v>
      </c>
      <c r="H17" s="156">
        <f t="shared" ref="H17:L17" si="3">H13*(1-H15)</f>
        <v>1898.7675497459709</v>
      </c>
      <c r="I17" s="156">
        <f t="shared" si="3"/>
        <v>1983.3697111248202</v>
      </c>
      <c r="J17" s="156">
        <f t="shared" si="3"/>
        <v>2067.9718725036696</v>
      </c>
      <c r="K17" s="156">
        <f t="shared" si="3"/>
        <v>2152.574033882519</v>
      </c>
      <c r="L17" s="156">
        <f t="shared" si="3"/>
        <v>0</v>
      </c>
    </row>
    <row r="19" spans="2:12" x14ac:dyDescent="0.3">
      <c r="B19" t="s">
        <v>293</v>
      </c>
      <c r="F19" s="89">
        <f>HistoricalFS!L24</f>
        <v>240.96</v>
      </c>
      <c r="G19" s="89" cm="1">
        <f t="array" ref="G19:K19">TRANSPOSE(Forcasting!D19:D23)*$J$37</f>
        <v>227.86899447090443</v>
      </c>
      <c r="H19" s="89">
        <v>238.08629785183496</v>
      </c>
      <c r="I19" s="89">
        <v>248.30360123276546</v>
      </c>
      <c r="J19" s="89">
        <v>258.52090461369596</v>
      </c>
      <c r="K19" s="89">
        <v>268.73820799462646</v>
      </c>
    </row>
    <row r="21" spans="2:12" x14ac:dyDescent="0.3">
      <c r="B21" t="s">
        <v>300</v>
      </c>
      <c r="F21" s="89">
        <f>E38*(HistoricalFS!L9-HistoricalFS!K9)</f>
        <v>187.23360000000028</v>
      </c>
      <c r="G21" s="89">
        <f>E38*(Forcasting!D19-Forcasting!D18)</f>
        <v>17.72063999999984</v>
      </c>
      <c r="H21" s="89">
        <f>E38*(Forcasting!D20-Forcasting!D19)</f>
        <v>152.48618181818222</v>
      </c>
      <c r="I21" s="89">
        <f>E38*(Forcasting!D21-Forcasting!D20)</f>
        <v>152.48618181818179</v>
      </c>
      <c r="J21" s="89">
        <f>E38*(Forcasting!D22-Forcasting!D21)</f>
        <v>152.48618181818179</v>
      </c>
      <c r="K21" s="89">
        <f>E38*(Forcasting!D23-Forcasting!D22)</f>
        <v>152.48618181818222</v>
      </c>
    </row>
    <row r="22" spans="2:12" x14ac:dyDescent="0.3">
      <c r="F22" s="117"/>
      <c r="G22" s="117"/>
      <c r="H22" s="117"/>
      <c r="I22" s="117"/>
      <c r="J22" s="117"/>
      <c r="K22" s="117"/>
    </row>
    <row r="23" spans="2:12" x14ac:dyDescent="0.3">
      <c r="B23" t="s">
        <v>301</v>
      </c>
      <c r="F23" s="89">
        <f>J38*HistoricalFS!L9</f>
        <v>211.44165000000001</v>
      </c>
      <c r="G23" s="89">
        <f>J38*Forcasting!D19</f>
        <v>212.54918999999998</v>
      </c>
      <c r="H23" s="89">
        <f>J38*Forcasting!D20</f>
        <v>222.07957636363639</v>
      </c>
      <c r="I23" s="89">
        <f>J38*Forcasting!D21</f>
        <v>231.60996272727274</v>
      </c>
      <c r="J23" s="89">
        <f>J38*Forcasting!D22</f>
        <v>241.1403490909091</v>
      </c>
      <c r="K23" s="89">
        <f>J38*Forcasting!D23</f>
        <v>250.67073545454548</v>
      </c>
    </row>
    <row r="25" spans="2:12" x14ac:dyDescent="0.3">
      <c r="B25" t="s">
        <v>200</v>
      </c>
      <c r="F25" s="156">
        <f>'Data Sheet'!K59</f>
        <v>3222.2</v>
      </c>
      <c r="G25" s="156">
        <f>G11/$E$39</f>
        <v>3316.9066813343838</v>
      </c>
      <c r="H25" s="156">
        <f>H11/$E$39</f>
        <v>3465.631793884771</v>
      </c>
      <c r="I25" s="156">
        <f>I11/$E$39</f>
        <v>3614.3569064351577</v>
      </c>
      <c r="J25" s="156">
        <f>J11/$E$39</f>
        <v>3763.0820189855444</v>
      </c>
      <c r="K25" s="156">
        <f>K11/$E$39</f>
        <v>3911.8071315359325</v>
      </c>
    </row>
    <row r="27" spans="2:12" x14ac:dyDescent="0.3">
      <c r="B27" t="s">
        <v>323</v>
      </c>
      <c r="F27" s="104" t="s">
        <v>60</v>
      </c>
      <c r="G27" s="156">
        <f>G25-F25</f>
        <v>94.706681334384029</v>
      </c>
      <c r="H27" s="156">
        <f>H25-G25</f>
        <v>148.72511255038717</v>
      </c>
      <c r="I27" s="156">
        <f>I25-H25</f>
        <v>148.72511255038671</v>
      </c>
      <c r="J27" s="156">
        <f>J25-I25</f>
        <v>148.72511255038671</v>
      </c>
      <c r="K27" s="156">
        <f>K25-J25</f>
        <v>148.72511255038808</v>
      </c>
    </row>
    <row r="29" spans="2:12" ht="15" thickBot="1" x14ac:dyDescent="0.35">
      <c r="B29" s="70" t="s">
        <v>326</v>
      </c>
      <c r="C29" s="70"/>
      <c r="D29" s="70"/>
      <c r="E29" s="70"/>
      <c r="F29" s="157">
        <f>F17+F19-F21-F23</f>
        <v>1647.3772499999995</v>
      </c>
      <c r="G29" s="157">
        <f>G17+G19-G21-G23+G27</f>
        <v>1906.4712341724103</v>
      </c>
      <c r="H29" s="157">
        <f t="shared" ref="H29:K29" si="4">H17+H19-H21-H23+H27</f>
        <v>1911.0132019663745</v>
      </c>
      <c r="I29" s="157">
        <f t="shared" si="4"/>
        <v>1996.3022803625183</v>
      </c>
      <c r="J29" s="157">
        <f t="shared" si="4"/>
        <v>2081.591358758662</v>
      </c>
      <c r="K29" s="157">
        <f t="shared" si="4"/>
        <v>2166.8804371548058</v>
      </c>
    </row>
    <row r="30" spans="2:12" x14ac:dyDescent="0.3">
      <c r="B30" s="12"/>
      <c r="C30" s="12"/>
      <c r="D30" s="12"/>
      <c r="E30" s="12"/>
      <c r="F30" s="164"/>
      <c r="G30" s="164"/>
      <c r="H30" s="164"/>
      <c r="I30" s="164"/>
      <c r="J30" s="164"/>
      <c r="K30" s="164"/>
    </row>
    <row r="31" spans="2:12" x14ac:dyDescent="0.3">
      <c r="B31" t="s">
        <v>275</v>
      </c>
      <c r="F31" s="89">
        <f>1/(1+$E$37)^F14</f>
        <v>1</v>
      </c>
      <c r="G31" s="89">
        <f>1/(1+$E$44)^G6</f>
        <v>0.9389415038641461</v>
      </c>
      <c r="H31" s="89">
        <f t="shared" ref="H31:K31" si="5">1/(1+$E$44)^H6</f>
        <v>0.82778129682480073</v>
      </c>
      <c r="I31" s="89">
        <f t="shared" si="5"/>
        <v>0.72978121912064564</v>
      </c>
      <c r="J31" s="89">
        <f t="shared" si="5"/>
        <v>0.64338325814328712</v>
      </c>
      <c r="K31" s="89">
        <f t="shared" si="5"/>
        <v>0.56721385260894164</v>
      </c>
    </row>
    <row r="32" spans="2:12" x14ac:dyDescent="0.3">
      <c r="F32" s="89"/>
      <c r="G32" s="89"/>
      <c r="H32" s="89"/>
      <c r="I32" s="89"/>
      <c r="J32" s="89"/>
      <c r="K32" s="89"/>
    </row>
    <row r="33" spans="2:11" ht="15" thickBot="1" x14ac:dyDescent="0.35">
      <c r="B33" s="70" t="s">
        <v>324</v>
      </c>
      <c r="C33" s="70"/>
      <c r="D33" s="70"/>
      <c r="E33" s="70"/>
      <c r="F33" s="157">
        <f>F29*F31</f>
        <v>1647.3772499999995</v>
      </c>
      <c r="G33" s="157">
        <f t="shared" ref="G33:K33" si="6">G29*G31</f>
        <v>1790.0649676875776</v>
      </c>
      <c r="H33" s="157">
        <f t="shared" si="6"/>
        <v>1581.9009865730402</v>
      </c>
      <c r="I33" s="157">
        <f t="shared" si="6"/>
        <v>1456.8639118962835</v>
      </c>
      <c r="J33" s="157">
        <f t="shared" si="6"/>
        <v>1339.2610305210601</v>
      </c>
      <c r="K33" s="157">
        <f t="shared" si="6"/>
        <v>1229.0846009015249</v>
      </c>
    </row>
    <row r="35" spans="2:11" x14ac:dyDescent="0.3">
      <c r="B35" s="30" t="s">
        <v>308</v>
      </c>
      <c r="C35" s="66"/>
      <c r="D35" s="66"/>
      <c r="E35" s="66"/>
      <c r="F35" s="66"/>
      <c r="G35" s="66"/>
      <c r="H35" s="66"/>
      <c r="I35" s="66"/>
      <c r="J35" s="66"/>
      <c r="K35" s="66"/>
    </row>
    <row r="37" spans="2:11" x14ac:dyDescent="0.3">
      <c r="B37" s="158" t="s">
        <v>277</v>
      </c>
      <c r="C37" s="158"/>
      <c r="D37" s="136"/>
      <c r="E37" s="136">
        <v>5.5E-2</v>
      </c>
      <c r="G37" s="158" t="s">
        <v>299</v>
      </c>
      <c r="H37" s="158"/>
      <c r="I37" s="158"/>
      <c r="J37" s="136">
        <f>AVERAGE(HistoricalFS!C25:L25)</f>
        <v>1.6081147696039522E-2</v>
      </c>
    </row>
    <row r="38" spans="2:11" x14ac:dyDescent="0.3">
      <c r="B38" s="158" t="s">
        <v>313</v>
      </c>
      <c r="C38" s="158"/>
      <c r="D38" s="136"/>
      <c r="E38" s="136">
        <f>24%</f>
        <v>0.24</v>
      </c>
      <c r="G38" s="158" t="s">
        <v>314</v>
      </c>
      <c r="H38" s="158"/>
      <c r="I38" s="136"/>
      <c r="J38" s="136">
        <v>1.4999999999999999E-2</v>
      </c>
    </row>
    <row r="39" spans="2:11" x14ac:dyDescent="0.3">
      <c r="B39" s="158" t="s">
        <v>320</v>
      </c>
      <c r="C39" s="158"/>
      <c r="D39" s="136"/>
      <c r="E39" s="136">
        <f>'Data Sheet'!M98</f>
        <v>7.1633253008769562E-2</v>
      </c>
      <c r="G39" s="158" t="s">
        <v>315</v>
      </c>
      <c r="H39" s="158"/>
      <c r="I39" s="136"/>
      <c r="J39" s="136">
        <f>CCF!J35</f>
        <v>1.67679407889419E-2</v>
      </c>
    </row>
    <row r="40" spans="2:11" x14ac:dyDescent="0.3">
      <c r="E40" s="117"/>
    </row>
    <row r="41" spans="2:11" x14ac:dyDescent="0.3">
      <c r="B41" s="30" t="s">
        <v>278</v>
      </c>
      <c r="C41" s="66"/>
      <c r="D41" s="66"/>
      <c r="E41" s="66"/>
      <c r="G41" s="30" t="s">
        <v>279</v>
      </c>
      <c r="H41" s="66"/>
      <c r="I41" s="66"/>
      <c r="J41" s="66"/>
      <c r="K41" s="66"/>
    </row>
    <row r="43" spans="2:11" x14ac:dyDescent="0.3">
      <c r="B43" t="s">
        <v>327</v>
      </c>
      <c r="E43" s="156">
        <f>K29*(1+$E$37)</f>
        <v>2286.0588611983198</v>
      </c>
      <c r="G43" s="159">
        <f>E54</f>
        <v>23751.501411229474</v>
      </c>
      <c r="H43" s="160">
        <v>0.12</v>
      </c>
      <c r="I43" s="160">
        <v>0.13428692755650926</v>
      </c>
      <c r="J43" s="160">
        <v>0.15</v>
      </c>
      <c r="K43" s="160">
        <v>0.18</v>
      </c>
    </row>
    <row r="44" spans="2:11" x14ac:dyDescent="0.3">
      <c r="B44" t="s">
        <v>215</v>
      </c>
      <c r="E44" s="117">
        <f>WACC!J28</f>
        <v>0.13428692755650926</v>
      </c>
      <c r="G44" s="175">
        <v>0.02</v>
      </c>
      <c r="H44" s="89">
        <f t="dataTable" ref="H44:K60" dt2D="1" dtr="1" r1="E44" r2="E45"/>
        <v>21346.694163430646</v>
      </c>
      <c r="I44" s="89">
        <v>18743.042270574697</v>
      </c>
      <c r="J44" s="89">
        <v>16542.294000043301</v>
      </c>
      <c r="K44" s="89">
        <v>13545.136133807651</v>
      </c>
    </row>
    <row r="45" spans="2:11" x14ac:dyDescent="0.3">
      <c r="B45" t="s">
        <v>281</v>
      </c>
      <c r="E45" s="117">
        <f>E37</f>
        <v>5.5E-2</v>
      </c>
      <c r="G45" s="175">
        <f>G44+0.5%</f>
        <v>2.5000000000000001E-2</v>
      </c>
      <c r="H45" s="89">
        <v>22069.218875187289</v>
      </c>
      <c r="I45" s="89">
        <v>19262.12845163366</v>
      </c>
      <c r="J45" s="89">
        <v>16917.322062185234</v>
      </c>
      <c r="K45" s="89">
        <v>13763.981169263998</v>
      </c>
    </row>
    <row r="46" spans="2:11" x14ac:dyDescent="0.3">
      <c r="G46" s="175">
        <f t="shared" ref="G46:G60" si="7">G45+0.5%</f>
        <v>3.0000000000000002E-2</v>
      </c>
      <c r="H46" s="89">
        <v>22872.024110472448</v>
      </c>
      <c r="I46" s="89">
        <v>19830.989440832185</v>
      </c>
      <c r="J46" s="89">
        <v>17323.602462839001</v>
      </c>
      <c r="K46" s="89">
        <v>13997.415873750768</v>
      </c>
    </row>
    <row r="47" spans="2:11" ht="15" thickBot="1" x14ac:dyDescent="0.35">
      <c r="B47" s="70" t="s">
        <v>282</v>
      </c>
      <c r="C47" s="70"/>
      <c r="D47" s="70"/>
      <c r="E47" s="162">
        <f>E43/(E44-E45)</f>
        <v>28832.733612599674</v>
      </c>
      <c r="G47" s="175">
        <f t="shared" si="7"/>
        <v>3.5000000000000003E-2</v>
      </c>
      <c r="H47" s="89">
        <v>23769.277020497033</v>
      </c>
      <c r="I47" s="89">
        <v>20457.145081320505</v>
      </c>
      <c r="J47" s="89">
        <v>17765.211593984393</v>
      </c>
      <c r="K47" s="89">
        <v>14246.949523374558</v>
      </c>
    </row>
    <row r="48" spans="2:11" x14ac:dyDescent="0.3">
      <c r="G48" s="175">
        <f t="shared" si="7"/>
        <v>0.04</v>
      </c>
      <c r="H48" s="89">
        <v>24778.686544274697</v>
      </c>
      <c r="I48" s="89">
        <v>21149.710313967087</v>
      </c>
      <c r="J48" s="89">
        <v>18246.967009779371</v>
      </c>
      <c r="K48" s="89">
        <v>14514.307005114333</v>
      </c>
    </row>
    <row r="49" spans="2:11" x14ac:dyDescent="0.3">
      <c r="G49" s="175">
        <f t="shared" si="7"/>
        <v>4.4999999999999998E-2</v>
      </c>
      <c r="H49" s="89">
        <v>25922.684004556046</v>
      </c>
      <c r="I49" s="89">
        <v>21919.841798650756</v>
      </c>
      <c r="J49" s="89">
        <v>18774.603893745298</v>
      </c>
      <c r="K49" s="89">
        <v>14801.468744760756</v>
      </c>
    </row>
    <row r="50" spans="2:11" x14ac:dyDescent="0.3">
      <c r="B50" s="30" t="s">
        <v>283</v>
      </c>
      <c r="C50" s="66"/>
      <c r="D50" s="66"/>
      <c r="E50" s="66"/>
      <c r="G50" s="175">
        <f t="shared" si="7"/>
        <v>4.9999999999999996E-2</v>
      </c>
      <c r="H50" s="89">
        <v>27230.109673449013</v>
      </c>
      <c r="I50" s="89">
        <v>22781.343500165185</v>
      </c>
      <c r="J50" s="89">
        <v>19355.004466107817</v>
      </c>
      <c r="K50" s="89">
        <v>15110.719848995366</v>
      </c>
    </row>
    <row r="51" spans="2:11" x14ac:dyDescent="0.3">
      <c r="G51" s="175">
        <f t="shared" si="7"/>
        <v>5.4999999999999993E-2</v>
      </c>
      <c r="H51" s="89">
        <v>28738.677752940905</v>
      </c>
      <c r="I51" s="116">
        <v>23751.501411229474</v>
      </c>
      <c r="J51" s="89">
        <v>19996.499835561128</v>
      </c>
      <c r="K51" s="89">
        <v>15444.711041568746</v>
      </c>
    </row>
    <row r="52" spans="2:11" x14ac:dyDescent="0.3">
      <c r="B52" t="s">
        <v>276</v>
      </c>
      <c r="E52" s="156">
        <f>SUM(G33:K33)</f>
        <v>7397.1754975794865</v>
      </c>
      <c r="G52" s="175">
        <f t="shared" si="7"/>
        <v>5.9999999999999991E-2</v>
      </c>
      <c r="H52" s="89">
        <v>30498.673845681442</v>
      </c>
      <c r="I52" s="89">
        <v>24852.255369670511</v>
      </c>
      <c r="J52" s="89">
        <v>20709.272468287028</v>
      </c>
      <c r="K52" s="89">
        <v>15806.534833523241</v>
      </c>
    </row>
    <row r="53" spans="2:11" x14ac:dyDescent="0.3">
      <c r="B53" t="s">
        <v>284</v>
      </c>
      <c r="E53" s="89">
        <f>K31*E47</f>
        <v>16354.325913649989</v>
      </c>
      <c r="G53" s="175">
        <f t="shared" si="7"/>
        <v>6.4999999999999988E-2</v>
      </c>
      <c r="H53" s="89">
        <v>32578.669228011167</v>
      </c>
      <c r="I53" s="89">
        <v>26111.878251479993</v>
      </c>
      <c r="J53" s="89">
        <v>21505.900704863034</v>
      </c>
      <c r="K53" s="89">
        <v>16199.821563908557</v>
      </c>
    </row>
    <row r="54" spans="2:11" x14ac:dyDescent="0.3">
      <c r="B54" s="12" t="s">
        <v>285</v>
      </c>
      <c r="C54" s="12"/>
      <c r="D54" s="12"/>
      <c r="E54" s="164">
        <f>SUM(E52:E53)</f>
        <v>23751.501411229474</v>
      </c>
      <c r="G54" s="175">
        <f t="shared" si="7"/>
        <v>6.9999999999999993E-2</v>
      </c>
      <c r="H54" s="89">
        <v>35074.663686806838</v>
      </c>
      <c r="I54" s="89">
        <v>27567.438772508936</v>
      </c>
      <c r="J54" s="89">
        <v>22402.107471011044</v>
      </c>
      <c r="K54" s="89">
        <v>16628.861633419816</v>
      </c>
    </row>
    <row r="55" spans="2:11" x14ac:dyDescent="0.3">
      <c r="G55" s="175">
        <f t="shared" si="7"/>
        <v>7.4999999999999997E-2</v>
      </c>
      <c r="H55" s="89">
        <v>38125.323580890443</v>
      </c>
      <c r="I55" s="89">
        <v>29268.510501660712</v>
      </c>
      <c r="J55" s="89">
        <v>23417.808472645454</v>
      </c>
      <c r="K55" s="89">
        <v>17098.762661932149</v>
      </c>
    </row>
    <row r="56" spans="2:11" x14ac:dyDescent="0.3">
      <c r="B56" t="s">
        <v>286</v>
      </c>
      <c r="E56">
        <f>'Data Sheet'!K69</f>
        <v>546.94000000000005</v>
      </c>
      <c r="G56" s="175">
        <f t="shared" si="7"/>
        <v>0.08</v>
      </c>
      <c r="H56" s="89">
        <v>41938.648448494947</v>
      </c>
      <c r="I56" s="89">
        <v>31282.93054609172</v>
      </c>
      <c r="J56" s="89">
        <v>24578.609617370494</v>
      </c>
      <c r="K56" s="89">
        <v>17615.653793295711</v>
      </c>
    </row>
    <row r="57" spans="2:11" x14ac:dyDescent="0.3">
      <c r="B57" s="12" t="s">
        <v>288</v>
      </c>
      <c r="C57" s="12"/>
      <c r="D57" s="12"/>
      <c r="E57" s="164">
        <f>E54+E56</f>
        <v>24298.441411229473</v>
      </c>
      <c r="G57" s="175">
        <f t="shared" si="7"/>
        <v>8.5000000000000006E-2</v>
      </c>
      <c r="H57" s="89">
        <v>46841.494706843587</v>
      </c>
      <c r="I57" s="89">
        <v>33706.06343676809</v>
      </c>
      <c r="J57" s="89">
        <v>25917.995553591696</v>
      </c>
      <c r="K57" s="89">
        <v>18186.954517434384</v>
      </c>
    </row>
    <row r="58" spans="2:11" x14ac:dyDescent="0.3">
      <c r="B58" t="s">
        <v>289</v>
      </c>
      <c r="E58" s="156">
        <f>'Data Sheet'!B6</f>
        <v>102.29245023255815</v>
      </c>
      <c r="G58" s="175">
        <f t="shared" si="7"/>
        <v>9.0000000000000011E-2</v>
      </c>
      <c r="H58" s="89">
        <v>53378.623051308459</v>
      </c>
      <c r="I58" s="89">
        <v>36676.340377476954</v>
      </c>
      <c r="J58" s="89">
        <v>27480.612479183095</v>
      </c>
      <c r="K58" s="89">
        <v>18821.733099810692</v>
      </c>
    </row>
    <row r="59" spans="2:11" x14ac:dyDescent="0.3">
      <c r="B59" t="s">
        <v>290</v>
      </c>
      <c r="E59" s="163">
        <f>E57/E58</f>
        <v>237.5389518580096</v>
      </c>
      <c r="G59" s="175">
        <f t="shared" si="7"/>
        <v>9.5000000000000015E-2</v>
      </c>
      <c r="H59" s="89">
        <v>62530.602733559281</v>
      </c>
      <c r="I59" s="89">
        <v>40402.66446298646</v>
      </c>
      <c r="J59" s="89">
        <v>29327.341573063841</v>
      </c>
      <c r="K59" s="89">
        <v>19531.19151540774</v>
      </c>
    </row>
    <row r="60" spans="2:11" x14ac:dyDescent="0.3">
      <c r="G60" s="175">
        <f t="shared" si="7"/>
        <v>0.10000000000000002</v>
      </c>
      <c r="H60" s="89">
        <v>76258.572256935513</v>
      </c>
      <c r="I60" s="89">
        <v>45215.794614559491</v>
      </c>
      <c r="J60" s="89">
        <v>31543.41648572074</v>
      </c>
      <c r="K60" s="89">
        <v>20329.332232954421</v>
      </c>
    </row>
  </sheetData>
  <mergeCells count="3">
    <mergeCell ref="B2:G2"/>
    <mergeCell ref="B3:E3"/>
    <mergeCell ref="B5:K5"/>
  </mergeCells>
  <pageMargins left="0.25" right="0.25" top="0.75" bottom="0.75" header="0.3" footer="0.3"/>
  <pageSetup paperSize="9" scale="95" fitToWidth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D23A-1973-41A9-AD34-8BEF1EEF5FFE}">
  <dimension ref="B1:L71"/>
  <sheetViews>
    <sheetView showGridLines="0" zoomScale="75" zoomScaleNormal="60" zoomScaleSheetLayoutView="89" workbookViewId="0">
      <selection activeCell="R26" sqref="R26"/>
    </sheetView>
  </sheetViews>
  <sheetFormatPr defaultRowHeight="14.4" x14ac:dyDescent="0.3"/>
  <cols>
    <col min="1" max="1" width="1.88671875" customWidth="1"/>
    <col min="2" max="2" width="35.6640625" customWidth="1"/>
    <col min="3" max="3" width="10" bestFit="1" customWidth="1"/>
  </cols>
  <sheetData>
    <row r="1" spans="2:12" ht="10.5" customHeight="1" x14ac:dyDescent="0.3">
      <c r="B1" s="178"/>
      <c r="C1" s="178"/>
      <c r="D1" s="178"/>
      <c r="E1" s="178"/>
      <c r="F1" s="178"/>
      <c r="G1" s="178"/>
      <c r="H1" s="178"/>
      <c r="I1" s="178"/>
    </row>
    <row r="3" spans="2:12" ht="26.25" customHeight="1" x14ac:dyDescent="0.55000000000000004">
      <c r="B3" s="179" t="str">
        <f>'[3]Data Sheet'!B1</f>
        <v>GODREJ CONSUMER PRODUCTS LTD</v>
      </c>
    </row>
    <row r="4" spans="2:12" x14ac:dyDescent="0.3">
      <c r="B4" s="168" t="str">
        <f>CONCATENATE("  ","(",VLOOKUP(B3,'[4]List of Stocks'!A2:C5442,3,1)," | ","BSE Code: ",VLOOKUP(B3,'[4]List of Stocks'!A2:B5442,2,1),")")</f>
        <v xml:space="preserve">  (GODREJCP | BSE Code: 532424)</v>
      </c>
    </row>
    <row r="5" spans="2:12" ht="4.5" customHeight="1" x14ac:dyDescent="0.3">
      <c r="B5" s="181"/>
      <c r="C5" s="181"/>
      <c r="D5" s="181"/>
      <c r="E5" s="181"/>
      <c r="F5" s="181"/>
      <c r="G5" s="181"/>
      <c r="H5" s="181"/>
      <c r="I5" s="181"/>
    </row>
    <row r="6" spans="2:12" ht="19.8" customHeight="1" x14ac:dyDescent="0.35">
      <c r="B6" s="180" t="s">
        <v>328</v>
      </c>
      <c r="C6" s="181"/>
      <c r="D6" s="181"/>
      <c r="E6" s="181"/>
      <c r="F6" s="181"/>
      <c r="G6" s="181"/>
      <c r="H6" s="181"/>
      <c r="I6" s="181"/>
      <c r="L6" s="170"/>
    </row>
    <row r="7" spans="2:12" ht="6" customHeight="1" x14ac:dyDescent="0.3">
      <c r="B7" s="181"/>
      <c r="C7" s="181"/>
      <c r="D7" s="181"/>
      <c r="E7" s="181"/>
      <c r="F7" s="181"/>
      <c r="G7" s="181"/>
      <c r="H7" s="181"/>
      <c r="I7" s="181"/>
    </row>
    <row r="8" spans="2:12" x14ac:dyDescent="0.3">
      <c r="B8" s="181"/>
      <c r="C8" s="181"/>
      <c r="D8" s="181"/>
      <c r="E8" s="181"/>
      <c r="F8" s="181"/>
      <c r="G8" s="181"/>
      <c r="H8" s="181"/>
      <c r="I8" s="181"/>
    </row>
    <row r="30" ht="1.5" customHeight="1" x14ac:dyDescent="0.3"/>
    <row r="33" spans="2:9" ht="15.6" x14ac:dyDescent="0.3">
      <c r="B33" s="199" t="s">
        <v>329</v>
      </c>
      <c r="C33" s="199"/>
      <c r="D33" s="199"/>
      <c r="E33" s="199"/>
      <c r="F33" s="199"/>
      <c r="G33" s="199"/>
      <c r="H33" s="199"/>
      <c r="I33" s="199"/>
    </row>
    <row r="34" spans="2:9" x14ac:dyDescent="0.3">
      <c r="C34" s="182">
        <f>'[3]Data Sheet'!E16</f>
        <v>43190</v>
      </c>
      <c r="D34" s="182">
        <f>'[3]Data Sheet'!F16</f>
        <v>43555</v>
      </c>
      <c r="E34" s="182">
        <f>'[3]Data Sheet'!G16</f>
        <v>43921</v>
      </c>
      <c r="F34" s="182">
        <f>'[3]Data Sheet'!H16</f>
        <v>44286</v>
      </c>
      <c r="G34" s="182">
        <f>'[3]Data Sheet'!I16</f>
        <v>44651</v>
      </c>
      <c r="H34" s="182">
        <f>'[3]Data Sheet'!J16</f>
        <v>45016</v>
      </c>
      <c r="I34" s="182">
        <f>'[3]Data Sheet'!K16</f>
        <v>45382</v>
      </c>
    </row>
    <row r="35" spans="2:9" x14ac:dyDescent="0.3">
      <c r="B35" t="s">
        <v>72</v>
      </c>
      <c r="C35" s="146">
        <f>HistoricalFS!F39</f>
        <v>1350.900000000001</v>
      </c>
      <c r="D35" s="146">
        <f>HistoricalFS!G39</f>
        <v>1979.5800000000002</v>
      </c>
      <c r="E35" s="146">
        <f>HistoricalFS!H39</f>
        <v>1464.5199999999998</v>
      </c>
      <c r="F35" s="146">
        <f>HistoricalFS!I39</f>
        <v>1698.2200000000012</v>
      </c>
      <c r="G35" s="146">
        <f>HistoricalFS!J39</f>
        <v>1705.1199999999994</v>
      </c>
      <c r="H35" s="146">
        <f>HistoricalFS!K39</f>
        <v>1588.159999999998</v>
      </c>
      <c r="I35" s="146">
        <f>HistoricalFS!L39</f>
        <v>1648.01</v>
      </c>
    </row>
    <row r="36" spans="2:9" x14ac:dyDescent="0.3">
      <c r="B36" t="s">
        <v>330</v>
      </c>
      <c r="C36" s="146">
        <f>(('Data Sheet'!E57+'Data Sheet'!E58)+('Data Sheet'!D57+'Data Sheet'!D58))/2</f>
        <v>5780.130000000001</v>
      </c>
      <c r="D36" s="146">
        <f>(('Data Sheet'!F57+'Data Sheet'!F58)+('Data Sheet'!E57+'Data Sheet'!E58))/2</f>
        <v>6762.6149999999998</v>
      </c>
      <c r="E36" s="146">
        <f>(('Data Sheet'!G57+'Data Sheet'!G58)+('Data Sheet'!F57+'Data Sheet'!F58))/2</f>
        <v>7582.6399999999994</v>
      </c>
      <c r="F36" s="146">
        <f>(('Data Sheet'!H57+'Data Sheet'!H58)+('Data Sheet'!G57+'Data Sheet'!G58))/2</f>
        <v>8668.6299999999992</v>
      </c>
      <c r="G36" s="146">
        <f>(('Data Sheet'!I57+'Data Sheet'!I58)+('Data Sheet'!H57+'Data Sheet'!H58))/2</f>
        <v>10497.415000000001</v>
      </c>
      <c r="H36" s="146">
        <f>(('Data Sheet'!J57+'Data Sheet'!J58)+('Data Sheet'!I57+'Data Sheet'!I58))/2</f>
        <v>12675.08</v>
      </c>
      <c r="I36" s="146">
        <f>(('Data Sheet'!K57+'Data Sheet'!K58)+('Data Sheet'!J57+'Data Sheet'!J58))/2</f>
        <v>13196.400000000001</v>
      </c>
    </row>
    <row r="37" spans="2:9" x14ac:dyDescent="0.3">
      <c r="B37" s="139" t="s">
        <v>331</v>
      </c>
      <c r="C37" s="183">
        <f>C35/C36</f>
        <v>0.2337144666296434</v>
      </c>
      <c r="D37" s="183">
        <f t="shared" ref="D37:I37" si="0">D35/D36</f>
        <v>0.29272404240075772</v>
      </c>
      <c r="E37" s="183">
        <f t="shared" si="0"/>
        <v>0.19314117510524037</v>
      </c>
      <c r="F37" s="183">
        <f t="shared" si="0"/>
        <v>0.19590408172917767</v>
      </c>
      <c r="G37" s="183">
        <f t="shared" si="0"/>
        <v>0.16243237025496271</v>
      </c>
      <c r="H37" s="183">
        <f t="shared" si="0"/>
        <v>0.12529782849496793</v>
      </c>
      <c r="I37" s="183">
        <f t="shared" si="0"/>
        <v>0.12488330150647145</v>
      </c>
    </row>
    <row r="39" spans="2:9" ht="15.6" x14ac:dyDescent="0.3">
      <c r="B39" s="199" t="s">
        <v>332</v>
      </c>
      <c r="C39" s="199"/>
      <c r="D39" s="199"/>
      <c r="E39" s="199"/>
      <c r="F39" s="199"/>
      <c r="G39" s="199"/>
      <c r="H39" s="199"/>
      <c r="I39" s="199"/>
    </row>
    <row r="40" spans="2:9" x14ac:dyDescent="0.3">
      <c r="C40" s="182">
        <f>C34</f>
        <v>43190</v>
      </c>
      <c r="D40" s="182">
        <f t="shared" ref="D40:I40" si="1">D34</f>
        <v>43555</v>
      </c>
      <c r="E40" s="182">
        <f t="shared" si="1"/>
        <v>43921</v>
      </c>
      <c r="F40" s="182">
        <f t="shared" si="1"/>
        <v>44286</v>
      </c>
      <c r="G40" s="182">
        <f t="shared" si="1"/>
        <v>44651</v>
      </c>
      <c r="H40" s="182">
        <f t="shared" si="1"/>
        <v>45016</v>
      </c>
      <c r="I40" s="182">
        <f t="shared" si="1"/>
        <v>45382</v>
      </c>
    </row>
    <row r="41" spans="2:9" x14ac:dyDescent="0.3">
      <c r="B41" t="str">
        <f>B35</f>
        <v>Net Profit</v>
      </c>
      <c r="C41" s="146">
        <f t="shared" ref="C41:I41" si="2">C35</f>
        <v>1350.900000000001</v>
      </c>
      <c r="D41" s="146">
        <f t="shared" si="2"/>
        <v>1979.5800000000002</v>
      </c>
      <c r="E41" s="146">
        <f t="shared" si="2"/>
        <v>1464.5199999999998</v>
      </c>
      <c r="F41" s="146">
        <f t="shared" si="2"/>
        <v>1698.2200000000012</v>
      </c>
      <c r="G41" s="146">
        <f t="shared" si="2"/>
        <v>1705.1199999999994</v>
      </c>
      <c r="H41" s="146">
        <f t="shared" si="2"/>
        <v>1588.159999999998</v>
      </c>
      <c r="I41" s="146">
        <f t="shared" si="2"/>
        <v>1648.01</v>
      </c>
    </row>
    <row r="42" spans="2:9" x14ac:dyDescent="0.3">
      <c r="B42" t="s">
        <v>333</v>
      </c>
      <c r="C42" s="146">
        <f>'Data Sheet'!E17</f>
        <v>9847.43</v>
      </c>
      <c r="D42" s="146">
        <f>'Data Sheet'!F17</f>
        <v>10314.34</v>
      </c>
      <c r="E42" s="146">
        <f>'Data Sheet'!G17</f>
        <v>9910.7999999999993</v>
      </c>
      <c r="F42" s="146">
        <f>'Data Sheet'!H17</f>
        <v>11028.62</v>
      </c>
      <c r="G42" s="146">
        <f>'Data Sheet'!I17</f>
        <v>12276.5</v>
      </c>
      <c r="H42" s="146">
        <f>'Data Sheet'!J17</f>
        <v>13315.97</v>
      </c>
      <c r="I42" s="146">
        <f>'Data Sheet'!K17</f>
        <v>14096.11</v>
      </c>
    </row>
    <row r="43" spans="2:9" x14ac:dyDescent="0.3">
      <c r="B43" s="139" t="s">
        <v>334</v>
      </c>
      <c r="C43" s="183">
        <f t="shared" ref="C43:H43" si="3">C41/C42</f>
        <v>0.13718300104697378</v>
      </c>
      <c r="D43" s="183">
        <f t="shared" si="3"/>
        <v>0.19192502864943373</v>
      </c>
      <c r="E43" s="183">
        <f t="shared" si="3"/>
        <v>0.14777010937563062</v>
      </c>
      <c r="F43" s="183">
        <f t="shared" si="3"/>
        <v>0.15398300059300266</v>
      </c>
      <c r="G43" s="183">
        <f t="shared" si="3"/>
        <v>0.13889300696452567</v>
      </c>
      <c r="H43" s="183">
        <f t="shared" si="3"/>
        <v>0.11926731586208125</v>
      </c>
      <c r="I43" s="183">
        <f>I41/I42</f>
        <v>0.11691239639872276</v>
      </c>
    </row>
    <row r="45" spans="2:9" x14ac:dyDescent="0.3">
      <c r="B45" t="s">
        <v>333</v>
      </c>
      <c r="C45" s="146">
        <f>C42</f>
        <v>9847.43</v>
      </c>
      <c r="D45" s="146">
        <f t="shared" ref="D45:I45" si="4">D42</f>
        <v>10314.34</v>
      </c>
      <c r="E45" s="146">
        <f t="shared" si="4"/>
        <v>9910.7999999999993</v>
      </c>
      <c r="F45" s="146">
        <f t="shared" si="4"/>
        <v>11028.62</v>
      </c>
      <c r="G45" s="146">
        <f t="shared" si="4"/>
        <v>12276.5</v>
      </c>
      <c r="H45" s="146">
        <f t="shared" si="4"/>
        <v>13315.97</v>
      </c>
      <c r="I45" s="146">
        <f t="shared" si="4"/>
        <v>14096.11</v>
      </c>
    </row>
    <row r="46" spans="2:9" x14ac:dyDescent="0.3">
      <c r="B46" t="s">
        <v>335</v>
      </c>
      <c r="C46" s="146">
        <f>('Data Sheet'!E66+'Data Sheet'!D66)/2</f>
        <v>13402.01</v>
      </c>
      <c r="D46" s="146">
        <f>('Data Sheet'!F66+'Data Sheet'!E66)/2</f>
        <v>13978.66</v>
      </c>
      <c r="E46" s="146">
        <f>('Data Sheet'!G66+'Data Sheet'!F66)/2</f>
        <v>14486.915000000001</v>
      </c>
      <c r="F46" s="146">
        <f>('Data Sheet'!H66+'Data Sheet'!G66)/2</f>
        <v>14562.035</v>
      </c>
      <c r="G46" s="146">
        <f>('Data Sheet'!I66+'Data Sheet'!H66)/2</f>
        <v>15162.955000000002</v>
      </c>
      <c r="H46" s="146">
        <f>('Data Sheet'!J66+'Data Sheet'!I66)/2</f>
        <v>16759.689999999999</v>
      </c>
      <c r="I46" s="146">
        <f>('Data Sheet'!K66+'Data Sheet'!J66)/2</f>
        <v>17914.669999999998</v>
      </c>
    </row>
    <row r="47" spans="2:9" x14ac:dyDescent="0.3">
      <c r="B47" s="139" t="s">
        <v>336</v>
      </c>
      <c r="C47" s="184">
        <f t="shared" ref="C47:H47" si="5">C45/C46</f>
        <v>0.73477261992790632</v>
      </c>
      <c r="D47" s="184">
        <f t="shared" si="5"/>
        <v>0.73786328589435612</v>
      </c>
      <c r="E47" s="184">
        <f t="shared" si="5"/>
        <v>0.68412080832944755</v>
      </c>
      <c r="F47" s="184">
        <f t="shared" si="5"/>
        <v>0.75735431208618853</v>
      </c>
      <c r="G47" s="184">
        <f t="shared" si="5"/>
        <v>0.80963769924793672</v>
      </c>
      <c r="H47" s="184">
        <f t="shared" si="5"/>
        <v>0.79452364572375744</v>
      </c>
      <c r="I47" s="184">
        <f>I45/I46</f>
        <v>0.78684731563573329</v>
      </c>
    </row>
    <row r="49" spans="2:9" x14ac:dyDescent="0.3">
      <c r="B49" t="str">
        <f>B46</f>
        <v>Average Total Asset</v>
      </c>
      <c r="C49" s="146">
        <f>C46</f>
        <v>13402.01</v>
      </c>
      <c r="D49" s="146">
        <f t="shared" ref="D49:I49" si="6">D46</f>
        <v>13978.66</v>
      </c>
      <c r="E49" s="146">
        <f t="shared" si="6"/>
        <v>14486.915000000001</v>
      </c>
      <c r="F49" s="146">
        <f t="shared" si="6"/>
        <v>14562.035</v>
      </c>
      <c r="G49" s="146">
        <f t="shared" si="6"/>
        <v>15162.955000000002</v>
      </c>
      <c r="H49" s="146">
        <f t="shared" si="6"/>
        <v>16759.689999999999</v>
      </c>
      <c r="I49" s="146">
        <f t="shared" si="6"/>
        <v>17914.669999999998</v>
      </c>
    </row>
    <row r="50" spans="2:9" x14ac:dyDescent="0.3">
      <c r="B50" t="str">
        <f>B36</f>
        <v>Average Shareholder Equity</v>
      </c>
      <c r="C50" s="146">
        <f>C36</f>
        <v>5780.130000000001</v>
      </c>
      <c r="D50" s="146">
        <f t="shared" ref="D50:I50" si="7">D36</f>
        <v>6762.6149999999998</v>
      </c>
      <c r="E50" s="146">
        <f t="shared" si="7"/>
        <v>7582.6399999999994</v>
      </c>
      <c r="F50" s="146">
        <f t="shared" si="7"/>
        <v>8668.6299999999992</v>
      </c>
      <c r="G50" s="146">
        <f t="shared" si="7"/>
        <v>10497.415000000001</v>
      </c>
      <c r="H50" s="146">
        <f t="shared" si="7"/>
        <v>12675.08</v>
      </c>
      <c r="I50" s="146">
        <f t="shared" si="7"/>
        <v>13196.400000000001</v>
      </c>
    </row>
    <row r="51" spans="2:9" x14ac:dyDescent="0.3">
      <c r="B51" s="139" t="s">
        <v>337</v>
      </c>
      <c r="C51" s="185">
        <f t="shared" ref="C51:H51" si="8">C49/C50</f>
        <v>2.318634701987671</v>
      </c>
      <c r="D51" s="185">
        <f t="shared" si="8"/>
        <v>2.0670495067366694</v>
      </c>
      <c r="E51" s="185">
        <f t="shared" si="8"/>
        <v>1.9105370952596987</v>
      </c>
      <c r="F51" s="185">
        <f t="shared" si="8"/>
        <v>1.6798542560935235</v>
      </c>
      <c r="G51" s="185">
        <f t="shared" si="8"/>
        <v>1.4444465613677273</v>
      </c>
      <c r="H51" s="185">
        <f t="shared" si="8"/>
        <v>1.3222551652533947</v>
      </c>
      <c r="I51" s="185">
        <f>I49/I50</f>
        <v>1.3575422084811006</v>
      </c>
    </row>
    <row r="53" spans="2:9" x14ac:dyDescent="0.3">
      <c r="B53" s="139" t="s">
        <v>338</v>
      </c>
      <c r="C53" s="183">
        <f t="shared" ref="C53:H53" si="9">C51*C47*C43</f>
        <v>0.23371446662964337</v>
      </c>
      <c r="D53" s="183">
        <f t="shared" si="9"/>
        <v>0.29272404240075778</v>
      </c>
      <c r="E53" s="183">
        <f t="shared" si="9"/>
        <v>0.1931411751052404</v>
      </c>
      <c r="F53" s="183">
        <f t="shared" si="9"/>
        <v>0.19590408172917764</v>
      </c>
      <c r="G53" s="183">
        <f t="shared" si="9"/>
        <v>0.16243237025496271</v>
      </c>
      <c r="H53" s="183">
        <f t="shared" si="9"/>
        <v>0.12529782849496793</v>
      </c>
      <c r="I53" s="183">
        <f>I51*I47*I43</f>
        <v>0.12488330150647144</v>
      </c>
    </row>
    <row r="55" spans="2:9" ht="15.6" x14ac:dyDescent="0.3">
      <c r="B55" s="199" t="s">
        <v>339</v>
      </c>
      <c r="C55" s="199"/>
      <c r="D55" s="199"/>
      <c r="E55" s="199"/>
      <c r="F55" s="199"/>
      <c r="G55" s="199"/>
      <c r="H55" s="199"/>
      <c r="I55" s="199"/>
    </row>
    <row r="56" spans="2:9" x14ac:dyDescent="0.3">
      <c r="C56" s="182">
        <f t="shared" ref="C56:H57" si="10">C40</f>
        <v>43190</v>
      </c>
      <c r="D56" s="182">
        <f t="shared" si="10"/>
        <v>43555</v>
      </c>
      <c r="E56" s="182">
        <f t="shared" si="10"/>
        <v>43921</v>
      </c>
      <c r="F56" s="182">
        <f t="shared" si="10"/>
        <v>44286</v>
      </c>
      <c r="G56" s="182">
        <f t="shared" si="10"/>
        <v>44651</v>
      </c>
      <c r="H56" s="182">
        <f t="shared" si="10"/>
        <v>45016</v>
      </c>
      <c r="I56" s="182">
        <f>I40</f>
        <v>45382</v>
      </c>
    </row>
    <row r="57" spans="2:9" x14ac:dyDescent="0.3">
      <c r="B57" t="s">
        <v>72</v>
      </c>
      <c r="C57" s="146">
        <f t="shared" si="10"/>
        <v>1350.900000000001</v>
      </c>
      <c r="D57" s="146">
        <f t="shared" si="10"/>
        <v>1979.5800000000002</v>
      </c>
      <c r="E57" s="146">
        <f t="shared" si="10"/>
        <v>1464.5199999999998</v>
      </c>
      <c r="F57" s="146">
        <f t="shared" si="10"/>
        <v>1698.2200000000012</v>
      </c>
      <c r="G57" s="146">
        <f t="shared" si="10"/>
        <v>1705.1199999999994</v>
      </c>
      <c r="H57" s="146">
        <f t="shared" si="10"/>
        <v>1588.159999999998</v>
      </c>
      <c r="I57" s="146">
        <f>I41</f>
        <v>1648.01</v>
      </c>
    </row>
    <row r="58" spans="2:9" x14ac:dyDescent="0.3">
      <c r="B58" t="str">
        <f>B49</f>
        <v>Average Total Asset</v>
      </c>
      <c r="C58" s="146">
        <f t="shared" ref="C58:H58" si="11">C46</f>
        <v>13402.01</v>
      </c>
      <c r="D58" s="146">
        <f t="shared" si="11"/>
        <v>13978.66</v>
      </c>
      <c r="E58" s="146">
        <f t="shared" si="11"/>
        <v>14486.915000000001</v>
      </c>
      <c r="F58" s="146">
        <f t="shared" si="11"/>
        <v>14562.035</v>
      </c>
      <c r="G58" s="146">
        <f t="shared" si="11"/>
        <v>15162.955000000002</v>
      </c>
      <c r="H58" s="146">
        <f t="shared" si="11"/>
        <v>16759.689999999999</v>
      </c>
      <c r="I58" s="146">
        <f>I46</f>
        <v>17914.669999999998</v>
      </c>
    </row>
    <row r="59" spans="2:9" x14ac:dyDescent="0.3">
      <c r="B59" s="139" t="s">
        <v>339</v>
      </c>
      <c r="C59" s="183">
        <f>C57/C58</f>
        <v>0.10079831308885764</v>
      </c>
      <c r="D59" s="183">
        <f t="shared" ref="D59:I59" si="12">D57/D58</f>
        <v>0.1416144322846396</v>
      </c>
      <c r="E59" s="183">
        <f t="shared" si="12"/>
        <v>0.10109260667298729</v>
      </c>
      <c r="F59" s="183">
        <f t="shared" si="12"/>
        <v>0.11661968948708069</v>
      </c>
      <c r="G59" s="183">
        <f t="shared" si="12"/>
        <v>0.11245301460038622</v>
      </c>
      <c r="H59" s="183">
        <f t="shared" si="12"/>
        <v>9.4760702614427719E-2</v>
      </c>
      <c r="I59" s="183">
        <f t="shared" si="12"/>
        <v>9.1992205270875774E-2</v>
      </c>
    </row>
    <row r="61" spans="2:9" ht="15.6" x14ac:dyDescent="0.3">
      <c r="B61" s="199" t="s">
        <v>340</v>
      </c>
      <c r="C61" s="199"/>
      <c r="D61" s="199"/>
      <c r="E61" s="199"/>
      <c r="F61" s="199"/>
      <c r="G61" s="199"/>
      <c r="H61" s="199"/>
      <c r="I61" s="199"/>
    </row>
    <row r="62" spans="2:9" x14ac:dyDescent="0.3">
      <c r="C62" s="182">
        <f>C56</f>
        <v>43190</v>
      </c>
      <c r="D62" s="182">
        <f t="shared" ref="D62:I62" si="13">D56</f>
        <v>43555</v>
      </c>
      <c r="E62" s="182">
        <f t="shared" si="13"/>
        <v>43921</v>
      </c>
      <c r="F62" s="182">
        <f t="shared" si="13"/>
        <v>44286</v>
      </c>
      <c r="G62" s="182">
        <f t="shared" si="13"/>
        <v>44651</v>
      </c>
      <c r="H62" s="182">
        <f t="shared" si="13"/>
        <v>45016</v>
      </c>
      <c r="I62" s="182">
        <f t="shared" si="13"/>
        <v>45382</v>
      </c>
    </row>
    <row r="63" spans="2:9" x14ac:dyDescent="0.3">
      <c r="B63" t="str">
        <f>B57</f>
        <v>Net Profit</v>
      </c>
      <c r="C63" s="146">
        <f t="shared" ref="C63:H63" si="14">C57</f>
        <v>1350.900000000001</v>
      </c>
      <c r="D63" s="146">
        <f t="shared" si="14"/>
        <v>1979.5800000000002</v>
      </c>
      <c r="E63" s="146">
        <f t="shared" si="14"/>
        <v>1464.5199999999998</v>
      </c>
      <c r="F63" s="146">
        <f t="shared" si="14"/>
        <v>1698.2200000000012</v>
      </c>
      <c r="G63" s="146">
        <f t="shared" si="14"/>
        <v>1705.1199999999994</v>
      </c>
      <c r="H63" s="146">
        <f t="shared" si="14"/>
        <v>1588.159999999998</v>
      </c>
      <c r="I63" s="146">
        <f>I57</f>
        <v>1648.01</v>
      </c>
    </row>
    <row r="64" spans="2:9" x14ac:dyDescent="0.3">
      <c r="B64" t="s">
        <v>333</v>
      </c>
      <c r="C64" s="146">
        <f t="shared" ref="C64:H64" si="15">C45</f>
        <v>9847.43</v>
      </c>
      <c r="D64" s="146">
        <f t="shared" si="15"/>
        <v>10314.34</v>
      </c>
      <c r="E64" s="146">
        <f t="shared" si="15"/>
        <v>9910.7999999999993</v>
      </c>
      <c r="F64" s="146">
        <f t="shared" si="15"/>
        <v>11028.62</v>
      </c>
      <c r="G64" s="146">
        <f t="shared" si="15"/>
        <v>12276.5</v>
      </c>
      <c r="H64" s="146">
        <f t="shared" si="15"/>
        <v>13315.97</v>
      </c>
      <c r="I64" s="146">
        <f>I45</f>
        <v>14096.11</v>
      </c>
    </row>
    <row r="65" spans="2:9" x14ac:dyDescent="0.3">
      <c r="B65" s="139" t="s">
        <v>334</v>
      </c>
      <c r="C65" s="183">
        <f t="shared" ref="C65:H65" si="16">C63/C64</f>
        <v>0.13718300104697378</v>
      </c>
      <c r="D65" s="183">
        <f t="shared" si="16"/>
        <v>0.19192502864943373</v>
      </c>
      <c r="E65" s="183">
        <f t="shared" si="16"/>
        <v>0.14777010937563062</v>
      </c>
      <c r="F65" s="183">
        <f t="shared" si="16"/>
        <v>0.15398300059300266</v>
      </c>
      <c r="G65" s="183">
        <f t="shared" si="16"/>
        <v>0.13889300696452567</v>
      </c>
      <c r="H65" s="183">
        <f t="shared" si="16"/>
        <v>0.11926731586208125</v>
      </c>
      <c r="I65" s="183">
        <f>I63/I64</f>
        <v>0.11691239639872276</v>
      </c>
    </row>
    <row r="67" spans="2:9" x14ac:dyDescent="0.3">
      <c r="B67" t="s">
        <v>333</v>
      </c>
      <c r="C67" s="146">
        <f t="shared" ref="C67:H67" si="17">C64</f>
        <v>9847.43</v>
      </c>
      <c r="D67" s="146">
        <f t="shared" si="17"/>
        <v>10314.34</v>
      </c>
      <c r="E67" s="146">
        <f t="shared" si="17"/>
        <v>9910.7999999999993</v>
      </c>
      <c r="F67" s="146">
        <f t="shared" si="17"/>
        <v>11028.62</v>
      </c>
      <c r="G67" s="146">
        <f t="shared" si="17"/>
        <v>12276.5</v>
      </c>
      <c r="H67" s="146">
        <f t="shared" si="17"/>
        <v>13315.97</v>
      </c>
      <c r="I67" s="146">
        <f>I64</f>
        <v>14096.11</v>
      </c>
    </row>
    <row r="68" spans="2:9" x14ac:dyDescent="0.3">
      <c r="B68" t="s">
        <v>335</v>
      </c>
      <c r="C68" s="146">
        <f t="shared" ref="C68:H68" si="18">C58</f>
        <v>13402.01</v>
      </c>
      <c r="D68" s="146">
        <f t="shared" si="18"/>
        <v>13978.66</v>
      </c>
      <c r="E68" s="146">
        <f t="shared" si="18"/>
        <v>14486.915000000001</v>
      </c>
      <c r="F68" s="146">
        <f t="shared" si="18"/>
        <v>14562.035</v>
      </c>
      <c r="G68" s="146">
        <f t="shared" si="18"/>
        <v>15162.955000000002</v>
      </c>
      <c r="H68" s="146">
        <f t="shared" si="18"/>
        <v>16759.689999999999</v>
      </c>
      <c r="I68" s="146">
        <f>I58</f>
        <v>17914.669999999998</v>
      </c>
    </row>
    <row r="69" spans="2:9" x14ac:dyDescent="0.3">
      <c r="B69" s="139" t="s">
        <v>336</v>
      </c>
      <c r="C69" s="184">
        <f t="shared" ref="C69:H69" si="19">C67/C68</f>
        <v>0.73477261992790632</v>
      </c>
      <c r="D69" s="184">
        <f t="shared" si="19"/>
        <v>0.73786328589435612</v>
      </c>
      <c r="E69" s="184">
        <f t="shared" si="19"/>
        <v>0.68412080832944755</v>
      </c>
      <c r="F69" s="184">
        <f t="shared" si="19"/>
        <v>0.75735431208618853</v>
      </c>
      <c r="G69" s="184">
        <f t="shared" si="19"/>
        <v>0.80963769924793672</v>
      </c>
      <c r="H69" s="184">
        <f t="shared" si="19"/>
        <v>0.79452364572375744</v>
      </c>
      <c r="I69" s="184">
        <f>I67/I68</f>
        <v>0.78684731563573329</v>
      </c>
    </row>
    <row r="71" spans="2:9" x14ac:dyDescent="0.3">
      <c r="B71" s="139" t="s">
        <v>341</v>
      </c>
      <c r="C71" s="183">
        <f>C69*C65</f>
        <v>0.10079831308885764</v>
      </c>
      <c r="D71" s="183">
        <f t="shared" ref="D71:I71" si="20">D69*D65</f>
        <v>0.1416144322846396</v>
      </c>
      <c r="E71" s="183">
        <f t="shared" si="20"/>
        <v>0.10109260667298729</v>
      </c>
      <c r="F71" s="183">
        <f t="shared" si="20"/>
        <v>0.11661968948708068</v>
      </c>
      <c r="G71" s="183">
        <f t="shared" si="20"/>
        <v>0.11245301460038622</v>
      </c>
      <c r="H71" s="183">
        <f t="shared" si="20"/>
        <v>9.4760702614427719E-2</v>
      </c>
      <c r="I71" s="183">
        <f t="shared" si="20"/>
        <v>9.1992205270875774E-2</v>
      </c>
    </row>
  </sheetData>
  <mergeCells count="4">
    <mergeCell ref="B33:I33"/>
    <mergeCell ref="B39:I39"/>
    <mergeCell ref="B55:I55"/>
    <mergeCell ref="B61:I61"/>
  </mergeCells>
  <pageMargins left="0.39370078740157483" right="0.23622047244094491" top="0.35433070866141736" bottom="0.23622047244094491" header="0.15748031496062992" footer="0"/>
  <pageSetup paperSize="9" scale="93" orientation="portrait" r:id="rId1"/>
  <headerFooter>
    <oddFooter>&amp;RPage &amp;P</oddFooter>
  </headerFooter>
  <rowBreaks count="1" manualBreakCount="1">
    <brk id="29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556C-4B36-4D63-AA72-BE6A7C68B5F8}">
  <sheetPr>
    <tabColor theme="4" tint="-0.249977111117893"/>
  </sheetPr>
  <dimension ref="A1"/>
  <sheetViews>
    <sheetView showGridLines="0" workbookViewId="0">
      <selection activeCell="E13" sqref="E13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M98"/>
  <sheetViews>
    <sheetView workbookViewId="0">
      <pane xSplit="1" ySplit="1" topLeftCell="B76" activePane="bottomRight" state="frozen"/>
      <selection activeCell="S13" sqref="S13"/>
      <selection pane="topRight" activeCell="S13" sqref="S13"/>
      <selection pane="bottomLeft" activeCell="S13" sqref="S13"/>
      <selection pane="bottomRight" activeCell="M98" sqref="M98"/>
    </sheetView>
  </sheetViews>
  <sheetFormatPr defaultColWidth="10.44140625" defaultRowHeight="13.2" x14ac:dyDescent="0.25"/>
  <cols>
    <col min="1" max="1" width="26.6640625" style="2" bestFit="1" customWidth="1"/>
    <col min="2" max="11" width="11.44140625" style="2" bestFit="1" customWidth="1"/>
    <col min="12" max="16384" width="10.44140625" style="2"/>
  </cols>
  <sheetData>
    <row r="1" spans="1:11" s="1" customFormat="1" x14ac:dyDescent="0.25">
      <c r="A1" s="1" t="s">
        <v>0</v>
      </c>
      <c r="B1" s="1" t="s">
        <v>1</v>
      </c>
      <c r="E1" s="200" t="str">
        <f>IF(B2&lt;&gt;B3, "A NEW VERSION OF THE WORKSHEET IS AVAILABLE", "")</f>
        <v/>
      </c>
      <c r="F1" s="200"/>
      <c r="G1" s="200"/>
      <c r="H1" s="200"/>
      <c r="I1" s="200"/>
      <c r="J1" s="200"/>
      <c r="K1" s="200"/>
    </row>
    <row r="2" spans="1:11" x14ac:dyDescent="0.25">
      <c r="A2" s="1" t="s">
        <v>2</v>
      </c>
      <c r="B2" s="2">
        <v>2.1</v>
      </c>
      <c r="E2" s="201" t="s">
        <v>3</v>
      </c>
      <c r="F2" s="201"/>
      <c r="G2" s="201"/>
      <c r="H2" s="201"/>
      <c r="I2" s="201"/>
      <c r="J2" s="201"/>
      <c r="K2" s="201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102.29245023255815</v>
      </c>
    </row>
    <row r="7" spans="1:11" x14ac:dyDescent="0.25">
      <c r="A7" s="2" t="s">
        <v>7</v>
      </c>
      <c r="B7" s="3">
        <v>1</v>
      </c>
    </row>
    <row r="8" spans="1:11" x14ac:dyDescent="0.25">
      <c r="A8" s="2" t="s">
        <v>8</v>
      </c>
      <c r="B8" s="3">
        <v>1343.75</v>
      </c>
    </row>
    <row r="9" spans="1:11" x14ac:dyDescent="0.25">
      <c r="A9" s="2" t="s">
        <v>9</v>
      </c>
      <c r="B9" s="3">
        <v>137455.48000000001</v>
      </c>
    </row>
    <row r="15" spans="1:11" x14ac:dyDescent="0.25">
      <c r="A15" s="1" t="s">
        <v>10</v>
      </c>
      <c r="B15" s="2">
        <f>B26+B34</f>
        <v>1473.43</v>
      </c>
      <c r="K15" s="2">
        <f>K17-K18-K20-K21-K22-K23-K19</f>
        <v>3289.2699999999995</v>
      </c>
    </row>
    <row r="16" spans="1:11" s="6" customFormat="1" x14ac:dyDescent="0.25">
      <c r="A16" s="4" t="s">
        <v>11</v>
      </c>
      <c r="B16" s="5">
        <v>42094</v>
      </c>
      <c r="C16" s="5">
        <v>42460</v>
      </c>
      <c r="D16" s="5">
        <v>42825</v>
      </c>
      <c r="E16" s="5">
        <v>43190</v>
      </c>
      <c r="F16" s="5">
        <v>43555</v>
      </c>
      <c r="G16" s="5">
        <v>43921</v>
      </c>
      <c r="H16" s="5">
        <v>44286</v>
      </c>
      <c r="I16" s="5">
        <v>44651</v>
      </c>
      <c r="J16" s="5">
        <v>45016</v>
      </c>
      <c r="K16" s="5">
        <v>45382</v>
      </c>
    </row>
    <row r="17" spans="1:11" x14ac:dyDescent="0.25">
      <c r="A17" s="2" t="s">
        <v>12</v>
      </c>
      <c r="B17" s="3">
        <v>8273.15</v>
      </c>
      <c r="C17" s="3">
        <v>8423.8799999999992</v>
      </c>
      <c r="D17" s="3">
        <v>9267.91</v>
      </c>
      <c r="E17" s="3">
        <v>9847.43</v>
      </c>
      <c r="F17" s="3">
        <v>10314.34</v>
      </c>
      <c r="G17" s="3">
        <v>9910.7999999999993</v>
      </c>
      <c r="H17" s="3">
        <v>11028.62</v>
      </c>
      <c r="I17" s="3">
        <v>12276.5</v>
      </c>
      <c r="J17" s="3">
        <v>13315.97</v>
      </c>
      <c r="K17" s="3">
        <v>14096.11</v>
      </c>
    </row>
    <row r="18" spans="1:11" ht="14.4" x14ac:dyDescent="0.3">
      <c r="A18" s="2" t="s">
        <v>13</v>
      </c>
      <c r="B18" s="7">
        <v>3806.48</v>
      </c>
      <c r="C18" s="7">
        <v>3959.14</v>
      </c>
      <c r="D18" s="7">
        <v>4265.8500000000004</v>
      </c>
      <c r="E18" s="7">
        <v>4218.3599999999997</v>
      </c>
      <c r="F18" s="7">
        <v>4399.79</v>
      </c>
      <c r="G18" s="7">
        <v>4434.83</v>
      </c>
      <c r="H18" s="7">
        <v>4971.7700000000004</v>
      </c>
      <c r="I18" s="7">
        <v>6136.63</v>
      </c>
      <c r="J18" s="7">
        <v>6489.85</v>
      </c>
      <c r="K18" s="7">
        <v>6333.43</v>
      </c>
    </row>
    <row r="19" spans="1:11" ht="14.4" x14ac:dyDescent="0.3">
      <c r="A19" s="2" t="s">
        <v>14</v>
      </c>
      <c r="B19" s="7">
        <v>-35.04</v>
      </c>
      <c r="C19" s="7">
        <v>91.9</v>
      </c>
      <c r="D19" s="7">
        <v>133.33000000000001</v>
      </c>
      <c r="E19" s="7">
        <v>-56</v>
      </c>
      <c r="F19" s="7">
        <v>-154.54</v>
      </c>
      <c r="G19" s="7">
        <v>173.15</v>
      </c>
      <c r="H19" s="7">
        <v>42.35</v>
      </c>
      <c r="I19" s="7">
        <v>61.54</v>
      </c>
      <c r="J19" s="7">
        <v>-212.94</v>
      </c>
      <c r="K19" s="7">
        <v>13.13</v>
      </c>
    </row>
    <row r="20" spans="1:11" x14ac:dyDescent="0.25">
      <c r="A20" s="2" t="s">
        <v>15</v>
      </c>
      <c r="B20" s="3">
        <v>109.92</v>
      </c>
      <c r="C20" s="3">
        <v>109.99</v>
      </c>
      <c r="D20" s="3">
        <v>89.02</v>
      </c>
      <c r="E20" s="3">
        <v>101.11</v>
      </c>
      <c r="F20" s="3">
        <v>119.29</v>
      </c>
      <c r="G20" s="3">
        <v>118.29</v>
      </c>
      <c r="H20" s="3">
        <v>106.23</v>
      </c>
      <c r="I20" s="3">
        <v>133.49</v>
      </c>
      <c r="J20" s="3">
        <v>154.63</v>
      </c>
      <c r="K20" s="3">
        <v>150.85</v>
      </c>
    </row>
    <row r="21" spans="1:11" x14ac:dyDescent="0.25">
      <c r="A21" s="2" t="s">
        <v>16</v>
      </c>
      <c r="B21" s="3">
        <v>223.97</v>
      </c>
      <c r="C21" s="3">
        <v>236.23</v>
      </c>
      <c r="D21" s="3">
        <v>302.85000000000002</v>
      </c>
      <c r="E21" s="3">
        <v>318.75</v>
      </c>
      <c r="F21" s="3">
        <v>329.8</v>
      </c>
      <c r="G21" s="3">
        <v>378.69</v>
      </c>
      <c r="H21" s="3">
        <v>397.25</v>
      </c>
      <c r="I21" s="3">
        <v>430.3</v>
      </c>
      <c r="J21" s="3">
        <v>438.91</v>
      </c>
      <c r="K21" s="3">
        <v>420.43</v>
      </c>
    </row>
    <row r="22" spans="1:11" x14ac:dyDescent="0.25">
      <c r="A22" s="2" t="s">
        <v>17</v>
      </c>
      <c r="B22" s="3">
        <v>776.95</v>
      </c>
      <c r="C22" s="3">
        <v>944.13</v>
      </c>
      <c r="D22" s="3">
        <v>988.46</v>
      </c>
      <c r="E22" s="3">
        <v>1057.4100000000001</v>
      </c>
      <c r="F22" s="3">
        <v>1068.4100000000001</v>
      </c>
      <c r="G22" s="3">
        <v>1018.82</v>
      </c>
      <c r="H22" s="3">
        <v>1123.3399999999999</v>
      </c>
      <c r="I22" s="3">
        <v>1104.1400000000001</v>
      </c>
      <c r="J22" s="3">
        <v>1111.48</v>
      </c>
      <c r="K22" s="3">
        <v>1249.3399999999999</v>
      </c>
    </row>
    <row r="23" spans="1:11" x14ac:dyDescent="0.25">
      <c r="A23" s="2" t="s">
        <v>18</v>
      </c>
      <c r="B23" s="3">
        <v>1818.85</v>
      </c>
      <c r="C23" s="3">
        <v>1464.98</v>
      </c>
      <c r="D23" s="3">
        <v>1649.39</v>
      </c>
      <c r="E23" s="3">
        <v>1775.76</v>
      </c>
      <c r="F23" s="3">
        <v>1888.86</v>
      </c>
      <c r="G23" s="3">
        <v>1770.13</v>
      </c>
      <c r="H23" s="3">
        <v>1808.73</v>
      </c>
      <c r="I23" s="3">
        <v>1836.49</v>
      </c>
      <c r="J23" s="3">
        <v>2144.44</v>
      </c>
      <c r="K23" s="3">
        <v>2639.66</v>
      </c>
    </row>
    <row r="24" spans="1:11" x14ac:dyDescent="0.25">
      <c r="A24" s="2" t="s">
        <v>19</v>
      </c>
      <c r="B24" s="3">
        <v>122.99</v>
      </c>
      <c r="C24" s="3">
        <v>143.93</v>
      </c>
      <c r="D24" s="3">
        <v>198.96</v>
      </c>
      <c r="E24" s="3">
        <v>235.64</v>
      </c>
      <c r="F24" s="3">
        <v>222.08</v>
      </c>
      <c r="G24" s="3">
        <v>209.44</v>
      </c>
      <c r="H24" s="3">
        <v>264.39</v>
      </c>
      <c r="I24" s="3">
        <v>287.81</v>
      </c>
      <c r="J24" s="3">
        <v>320.52</v>
      </c>
      <c r="K24" s="3">
        <v>358.21</v>
      </c>
    </row>
    <row r="25" spans="1:11" x14ac:dyDescent="0.25">
      <c r="A25" s="2" t="s">
        <v>20</v>
      </c>
      <c r="B25" s="3">
        <v>73.010000000000005</v>
      </c>
      <c r="C25" s="3">
        <v>-262.04000000000002</v>
      </c>
      <c r="D25" s="3">
        <v>76.180000000000007</v>
      </c>
      <c r="E25" s="3">
        <v>283.27999999999997</v>
      </c>
      <c r="F25" s="3">
        <v>361.95</v>
      </c>
      <c r="G25" s="3">
        <v>32.06</v>
      </c>
      <c r="H25" s="3">
        <v>22.6</v>
      </c>
      <c r="I25" s="3">
        <v>78.27</v>
      </c>
      <c r="J25" s="3">
        <v>114.3</v>
      </c>
      <c r="K25" s="3">
        <v>-2208.56</v>
      </c>
    </row>
    <row r="26" spans="1:11" x14ac:dyDescent="0.25">
      <c r="A26" s="2" t="s">
        <v>21</v>
      </c>
      <c r="B26" s="3">
        <v>90.78</v>
      </c>
      <c r="C26" s="3">
        <v>100.63</v>
      </c>
      <c r="D26" s="3">
        <v>141.57</v>
      </c>
      <c r="E26" s="3">
        <v>155.68</v>
      </c>
      <c r="F26" s="3">
        <v>169.98</v>
      </c>
      <c r="G26" s="3">
        <v>197.28</v>
      </c>
      <c r="H26" s="3">
        <v>203.85</v>
      </c>
      <c r="I26" s="3">
        <v>209.93</v>
      </c>
      <c r="J26" s="3">
        <v>236.29</v>
      </c>
      <c r="K26" s="3">
        <v>240.96</v>
      </c>
    </row>
    <row r="27" spans="1:11" ht="14.4" x14ac:dyDescent="0.3">
      <c r="A27" s="2" t="s">
        <v>22</v>
      </c>
      <c r="B27" s="3">
        <v>112.46</v>
      </c>
      <c r="C27" s="3">
        <v>128.04</v>
      </c>
      <c r="D27" s="3">
        <v>154.19</v>
      </c>
      <c r="E27" s="3">
        <v>173.12</v>
      </c>
      <c r="F27" s="3">
        <v>238.21</v>
      </c>
      <c r="G27" s="3">
        <v>228.13</v>
      </c>
      <c r="H27" s="3">
        <v>137.65</v>
      </c>
      <c r="I27" s="3">
        <v>122.26</v>
      </c>
      <c r="J27" s="7">
        <v>188.48</v>
      </c>
      <c r="K27" s="7">
        <v>309.57</v>
      </c>
    </row>
    <row r="28" spans="1:11" x14ac:dyDescent="0.25">
      <c r="A28" s="2" t="s">
        <v>23</v>
      </c>
      <c r="B28" s="3">
        <v>1248.72</v>
      </c>
      <c r="C28" s="3">
        <v>1166.67</v>
      </c>
      <c r="D28" s="3">
        <v>1687.13</v>
      </c>
      <c r="E28" s="3">
        <v>2038.88</v>
      </c>
      <c r="F28" s="3">
        <v>2085.33</v>
      </c>
      <c r="G28" s="3">
        <v>1760.4</v>
      </c>
      <c r="H28" s="3">
        <v>2080.36</v>
      </c>
      <c r="I28" s="3">
        <v>2155.2600000000002</v>
      </c>
      <c r="J28" s="3">
        <v>2132.73</v>
      </c>
      <c r="K28" s="3">
        <v>198.23</v>
      </c>
    </row>
    <row r="29" spans="1:11" x14ac:dyDescent="0.25">
      <c r="A29" s="2" t="s">
        <v>24</v>
      </c>
      <c r="B29" s="3">
        <v>272.29000000000002</v>
      </c>
      <c r="C29" s="3">
        <v>336.05</v>
      </c>
      <c r="D29" s="3">
        <v>379.16</v>
      </c>
      <c r="E29" s="3">
        <v>404.7</v>
      </c>
      <c r="F29" s="3">
        <v>-256.2</v>
      </c>
      <c r="G29" s="3">
        <v>263.82</v>
      </c>
      <c r="H29" s="3">
        <v>359.54</v>
      </c>
      <c r="I29" s="3">
        <v>371.87</v>
      </c>
      <c r="J29" s="3">
        <v>430.27</v>
      </c>
      <c r="K29" s="3">
        <v>758.78</v>
      </c>
    </row>
    <row r="30" spans="1:11" x14ac:dyDescent="0.25">
      <c r="A30" s="2" t="s">
        <v>25</v>
      </c>
      <c r="B30" s="3">
        <v>907.12</v>
      </c>
      <c r="C30" s="3">
        <v>827.61</v>
      </c>
      <c r="D30" s="3">
        <v>1304.08</v>
      </c>
      <c r="E30" s="3">
        <v>1634.18</v>
      </c>
      <c r="F30" s="3">
        <v>2341.5300000000002</v>
      </c>
      <c r="G30" s="3">
        <v>1496.58</v>
      </c>
      <c r="H30" s="3">
        <v>1720.82</v>
      </c>
      <c r="I30" s="3">
        <v>1783.39</v>
      </c>
      <c r="J30" s="3">
        <v>1702.46</v>
      </c>
      <c r="K30" s="3">
        <v>-560.54999999999995</v>
      </c>
    </row>
    <row r="31" spans="1:11" x14ac:dyDescent="0.25">
      <c r="A31" s="2" t="s">
        <v>26</v>
      </c>
      <c r="B31" s="3">
        <v>187.22</v>
      </c>
      <c r="C31" s="3">
        <v>195.79</v>
      </c>
      <c r="D31" s="3">
        <v>510.9</v>
      </c>
      <c r="E31" s="3">
        <v>681.3</v>
      </c>
      <c r="F31" s="3">
        <v>1022.2</v>
      </c>
      <c r="G31" s="3">
        <v>817.84</v>
      </c>
      <c r="H31" s="3"/>
      <c r="I31" s="3"/>
      <c r="J31" s="3"/>
      <c r="K31" s="3"/>
    </row>
    <row r="32" spans="1:11" x14ac:dyDescent="0.25">
      <c r="A32" s="2" t="s">
        <v>27</v>
      </c>
      <c r="B32" s="8">
        <f>B29/B28</f>
        <v>0.21805528861554233</v>
      </c>
      <c r="C32" s="8">
        <f t="shared" ref="C32:K32" si="0">C29/C28</f>
        <v>0.28804203416561663</v>
      </c>
      <c r="D32" s="8">
        <f t="shared" si="0"/>
        <v>0.22473668300605171</v>
      </c>
      <c r="E32" s="8">
        <f t="shared" si="0"/>
        <v>0.19849132857254961</v>
      </c>
      <c r="F32" s="8">
        <f t="shared" si="0"/>
        <v>-0.12285825265065961</v>
      </c>
      <c r="G32" s="8">
        <f t="shared" si="0"/>
        <v>0.14986366734832993</v>
      </c>
      <c r="H32" s="8">
        <f t="shared" si="0"/>
        <v>0.17282585706320061</v>
      </c>
      <c r="I32" s="8">
        <f t="shared" si="0"/>
        <v>0.17254066794725462</v>
      </c>
      <c r="J32" s="8">
        <f t="shared" si="0"/>
        <v>0.20174611882422996</v>
      </c>
      <c r="K32" s="8">
        <f t="shared" si="0"/>
        <v>3.8277758159713464</v>
      </c>
    </row>
    <row r="34" spans="1:11" x14ac:dyDescent="0.25">
      <c r="A34" s="2" t="s">
        <v>28</v>
      </c>
      <c r="B34" s="2">
        <f>+B30+B29+B27+B26</f>
        <v>1382.65</v>
      </c>
      <c r="C34" s="2">
        <f t="shared" ref="C34:K34" si="1">+C30+C29+C27+C26</f>
        <v>1392.33</v>
      </c>
      <c r="D34" s="2">
        <f t="shared" si="1"/>
        <v>1979</v>
      </c>
      <c r="E34" s="2">
        <f t="shared" si="1"/>
        <v>2367.6799999999998</v>
      </c>
      <c r="F34" s="2">
        <f t="shared" si="1"/>
        <v>2493.5200000000004</v>
      </c>
      <c r="G34" s="2">
        <f t="shared" si="1"/>
        <v>2185.81</v>
      </c>
      <c r="H34" s="2">
        <f t="shared" si="1"/>
        <v>2421.86</v>
      </c>
      <c r="I34" s="2">
        <f t="shared" si="1"/>
        <v>2487.4500000000003</v>
      </c>
      <c r="J34" s="2">
        <f t="shared" si="1"/>
        <v>2557.5</v>
      </c>
      <c r="K34" s="2">
        <f t="shared" si="1"/>
        <v>748.76</v>
      </c>
    </row>
    <row r="40" spans="1:11" x14ac:dyDescent="0.25">
      <c r="A40" s="1" t="s">
        <v>29</v>
      </c>
    </row>
    <row r="41" spans="1:11" s="6" customFormat="1" x14ac:dyDescent="0.25">
      <c r="A41" s="4" t="s">
        <v>11</v>
      </c>
      <c r="B41" s="5">
        <v>44651</v>
      </c>
      <c r="C41" s="5">
        <v>44742</v>
      </c>
      <c r="D41" s="5">
        <v>44834</v>
      </c>
      <c r="E41" s="5">
        <v>44926</v>
      </c>
      <c r="F41" s="5">
        <v>45016</v>
      </c>
      <c r="G41" s="5">
        <v>45107</v>
      </c>
      <c r="H41" s="5">
        <v>45199</v>
      </c>
      <c r="I41" s="5">
        <v>45291</v>
      </c>
      <c r="J41" s="5">
        <v>45382</v>
      </c>
      <c r="K41" s="5">
        <v>45473</v>
      </c>
    </row>
    <row r="42" spans="1:11" x14ac:dyDescent="0.25">
      <c r="A42" s="2" t="s">
        <v>12</v>
      </c>
      <c r="B42" s="3">
        <v>2915.82</v>
      </c>
      <c r="C42" s="3">
        <v>3124.97</v>
      </c>
      <c r="D42" s="3">
        <v>3391.92</v>
      </c>
      <c r="E42" s="3">
        <v>3598.92</v>
      </c>
      <c r="F42" s="3">
        <v>3200.16</v>
      </c>
      <c r="G42" s="3">
        <v>3448.91</v>
      </c>
      <c r="H42" s="3">
        <v>3601.95</v>
      </c>
      <c r="I42" s="3">
        <v>3659.64</v>
      </c>
      <c r="J42" s="3">
        <v>3385.61</v>
      </c>
      <c r="K42" s="3">
        <v>3331.58</v>
      </c>
    </row>
    <row r="43" spans="1:11" x14ac:dyDescent="0.25">
      <c r="A43" s="2" t="s">
        <v>30</v>
      </c>
      <c r="B43" s="3">
        <v>2452.75</v>
      </c>
      <c r="C43" s="3">
        <v>2604.17</v>
      </c>
      <c r="D43" s="3">
        <v>2849.81</v>
      </c>
      <c r="E43" s="3">
        <v>2872.28</v>
      </c>
      <c r="F43" s="3">
        <v>2559.29</v>
      </c>
      <c r="G43" s="3">
        <v>2806.07</v>
      </c>
      <c r="H43" s="3">
        <v>2897.78</v>
      </c>
      <c r="I43" s="3">
        <v>2818.92</v>
      </c>
      <c r="J43" s="3">
        <v>2629.89</v>
      </c>
      <c r="K43" s="3">
        <v>2607.15</v>
      </c>
    </row>
    <row r="44" spans="1:11" x14ac:dyDescent="0.25">
      <c r="A44" s="2" t="s">
        <v>20</v>
      </c>
      <c r="B44" s="3">
        <v>3.24</v>
      </c>
      <c r="C44" s="3">
        <v>25.69</v>
      </c>
      <c r="D44" s="3">
        <v>17.2</v>
      </c>
      <c r="E44" s="3">
        <v>35.71</v>
      </c>
      <c r="F44" s="3">
        <v>35.74</v>
      </c>
      <c r="G44" s="3">
        <v>-12.67</v>
      </c>
      <c r="H44" s="3">
        <v>53.39</v>
      </c>
      <c r="I44" s="3">
        <v>63.19</v>
      </c>
      <c r="J44" s="3">
        <v>-2311.81</v>
      </c>
      <c r="K44" s="3">
        <v>56.81</v>
      </c>
    </row>
    <row r="45" spans="1:11" x14ac:dyDescent="0.25">
      <c r="A45" s="2" t="s">
        <v>21</v>
      </c>
      <c r="B45" s="3">
        <v>49.5</v>
      </c>
      <c r="C45" s="3">
        <v>57.06</v>
      </c>
      <c r="D45" s="3">
        <v>53.32</v>
      </c>
      <c r="E45" s="3">
        <v>57.32</v>
      </c>
      <c r="F45" s="3">
        <v>68.59</v>
      </c>
      <c r="G45" s="3">
        <v>76.290000000000006</v>
      </c>
      <c r="H45" s="3">
        <v>60.88</v>
      </c>
      <c r="I45" s="3">
        <v>53.88</v>
      </c>
      <c r="J45" s="3">
        <v>49.91</v>
      </c>
      <c r="K45" s="3">
        <v>49.46</v>
      </c>
    </row>
    <row r="46" spans="1:11" ht="14.4" x14ac:dyDescent="0.3">
      <c r="A46" s="2" t="s">
        <v>22</v>
      </c>
      <c r="B46" s="7">
        <v>32.81</v>
      </c>
      <c r="C46" s="7">
        <v>35.06</v>
      </c>
      <c r="D46" s="7">
        <v>48.25</v>
      </c>
      <c r="E46" s="7">
        <v>39.92</v>
      </c>
      <c r="F46" s="7">
        <v>52.51</v>
      </c>
      <c r="G46" s="7">
        <v>74</v>
      </c>
      <c r="H46" s="7">
        <v>77.31</v>
      </c>
      <c r="I46" s="7">
        <v>66.59</v>
      </c>
      <c r="J46" s="7">
        <v>78.47</v>
      </c>
      <c r="K46" s="7">
        <v>87.75</v>
      </c>
    </row>
    <row r="47" spans="1:11" x14ac:dyDescent="0.25">
      <c r="A47" s="2" t="s">
        <v>23</v>
      </c>
      <c r="B47" s="3">
        <v>384</v>
      </c>
      <c r="C47" s="3">
        <v>454.37</v>
      </c>
      <c r="D47" s="3">
        <v>457.74</v>
      </c>
      <c r="E47" s="3">
        <v>665.11</v>
      </c>
      <c r="F47" s="3">
        <v>555.51</v>
      </c>
      <c r="G47" s="3">
        <v>479.88</v>
      </c>
      <c r="H47" s="3">
        <v>619.37</v>
      </c>
      <c r="I47" s="3">
        <v>783.44</v>
      </c>
      <c r="J47" s="3">
        <v>-1684.47</v>
      </c>
      <c r="K47" s="3">
        <v>644.03</v>
      </c>
    </row>
    <row r="48" spans="1:11" x14ac:dyDescent="0.25">
      <c r="A48" s="2" t="s">
        <v>24</v>
      </c>
      <c r="B48" s="3">
        <v>20.76</v>
      </c>
      <c r="C48" s="3">
        <v>109.25</v>
      </c>
      <c r="D48" s="3">
        <v>98.88</v>
      </c>
      <c r="E48" s="3">
        <v>118.77</v>
      </c>
      <c r="F48" s="3">
        <v>103.37</v>
      </c>
      <c r="G48" s="3">
        <v>161.06</v>
      </c>
      <c r="H48" s="3">
        <v>186.6</v>
      </c>
      <c r="I48" s="3">
        <v>202.38</v>
      </c>
      <c r="J48" s="3">
        <v>208.74</v>
      </c>
      <c r="K48" s="3">
        <v>193.34</v>
      </c>
    </row>
    <row r="49" spans="1:11" x14ac:dyDescent="0.25">
      <c r="A49" s="2" t="s">
        <v>25</v>
      </c>
      <c r="B49" s="3">
        <v>363.24</v>
      </c>
      <c r="C49" s="3">
        <v>345.12</v>
      </c>
      <c r="D49" s="3">
        <v>358.86</v>
      </c>
      <c r="E49" s="3">
        <v>546.34</v>
      </c>
      <c r="F49" s="3">
        <v>452.14</v>
      </c>
      <c r="G49" s="3">
        <v>318.82</v>
      </c>
      <c r="H49" s="3">
        <v>432.77</v>
      </c>
      <c r="I49" s="3">
        <v>581.05999999999995</v>
      </c>
      <c r="J49" s="3">
        <v>-1893.21</v>
      </c>
      <c r="K49" s="3">
        <v>450.69</v>
      </c>
    </row>
    <row r="50" spans="1:11" x14ac:dyDescent="0.25">
      <c r="A50" s="2" t="s">
        <v>31</v>
      </c>
      <c r="B50" s="3">
        <v>463.07</v>
      </c>
      <c r="C50" s="3">
        <v>520.79999999999995</v>
      </c>
      <c r="D50" s="3">
        <v>542.11</v>
      </c>
      <c r="E50" s="3">
        <v>726.64</v>
      </c>
      <c r="F50" s="3">
        <v>640.87</v>
      </c>
      <c r="G50" s="3">
        <v>642.84</v>
      </c>
      <c r="H50" s="3">
        <v>704.17</v>
      </c>
      <c r="I50" s="3">
        <v>840.72</v>
      </c>
      <c r="J50" s="3">
        <v>755.72</v>
      </c>
      <c r="K50" s="3">
        <v>724.43</v>
      </c>
    </row>
    <row r="51" spans="1:11" x14ac:dyDescent="0.25">
      <c r="A51" s="2" t="s">
        <v>28</v>
      </c>
      <c r="B51" s="2">
        <f>B49+B48+B46+B45</f>
        <v>466.31</v>
      </c>
      <c r="C51" s="2">
        <f t="shared" ref="C51:K51" si="2">C49+C48+C46+C45</f>
        <v>546.49</v>
      </c>
      <c r="D51" s="2">
        <f t="shared" si="2"/>
        <v>559.31000000000006</v>
      </c>
      <c r="E51" s="2">
        <f t="shared" si="2"/>
        <v>762.35</v>
      </c>
      <c r="F51" s="2">
        <f t="shared" si="2"/>
        <v>676.61</v>
      </c>
      <c r="G51" s="2">
        <f t="shared" si="2"/>
        <v>630.16999999999996</v>
      </c>
      <c r="H51" s="2">
        <f t="shared" si="2"/>
        <v>757.56000000000006</v>
      </c>
      <c r="I51" s="2">
        <f t="shared" si="2"/>
        <v>903.91</v>
      </c>
      <c r="J51" s="2">
        <f t="shared" si="2"/>
        <v>-1556.09</v>
      </c>
      <c r="K51" s="2">
        <f t="shared" si="2"/>
        <v>781.24</v>
      </c>
    </row>
    <row r="55" spans="1:11" x14ac:dyDescent="0.25">
      <c r="A55" s="1" t="s">
        <v>32</v>
      </c>
    </row>
    <row r="56" spans="1:11" s="6" customFormat="1" x14ac:dyDescent="0.25">
      <c r="A56" s="4" t="s">
        <v>11</v>
      </c>
      <c r="B56" s="5">
        <v>42094</v>
      </c>
      <c r="C56" s="5">
        <v>42460</v>
      </c>
      <c r="D56" s="5">
        <v>42825</v>
      </c>
      <c r="E56" s="5">
        <v>43190</v>
      </c>
      <c r="F56" s="5">
        <v>43555</v>
      </c>
      <c r="G56" s="5">
        <v>43921</v>
      </c>
      <c r="H56" s="5">
        <v>44286</v>
      </c>
      <c r="I56" s="5">
        <v>44651</v>
      </c>
      <c r="J56" s="5">
        <v>45016</v>
      </c>
      <c r="K56" s="5">
        <v>45382</v>
      </c>
    </row>
    <row r="57" spans="1:11" x14ac:dyDescent="0.25">
      <c r="A57" s="2" t="s">
        <v>33</v>
      </c>
      <c r="B57" s="3">
        <v>34.04</v>
      </c>
      <c r="C57" s="3">
        <v>34.049999999999997</v>
      </c>
      <c r="D57" s="3">
        <v>34.06</v>
      </c>
      <c r="E57" s="3">
        <v>68.13</v>
      </c>
      <c r="F57" s="3">
        <v>102.22</v>
      </c>
      <c r="G57" s="3">
        <v>102.23</v>
      </c>
      <c r="H57" s="3">
        <v>102.25</v>
      </c>
      <c r="I57" s="3">
        <v>102.26</v>
      </c>
      <c r="J57" s="3">
        <v>102.27</v>
      </c>
      <c r="K57" s="3">
        <v>102.28</v>
      </c>
    </row>
    <row r="58" spans="1:11" x14ac:dyDescent="0.25">
      <c r="A58" s="2" t="s">
        <v>34</v>
      </c>
      <c r="B58" s="3">
        <v>4276.6499999999996</v>
      </c>
      <c r="C58" s="3">
        <v>4232.91</v>
      </c>
      <c r="D58" s="3">
        <v>5267.89</v>
      </c>
      <c r="E58" s="3">
        <v>6190.18</v>
      </c>
      <c r="F58" s="3">
        <v>7164.7</v>
      </c>
      <c r="G58" s="3">
        <v>7796.13</v>
      </c>
      <c r="H58" s="3">
        <v>9336.65</v>
      </c>
      <c r="I58" s="3">
        <v>11453.67</v>
      </c>
      <c r="J58" s="3">
        <v>13691.96</v>
      </c>
      <c r="K58" s="3">
        <v>12496.29</v>
      </c>
    </row>
    <row r="59" spans="1:11" ht="14.4" x14ac:dyDescent="0.3">
      <c r="A59" s="2" t="s">
        <v>35</v>
      </c>
      <c r="B59" s="7">
        <v>2717.15</v>
      </c>
      <c r="C59" s="7">
        <v>2891.12</v>
      </c>
      <c r="D59" s="7">
        <v>4000.93</v>
      </c>
      <c r="E59" s="7">
        <v>3507.57</v>
      </c>
      <c r="F59" s="7">
        <v>3382.05</v>
      </c>
      <c r="G59" s="7">
        <v>3574.97</v>
      </c>
      <c r="H59" s="7">
        <v>1863.97</v>
      </c>
      <c r="I59" s="7">
        <v>1704.34</v>
      </c>
      <c r="J59" s="7">
        <v>1129.58</v>
      </c>
      <c r="K59" s="7">
        <v>3222.2</v>
      </c>
    </row>
    <row r="60" spans="1:11" x14ac:dyDescent="0.25">
      <c r="A60" s="2" t="s">
        <v>36</v>
      </c>
      <c r="B60" s="3">
        <v>2097.1799999999998</v>
      </c>
      <c r="C60" s="3">
        <v>2520.66</v>
      </c>
      <c r="D60" s="3">
        <v>3637.37</v>
      </c>
      <c r="E60" s="3">
        <v>4097.8900000000003</v>
      </c>
      <c r="F60" s="3">
        <v>3444.58</v>
      </c>
      <c r="G60" s="3">
        <v>3406.95</v>
      </c>
      <c r="H60" s="3">
        <v>2940.92</v>
      </c>
      <c r="I60" s="3">
        <v>2821.85</v>
      </c>
      <c r="J60" s="3">
        <v>2513.4499999999998</v>
      </c>
      <c r="K60" s="3">
        <v>2571.31</v>
      </c>
    </row>
    <row r="61" spans="1:11" s="1" customFormat="1" x14ac:dyDescent="0.25">
      <c r="A61" s="1" t="s">
        <v>37</v>
      </c>
      <c r="B61" s="3">
        <v>9125.02</v>
      </c>
      <c r="C61" s="3">
        <v>9678.74</v>
      </c>
      <c r="D61" s="3">
        <v>12940.25</v>
      </c>
      <c r="E61" s="3">
        <v>13863.77</v>
      </c>
      <c r="F61" s="3">
        <v>14093.55</v>
      </c>
      <c r="G61" s="3">
        <v>14880.28</v>
      </c>
      <c r="H61" s="3">
        <v>14243.79</v>
      </c>
      <c r="I61" s="3">
        <v>16082.12</v>
      </c>
      <c r="J61" s="3">
        <v>17437.259999999998</v>
      </c>
      <c r="K61" s="3">
        <v>18392.080000000002</v>
      </c>
    </row>
    <row r="62" spans="1:11" x14ac:dyDescent="0.25">
      <c r="A62" s="2" t="s">
        <v>38</v>
      </c>
      <c r="B62" s="3">
        <v>5550.95</v>
      </c>
      <c r="C62" s="3">
        <v>5931.41</v>
      </c>
      <c r="D62" s="3">
        <v>8082.89</v>
      </c>
      <c r="E62" s="3">
        <v>8315</v>
      </c>
      <c r="F62" s="3">
        <v>8670.26</v>
      </c>
      <c r="G62" s="3">
        <v>9231.4</v>
      </c>
      <c r="H62" s="3">
        <v>8904.77</v>
      </c>
      <c r="I62" s="3">
        <v>9219.2999999999993</v>
      </c>
      <c r="J62" s="3">
        <v>9933.66</v>
      </c>
      <c r="K62" s="3">
        <v>10440.24</v>
      </c>
    </row>
    <row r="63" spans="1:11" x14ac:dyDescent="0.25">
      <c r="A63" s="2" t="s">
        <v>39</v>
      </c>
      <c r="B63" s="3">
        <v>224.61</v>
      </c>
      <c r="C63" s="3">
        <v>43.66</v>
      </c>
      <c r="D63" s="3">
        <v>97.43</v>
      </c>
      <c r="E63" s="3">
        <v>83.88</v>
      </c>
      <c r="F63" s="3">
        <v>52.06</v>
      </c>
      <c r="G63" s="3">
        <v>57.04</v>
      </c>
      <c r="H63" s="3">
        <v>57.43</v>
      </c>
      <c r="I63" s="3">
        <v>116.44</v>
      </c>
      <c r="J63" s="3">
        <v>45.42</v>
      </c>
      <c r="K63" s="3">
        <v>83.36</v>
      </c>
    </row>
    <row r="64" spans="1:11" ht="14.4" x14ac:dyDescent="0.3">
      <c r="A64" s="2" t="s">
        <v>40</v>
      </c>
      <c r="B64" s="3">
        <v>185.69</v>
      </c>
      <c r="C64" s="7">
        <v>189.5</v>
      </c>
      <c r="D64" s="3">
        <v>933.54</v>
      </c>
      <c r="E64" s="3">
        <v>997.28</v>
      </c>
      <c r="F64" s="3">
        <v>515.98</v>
      </c>
      <c r="G64" s="3">
        <v>671.98</v>
      </c>
      <c r="H64" s="3">
        <v>679.1</v>
      </c>
      <c r="I64" s="3">
        <v>1015.43</v>
      </c>
      <c r="J64" s="3">
        <v>3028.98</v>
      </c>
      <c r="K64" s="3">
        <v>3503.67</v>
      </c>
    </row>
    <row r="65" spans="1:11" x14ac:dyDescent="0.25">
      <c r="A65" s="2" t="s">
        <v>41</v>
      </c>
      <c r="B65" s="3">
        <v>3163.77</v>
      </c>
      <c r="C65" s="3">
        <v>3514.17</v>
      </c>
      <c r="D65" s="3">
        <v>3826.39</v>
      </c>
      <c r="E65" s="3">
        <v>4467.6099999999997</v>
      </c>
      <c r="F65" s="3">
        <v>4855.25</v>
      </c>
      <c r="G65" s="3">
        <v>4919.8599999999997</v>
      </c>
      <c r="H65" s="3">
        <v>4602.49</v>
      </c>
      <c r="I65" s="3">
        <v>5730.95</v>
      </c>
      <c r="J65" s="3">
        <v>4429.2</v>
      </c>
      <c r="K65" s="3">
        <v>4364.8100000000004</v>
      </c>
    </row>
    <row r="66" spans="1:11" s="1" customFormat="1" x14ac:dyDescent="0.25">
      <c r="A66" s="1" t="s">
        <v>37</v>
      </c>
      <c r="B66" s="3">
        <v>9125.02</v>
      </c>
      <c r="C66" s="3">
        <v>9678.74</v>
      </c>
      <c r="D66" s="3">
        <v>12940.25</v>
      </c>
      <c r="E66" s="3">
        <v>13863.77</v>
      </c>
      <c r="F66" s="3">
        <v>14093.55</v>
      </c>
      <c r="G66" s="3">
        <v>14880.28</v>
      </c>
      <c r="H66" s="3">
        <v>14243.79</v>
      </c>
      <c r="I66" s="3">
        <v>16082.12</v>
      </c>
      <c r="J66" s="3">
        <v>17437.259999999998</v>
      </c>
      <c r="K66" s="3">
        <v>18392.080000000002</v>
      </c>
    </row>
    <row r="67" spans="1:11" x14ac:dyDescent="0.25">
      <c r="A67" s="2" t="s">
        <v>42</v>
      </c>
      <c r="B67" s="3">
        <v>804.58</v>
      </c>
      <c r="C67" s="3">
        <v>1118.01</v>
      </c>
      <c r="D67" s="3">
        <v>1028.74</v>
      </c>
      <c r="E67" s="3">
        <v>1245.5</v>
      </c>
      <c r="F67" s="3">
        <v>1292.9000000000001</v>
      </c>
      <c r="G67" s="3">
        <v>1157.25</v>
      </c>
      <c r="H67" s="3">
        <v>1004.5</v>
      </c>
      <c r="I67" s="3">
        <v>1116.32</v>
      </c>
      <c r="J67" s="3">
        <v>1245.28</v>
      </c>
      <c r="K67" s="3">
        <v>1535.37</v>
      </c>
    </row>
    <row r="68" spans="1:11" ht="14.4" x14ac:dyDescent="0.3">
      <c r="A68" s="2" t="s">
        <v>43</v>
      </c>
      <c r="B68" s="7">
        <v>1071.71</v>
      </c>
      <c r="C68" s="7">
        <v>1306.98</v>
      </c>
      <c r="D68" s="7">
        <v>1412.5</v>
      </c>
      <c r="E68" s="7">
        <v>1577.72</v>
      </c>
      <c r="F68" s="7">
        <v>1558.59</v>
      </c>
      <c r="G68" s="7">
        <v>1703.12</v>
      </c>
      <c r="H68" s="7">
        <v>1716.25</v>
      </c>
      <c r="I68" s="7">
        <v>2129.85</v>
      </c>
      <c r="J68" s="7">
        <v>1537.15</v>
      </c>
      <c r="K68" s="7">
        <v>1270.92</v>
      </c>
    </row>
    <row r="69" spans="1:11" x14ac:dyDescent="0.25">
      <c r="A69" s="2" t="s">
        <v>44</v>
      </c>
      <c r="B69" s="3">
        <v>894.22</v>
      </c>
      <c r="C69" s="3">
        <v>753.79</v>
      </c>
      <c r="D69" s="3">
        <v>912.66</v>
      </c>
      <c r="E69" s="3">
        <v>960.21</v>
      </c>
      <c r="F69" s="3">
        <v>894.72</v>
      </c>
      <c r="G69" s="3">
        <v>770.16</v>
      </c>
      <c r="H69" s="3">
        <v>672.21</v>
      </c>
      <c r="I69" s="3">
        <v>1107.77</v>
      </c>
      <c r="J69" s="3">
        <v>390.72</v>
      </c>
      <c r="K69" s="3">
        <v>546.94000000000005</v>
      </c>
    </row>
    <row r="70" spans="1:11" x14ac:dyDescent="0.25">
      <c r="A70" s="2" t="s">
        <v>45</v>
      </c>
      <c r="B70" s="3">
        <v>340446901</v>
      </c>
      <c r="C70" s="3">
        <v>340533823</v>
      </c>
      <c r="D70" s="3">
        <v>340600816</v>
      </c>
      <c r="E70" s="3">
        <v>681329518</v>
      </c>
      <c r="F70" s="3">
        <v>1022166096</v>
      </c>
      <c r="G70" s="3">
        <v>1022316352</v>
      </c>
      <c r="H70" s="3">
        <v>1022486273</v>
      </c>
      <c r="I70" s="3">
        <v>1022581079</v>
      </c>
      <c r="J70" s="3">
        <v>1022695318</v>
      </c>
      <c r="K70" s="3">
        <v>1022820329</v>
      </c>
    </row>
    <row r="71" spans="1:11" ht="14.4" x14ac:dyDescent="0.3">
      <c r="A71" s="2" t="s">
        <v>46</v>
      </c>
      <c r="B71" s="9"/>
      <c r="C71" s="9"/>
      <c r="E71">
        <v>340600816</v>
      </c>
      <c r="F71">
        <v>340722032</v>
      </c>
      <c r="G71" s="9"/>
      <c r="H71" s="9"/>
    </row>
    <row r="72" spans="1:11" x14ac:dyDescent="0.25">
      <c r="A72" s="2" t="s">
        <v>47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3" spans="1:11" x14ac:dyDescent="0.25">
      <c r="H73" s="2">
        <f>H62-G62+H45</f>
        <v>-265.7499999999992</v>
      </c>
      <c r="I73" s="2">
        <f t="shared" ref="I73:K73" si="3">I62-H62+I45</f>
        <v>368.40999999999883</v>
      </c>
      <c r="J73" s="2">
        <f t="shared" si="3"/>
        <v>764.27000000000055</v>
      </c>
      <c r="K73" s="2">
        <f t="shared" si="3"/>
        <v>556.04</v>
      </c>
    </row>
    <row r="74" spans="1:11" x14ac:dyDescent="0.25">
      <c r="C74" s="2">
        <f>C59-B59</f>
        <v>173.9699999999998</v>
      </c>
      <c r="D74" s="2">
        <f t="shared" ref="D74:K74" si="4">D59-C59</f>
        <v>1109.81</v>
      </c>
      <c r="E74" s="2">
        <f t="shared" si="4"/>
        <v>-493.35999999999967</v>
      </c>
      <c r="F74" s="2">
        <f t="shared" si="4"/>
        <v>-125.51999999999998</v>
      </c>
      <c r="G74" s="2">
        <f t="shared" si="4"/>
        <v>192.91999999999962</v>
      </c>
      <c r="H74" s="2">
        <f t="shared" si="4"/>
        <v>-1710.9999999999998</v>
      </c>
      <c r="I74" s="2">
        <f t="shared" si="4"/>
        <v>-159.63000000000011</v>
      </c>
      <c r="J74" s="2">
        <f t="shared" si="4"/>
        <v>-574.76</v>
      </c>
      <c r="K74" s="2">
        <f t="shared" si="4"/>
        <v>2092.62</v>
      </c>
    </row>
    <row r="76" spans="1:11" x14ac:dyDescent="0.25">
      <c r="B76" s="176"/>
      <c r="C76" s="176"/>
      <c r="D76" s="176"/>
      <c r="E76" s="176"/>
      <c r="F76" s="176"/>
      <c r="G76" s="176"/>
      <c r="H76" s="176"/>
      <c r="I76" s="176"/>
      <c r="J76" s="176"/>
      <c r="K76" s="176"/>
    </row>
    <row r="80" spans="1:11" x14ac:dyDescent="0.25">
      <c r="A80" s="1" t="s">
        <v>48</v>
      </c>
    </row>
    <row r="81" spans="1:12" s="6" customFormat="1" x14ac:dyDescent="0.25">
      <c r="A81" s="4" t="s">
        <v>11</v>
      </c>
      <c r="B81" s="5">
        <v>42094</v>
      </c>
      <c r="C81" s="5">
        <v>42460</v>
      </c>
      <c r="D81" s="5">
        <v>42825</v>
      </c>
      <c r="E81" s="5">
        <v>43190</v>
      </c>
      <c r="F81" s="5">
        <v>43555</v>
      </c>
      <c r="G81" s="5">
        <v>43921</v>
      </c>
      <c r="H81" s="5">
        <v>44286</v>
      </c>
      <c r="I81" s="5">
        <v>44651</v>
      </c>
      <c r="J81" s="5">
        <v>45016</v>
      </c>
      <c r="K81" s="5">
        <v>45382</v>
      </c>
      <c r="L81" s="5"/>
    </row>
    <row r="82" spans="1:12" s="1" customFormat="1" x14ac:dyDescent="0.25">
      <c r="A82" s="2" t="s">
        <v>49</v>
      </c>
      <c r="B82" s="3">
        <v>1026.73</v>
      </c>
      <c r="C82" s="3">
        <v>847.37</v>
      </c>
      <c r="D82" s="3">
        <v>1860.22</v>
      </c>
      <c r="E82" s="3">
        <v>1723.35</v>
      </c>
      <c r="F82" s="3">
        <v>1728.85</v>
      </c>
      <c r="G82" s="3">
        <v>1588.11</v>
      </c>
      <c r="H82" s="3">
        <v>2029.63</v>
      </c>
      <c r="I82" s="3">
        <v>1450.57</v>
      </c>
      <c r="J82" s="3">
        <v>2150.65</v>
      </c>
      <c r="K82" s="3">
        <v>2069.9499999999998</v>
      </c>
    </row>
    <row r="83" spans="1:12" x14ac:dyDescent="0.25">
      <c r="A83" s="2" t="s">
        <v>50</v>
      </c>
      <c r="B83" s="3">
        <v>-1235.8599999999999</v>
      </c>
      <c r="C83" s="3">
        <v>-621.59</v>
      </c>
      <c r="D83" s="3">
        <v>-2243.25</v>
      </c>
      <c r="E83" s="3">
        <v>-336.37</v>
      </c>
      <c r="F83" s="3">
        <v>274.07</v>
      </c>
      <c r="G83" s="3">
        <v>-552.12</v>
      </c>
      <c r="H83" s="3">
        <v>-292.14999999999998</v>
      </c>
      <c r="I83" s="3">
        <v>-844.32</v>
      </c>
      <c r="J83" s="3">
        <v>-1754.46</v>
      </c>
      <c r="K83" s="3">
        <v>-3435.01</v>
      </c>
    </row>
    <row r="84" spans="1:12" x14ac:dyDescent="0.25">
      <c r="A84" s="2" t="s">
        <v>51</v>
      </c>
      <c r="B84" s="3">
        <v>-12.04</v>
      </c>
      <c r="C84" s="3">
        <v>-202.47</v>
      </c>
      <c r="D84" s="3">
        <v>664.65</v>
      </c>
      <c r="E84" s="3">
        <v>-1384.01</v>
      </c>
      <c r="F84" s="3">
        <v>-2038.73</v>
      </c>
      <c r="G84" s="3">
        <v>-1295.33</v>
      </c>
      <c r="H84" s="3">
        <v>-1816.22</v>
      </c>
      <c r="I84" s="3">
        <v>-379.52</v>
      </c>
      <c r="J84" s="3">
        <v>-794.31</v>
      </c>
      <c r="K84" s="3">
        <v>1406.34</v>
      </c>
    </row>
    <row r="85" spans="1:12" s="1" customFormat="1" x14ac:dyDescent="0.25">
      <c r="A85" s="2" t="s">
        <v>52</v>
      </c>
      <c r="B85" s="3">
        <v>-221.17</v>
      </c>
      <c r="C85" s="3">
        <v>23.31</v>
      </c>
      <c r="D85" s="3">
        <v>281.62</v>
      </c>
      <c r="E85" s="3">
        <v>2.97</v>
      </c>
      <c r="F85" s="3">
        <v>-35.81</v>
      </c>
      <c r="G85" s="3">
        <v>-259.33999999999997</v>
      </c>
      <c r="H85" s="3">
        <v>-78.739999999999995</v>
      </c>
      <c r="I85" s="3">
        <v>226.73</v>
      </c>
      <c r="J85" s="3">
        <v>-398.12</v>
      </c>
      <c r="K85" s="3">
        <v>41.28</v>
      </c>
    </row>
    <row r="90" spans="1:12" s="1" customFormat="1" x14ac:dyDescent="0.25">
      <c r="A90" s="1" t="s">
        <v>53</v>
      </c>
      <c r="B90" s="3">
        <v>346.99</v>
      </c>
      <c r="C90" s="3">
        <v>460.27</v>
      </c>
      <c r="D90" s="3">
        <v>557.14</v>
      </c>
      <c r="E90" s="3">
        <v>729.1</v>
      </c>
      <c r="F90" s="3">
        <v>686</v>
      </c>
      <c r="G90" s="3">
        <v>520.85</v>
      </c>
      <c r="H90" s="3">
        <v>729.65</v>
      </c>
      <c r="I90" s="3">
        <v>747.3</v>
      </c>
      <c r="J90" s="3">
        <v>968.15</v>
      </c>
      <c r="K90" s="3">
        <v>1251.8</v>
      </c>
    </row>
    <row r="92" spans="1:12" s="1" customFormat="1" x14ac:dyDescent="0.25">
      <c r="A92" s="1" t="s">
        <v>54</v>
      </c>
    </row>
    <row r="93" spans="1:12" x14ac:dyDescent="0.25">
      <c r="A93" s="2" t="s">
        <v>55</v>
      </c>
      <c r="B93" s="10">
        <v>102.14</v>
      </c>
      <c r="C93" s="10">
        <v>102.16</v>
      </c>
      <c r="D93" s="10">
        <v>102.18</v>
      </c>
      <c r="E93" s="10">
        <v>102.2</v>
      </c>
      <c r="F93" s="10">
        <v>102.22</v>
      </c>
      <c r="G93" s="10">
        <v>102.23</v>
      </c>
      <c r="H93" s="10">
        <v>102.25</v>
      </c>
      <c r="I93" s="10">
        <v>102.26</v>
      </c>
      <c r="J93" s="10">
        <v>102.27</v>
      </c>
      <c r="K93" s="10">
        <v>102.28</v>
      </c>
    </row>
    <row r="97" spans="1:13" x14ac:dyDescent="0.25">
      <c r="M97" s="2" t="s">
        <v>213</v>
      </c>
    </row>
    <row r="98" spans="1:13" x14ac:dyDescent="0.25">
      <c r="A98" s="2" t="s">
        <v>319</v>
      </c>
      <c r="B98" s="176">
        <f>B27/B59</f>
        <v>4.1388955339234118E-2</v>
      </c>
      <c r="C98" s="176">
        <f t="shared" ref="C98:K98" si="5">C27/C59</f>
        <v>4.4287335012036855E-2</v>
      </c>
      <c r="D98" s="176">
        <f t="shared" si="5"/>
        <v>3.8538539789498942E-2</v>
      </c>
      <c r="E98" s="176">
        <f t="shared" si="5"/>
        <v>4.9356106934430391E-2</v>
      </c>
      <c r="F98" s="176">
        <f t="shared" si="5"/>
        <v>7.0433612749663671E-2</v>
      </c>
      <c r="G98" s="176">
        <f t="shared" si="5"/>
        <v>6.3813122907325104E-2</v>
      </c>
      <c r="H98" s="176">
        <f t="shared" si="5"/>
        <v>7.3847755060435519E-2</v>
      </c>
      <c r="I98" s="176">
        <f t="shared" si="5"/>
        <v>7.1734513066641636E-2</v>
      </c>
      <c r="J98" s="176">
        <f t="shared" si="5"/>
        <v>0.16685847837249243</v>
      </c>
      <c r="K98" s="176">
        <f t="shared" si="5"/>
        <v>9.6074110855936937E-2</v>
      </c>
      <c r="M98" s="177">
        <f>AVERAGE(B98:K98)</f>
        <v>7.1633253008769562E-2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4BE0-56D9-4F9B-B405-610591A96EC2}">
  <dimension ref="B1:N76"/>
  <sheetViews>
    <sheetView showGridLines="0" workbookViewId="0">
      <selection activeCell="N5" sqref="N5:N6"/>
    </sheetView>
  </sheetViews>
  <sheetFormatPr defaultRowHeight="14.4" x14ac:dyDescent="0.3"/>
  <cols>
    <col min="1" max="1" width="1.88671875" customWidth="1"/>
    <col min="2" max="2" width="22.77734375" bestFit="1" customWidth="1"/>
  </cols>
  <sheetData>
    <row r="1" spans="2:14" x14ac:dyDescent="0.3">
      <c r="B1" s="55"/>
      <c r="C1" s="57">
        <v>41334</v>
      </c>
      <c r="D1" s="57">
        <v>41699</v>
      </c>
      <c r="E1" s="57">
        <v>42064</v>
      </c>
      <c r="F1" s="57">
        <v>42430</v>
      </c>
      <c r="G1" s="57">
        <v>42795</v>
      </c>
      <c r="H1" s="57">
        <v>43160</v>
      </c>
      <c r="I1" s="57">
        <v>43525</v>
      </c>
      <c r="J1" s="57">
        <v>43891</v>
      </c>
      <c r="K1" s="57">
        <v>44256</v>
      </c>
      <c r="L1" s="57">
        <v>44621</v>
      </c>
      <c r="M1" s="57">
        <v>44986</v>
      </c>
      <c r="N1" s="57">
        <v>45352</v>
      </c>
    </row>
    <row r="2" spans="2:14" x14ac:dyDescent="0.3">
      <c r="B2" s="12" t="s">
        <v>133</v>
      </c>
      <c r="C2" s="58">
        <v>34</v>
      </c>
      <c r="D2" s="58">
        <v>34</v>
      </c>
      <c r="E2" s="58">
        <v>34</v>
      </c>
      <c r="F2" s="58">
        <v>34</v>
      </c>
      <c r="G2" s="58">
        <v>34</v>
      </c>
      <c r="H2" s="58">
        <v>68</v>
      </c>
      <c r="I2" s="58">
        <v>102</v>
      </c>
      <c r="J2" s="58">
        <v>102</v>
      </c>
      <c r="K2" s="58">
        <v>102</v>
      </c>
      <c r="L2" s="58">
        <v>102</v>
      </c>
      <c r="M2" s="58">
        <v>102</v>
      </c>
      <c r="N2" s="58">
        <v>102</v>
      </c>
    </row>
    <row r="3" spans="2:14" x14ac:dyDescent="0.3">
      <c r="B3" s="12" t="s">
        <v>34</v>
      </c>
      <c r="C3" s="58">
        <v>3279</v>
      </c>
      <c r="D3" s="58">
        <v>3741</v>
      </c>
      <c r="E3" s="58">
        <v>4277</v>
      </c>
      <c r="F3" s="58">
        <v>4233</v>
      </c>
      <c r="G3" s="58">
        <v>5268</v>
      </c>
      <c r="H3" s="58">
        <v>6190</v>
      </c>
      <c r="I3" s="58">
        <v>7165</v>
      </c>
      <c r="J3" s="58">
        <v>7796</v>
      </c>
      <c r="K3" s="58">
        <v>9337</v>
      </c>
      <c r="L3" s="58">
        <v>11454</v>
      </c>
      <c r="M3" s="58">
        <v>13692</v>
      </c>
      <c r="N3" s="58">
        <v>12496</v>
      </c>
    </row>
    <row r="4" spans="2:14" x14ac:dyDescent="0.3">
      <c r="B4" s="12" t="s">
        <v>134</v>
      </c>
      <c r="C4" s="58">
        <v>2456</v>
      </c>
      <c r="D4" s="58">
        <v>2373</v>
      </c>
      <c r="E4" s="58">
        <v>2717</v>
      </c>
      <c r="F4" s="58">
        <v>2891</v>
      </c>
      <c r="G4" s="58">
        <v>4001</v>
      </c>
      <c r="H4" s="58">
        <v>3508</v>
      </c>
      <c r="I4" s="58">
        <v>3382</v>
      </c>
      <c r="J4" s="58">
        <v>3575</v>
      </c>
      <c r="K4" s="58">
        <v>1864</v>
      </c>
      <c r="L4" s="58">
        <v>1704</v>
      </c>
      <c r="M4" s="58">
        <v>1130</v>
      </c>
      <c r="N4" s="58">
        <v>3222</v>
      </c>
    </row>
    <row r="5" spans="2:14" x14ac:dyDescent="0.3">
      <c r="B5" t="s">
        <v>135</v>
      </c>
      <c r="C5" s="58">
        <v>1866</v>
      </c>
      <c r="D5" s="58">
        <v>1591</v>
      </c>
      <c r="E5" s="58">
        <v>2023</v>
      </c>
      <c r="F5" s="58">
        <v>2449</v>
      </c>
      <c r="G5" s="58">
        <v>3108</v>
      </c>
      <c r="H5" s="58">
        <v>2380</v>
      </c>
      <c r="I5" s="58">
        <v>2605</v>
      </c>
      <c r="J5" s="58">
        <v>2145</v>
      </c>
      <c r="K5" s="58">
        <v>480</v>
      </c>
      <c r="L5" s="58">
        <v>381</v>
      </c>
      <c r="M5" s="58">
        <v>189</v>
      </c>
      <c r="N5" s="58">
        <v>0</v>
      </c>
    </row>
    <row r="6" spans="2:14" x14ac:dyDescent="0.3">
      <c r="B6" t="s">
        <v>136</v>
      </c>
      <c r="C6" s="58">
        <v>82</v>
      </c>
      <c r="D6" s="58">
        <v>111</v>
      </c>
      <c r="E6" s="58">
        <v>147</v>
      </c>
      <c r="F6" s="58">
        <v>182</v>
      </c>
      <c r="G6" s="58">
        <v>233</v>
      </c>
      <c r="H6" s="58">
        <v>154</v>
      </c>
      <c r="I6" s="58">
        <v>271</v>
      </c>
      <c r="J6" s="58">
        <v>519</v>
      </c>
      <c r="K6" s="58">
        <v>1288</v>
      </c>
      <c r="L6" s="58">
        <v>1227</v>
      </c>
      <c r="M6" s="58">
        <v>845</v>
      </c>
      <c r="N6" s="58">
        <v>3155</v>
      </c>
    </row>
    <row r="7" spans="2:14" x14ac:dyDescent="0.3">
      <c r="B7" t="s">
        <v>137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57</v>
      </c>
      <c r="K7" s="58">
        <v>96</v>
      </c>
      <c r="L7" s="58">
        <v>97</v>
      </c>
      <c r="M7" s="58">
        <v>96</v>
      </c>
      <c r="N7" s="58">
        <v>68</v>
      </c>
    </row>
    <row r="8" spans="2:14" x14ac:dyDescent="0.3">
      <c r="B8" t="s">
        <v>138</v>
      </c>
      <c r="C8" s="58">
        <v>508</v>
      </c>
      <c r="D8" s="58">
        <v>671</v>
      </c>
      <c r="E8" s="58">
        <v>547</v>
      </c>
      <c r="F8" s="58">
        <v>260</v>
      </c>
      <c r="G8" s="58">
        <v>660</v>
      </c>
      <c r="H8" s="58">
        <v>973</v>
      </c>
      <c r="I8" s="58">
        <v>506</v>
      </c>
      <c r="J8" s="58">
        <v>855</v>
      </c>
      <c r="K8" s="58">
        <v>0</v>
      </c>
      <c r="L8" s="58">
        <v>0</v>
      </c>
      <c r="M8" s="58">
        <v>0</v>
      </c>
      <c r="N8" s="58">
        <v>0</v>
      </c>
    </row>
    <row r="9" spans="2:14" x14ac:dyDescent="0.3">
      <c r="B9" s="12" t="s">
        <v>139</v>
      </c>
      <c r="C9" s="58">
        <v>1926</v>
      </c>
      <c r="D9" s="58">
        <v>2171</v>
      </c>
      <c r="E9" s="58">
        <v>2097</v>
      </c>
      <c r="F9" s="58">
        <v>2521</v>
      </c>
      <c r="G9" s="58">
        <v>3637</v>
      </c>
      <c r="H9" s="58">
        <v>4098</v>
      </c>
      <c r="I9" s="58">
        <v>3445</v>
      </c>
      <c r="J9" s="58">
        <v>3407</v>
      </c>
      <c r="K9" s="58">
        <v>2941</v>
      </c>
      <c r="L9" s="58">
        <v>2822</v>
      </c>
      <c r="M9" s="58">
        <v>2513</v>
      </c>
      <c r="N9" s="58">
        <v>2571</v>
      </c>
    </row>
    <row r="10" spans="2:14" x14ac:dyDescent="0.3">
      <c r="B10" t="s">
        <v>140</v>
      </c>
      <c r="C10" s="58">
        <v>210</v>
      </c>
      <c r="D10" s="58">
        <v>225</v>
      </c>
      <c r="E10" s="58">
        <v>162</v>
      </c>
      <c r="F10" s="58">
        <v>10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</row>
    <row r="11" spans="2:14" x14ac:dyDescent="0.3">
      <c r="B11" t="s">
        <v>141</v>
      </c>
      <c r="C11" s="58">
        <v>1035</v>
      </c>
      <c r="D11" s="58">
        <v>1234</v>
      </c>
      <c r="E11" s="58">
        <v>1088</v>
      </c>
      <c r="F11" s="58">
        <v>1485</v>
      </c>
      <c r="G11" s="58">
        <v>1724</v>
      </c>
      <c r="H11" s="58">
        <v>2353</v>
      </c>
      <c r="I11" s="58">
        <v>2540</v>
      </c>
      <c r="J11" s="58">
        <v>2480</v>
      </c>
      <c r="K11" s="58">
        <v>2012</v>
      </c>
      <c r="L11" s="58">
        <v>2163</v>
      </c>
      <c r="M11" s="58">
        <v>1823</v>
      </c>
      <c r="N11" s="58">
        <v>1675</v>
      </c>
    </row>
    <row r="12" spans="2:14" x14ac:dyDescent="0.3">
      <c r="B12" t="s">
        <v>142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25</v>
      </c>
      <c r="K12" s="58">
        <v>27</v>
      </c>
      <c r="L12" s="58">
        <v>30</v>
      </c>
      <c r="M12" s="58">
        <v>38</v>
      </c>
      <c r="N12" s="58">
        <v>30</v>
      </c>
    </row>
    <row r="13" spans="2:14" x14ac:dyDescent="0.3">
      <c r="B13" t="s">
        <v>143</v>
      </c>
      <c r="C13" s="59">
        <v>681</v>
      </c>
      <c r="D13" s="59">
        <v>712</v>
      </c>
      <c r="E13" s="59">
        <v>847</v>
      </c>
      <c r="F13" s="59">
        <v>1026</v>
      </c>
      <c r="G13" s="59">
        <v>1913</v>
      </c>
      <c r="H13" s="59">
        <v>1745</v>
      </c>
      <c r="I13" s="59">
        <v>905</v>
      </c>
      <c r="J13" s="59">
        <v>901</v>
      </c>
      <c r="K13" s="59">
        <v>901</v>
      </c>
      <c r="L13" s="59">
        <v>629</v>
      </c>
      <c r="M13" s="59">
        <v>652</v>
      </c>
      <c r="N13" s="59">
        <v>865</v>
      </c>
    </row>
    <row r="14" spans="2:14" x14ac:dyDescent="0.3">
      <c r="B14" s="60" t="s">
        <v>81</v>
      </c>
      <c r="C14" s="60">
        <v>7695</v>
      </c>
      <c r="D14" s="60">
        <v>8320</v>
      </c>
      <c r="E14" s="60">
        <v>9125</v>
      </c>
      <c r="F14" s="60">
        <v>9679</v>
      </c>
      <c r="G14" s="60">
        <v>12940</v>
      </c>
      <c r="H14" s="60">
        <v>13864</v>
      </c>
      <c r="I14" s="60">
        <v>14094</v>
      </c>
      <c r="J14" s="60">
        <v>14880</v>
      </c>
      <c r="K14" s="60">
        <v>14244</v>
      </c>
      <c r="L14" s="60">
        <v>16082</v>
      </c>
      <c r="M14" s="60">
        <v>17437</v>
      </c>
      <c r="N14" s="60">
        <v>18392</v>
      </c>
    </row>
    <row r="15" spans="2:14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2:14" x14ac:dyDescent="0.3">
      <c r="B16" s="12" t="s">
        <v>144</v>
      </c>
      <c r="C16" s="20">
        <v>4496</v>
      </c>
      <c r="D16" s="20">
        <v>5121</v>
      </c>
      <c r="E16" s="20">
        <v>5551</v>
      </c>
      <c r="F16" s="20">
        <v>5931</v>
      </c>
      <c r="G16" s="20">
        <v>8083</v>
      </c>
      <c r="H16" s="20">
        <v>8315</v>
      </c>
      <c r="I16" s="20">
        <v>8670</v>
      </c>
      <c r="J16" s="20">
        <v>9231</v>
      </c>
      <c r="K16" s="20">
        <v>8905</v>
      </c>
      <c r="L16" s="20">
        <v>9219</v>
      </c>
      <c r="M16" s="20">
        <v>9934</v>
      </c>
      <c r="N16" s="20">
        <v>10440</v>
      </c>
    </row>
    <row r="17" spans="2:14" x14ac:dyDescent="0.3">
      <c r="B17" t="s">
        <v>145</v>
      </c>
      <c r="C17" s="58">
        <v>50</v>
      </c>
      <c r="D17" s="58">
        <v>61</v>
      </c>
      <c r="E17" s="58">
        <v>54</v>
      </c>
      <c r="F17" s="58">
        <v>86</v>
      </c>
      <c r="G17" s="58">
        <v>108</v>
      </c>
      <c r="H17" s="58">
        <v>118</v>
      </c>
      <c r="I17" s="58">
        <v>147</v>
      </c>
      <c r="J17" s="58">
        <v>146</v>
      </c>
      <c r="K17" s="58">
        <v>144</v>
      </c>
      <c r="L17" s="58">
        <v>147</v>
      </c>
      <c r="M17" s="58">
        <v>145</v>
      </c>
      <c r="N17" s="58">
        <v>157</v>
      </c>
    </row>
    <row r="18" spans="2:14" x14ac:dyDescent="0.3">
      <c r="B18" t="s">
        <v>146</v>
      </c>
      <c r="C18" s="58">
        <v>237</v>
      </c>
      <c r="D18" s="58">
        <v>217</v>
      </c>
      <c r="E18" s="58">
        <v>249</v>
      </c>
      <c r="F18" s="58">
        <v>390</v>
      </c>
      <c r="G18" s="58">
        <v>430</v>
      </c>
      <c r="H18" s="58">
        <v>537</v>
      </c>
      <c r="I18" s="58">
        <v>627</v>
      </c>
      <c r="J18" s="58">
        <v>699</v>
      </c>
      <c r="K18" s="58">
        <v>757</v>
      </c>
      <c r="L18" s="58">
        <v>812</v>
      </c>
      <c r="M18" s="58">
        <v>854</v>
      </c>
      <c r="N18" s="58">
        <v>791</v>
      </c>
    </row>
    <row r="19" spans="2:14" x14ac:dyDescent="0.3">
      <c r="B19" t="s">
        <v>147</v>
      </c>
      <c r="C19" s="58">
        <v>451</v>
      </c>
      <c r="D19" s="58">
        <v>507</v>
      </c>
      <c r="E19" s="58">
        <v>547</v>
      </c>
      <c r="F19" s="58">
        <v>343</v>
      </c>
      <c r="G19" s="58">
        <v>435</v>
      </c>
      <c r="H19" s="58">
        <v>517</v>
      </c>
      <c r="I19" s="58">
        <v>634</v>
      </c>
      <c r="J19" s="58">
        <v>713</v>
      </c>
      <c r="K19" s="58">
        <v>809</v>
      </c>
      <c r="L19" s="58">
        <v>942</v>
      </c>
      <c r="M19" s="58">
        <v>1178</v>
      </c>
      <c r="N19" s="58">
        <v>1186</v>
      </c>
    </row>
    <row r="20" spans="2:14" x14ac:dyDescent="0.3">
      <c r="B20" t="s">
        <v>148</v>
      </c>
      <c r="C20" s="58">
        <v>0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1</v>
      </c>
      <c r="L20" s="58">
        <v>2</v>
      </c>
      <c r="M20" s="58">
        <v>12</v>
      </c>
      <c r="N20" s="58">
        <v>17</v>
      </c>
    </row>
    <row r="21" spans="2:14" x14ac:dyDescent="0.3">
      <c r="B21" t="s">
        <v>149</v>
      </c>
      <c r="C21" s="58">
        <v>26</v>
      </c>
      <c r="D21" s="58">
        <v>19</v>
      </c>
      <c r="E21" s="58">
        <v>19</v>
      </c>
      <c r="F21" s="58">
        <v>14</v>
      </c>
      <c r="G21" s="58">
        <v>17</v>
      </c>
      <c r="H21" s="58">
        <v>24</v>
      </c>
      <c r="I21" s="58">
        <v>30</v>
      </c>
      <c r="J21" s="58">
        <v>33</v>
      </c>
      <c r="K21" s="58">
        <v>36</v>
      </c>
      <c r="L21" s="58">
        <v>41</v>
      </c>
      <c r="M21" s="58">
        <v>51</v>
      </c>
      <c r="N21" s="58">
        <v>47</v>
      </c>
    </row>
    <row r="22" spans="2:14" x14ac:dyDescent="0.3">
      <c r="B22" t="s">
        <v>150</v>
      </c>
      <c r="C22" s="58">
        <v>22</v>
      </c>
      <c r="D22" s="58">
        <v>27</v>
      </c>
      <c r="E22" s="58">
        <v>34</v>
      </c>
      <c r="F22" s="58">
        <v>24</v>
      </c>
      <c r="G22" s="58">
        <v>38</v>
      </c>
      <c r="H22" s="58">
        <v>47</v>
      </c>
      <c r="I22" s="58">
        <v>55</v>
      </c>
      <c r="J22" s="58">
        <v>59</v>
      </c>
      <c r="K22" s="58">
        <v>64</v>
      </c>
      <c r="L22" s="58">
        <v>75</v>
      </c>
      <c r="M22" s="58">
        <v>78</v>
      </c>
      <c r="N22" s="58">
        <v>67</v>
      </c>
    </row>
    <row r="23" spans="2:14" x14ac:dyDescent="0.3">
      <c r="B23" t="s">
        <v>151</v>
      </c>
      <c r="C23" s="58">
        <v>25</v>
      </c>
      <c r="D23" s="58">
        <v>27</v>
      </c>
      <c r="E23" s="58">
        <v>29</v>
      </c>
      <c r="F23" s="58">
        <v>21</v>
      </c>
      <c r="G23" s="58">
        <v>25</v>
      </c>
      <c r="H23" s="58">
        <v>32</v>
      </c>
      <c r="I23" s="58">
        <v>35</v>
      </c>
      <c r="J23" s="58">
        <v>35</v>
      </c>
      <c r="K23" s="58">
        <v>37</v>
      </c>
      <c r="L23" s="58">
        <v>36</v>
      </c>
      <c r="M23" s="58">
        <v>35</v>
      </c>
      <c r="N23" s="58">
        <v>30</v>
      </c>
    </row>
    <row r="24" spans="2:14" x14ac:dyDescent="0.3">
      <c r="B24" t="s">
        <v>152</v>
      </c>
      <c r="C24" s="58">
        <v>41</v>
      </c>
      <c r="D24" s="58">
        <v>47</v>
      </c>
      <c r="E24" s="58">
        <v>49</v>
      </c>
      <c r="F24" s="58">
        <v>41</v>
      </c>
      <c r="G24" s="58">
        <v>47</v>
      </c>
      <c r="H24" s="58">
        <v>47</v>
      </c>
      <c r="I24" s="58">
        <v>48</v>
      </c>
      <c r="J24" s="58">
        <v>44</v>
      </c>
      <c r="K24" s="58">
        <v>60</v>
      </c>
      <c r="L24" s="58">
        <v>65</v>
      </c>
      <c r="M24" s="58">
        <v>63</v>
      </c>
      <c r="N24" s="58">
        <v>31</v>
      </c>
    </row>
    <row r="25" spans="2:14" x14ac:dyDescent="0.3">
      <c r="B25" t="s">
        <v>153</v>
      </c>
      <c r="C25" s="58">
        <v>4180</v>
      </c>
      <c r="D25" s="58">
        <v>4843</v>
      </c>
      <c r="E25" s="58">
        <v>5285</v>
      </c>
      <c r="F25" s="58">
        <v>5050</v>
      </c>
      <c r="G25" s="58">
        <v>7123</v>
      </c>
      <c r="H25" s="58">
        <v>7245</v>
      </c>
      <c r="I25" s="58">
        <v>7433</v>
      </c>
      <c r="J25" s="58">
        <v>8036</v>
      </c>
      <c r="K25" s="58">
        <v>7753</v>
      </c>
      <c r="L25" s="58">
        <v>8083</v>
      </c>
      <c r="M25" s="58">
        <v>8687</v>
      </c>
      <c r="N25" s="58">
        <v>10696</v>
      </c>
    </row>
    <row r="26" spans="2:14" x14ac:dyDescent="0.3">
      <c r="B26" t="s">
        <v>154</v>
      </c>
      <c r="C26" s="58">
        <v>36</v>
      </c>
      <c r="D26" s="58">
        <v>56</v>
      </c>
      <c r="E26" s="58">
        <v>67</v>
      </c>
      <c r="F26" s="58">
        <v>55</v>
      </c>
      <c r="G26" s="58">
        <v>67</v>
      </c>
      <c r="H26" s="58">
        <v>107</v>
      </c>
      <c r="I26" s="58">
        <v>119</v>
      </c>
      <c r="J26" s="58">
        <v>126</v>
      </c>
      <c r="K26" s="58">
        <v>130</v>
      </c>
      <c r="L26" s="58">
        <v>144</v>
      </c>
      <c r="M26" s="58">
        <v>145</v>
      </c>
      <c r="N26" s="58">
        <v>151</v>
      </c>
    </row>
    <row r="27" spans="2:14" x14ac:dyDescent="0.3">
      <c r="B27" s="62" t="s">
        <v>155</v>
      </c>
      <c r="C27" s="63">
        <v>5066</v>
      </c>
      <c r="D27" s="63">
        <v>5804</v>
      </c>
      <c r="E27" s="63">
        <v>6333</v>
      </c>
      <c r="F27" s="63">
        <v>6024</v>
      </c>
      <c r="G27" s="63">
        <v>8291</v>
      </c>
      <c r="H27" s="63">
        <v>8674</v>
      </c>
      <c r="I27" s="63">
        <v>9127</v>
      </c>
      <c r="J27" s="63">
        <v>9892</v>
      </c>
      <c r="K27" s="63">
        <v>9791</v>
      </c>
      <c r="L27" s="63">
        <v>10347</v>
      </c>
      <c r="M27" s="63">
        <v>11248</v>
      </c>
      <c r="N27" s="63">
        <v>13172</v>
      </c>
    </row>
    <row r="28" spans="2:14" x14ac:dyDescent="0.3">
      <c r="B28" s="12" t="s">
        <v>156</v>
      </c>
      <c r="C28" s="20">
        <v>570</v>
      </c>
      <c r="D28" s="20">
        <v>682</v>
      </c>
      <c r="E28" s="20">
        <v>782</v>
      </c>
      <c r="F28" s="20">
        <v>93</v>
      </c>
      <c r="G28" s="20">
        <v>208</v>
      </c>
      <c r="H28" s="20">
        <v>359</v>
      </c>
      <c r="I28" s="20">
        <v>457</v>
      </c>
      <c r="J28" s="20">
        <v>661</v>
      </c>
      <c r="K28" s="20">
        <v>886</v>
      </c>
      <c r="L28" s="20">
        <v>1127</v>
      </c>
      <c r="M28" s="20">
        <v>1315</v>
      </c>
      <c r="N28" s="20">
        <v>2732</v>
      </c>
    </row>
    <row r="29" spans="2:14" x14ac:dyDescent="0.3">
      <c r="B29" s="12" t="s">
        <v>38</v>
      </c>
      <c r="C29" s="58">
        <f>C27-C28</f>
        <v>4496</v>
      </c>
      <c r="D29" s="58">
        <f t="shared" ref="D29:N29" si="0">D27-D28</f>
        <v>5122</v>
      </c>
      <c r="E29" s="58">
        <f t="shared" si="0"/>
        <v>5551</v>
      </c>
      <c r="F29" s="58">
        <f t="shared" si="0"/>
        <v>5931</v>
      </c>
      <c r="G29" s="58">
        <f t="shared" si="0"/>
        <v>8083</v>
      </c>
      <c r="H29" s="58">
        <f t="shared" si="0"/>
        <v>8315</v>
      </c>
      <c r="I29" s="58">
        <f t="shared" si="0"/>
        <v>8670</v>
      </c>
      <c r="J29" s="58">
        <f t="shared" si="0"/>
        <v>9231</v>
      </c>
      <c r="K29" s="58">
        <f t="shared" si="0"/>
        <v>8905</v>
      </c>
      <c r="L29" s="58">
        <f t="shared" si="0"/>
        <v>9220</v>
      </c>
      <c r="M29" s="58">
        <f t="shared" si="0"/>
        <v>9933</v>
      </c>
      <c r="N29" s="58">
        <f t="shared" si="0"/>
        <v>10440</v>
      </c>
    </row>
    <row r="30" spans="2:14" x14ac:dyDescent="0.3">
      <c r="B30" s="1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2:14" x14ac:dyDescent="0.3">
      <c r="B31" s="12" t="s">
        <v>157</v>
      </c>
      <c r="C31" s="58">
        <v>141</v>
      </c>
      <c r="D31" s="58">
        <v>167</v>
      </c>
      <c r="E31" s="58">
        <v>225</v>
      </c>
      <c r="F31" s="58">
        <v>44</v>
      </c>
      <c r="G31" s="58">
        <v>97</v>
      </c>
      <c r="H31" s="58">
        <v>84</v>
      </c>
      <c r="I31" s="58">
        <v>52</v>
      </c>
      <c r="J31" s="58">
        <v>57</v>
      </c>
      <c r="K31" s="58">
        <v>57</v>
      </c>
      <c r="L31" s="58">
        <v>116</v>
      </c>
      <c r="M31" s="58">
        <v>45</v>
      </c>
      <c r="N31" s="58">
        <v>83</v>
      </c>
    </row>
    <row r="32" spans="2:14" x14ac:dyDescent="0.3">
      <c r="B32" s="12" t="s">
        <v>40</v>
      </c>
      <c r="C32" s="58">
        <v>121</v>
      </c>
      <c r="D32" s="58">
        <v>136</v>
      </c>
      <c r="E32" s="58">
        <v>186</v>
      </c>
      <c r="F32" s="58">
        <v>190</v>
      </c>
      <c r="G32" s="58">
        <v>934</v>
      </c>
      <c r="H32" s="58">
        <v>997</v>
      </c>
      <c r="I32" s="58">
        <v>516</v>
      </c>
      <c r="J32" s="58">
        <v>672</v>
      </c>
      <c r="K32" s="58">
        <v>679</v>
      </c>
      <c r="L32" s="58">
        <v>1015</v>
      </c>
      <c r="M32" s="58">
        <v>3029</v>
      </c>
      <c r="N32" s="58">
        <v>3504</v>
      </c>
    </row>
    <row r="33" spans="2:14" x14ac:dyDescent="0.3">
      <c r="L33" s="20"/>
      <c r="M33" s="20"/>
      <c r="N33" s="20"/>
    </row>
    <row r="34" spans="2:14" x14ac:dyDescent="0.3">
      <c r="B34" s="12" t="s">
        <v>158</v>
      </c>
      <c r="C34" s="59">
        <v>2937</v>
      </c>
      <c r="D34" s="59">
        <v>2895</v>
      </c>
      <c r="E34" s="59">
        <v>3164</v>
      </c>
      <c r="F34" s="59">
        <v>3514</v>
      </c>
      <c r="G34" s="59">
        <v>3826</v>
      </c>
      <c r="H34" s="59">
        <v>4468</v>
      </c>
      <c r="I34" s="59">
        <v>4855</v>
      </c>
      <c r="J34" s="59">
        <v>4920</v>
      </c>
      <c r="K34" s="59">
        <v>4602</v>
      </c>
      <c r="L34" s="59">
        <v>5731</v>
      </c>
      <c r="M34" s="59">
        <v>4429</v>
      </c>
      <c r="N34" s="59">
        <v>4365</v>
      </c>
    </row>
    <row r="35" spans="2:14" x14ac:dyDescent="0.3">
      <c r="B35" t="s">
        <v>159</v>
      </c>
      <c r="C35" s="58">
        <v>1047</v>
      </c>
      <c r="D35" s="58">
        <v>1082</v>
      </c>
      <c r="E35" s="58">
        <v>1072</v>
      </c>
      <c r="F35" s="58">
        <v>1307</v>
      </c>
      <c r="G35" s="58">
        <v>1412</v>
      </c>
      <c r="H35" s="58">
        <v>1578</v>
      </c>
      <c r="I35" s="58">
        <v>1559</v>
      </c>
      <c r="J35" s="58">
        <v>1703</v>
      </c>
      <c r="K35" s="58">
        <v>1716</v>
      </c>
      <c r="L35" s="58">
        <v>2130</v>
      </c>
      <c r="M35" s="58">
        <v>1537</v>
      </c>
      <c r="N35" s="58">
        <v>1271</v>
      </c>
    </row>
    <row r="36" spans="2:14" x14ac:dyDescent="0.3">
      <c r="B36" t="s">
        <v>160</v>
      </c>
      <c r="C36" s="58">
        <v>729</v>
      </c>
      <c r="D36" s="58">
        <v>732</v>
      </c>
      <c r="E36" s="58">
        <v>805</v>
      </c>
      <c r="F36" s="58">
        <v>1118</v>
      </c>
      <c r="G36" s="58">
        <v>1029</v>
      </c>
      <c r="H36" s="58">
        <v>1246</v>
      </c>
      <c r="I36" s="58">
        <v>1293</v>
      </c>
      <c r="J36" s="58">
        <v>1157</v>
      </c>
      <c r="K36" s="58">
        <v>1004</v>
      </c>
      <c r="L36" s="58">
        <v>1116</v>
      </c>
      <c r="M36" s="58">
        <v>1245</v>
      </c>
      <c r="N36" s="58">
        <v>1535</v>
      </c>
    </row>
    <row r="37" spans="2:14" x14ac:dyDescent="0.3">
      <c r="B37" t="s">
        <v>161</v>
      </c>
      <c r="C37" s="58">
        <v>748</v>
      </c>
      <c r="D37" s="58">
        <v>705</v>
      </c>
      <c r="E37" s="58">
        <v>894</v>
      </c>
      <c r="F37" s="58">
        <v>754</v>
      </c>
      <c r="G37" s="58">
        <v>913</v>
      </c>
      <c r="H37" s="58">
        <v>960</v>
      </c>
      <c r="I37" s="58">
        <v>895</v>
      </c>
      <c r="J37" s="58">
        <v>770</v>
      </c>
      <c r="K37" s="58">
        <v>672</v>
      </c>
      <c r="L37" s="58">
        <v>1108</v>
      </c>
      <c r="M37" s="58">
        <v>391</v>
      </c>
      <c r="N37" s="58">
        <v>547</v>
      </c>
    </row>
    <row r="38" spans="2:14" x14ac:dyDescent="0.3">
      <c r="B38" t="s">
        <v>162</v>
      </c>
      <c r="C38" s="58">
        <v>0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</row>
    <row r="39" spans="2:14" x14ac:dyDescent="0.3">
      <c r="B39" t="s">
        <v>163</v>
      </c>
      <c r="C39" s="64">
        <v>414</v>
      </c>
      <c r="D39" s="64">
        <v>376</v>
      </c>
      <c r="E39" s="64">
        <v>393</v>
      </c>
      <c r="F39" s="64">
        <v>335</v>
      </c>
      <c r="G39" s="64">
        <v>472</v>
      </c>
      <c r="H39" s="64">
        <v>684</v>
      </c>
      <c r="I39" s="64">
        <v>1109</v>
      </c>
      <c r="J39" s="64">
        <v>1289</v>
      </c>
      <c r="K39" s="64">
        <v>1209</v>
      </c>
      <c r="L39" s="64">
        <v>1377</v>
      </c>
      <c r="M39" s="64">
        <v>1256</v>
      </c>
      <c r="N39" s="64">
        <v>1012</v>
      </c>
    </row>
    <row r="40" spans="2:14" x14ac:dyDescent="0.3">
      <c r="B40" s="60" t="s">
        <v>85</v>
      </c>
      <c r="C40" s="65">
        <v>7695</v>
      </c>
      <c r="D40" s="65">
        <v>8320</v>
      </c>
      <c r="E40" s="65">
        <v>9125</v>
      </c>
      <c r="F40" s="65">
        <v>9679</v>
      </c>
      <c r="G40" s="65">
        <v>12940</v>
      </c>
      <c r="H40" s="65">
        <v>13864</v>
      </c>
      <c r="I40" s="65">
        <v>14094</v>
      </c>
      <c r="J40" s="65">
        <v>14880</v>
      </c>
      <c r="K40" s="65">
        <v>14244</v>
      </c>
      <c r="L40" s="65">
        <v>16082</v>
      </c>
      <c r="M40" s="65">
        <v>17437</v>
      </c>
      <c r="N40" s="65">
        <v>18392</v>
      </c>
    </row>
    <row r="43" spans="2:14" x14ac:dyDescent="0.3">
      <c r="C43" s="11">
        <v>41334</v>
      </c>
      <c r="D43" s="11">
        <v>41699</v>
      </c>
      <c r="E43" s="11">
        <v>42064</v>
      </c>
      <c r="F43" s="11">
        <v>42430</v>
      </c>
      <c r="G43" s="11">
        <v>42795</v>
      </c>
      <c r="H43" s="11">
        <v>43160</v>
      </c>
      <c r="I43" s="11">
        <v>43525</v>
      </c>
      <c r="J43" s="11">
        <v>43891</v>
      </c>
      <c r="K43" s="11">
        <v>44256</v>
      </c>
      <c r="L43" s="11">
        <v>44621</v>
      </c>
      <c r="M43" s="11">
        <v>44986</v>
      </c>
      <c r="N43" s="11">
        <v>45352</v>
      </c>
    </row>
    <row r="44" spans="2:14" x14ac:dyDescent="0.3">
      <c r="B44" t="s">
        <v>111</v>
      </c>
      <c r="C44">
        <v>820</v>
      </c>
      <c r="D44" s="20">
        <v>1116</v>
      </c>
      <c r="E44" s="20">
        <v>1027</v>
      </c>
      <c r="F44">
        <v>847</v>
      </c>
      <c r="G44" s="20">
        <v>1860</v>
      </c>
      <c r="H44" s="20">
        <v>1723</v>
      </c>
      <c r="I44" s="20">
        <v>1729</v>
      </c>
      <c r="J44" s="20">
        <v>1588</v>
      </c>
      <c r="K44" s="20">
        <v>2030</v>
      </c>
      <c r="L44" s="20">
        <v>1451</v>
      </c>
      <c r="M44" s="20">
        <v>2151</v>
      </c>
      <c r="N44" s="20">
        <v>2070</v>
      </c>
    </row>
    <row r="45" spans="2:14" x14ac:dyDescent="0.3">
      <c r="B45" t="s">
        <v>87</v>
      </c>
      <c r="C45">
        <v>996</v>
      </c>
      <c r="D45" s="20">
        <v>1168</v>
      </c>
      <c r="E45" s="20">
        <v>1397</v>
      </c>
      <c r="F45" s="20">
        <v>1669</v>
      </c>
      <c r="G45" s="20">
        <v>1947</v>
      </c>
      <c r="H45" s="20">
        <v>2147</v>
      </c>
      <c r="I45" s="20">
        <v>2181</v>
      </c>
      <c r="J45" s="20">
        <v>2185</v>
      </c>
      <c r="K45" s="20">
        <v>2472</v>
      </c>
      <c r="L45" s="20">
        <v>2434</v>
      </c>
      <c r="M45" s="20">
        <v>2476</v>
      </c>
      <c r="N45" s="20">
        <v>2900</v>
      </c>
    </row>
    <row r="46" spans="2:14" x14ac:dyDescent="0.3">
      <c r="B46" t="s">
        <v>42</v>
      </c>
      <c r="C46">
        <v>-218</v>
      </c>
      <c r="D46">
        <v>13</v>
      </c>
      <c r="E46">
        <v>-81</v>
      </c>
      <c r="F46">
        <v>-323</v>
      </c>
      <c r="G46">
        <v>166</v>
      </c>
      <c r="H46">
        <v>-245</v>
      </c>
      <c r="I46">
        <v>-174</v>
      </c>
      <c r="J46">
        <v>130</v>
      </c>
      <c r="K46">
        <v>81</v>
      </c>
      <c r="L46">
        <v>-89</v>
      </c>
      <c r="M46">
        <v>-165</v>
      </c>
      <c r="N46">
        <v>-479</v>
      </c>
    </row>
    <row r="47" spans="2:14" x14ac:dyDescent="0.3">
      <c r="B47" t="s">
        <v>43</v>
      </c>
      <c r="C47">
        <v>-263</v>
      </c>
      <c r="D47">
        <v>-35</v>
      </c>
      <c r="E47">
        <v>26</v>
      </c>
      <c r="F47">
        <v>-235</v>
      </c>
      <c r="G47">
        <v>46</v>
      </c>
      <c r="H47">
        <v>-165</v>
      </c>
      <c r="I47">
        <v>-20</v>
      </c>
      <c r="J47">
        <v>-169</v>
      </c>
      <c r="K47">
        <v>-70</v>
      </c>
      <c r="L47">
        <v>-384</v>
      </c>
      <c r="M47">
        <v>555</v>
      </c>
      <c r="N47">
        <v>-71</v>
      </c>
    </row>
    <row r="48" spans="2:14" x14ac:dyDescent="0.3">
      <c r="B48" t="s">
        <v>88</v>
      </c>
      <c r="C48">
        <v>0</v>
      </c>
      <c r="D48">
        <v>0</v>
      </c>
      <c r="E48">
        <v>0</v>
      </c>
      <c r="F48">
        <v>17</v>
      </c>
      <c r="G48">
        <v>196</v>
      </c>
      <c r="H48">
        <v>613</v>
      </c>
      <c r="I48">
        <v>274</v>
      </c>
      <c r="J48">
        <v>-95</v>
      </c>
      <c r="K48">
        <v>-473</v>
      </c>
      <c r="L48">
        <v>83</v>
      </c>
      <c r="M48">
        <v>-370</v>
      </c>
      <c r="N48">
        <v>91</v>
      </c>
    </row>
    <row r="49" spans="2:14" x14ac:dyDescent="0.3">
      <c r="B49" t="s">
        <v>89</v>
      </c>
      <c r="C49">
        <v>-60</v>
      </c>
      <c r="D49">
        <v>-15</v>
      </c>
      <c r="E49">
        <v>8</v>
      </c>
      <c r="F49">
        <v>1</v>
      </c>
      <c r="G49">
        <v>-3</v>
      </c>
      <c r="H49">
        <v>1</v>
      </c>
      <c r="I49">
        <v>-1</v>
      </c>
      <c r="J49">
        <v>-3</v>
      </c>
      <c r="K49">
        <v>1</v>
      </c>
      <c r="L49">
        <v>0</v>
      </c>
      <c r="M49">
        <v>0</v>
      </c>
      <c r="N49">
        <v>0</v>
      </c>
    </row>
    <row r="50" spans="2:14" x14ac:dyDescent="0.3">
      <c r="B50" t="s">
        <v>90</v>
      </c>
      <c r="C50">
        <v>484</v>
      </c>
      <c r="D50">
        <v>224</v>
      </c>
      <c r="E50">
        <v>-39</v>
      </c>
      <c r="F50">
        <v>75</v>
      </c>
      <c r="G50">
        <v>-65</v>
      </c>
      <c r="H50">
        <v>-219</v>
      </c>
      <c r="I50">
        <v>-79</v>
      </c>
      <c r="J50">
        <v>-116</v>
      </c>
      <c r="K50">
        <v>416</v>
      </c>
      <c r="L50">
        <v>-146</v>
      </c>
      <c r="M50">
        <v>74</v>
      </c>
      <c r="N50">
        <v>3</v>
      </c>
    </row>
    <row r="51" spans="2:14" x14ac:dyDescent="0.3">
      <c r="B51" t="s">
        <v>91</v>
      </c>
      <c r="C51">
        <v>-57</v>
      </c>
      <c r="D51">
        <v>186</v>
      </c>
      <c r="E51">
        <v>-87</v>
      </c>
      <c r="F51">
        <v>-465</v>
      </c>
      <c r="G51">
        <v>341</v>
      </c>
      <c r="H51">
        <v>-16</v>
      </c>
      <c r="I51">
        <v>1</v>
      </c>
      <c r="J51">
        <v>-253</v>
      </c>
      <c r="K51">
        <v>-45</v>
      </c>
      <c r="L51">
        <v>-536</v>
      </c>
      <c r="M51">
        <v>93</v>
      </c>
      <c r="N51">
        <v>-456</v>
      </c>
    </row>
    <row r="52" spans="2:14" x14ac:dyDescent="0.3">
      <c r="B52" t="s">
        <v>92</v>
      </c>
      <c r="C52">
        <v>-207</v>
      </c>
      <c r="D52">
        <v>-238</v>
      </c>
      <c r="E52">
        <v>-257</v>
      </c>
      <c r="F52">
        <v>-336</v>
      </c>
      <c r="G52">
        <v>-407</v>
      </c>
      <c r="H52">
        <v>-393</v>
      </c>
      <c r="I52">
        <v>-435</v>
      </c>
      <c r="J52">
        <v>-344</v>
      </c>
      <c r="K52">
        <v>-397</v>
      </c>
      <c r="L52">
        <v>-448</v>
      </c>
      <c r="M52">
        <v>-418</v>
      </c>
      <c r="N52">
        <v>-374</v>
      </c>
    </row>
    <row r="53" spans="2:14" x14ac:dyDescent="0.3">
      <c r="B53" t="s">
        <v>174</v>
      </c>
      <c r="C53">
        <v>0</v>
      </c>
      <c r="D53">
        <v>0</v>
      </c>
      <c r="E53">
        <v>0</v>
      </c>
      <c r="F53">
        <v>0</v>
      </c>
      <c r="G53">
        <v>-20</v>
      </c>
      <c r="H53">
        <v>-15</v>
      </c>
      <c r="I53">
        <v>-18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2:14" x14ac:dyDescent="0.3">
      <c r="B54" t="s">
        <v>175</v>
      </c>
      <c r="C54">
        <v>88</v>
      </c>
      <c r="D54">
        <v>-1</v>
      </c>
      <c r="E54">
        <v>-26</v>
      </c>
      <c r="F54">
        <v>-21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2:14" x14ac:dyDescent="0.3">
      <c r="B55" t="s">
        <v>112</v>
      </c>
      <c r="C55">
        <v>-865</v>
      </c>
      <c r="D55">
        <v>-494</v>
      </c>
      <c r="E55" s="20">
        <v>-1236</v>
      </c>
      <c r="F55">
        <v>-622</v>
      </c>
      <c r="G55" s="20">
        <v>-2243</v>
      </c>
      <c r="H55">
        <v>-336</v>
      </c>
      <c r="I55">
        <v>274</v>
      </c>
      <c r="J55">
        <v>-552</v>
      </c>
      <c r="K55">
        <v>-292</v>
      </c>
      <c r="L55">
        <v>-844</v>
      </c>
      <c r="M55" s="20">
        <v>-1754</v>
      </c>
      <c r="N55" s="20">
        <v>-3435</v>
      </c>
    </row>
    <row r="56" spans="2:14" x14ac:dyDescent="0.3">
      <c r="B56" t="s">
        <v>93</v>
      </c>
      <c r="C56">
        <v>-264</v>
      </c>
      <c r="D56">
        <v>-133</v>
      </c>
      <c r="E56">
        <v>-213</v>
      </c>
      <c r="F56">
        <v>-208</v>
      </c>
      <c r="G56">
        <v>-180</v>
      </c>
      <c r="H56">
        <v>-311</v>
      </c>
      <c r="I56">
        <v>-208</v>
      </c>
      <c r="J56">
        <v>-152</v>
      </c>
      <c r="K56">
        <v>-164</v>
      </c>
      <c r="L56">
        <v>0</v>
      </c>
      <c r="M56">
        <v>0</v>
      </c>
      <c r="N56">
        <v>0</v>
      </c>
    </row>
    <row r="57" spans="2:14" x14ac:dyDescent="0.3">
      <c r="B57" t="s">
        <v>94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</v>
      </c>
      <c r="M57">
        <v>8</v>
      </c>
      <c r="N57">
        <v>31</v>
      </c>
    </row>
    <row r="58" spans="2:14" x14ac:dyDescent="0.3">
      <c r="B58" t="s">
        <v>95</v>
      </c>
      <c r="C58">
        <v>-50</v>
      </c>
      <c r="D58">
        <v>0</v>
      </c>
      <c r="E58">
        <v>-40</v>
      </c>
      <c r="F58">
        <v>0</v>
      </c>
      <c r="G58">
        <v>-574</v>
      </c>
      <c r="H58">
        <v>-309</v>
      </c>
      <c r="I58">
        <v>0</v>
      </c>
      <c r="J58">
        <v>0</v>
      </c>
      <c r="K58">
        <v>-139</v>
      </c>
      <c r="L58">
        <v>-452</v>
      </c>
      <c r="M58">
        <v>-227</v>
      </c>
      <c r="N58">
        <v>-307</v>
      </c>
    </row>
    <row r="59" spans="2:14" x14ac:dyDescent="0.3">
      <c r="B59" t="s">
        <v>96</v>
      </c>
      <c r="C59">
        <v>0</v>
      </c>
      <c r="D59">
        <v>32</v>
      </c>
      <c r="E59">
        <v>0</v>
      </c>
      <c r="F59">
        <v>92</v>
      </c>
      <c r="G59">
        <v>0</v>
      </c>
      <c r="H59">
        <v>349</v>
      </c>
      <c r="I59">
        <v>195</v>
      </c>
      <c r="J59">
        <v>270</v>
      </c>
      <c r="K59">
        <v>35</v>
      </c>
      <c r="L59">
        <v>0</v>
      </c>
      <c r="M59">
        <v>0</v>
      </c>
      <c r="N59">
        <v>0</v>
      </c>
    </row>
    <row r="60" spans="2:14" x14ac:dyDescent="0.3">
      <c r="B60" t="s">
        <v>97</v>
      </c>
      <c r="C60">
        <v>55</v>
      </c>
      <c r="D60">
        <v>34</v>
      </c>
      <c r="E60">
        <v>31</v>
      </c>
      <c r="F60">
        <v>43</v>
      </c>
      <c r="G60">
        <v>41</v>
      </c>
      <c r="H60">
        <v>66</v>
      </c>
      <c r="I60">
        <v>92</v>
      </c>
      <c r="J60">
        <v>57</v>
      </c>
      <c r="K60">
        <v>59</v>
      </c>
      <c r="L60">
        <v>59</v>
      </c>
      <c r="M60">
        <v>111</v>
      </c>
      <c r="N60">
        <v>231</v>
      </c>
    </row>
    <row r="61" spans="2:14" x14ac:dyDescent="0.3">
      <c r="B61" t="s">
        <v>98</v>
      </c>
      <c r="C61">
        <v>-691</v>
      </c>
      <c r="D61">
        <v>-482</v>
      </c>
      <c r="E61">
        <v>-630</v>
      </c>
      <c r="F61">
        <v>-647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2:14" x14ac:dyDescent="0.3">
      <c r="B62" t="s">
        <v>99</v>
      </c>
      <c r="C62">
        <v>0</v>
      </c>
      <c r="D62">
        <v>-34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2:14" x14ac:dyDescent="0.3">
      <c r="B63" t="s">
        <v>100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372</v>
      </c>
    </row>
    <row r="64" spans="2:14" x14ac:dyDescent="0.3">
      <c r="B64" t="s">
        <v>101</v>
      </c>
      <c r="C64">
        <v>0</v>
      </c>
      <c r="D64">
        <v>0</v>
      </c>
      <c r="E64">
        <v>0</v>
      </c>
      <c r="F64">
        <v>0</v>
      </c>
      <c r="G64" s="20">
        <v>-1431</v>
      </c>
      <c r="H64">
        <v>0</v>
      </c>
      <c r="I64">
        <v>0</v>
      </c>
      <c r="J64">
        <v>0</v>
      </c>
      <c r="K64">
        <v>0</v>
      </c>
      <c r="L64">
        <v>-387</v>
      </c>
      <c r="M64">
        <v>-988</v>
      </c>
      <c r="N64">
        <v>0</v>
      </c>
    </row>
    <row r="65" spans="2:14" x14ac:dyDescent="0.3">
      <c r="B65" t="s">
        <v>102</v>
      </c>
      <c r="C65">
        <v>84</v>
      </c>
      <c r="D65">
        <v>90</v>
      </c>
      <c r="E65">
        <v>-385</v>
      </c>
      <c r="F65">
        <v>99</v>
      </c>
      <c r="G65">
        <v>-99</v>
      </c>
      <c r="H65">
        <v>-131</v>
      </c>
      <c r="I65">
        <v>195</v>
      </c>
      <c r="J65">
        <v>-727</v>
      </c>
      <c r="K65">
        <v>-84</v>
      </c>
      <c r="L65">
        <v>-67</v>
      </c>
      <c r="M65">
        <v>-658</v>
      </c>
      <c r="N65" s="20">
        <v>-3762</v>
      </c>
    </row>
    <row r="66" spans="2:14" x14ac:dyDescent="0.3">
      <c r="B66" t="s">
        <v>113</v>
      </c>
      <c r="C66">
        <v>282</v>
      </c>
      <c r="D66">
        <v>-620</v>
      </c>
      <c r="E66">
        <v>-12</v>
      </c>
      <c r="F66">
        <v>-202</v>
      </c>
      <c r="G66">
        <v>665</v>
      </c>
      <c r="H66" s="20">
        <v>-1384</v>
      </c>
      <c r="I66" s="20">
        <v>-2039</v>
      </c>
      <c r="J66" s="20">
        <v>-1295</v>
      </c>
      <c r="K66" s="20">
        <v>-1816</v>
      </c>
      <c r="L66">
        <v>-380</v>
      </c>
      <c r="M66">
        <v>-794</v>
      </c>
      <c r="N66" s="20">
        <v>1406</v>
      </c>
    </row>
    <row r="67" spans="2:14" x14ac:dyDescent="0.3">
      <c r="B67" t="s">
        <v>103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2:14" x14ac:dyDescent="0.3">
      <c r="B68" t="s">
        <v>114</v>
      </c>
      <c r="C68">
        <v>299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2:14" x14ac:dyDescent="0.3">
      <c r="B69" t="s">
        <v>104</v>
      </c>
      <c r="C69">
        <v>-250</v>
      </c>
      <c r="D69">
        <v>-50</v>
      </c>
      <c r="E69">
        <v>-50</v>
      </c>
      <c r="F69">
        <v>-278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2:14" x14ac:dyDescent="0.3">
      <c r="B70" t="s">
        <v>105</v>
      </c>
      <c r="C70">
        <v>508</v>
      </c>
      <c r="D70">
        <v>0</v>
      </c>
      <c r="E70">
        <v>368</v>
      </c>
      <c r="F70">
        <v>0</v>
      </c>
      <c r="G70">
        <v>0</v>
      </c>
      <c r="H70">
        <v>0</v>
      </c>
      <c r="I70">
        <v>0</v>
      </c>
      <c r="J70">
        <v>247</v>
      </c>
      <c r="K70">
        <v>737</v>
      </c>
      <c r="L70">
        <v>535</v>
      </c>
      <c r="M70">
        <v>0</v>
      </c>
      <c r="N70" s="20">
        <v>2681</v>
      </c>
    </row>
    <row r="71" spans="2:14" x14ac:dyDescent="0.3">
      <c r="B71" t="s">
        <v>106</v>
      </c>
      <c r="C71">
        <v>-4</v>
      </c>
      <c r="D71">
        <v>-271</v>
      </c>
      <c r="E71">
        <v>0</v>
      </c>
      <c r="F71">
        <v>0</v>
      </c>
      <c r="G71">
        <v>0</v>
      </c>
      <c r="H71">
        <v>0</v>
      </c>
      <c r="I71">
        <v>-345</v>
      </c>
      <c r="J71">
        <v>-375</v>
      </c>
      <c r="K71" s="20">
        <v>-2357</v>
      </c>
      <c r="L71">
        <v>-755</v>
      </c>
      <c r="M71">
        <v>-634</v>
      </c>
      <c r="N71">
        <v>-416</v>
      </c>
    </row>
    <row r="72" spans="2:14" x14ac:dyDescent="0.3">
      <c r="B72" t="s">
        <v>107</v>
      </c>
      <c r="C72">
        <v>-84</v>
      </c>
      <c r="D72">
        <v>-100</v>
      </c>
      <c r="E72">
        <v>-119</v>
      </c>
      <c r="F72">
        <v>-119</v>
      </c>
      <c r="G72">
        <v>-124</v>
      </c>
      <c r="H72">
        <v>-158</v>
      </c>
      <c r="I72">
        <v>-215</v>
      </c>
      <c r="J72">
        <v>-156</v>
      </c>
      <c r="K72">
        <v>-166</v>
      </c>
      <c r="L72">
        <v>-119</v>
      </c>
      <c r="M72">
        <v>-119</v>
      </c>
      <c r="N72">
        <v>-267</v>
      </c>
    </row>
    <row r="73" spans="2:14" x14ac:dyDescent="0.3">
      <c r="B73" t="s">
        <v>108</v>
      </c>
      <c r="C73">
        <v>-162</v>
      </c>
      <c r="D73">
        <v>-170</v>
      </c>
      <c r="E73">
        <v>-179</v>
      </c>
      <c r="F73">
        <v>-187</v>
      </c>
      <c r="G73">
        <v>-196</v>
      </c>
      <c r="H73">
        <v>-613</v>
      </c>
      <c r="I73" s="20">
        <v>-1227</v>
      </c>
      <c r="J73">
        <v>-818</v>
      </c>
      <c r="K73">
        <v>0</v>
      </c>
      <c r="L73">
        <v>0</v>
      </c>
      <c r="M73">
        <v>0</v>
      </c>
      <c r="N73">
        <v>-511</v>
      </c>
    </row>
    <row r="74" spans="2:14" x14ac:dyDescent="0.3">
      <c r="B74" t="s">
        <v>109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-25</v>
      </c>
      <c r="K74">
        <v>-31</v>
      </c>
      <c r="L74">
        <v>-41</v>
      </c>
      <c r="M74">
        <v>-41</v>
      </c>
      <c r="N74">
        <v>-80</v>
      </c>
    </row>
    <row r="75" spans="2:14" x14ac:dyDescent="0.3">
      <c r="B75" t="s">
        <v>110</v>
      </c>
      <c r="C75">
        <v>-26</v>
      </c>
      <c r="D75">
        <v>-29</v>
      </c>
      <c r="E75">
        <v>-32</v>
      </c>
      <c r="F75">
        <v>381</v>
      </c>
      <c r="G75">
        <v>984</v>
      </c>
      <c r="H75">
        <v>-613</v>
      </c>
      <c r="I75">
        <v>-253</v>
      </c>
      <c r="J75">
        <v>-168</v>
      </c>
      <c r="K75">
        <v>0</v>
      </c>
      <c r="L75">
        <v>0</v>
      </c>
      <c r="M75">
        <v>0</v>
      </c>
      <c r="N75">
        <v>0</v>
      </c>
    </row>
    <row r="76" spans="2:14" x14ac:dyDescent="0.3">
      <c r="B76" t="s">
        <v>52</v>
      </c>
      <c r="C76">
        <v>237</v>
      </c>
      <c r="D76">
        <v>1</v>
      </c>
      <c r="E76">
        <v>-221</v>
      </c>
      <c r="F76">
        <v>23</v>
      </c>
      <c r="G76">
        <v>282</v>
      </c>
      <c r="H76">
        <v>3</v>
      </c>
      <c r="I76">
        <v>-36</v>
      </c>
      <c r="J76">
        <v>-259</v>
      </c>
      <c r="K76">
        <v>-79</v>
      </c>
      <c r="L76">
        <v>227</v>
      </c>
      <c r="M76">
        <v>-398</v>
      </c>
      <c r="N7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Financials&gt;</vt:lpstr>
      <vt:lpstr>HistoricalFS</vt:lpstr>
      <vt:lpstr>Ratio Analysis</vt:lpstr>
      <vt:lpstr>ROIC</vt:lpstr>
      <vt:lpstr>Forcasting</vt:lpstr>
      <vt:lpstr>Beta Regression</vt:lpstr>
      <vt:lpstr>WACC</vt:lpstr>
      <vt:lpstr>DCF</vt:lpstr>
      <vt:lpstr>CCF</vt:lpstr>
      <vt:lpstr>ECF</vt:lpstr>
      <vt:lpstr>Dupont Analysis</vt:lpstr>
      <vt:lpstr>Data&gt;&gt;</vt:lpstr>
      <vt:lpstr>Data Sheet</vt:lpstr>
      <vt:lpstr>Raw FS</vt:lpstr>
      <vt:lpstr>'Beta Regression'!Print_Area</vt:lpstr>
      <vt:lpstr>'Dupont Analysis'!Print_Area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Abhay Singhal</cp:lastModifiedBy>
  <cp:lastPrinted>2025-03-30T15:34:15Z</cp:lastPrinted>
  <dcterms:created xsi:type="dcterms:W3CDTF">2023-01-14T08:22:33Z</dcterms:created>
  <dcterms:modified xsi:type="dcterms:W3CDTF">2025-04-15T09:11:19Z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